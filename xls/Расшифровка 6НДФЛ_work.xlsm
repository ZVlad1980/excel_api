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tables/table4.xml" ContentType="application/vnd.openxmlformats-officedocument.spreadsheetml.table+xml"/>
  <Override PartName="/xl/tables/table16.xml" ContentType="application/vnd.openxmlformats-officedocument.spreadsheetml.table+xml"/>
  <Override PartName="/xl/tables/table25.xml" ContentType="application/vnd.openxmlformats-officedocument.spreadsheetml.table+xml"/>
  <Override PartName="/xl/tables/table34.xml" ContentType="application/vnd.openxmlformats-officedocument.spreadsheetml.table+xml"/>
  <Override PartName="/xl/tables/table43.xml" ContentType="application/vnd.openxmlformats-officedocument.spreadsheetml.table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2.xml" ContentType="application/vnd.openxmlformats-officedocument.spreadsheetml.table+xml"/>
  <Override PartName="/xl/tables/table14.xml" ContentType="application/vnd.openxmlformats-officedocument.spreadsheetml.table+xml"/>
  <Override PartName="/xl/tables/table23.xml" ContentType="application/vnd.openxmlformats-officedocument.spreadsheetml.table+xml"/>
  <Override PartName="/xl/tables/table32.xml" ContentType="application/vnd.openxmlformats-officedocument.spreadsheetml.table+xml"/>
  <Override PartName="/xl/tables/table41.xml" ContentType="application/vnd.openxmlformats-officedocument.spreadsheetml.table+xml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worksheets/sheet20.xml" ContentType="application/vnd.openxmlformats-officedocument.spreadsheetml.worksheet+xml"/>
  <Override PartName="/xl/tables/table12.xml" ContentType="application/vnd.openxmlformats-officedocument.spreadsheetml.table+xml"/>
  <Override PartName="/xl/tables/table21.xml" ContentType="application/vnd.openxmlformats-officedocument.spreadsheetml.table+xml"/>
  <Override PartName="/xl/tables/table30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tables/table10.xml" ContentType="application/vnd.openxmlformats-officedocument.spreadsheetml.table+xml"/>
  <Override PartName="/xl/drawings/drawing2.xml" ContentType="application/vnd.openxmlformats-officedocument.drawing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tables/table9.xml" ContentType="application/vnd.openxmlformats-officedocument.spreadsheetml.table+xml"/>
  <Override PartName="/xl/sharedStrings.xml" ContentType="application/vnd.openxmlformats-officedocument.spreadsheetml.sharedStrings+xml"/>
  <Override PartName="/xl/tables/table7.xml" ContentType="application/vnd.openxmlformats-officedocument.spreadsheetml.table+xml"/>
  <Override PartName="/xl/tables/table19.xml" ContentType="application/vnd.openxmlformats-officedocument.spreadsheetml.table+xml"/>
  <Override PartName="/xl/tables/table39.xml" ContentType="application/vnd.openxmlformats-officedocument.spreadsheetml.table+xml"/>
  <Override PartName="/xl/tables/table48.xml" ContentType="application/vnd.openxmlformats-officedocument.spreadsheetml.table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docProps/core.xml" ContentType="application/vnd.openxmlformats-package.core-properties+xml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tables/table3.xml" ContentType="application/vnd.openxmlformats-officedocument.spreadsheetml.table+xml"/>
  <Override PartName="/xl/tables/table15.xml" ContentType="application/vnd.openxmlformats-officedocument.spreadsheetml.table+xml"/>
  <Override PartName="/xl/tables/table24.xml" ContentType="application/vnd.openxmlformats-officedocument.spreadsheetml.table+xml"/>
  <Override PartName="/xl/tables/table35.xml" ContentType="application/vnd.openxmlformats-officedocument.spreadsheetml.table+xml"/>
  <Override PartName="/xl/tables/table44.xml" ContentType="application/vnd.openxmlformats-officedocument.spreadsheetml.table+xml"/>
  <Override PartName="/xl/worksheets/sheet14.xml" ContentType="application/vnd.openxmlformats-officedocument.spreadsheetml.worksheet+xml"/>
  <Override PartName="/xl/worksheets/sheet23.xml" ContentType="application/vnd.openxmlformats-officedocument.spreadsheetml.worksheet+xml"/>
  <Override PartName="/xl/tables/table1.xml" ContentType="application/vnd.openxmlformats-officedocument.spreadsheetml.table+xml"/>
  <Override PartName="/xl/tables/table13.xml" ContentType="application/vnd.openxmlformats-officedocument.spreadsheetml.table+xml"/>
  <Override PartName="/xl/tables/table22.xml" ContentType="application/vnd.openxmlformats-officedocument.spreadsheetml.table+xml"/>
  <Override PartName="/xl/tables/table33.xml" ContentType="application/vnd.openxmlformats-officedocument.spreadsheetml.table+xml"/>
  <Override PartName="/xl/tables/table42.xml" ContentType="application/vnd.openxmlformats-officedocument.spreadsheetml.table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worksheets/sheet21.xml" ContentType="application/vnd.openxmlformats-officedocument.spreadsheetml.worksheet+xml"/>
  <Override PartName="/xl/tables/table11.xml" ContentType="application/vnd.openxmlformats-officedocument.spreadsheetml.table+xml"/>
  <Override PartName="/xl/tables/table20.xml" ContentType="application/vnd.openxmlformats-officedocument.spreadsheetml.table+xml"/>
  <Override PartName="/xl/tables/table31.xml" ContentType="application/vnd.openxmlformats-officedocument.spreadsheetml.table+xml"/>
  <Override PartName="/xl/tables/table40.xml" ContentType="application/vnd.openxmlformats-officedocument.spreadsheetml.table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Default Extension="vml" ContentType="application/vnd.openxmlformats-officedocument.vmlDrawing"/>
  <Override PartName="/xl/comments1.xml" ContentType="application/vnd.openxmlformats-officedocument.spreadsheetml.comments+xml"/>
  <Override PartName="/xl/tables/table49.xml" ContentType="application/vnd.openxmlformats-officedocument.spreadsheetml.table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tables/table8.xml" ContentType="application/vnd.openxmlformats-officedocument.spreadsheetml.table+xml"/>
  <Override PartName="/xl/tables/table29.xml" ContentType="application/vnd.openxmlformats-officedocument.spreadsheetml.table+xml"/>
  <Override PartName="/xl/tables/table38.xml" ContentType="application/vnd.openxmlformats-officedocument.spreadsheetml.table+xml"/>
  <Override PartName="/xl/tables/table47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ЭтаКнига"/>
  <bookViews>
    <workbookView xWindow="0" yWindow="0" windowWidth="12450" windowHeight="11685" tabRatio="698" firstSheet="8" activeTab="14"/>
  </bookViews>
  <sheets>
    <sheet name="detail_report" sheetId="55" state="hidden" r:id="rId1"/>
    <sheet name="detail_report_2" sheetId="56" state="hidden" r:id="rId2"/>
    <sheet name="error_report" sheetId="57" state="hidden" r:id="rId3"/>
    <sheet name="correcting_report" sheetId="60" state="hidden" r:id="rId4"/>
    <sheet name="Settings" sheetId="103" state="hidden" r:id="rId5"/>
    <sheet name="Отчеты" sheetId="6" r:id="rId6"/>
    <sheet name="Сотрудники фонда" sheetId="341" r:id="rId7"/>
    <sheet name="НДФЛ6 Раздел 1 Общие итоги" sheetId="336" r:id="rId8"/>
    <sheet name="НДФЛ6 Раздел 1 Итоги по ставкам" sheetId="330" r:id="rId9"/>
    <sheet name="НФДЛ Раздел 2" sheetId="314" r:id="rId10"/>
    <sheet name="Расшифровка 6 НДФЛ" sheetId="265" r:id="rId11"/>
    <sheet name="Ошибки в движении средств" sheetId="264" r:id="rId12"/>
    <sheet name="Операции перерасчета" sheetId="262" r:id="rId13"/>
    <sheet name="07Операции перерасчета" sheetId="255" r:id="rId14"/>
    <sheet name="Расшифровка 6 НДФЛ (дет)" sheetId="254" r:id="rId15"/>
    <sheet name="07Расшифровка 6 НДФЛ (дет)" sheetId="251" r:id="rId16"/>
    <sheet name="07Расшифровка 6 НДФЛ" sheetId="250" r:id="rId17"/>
    <sheet name="ndfl6_part2" sheetId="249" state="hidden" r:id="rId18"/>
    <sheet name="ndfl6_part1_general" sheetId="71" state="hidden" r:id="rId19"/>
    <sheet name="ndfl6_part1_rates" sheetId="69" state="hidden" r:id="rId20"/>
    <sheet name="funds_employees" sheetId="73" state="hidden" r:id="rId21"/>
    <sheet name="funds_employees_report" sheetId="123" state="hidden" r:id="rId22"/>
    <sheet name="ndfl6_part1" sheetId="248" state="hidden" r:id="rId23"/>
  </sheets>
  <functionGroups/>
  <definedNames>
    <definedName name="data_source_name">Settings!$B$3</definedName>
    <definedName name="end_date">Отчеты!$C$5</definedName>
    <definedName name="EndDate">Отчеты!$C$5</definedName>
    <definedName name="menu_item_selected">Settings!$B$6</definedName>
    <definedName name="oracle_owner">Settings!$B$4</definedName>
    <definedName name="output">Отчеты!$B$8</definedName>
    <definedName name="report_code">Settings!$B$7</definedName>
    <definedName name="ReportSelected">Отчеты!$C$2</definedName>
    <definedName name="start_date">Отчеты!$C$4</definedName>
    <definedName name="start_sheet_name">Settings!$B$5</definedName>
    <definedName name="StartDate">Отчеты!$C$4</definedName>
    <definedName name="StartDateRow">Отчеты!$4:$4</definedName>
    <definedName name="tax_13" localSheetId="8">'НДФЛ6 Раздел 1 Итоги по ставкам'!$C$25</definedName>
    <definedName name="tax_13">ndfl6_part1_rates!$C$15</definedName>
    <definedName name="tax_13_amount" localSheetId="8">'НДФЛ6 Раздел 1 Итоги по ставкам'!$C$25</definedName>
    <definedName name="tax_13_amount">ndfl6_part1_rates!$C$15</definedName>
    <definedName name="tax_30" localSheetId="8">'НДФЛ6 Раздел 1 Итоги по ставкам'!$C$35</definedName>
    <definedName name="tax_30">ndfl6_part1_rates!$C$19</definedName>
  </definedNames>
  <calcPr calcId="124519"/>
  <fileRecoveryPr repairLoad="1"/>
</workbook>
</file>

<file path=xl/calcChain.xml><?xml version="1.0" encoding="utf-8"?>
<calcChain xmlns="http://schemas.openxmlformats.org/spreadsheetml/2006/main">
  <c r="E17" i="336"/>
  <c r="E11"/>
  <c r="C35" i="330"/>
  <c r="F48"/>
  <c r="E48"/>
  <c r="D48"/>
  <c r="C25"/>
  <c r="H6"/>
  <c r="G6"/>
  <c r="F6"/>
  <c r="E6"/>
  <c r="D6"/>
  <c r="C6"/>
  <c r="D2" i="314"/>
  <c r="C2"/>
  <c r="C36" i="330" l="1"/>
  <c r="J263" i="255"/>
  <c r="I263"/>
  <c r="R263"/>
  <c r="P206" i="254"/>
  <c r="O206"/>
  <c r="N206"/>
  <c r="M206"/>
  <c r="L206"/>
  <c r="I206"/>
  <c r="H206"/>
  <c r="G206"/>
  <c r="F206"/>
  <c r="E206"/>
  <c r="O205"/>
  <c r="N205"/>
  <c r="M205"/>
  <c r="L205"/>
  <c r="I205"/>
  <c r="H205"/>
  <c r="G205"/>
  <c r="F205"/>
  <c r="E205"/>
  <c r="P205"/>
  <c r="R91" i="250"/>
  <c r="AD205" i="251"/>
  <c r="AC205"/>
  <c r="AB205"/>
  <c r="AA205"/>
  <c r="X205"/>
  <c r="W205"/>
  <c r="V205"/>
  <c r="U205"/>
  <c r="T205"/>
  <c r="P205"/>
  <c r="O205"/>
  <c r="N205"/>
  <c r="M205"/>
  <c r="M206" s="1"/>
  <c r="L205"/>
  <c r="L206" s="1"/>
  <c r="I205"/>
  <c r="I206" s="1"/>
  <c r="H205"/>
  <c r="G205"/>
  <c r="F205"/>
  <c r="E205"/>
  <c r="AE205"/>
  <c r="S91" i="250"/>
  <c r="O91"/>
  <c r="N91"/>
  <c r="M91"/>
  <c r="J91"/>
  <c r="I91"/>
  <c r="I92" s="1"/>
  <c r="H91"/>
  <c r="E91"/>
  <c r="E92" s="1"/>
  <c r="D91"/>
  <c r="C91"/>
  <c r="T91"/>
  <c r="D2" i="249"/>
  <c r="C2"/>
  <c r="F25" i="69"/>
  <c r="E25"/>
  <c r="D25"/>
  <c r="H5"/>
  <c r="G5"/>
  <c r="F5"/>
  <c r="E5"/>
  <c r="D5"/>
  <c r="C5"/>
  <c r="C15"/>
  <c r="C19"/>
  <c r="E13" i="71"/>
  <c r="E10"/>
  <c r="B6" i="103"/>
  <c r="F206" i="251" l="1"/>
  <c r="P206"/>
  <c r="J92" i="250"/>
  <c r="G206" i="251"/>
  <c r="E206"/>
  <c r="O206"/>
  <c r="N206"/>
  <c r="D92" i="250"/>
  <c r="C92"/>
  <c r="H206" i="251"/>
  <c r="H92" i="250"/>
  <c r="C20" i="69"/>
</calcChain>
</file>

<file path=xl/comments1.xml><?xml version="1.0" encoding="utf-8"?>
<comments xmlns="http://schemas.openxmlformats.org/spreadsheetml/2006/main">
  <authors>
    <author>Zhuravov</author>
  </authors>
  <commentList>
    <comment ref="B7" authorId="0">
      <text>
        <r>
          <rPr>
            <b/>
            <sz val="9"/>
            <color indexed="81"/>
            <rFont val="Tahoma"/>
            <family val="2"/>
            <charset val="204"/>
          </rPr>
          <t>Zhuravov:</t>
        </r>
        <r>
          <rPr>
            <sz val="9"/>
            <color indexed="81"/>
            <rFont val="Tahoma"/>
            <family val="2"/>
            <charset val="204"/>
          </rPr>
          <t xml:space="preserve">
API Processor пишет сюда код текущего отчета</t>
        </r>
      </text>
    </comment>
  </commentList>
</comments>
</file>

<file path=xl/sharedStrings.xml><?xml version="1.0" encoding="utf-8"?>
<sst xmlns="http://schemas.openxmlformats.org/spreadsheetml/2006/main" count="5239" uniqueCount="989">
  <si>
    <t>Дата дохода</t>
  </si>
  <si>
    <t>Доход</t>
  </si>
  <si>
    <t>Вычет</t>
  </si>
  <si>
    <t>Тип дохода</t>
  </si>
  <si>
    <t>Операции текущего периода</t>
  </si>
  <si>
    <t>Ставка 13%</t>
  </si>
  <si>
    <t>Ставка 30%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</si>
  <si>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</si>
  <si>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</si>
  <si>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</si>
  <si>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</si>
  <si>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</si>
  <si>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</si>
  <si>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</si>
  <si>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</si>
  <si>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</si>
  <si>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</si>
  <si>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</si>
  <si>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</si>
  <si>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</si>
  <si>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</si>
  <si>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</si>
  <si>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НДФЛ</t>
  </si>
  <si>
    <t>Коррекция операций предыдущих периодов</t>
  </si>
  <si>
    <t>16</t>
  </si>
  <si>
    <t>VBZ</t>
  </si>
  <si>
    <t>Расшифровка 6 НДФЛ</t>
  </si>
  <si>
    <t>Отчеты</t>
  </si>
  <si>
    <t>detail_report</t>
  </si>
  <si>
    <t>Дата
коррекции</t>
  </si>
  <si>
    <t>Срок
перечисления
дохода</t>
  </si>
  <si>
    <t>Пенсионная
схема</t>
  </si>
  <si>
    <t>TemplateSheetName</t>
  </si>
  <si>
    <t>Дата
корректи-
руемой
операции</t>
  </si>
  <si>
    <t>detail_report_2</t>
  </si>
  <si>
    <t>Расшифровка 6 НДФЛ (дет)</t>
  </si>
  <si>
    <t>Дата операции</t>
  </si>
  <si>
    <t>Номер вкладчика</t>
  </si>
  <si>
    <t>Номер ИПС</t>
  </si>
  <si>
    <t>Счет</t>
  </si>
  <si>
    <t>Субсчет</t>
  </si>
  <si>
    <t>Сумма</t>
  </si>
  <si>
    <t>Корректируемые документы</t>
  </si>
  <si>
    <t>Описание ошибки</t>
  </si>
  <si>
    <t>error_report</t>
  </si>
  <si>
    <t>Ошибки в движении средств</t>
  </si>
  <si>
    <t>Документ (ссылка)</t>
  </si>
  <si>
    <t xml:space="preserve">НДФЛ6:  Расшифровка детализированная </t>
  </si>
  <si>
    <t>Дата</t>
  </si>
  <si>
    <t>17</t>
  </si>
  <si>
    <t>18</t>
  </si>
  <si>
    <t>Год</t>
  </si>
  <si>
    <t>Квартал</t>
  </si>
  <si>
    <t>Вкладчик</t>
  </si>
  <si>
    <t>ИПС</t>
  </si>
  <si>
    <t>Суб-счет</t>
  </si>
  <si>
    <t>Исходная сумма</t>
  </si>
  <si>
    <t>Изменение</t>
  </si>
  <si>
    <t>Месяц</t>
  </si>
  <si>
    <t>Исходная операция</t>
  </si>
  <si>
    <t>Операция коррекции</t>
  </si>
  <si>
    <t>SP_FIZ_LITS</t>
  </si>
  <si>
    <t>Документ-основание</t>
  </si>
  <si>
    <t>SSYLKA</t>
  </si>
  <si>
    <t>Фамилия</t>
  </si>
  <si>
    <t>Имя</t>
  </si>
  <si>
    <t>Отчество</t>
  </si>
  <si>
    <t>correcting_report</t>
  </si>
  <si>
    <t>Операции перерасчета</t>
  </si>
  <si>
    <t>Число физ.лиц</t>
  </si>
  <si>
    <t>Налог удержанный</t>
  </si>
  <si>
    <t>Налог НЕ удержанный</t>
  </si>
  <si>
    <t>Налог возвращенный</t>
  </si>
  <si>
    <t>060</t>
  </si>
  <si>
    <t>070</t>
  </si>
  <si>
    <t>080</t>
  </si>
  <si>
    <t>090</t>
  </si>
  <si>
    <t>НДФЛ6 Раздел 1 Общие итоги</t>
  </si>
  <si>
    <t>ndfl6_part1_rates</t>
  </si>
  <si>
    <t>НДФЛ6 Раздел 1 Итоги по ставкам</t>
  </si>
  <si>
    <t>Ставка</t>
  </si>
  <si>
    <t>Доход в т.ч. с дивидентов</t>
  </si>
  <si>
    <t>Вычеты</t>
  </si>
  <si>
    <t>Налог исчисленный</t>
  </si>
  <si>
    <t>НИ в т.ч. с дивидентов</t>
  </si>
  <si>
    <t>Аванс</t>
  </si>
  <si>
    <t>010</t>
  </si>
  <si>
    <t>020</t>
  </si>
  <si>
    <t>025</t>
  </si>
  <si>
    <t>030</t>
  </si>
  <si>
    <t>040</t>
  </si>
  <si>
    <t>045</t>
  </si>
  <si>
    <t>050</t>
  </si>
  <si>
    <t>Выберите отчет:</t>
  </si>
  <si>
    <t>Период с:</t>
  </si>
  <si>
    <t>Период по:</t>
  </si>
  <si>
    <t>Сотрудники фонда: отчет</t>
  </si>
  <si>
    <t>funds_employees</t>
  </si>
  <si>
    <t>NewSheetName</t>
  </si>
  <si>
    <t>Сотрудники фонда</t>
  </si>
  <si>
    <t>ФИО</t>
  </si>
  <si>
    <t>Дата рождения</t>
  </si>
  <si>
    <t>Снилс</t>
  </si>
  <si>
    <t>ИНН</t>
  </si>
  <si>
    <t>oracle_owner</t>
  </si>
  <si>
    <t>start_sheet_name</t>
  </si>
  <si>
    <t>Programs</t>
  </si>
  <si>
    <t>report</t>
  </si>
  <si>
    <t>program</t>
  </si>
  <si>
    <t>Reports</t>
  </si>
  <si>
    <t>Code</t>
  </si>
  <si>
    <t>employees_load</t>
  </si>
  <si>
    <t>employees_report</t>
  </si>
  <si>
    <t>ActionCode</t>
  </si>
  <si>
    <t>Actions</t>
  </si>
  <si>
    <t>SubReports</t>
  </si>
  <si>
    <t>SubCode</t>
  </si>
  <si>
    <t>Value</t>
  </si>
  <si>
    <t>General</t>
  </si>
  <si>
    <t>Menu</t>
  </si>
  <si>
    <t>ReportType</t>
  </si>
  <si>
    <t>compound</t>
  </si>
  <si>
    <t>ndfl6_part1_general</t>
  </si>
  <si>
    <t>Сотрудники фонда: загрузить</t>
  </si>
  <si>
    <t>Action</t>
  </si>
  <si>
    <t>menu_item_selected</t>
  </si>
  <si>
    <t>Type</t>
  </si>
  <si>
    <t>VBA</t>
  </si>
  <si>
    <t>Program</t>
  </si>
  <si>
    <t>get_report</t>
  </si>
  <si>
    <t>Routine</t>
  </si>
  <si>
    <t>Replace</t>
  </si>
  <si>
    <t>ActionTypes</t>
  </si>
  <si>
    <t>CreateMode</t>
  </si>
  <si>
    <t>CreateModes</t>
  </si>
  <si>
    <t>Rename</t>
  </si>
  <si>
    <t>ReportTypes</t>
  </si>
  <si>
    <t>simply</t>
  </si>
  <si>
    <t>Столбец1</t>
  </si>
  <si>
    <t>Key</t>
  </si>
  <si>
    <t>ndfl6_part1_general_data</t>
  </si>
  <si>
    <t>ndfl6_part1_rates_data</t>
  </si>
  <si>
    <t>isConnect</t>
  </si>
  <si>
    <t>No</t>
  </si>
  <si>
    <t>Yes</t>
  </si>
  <si>
    <t>ProgramTypes</t>
  </si>
  <si>
    <t>Parameters</t>
  </si>
  <si>
    <t>Direction</t>
  </si>
  <si>
    <t>ReturnType</t>
  </si>
  <si>
    <t>RecordSet</t>
  </si>
  <si>
    <t>OUT</t>
  </si>
  <si>
    <t>IN</t>
  </si>
  <si>
    <t>report_code</t>
  </si>
  <si>
    <t>err_msg</t>
  </si>
  <si>
    <t>ParamPurpose</t>
  </si>
  <si>
    <t>ReturnTypes</t>
  </si>
  <si>
    <t>Name</t>
  </si>
  <si>
    <t>Source</t>
  </si>
  <si>
    <t>Required</t>
  </si>
  <si>
    <t>p_report_code</t>
  </si>
  <si>
    <t>YesNo</t>
  </si>
  <si>
    <t>start_date</t>
  </si>
  <si>
    <t>end_date</t>
  </si>
  <si>
    <t>Size</t>
  </si>
  <si>
    <t>Oracle</t>
  </si>
  <si>
    <t>x_err_msg</t>
  </si>
  <si>
    <t>p_from_date</t>
  </si>
  <si>
    <t>p_end_date</t>
  </si>
  <si>
    <t>test_run</t>
  </si>
  <si>
    <t>module3.test_run</t>
  </si>
  <si>
    <t>output</t>
  </si>
  <si>
    <t>AfterAction</t>
  </si>
  <si>
    <t>Break</t>
  </si>
  <si>
    <t>parse_fio</t>
  </si>
  <si>
    <t>EmployeesApi.parse_fio</t>
  </si>
  <si>
    <t>employees_send</t>
  </si>
  <si>
    <t>p_load_date</t>
  </si>
  <si>
    <t>send_employees</t>
  </si>
  <si>
    <t>load_employees</t>
  </si>
  <si>
    <t>EmployeesApi.send_employees</t>
  </si>
  <si>
    <t>Участник/Не участник</t>
  </si>
  <si>
    <t>Пенсионные схемы</t>
  </si>
  <si>
    <t>Типы дохода</t>
  </si>
  <si>
    <t>funds_employees_report</t>
  </si>
  <si>
    <t>employees_sheet</t>
  </si>
  <si>
    <t>ndfl6_employees_report</t>
  </si>
  <si>
    <t>data_source_name</t>
  </si>
  <si>
    <t>FONDDB</t>
  </si>
  <si>
    <t>ndfl_prepare_data</t>
  </si>
  <si>
    <t>НДФЛ6: подготовка данных</t>
  </si>
  <si>
    <t>Раздел 1 справок 6-НДФЛ (общие итоги)</t>
  </si>
  <si>
    <t>Итоги общие</t>
  </si>
  <si>
    <t>показатель</t>
  </si>
  <si>
    <t>поле справки</t>
  </si>
  <si>
    <t>в т.ч. За перерасчеты НДФЛ с доходов</t>
  </si>
  <si>
    <t>в текущем году</t>
  </si>
  <si>
    <t>всего</t>
  </si>
  <si>
    <t>в предыдущих годах</t>
  </si>
  <si>
    <t>ndfl6_recalc_curr_year</t>
  </si>
  <si>
    <t>ndfl6_recalc_prev_year</t>
  </si>
  <si>
    <t>EmptySheet</t>
  </si>
  <si>
    <t xml:space="preserve"> </t>
  </si>
  <si>
    <t>Раздел 1 справок 6-НДФЛ (итоги по ставкам)</t>
  </si>
  <si>
    <t>расшифровка сумм, в т.ч.</t>
  </si>
  <si>
    <t xml:space="preserve"> по ставке 13%</t>
  </si>
  <si>
    <t>в сумме доходов по 13% учтены операции сторно за период</t>
  </si>
  <si>
    <t>тип</t>
  </si>
  <si>
    <t>схема</t>
  </si>
  <si>
    <t>итог</t>
  </si>
  <si>
    <t>в 1 кв</t>
  </si>
  <si>
    <t>во 2 кв</t>
  </si>
  <si>
    <t>расшифровка по выкупным суммам 13%</t>
  </si>
  <si>
    <t>исправленное в текущем году</t>
  </si>
  <si>
    <t>неправленные</t>
  </si>
  <si>
    <t>первоначально</t>
  </si>
  <si>
    <t>изменение</t>
  </si>
  <si>
    <t>результат</t>
  </si>
  <si>
    <t>сумма доходов 13% по всем источникам</t>
  </si>
  <si>
    <t xml:space="preserve"> по ставке 30%</t>
  </si>
  <si>
    <t>сумма доходов 30% по всем источникам</t>
  </si>
  <si>
    <t>ndfl6_part1_rates_13_wo_bb</t>
  </si>
  <si>
    <t>ndfl6_part1_rates_13_bb</t>
  </si>
  <si>
    <t>в 3 кв</t>
  </si>
  <si>
    <t>в 4 кв</t>
  </si>
  <si>
    <t>год дохода предыдущий</t>
  </si>
  <si>
    <t>ndfl6_part1_rates_30</t>
  </si>
  <si>
    <t>Итого:</t>
  </si>
  <si>
    <t>ndfl6_part1_rates_persn</t>
  </si>
  <si>
    <t>Разница</t>
  </si>
  <si>
    <t>Итог</t>
  </si>
  <si>
    <t>Недоплата налога по ставке 30%</t>
  </si>
  <si>
    <t>сумма доходов. Должна совпадать с суммой дохода из раздела 2</t>
  </si>
  <si>
    <t>доход</t>
  </si>
  <si>
    <t>налог</t>
  </si>
  <si>
    <t>Недоплата/
переплата</t>
  </si>
  <si>
    <t>НДФЛ6 Раздел 1</t>
  </si>
  <si>
    <t>ndfl6_part1</t>
  </si>
  <si>
    <t>Полученный доход</t>
  </si>
  <si>
    <t>Удержанный налог</t>
  </si>
  <si>
    <t>Итого за период:</t>
  </si>
  <si>
    <t>Дата получения дохода</t>
  </si>
  <si>
    <t>Сумма на дату</t>
  </si>
  <si>
    <t>130</t>
  </si>
  <si>
    <t>140</t>
  </si>
  <si>
    <t>значение поля 110 равно значению поля 100</t>
  </si>
  <si>
    <t>значение поля 120 равно значению поля 100 + 1 день</t>
  </si>
  <si>
    <t>100</t>
  </si>
  <si>
    <t>ndfl6_part2_data</t>
  </si>
  <si>
    <t>НДФЛ6 Раздел 2</t>
  </si>
  <si>
    <t>ndfl6_part2</t>
  </si>
  <si>
    <t>НФДЛ Раздел 2</t>
  </si>
  <si>
    <t>НДФЛ6 Раздел 1 + Раздел 2</t>
  </si>
  <si>
    <t>ndfl6</t>
  </si>
  <si>
    <t>Ok</t>
  </si>
  <si>
    <t>10.01.2017</t>
  </si>
  <si>
    <t>11.01.2017</t>
  </si>
  <si>
    <t>13.01.2017</t>
  </si>
  <si>
    <t>14.01.2017</t>
  </si>
  <si>
    <t>20.01.2017</t>
  </si>
  <si>
    <t>21.01.2017</t>
  </si>
  <si>
    <t>30.09.2016</t>
  </si>
  <si>
    <t>02.12.2016</t>
  </si>
  <si>
    <t>16.12.2016</t>
  </si>
  <si>
    <t>25.01.2017</t>
  </si>
  <si>
    <t>26.01.2017</t>
  </si>
  <si>
    <t>27.01.2017</t>
  </si>
  <si>
    <t>28.01.2017</t>
  </si>
  <si>
    <t>28.10.2016</t>
  </si>
  <si>
    <t>12.12.2016</t>
  </si>
  <si>
    <t>23.12.2016</t>
  </si>
  <si>
    <t>31.01.2017</t>
  </si>
  <si>
    <t>01.02.2017</t>
  </si>
  <si>
    <t>03.02.2017</t>
  </si>
  <si>
    <t>04.02.2017</t>
  </si>
  <si>
    <t>27.12.2016</t>
  </si>
  <si>
    <t>10.02.2017</t>
  </si>
  <si>
    <t>11.02.2017</t>
  </si>
  <si>
    <t>13.02.2017</t>
  </si>
  <si>
    <t>14.02.2017</t>
  </si>
  <si>
    <t>14.10.2016</t>
  </si>
  <si>
    <t>18.11.2016</t>
  </si>
  <si>
    <t>28.11.2016</t>
  </si>
  <si>
    <t>27.02.2017</t>
  </si>
  <si>
    <t>28.02.2017</t>
  </si>
  <si>
    <t>01.03.2017</t>
  </si>
  <si>
    <t>10.03.2017</t>
  </si>
  <si>
    <t>11.03.2017</t>
  </si>
  <si>
    <t>13.03.2017</t>
  </si>
  <si>
    <t>14.03.2017</t>
  </si>
  <si>
    <t>17.03.2017</t>
  </si>
  <si>
    <t>18.03.2017</t>
  </si>
  <si>
    <t>05.08.2016</t>
  </si>
  <si>
    <t>24.03.2017</t>
  </si>
  <si>
    <t>25.03.2017</t>
  </si>
  <si>
    <t>27.03.2017</t>
  </si>
  <si>
    <t>28.03.2017</t>
  </si>
  <si>
    <t>07.10.2016</t>
  </si>
  <si>
    <t>31.03.2017</t>
  </si>
  <si>
    <t>01.04.2017</t>
  </si>
  <si>
    <t>07.04.2017</t>
  </si>
  <si>
    <t>08.04.2017</t>
  </si>
  <si>
    <t>10.04.2017</t>
  </si>
  <si>
    <t>11.04.2017</t>
  </si>
  <si>
    <t>14.04.2017</t>
  </si>
  <si>
    <t>15.04.2017</t>
  </si>
  <si>
    <t>31.07.2015</t>
  </si>
  <si>
    <t>21.04.2017</t>
  </si>
  <si>
    <t>22.04.2017</t>
  </si>
  <si>
    <t>25.04.2017</t>
  </si>
  <si>
    <t>26.04.2017</t>
  </si>
  <si>
    <t>28.04.2017</t>
  </si>
  <si>
    <t>29.04.2017</t>
  </si>
  <si>
    <t>01.04.2016</t>
  </si>
  <si>
    <t>30.04.2017</t>
  </si>
  <si>
    <t>01.05.2017</t>
  </si>
  <si>
    <t>02.05.2017</t>
  </si>
  <si>
    <t>03.05.2017</t>
  </si>
  <si>
    <t>04.05.2017</t>
  </si>
  <si>
    <t>31.12.2016</t>
  </si>
  <si>
    <t>05.05.2017</t>
  </si>
  <si>
    <t>10.05.2017</t>
  </si>
  <si>
    <t>11.05.2017</t>
  </si>
  <si>
    <t>19.05.2017</t>
  </si>
  <si>
    <t>20.05.2017</t>
  </si>
  <si>
    <t>25.05.2017</t>
  </si>
  <si>
    <t>26.05.2017</t>
  </si>
  <si>
    <t>27.05.2017</t>
  </si>
  <si>
    <t>31.05.2017</t>
  </si>
  <si>
    <t>01.06.2017</t>
  </si>
  <si>
    <t>02.06.2017</t>
  </si>
  <si>
    <t>03.06.2017</t>
  </si>
  <si>
    <t>29.07.2016</t>
  </si>
  <si>
    <t>23.09.2016</t>
  </si>
  <si>
    <t>09.06.2017</t>
  </si>
  <si>
    <t>10.06.2017</t>
  </si>
  <si>
    <t>13.06.2017</t>
  </si>
  <si>
    <t>14.06.2017</t>
  </si>
  <si>
    <t>16.06.2017</t>
  </si>
  <si>
    <t>17.06.2017</t>
  </si>
  <si>
    <t>27.05.2016</t>
  </si>
  <si>
    <t>21.06.2017</t>
  </si>
  <si>
    <t>22.06.2017</t>
  </si>
  <si>
    <t>26.06.2017</t>
  </si>
  <si>
    <t>27.06.2017</t>
  </si>
  <si>
    <t>30.06.2017</t>
  </si>
  <si>
    <t>01.07.2017</t>
  </si>
  <si>
    <t>07.07.2017</t>
  </si>
  <si>
    <t>08.07.2017</t>
  </si>
  <si>
    <t>10.07.2017</t>
  </si>
  <si>
    <t>11.07.2017</t>
  </si>
  <si>
    <t>12.07.2017</t>
  </si>
  <si>
    <t>13.07.2017</t>
  </si>
  <si>
    <t>14.07.2017</t>
  </si>
  <si>
    <t>15.07.2017</t>
  </si>
  <si>
    <t>21.07.2017</t>
  </si>
  <si>
    <t>22.07.2017</t>
  </si>
  <si>
    <t>25.07.2017</t>
  </si>
  <si>
    <t>26.07.2017</t>
  </si>
  <si>
    <t>31.07.2017</t>
  </si>
  <si>
    <t>01.08.2017</t>
  </si>
  <si>
    <t>19</t>
  </si>
  <si>
    <t>20</t>
  </si>
  <si>
    <t>Пенсия</t>
  </si>
  <si>
    <t>Ритуальные пособия</t>
  </si>
  <si>
    <t>Выкупные суммы</t>
  </si>
  <si>
    <t>PENSION</t>
  </si>
  <si>
    <t>RITUAL</t>
  </si>
  <si>
    <t>BUYBACK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</si>
  <si>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</si>
  <si>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</si>
  <si>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</si>
  <si>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</si>
  <si>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</si>
  <si>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</si>
  <si>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</si>
  <si>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</si>
  <si>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</si>
  <si>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</si>
  <si>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</si>
  <si>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Касьянова</t>
  </si>
  <si>
    <t>Светлана</t>
  </si>
  <si>
    <t>Ивановна</t>
  </si>
  <si>
    <t>Марьин</t>
  </si>
  <si>
    <t>Сергей</t>
  </si>
  <si>
    <t>Александрович</t>
  </si>
  <si>
    <t>Андрухович</t>
  </si>
  <si>
    <t>Александр</t>
  </si>
  <si>
    <t>Владимирович</t>
  </si>
  <si>
    <t>Илишкина</t>
  </si>
  <si>
    <t>Ирина</t>
  </si>
  <si>
    <t>Вячеславовна</t>
  </si>
  <si>
    <t>Исмагулова</t>
  </si>
  <si>
    <t>Алтнай</t>
  </si>
  <si>
    <t>Бахтегариевна</t>
  </si>
  <si>
    <t>Цямрюк</t>
  </si>
  <si>
    <t>Майя</t>
  </si>
  <si>
    <t>Владимировна</t>
  </si>
  <si>
    <t>Умаров</t>
  </si>
  <si>
    <t>Алий</t>
  </si>
  <si>
    <t>Абдурасулович</t>
  </si>
  <si>
    <t>Глухов</t>
  </si>
  <si>
    <t>Николай</t>
  </si>
  <si>
    <t>Иванович</t>
  </si>
  <si>
    <t>Абакумова</t>
  </si>
  <si>
    <t>Галина</t>
  </si>
  <si>
    <t>Андреевна</t>
  </si>
  <si>
    <t>Сухоносенко</t>
  </si>
  <si>
    <t>Леонид</t>
  </si>
  <si>
    <t>Анатольевич</t>
  </si>
  <si>
    <t>Панфилов</t>
  </si>
  <si>
    <t>Михаил</t>
  </si>
  <si>
    <t>Сергеевич</t>
  </si>
  <si>
    <t>Шкробот</t>
  </si>
  <si>
    <t>Владимир</t>
  </si>
  <si>
    <t>Павлович</t>
  </si>
  <si>
    <t>Дуда</t>
  </si>
  <si>
    <t>Балык</t>
  </si>
  <si>
    <t>Роман</t>
  </si>
  <si>
    <t>Эдуардович</t>
  </si>
  <si>
    <t>Ильясов</t>
  </si>
  <si>
    <t>Идрис</t>
  </si>
  <si>
    <t>Идрисович</t>
  </si>
  <si>
    <t>Ищенко</t>
  </si>
  <si>
    <t>Борисовна</t>
  </si>
  <si>
    <t>Харовинкина</t>
  </si>
  <si>
    <t>Татьяна</t>
  </si>
  <si>
    <t>Александровна</t>
  </si>
  <si>
    <t>Беренок</t>
  </si>
  <si>
    <t>Василий</t>
  </si>
  <si>
    <t>Васильевич</t>
  </si>
  <si>
    <t>Зеленцова</t>
  </si>
  <si>
    <t>Людмила</t>
  </si>
  <si>
    <t>Электроновна</t>
  </si>
  <si>
    <t>Сутягин</t>
  </si>
  <si>
    <t>Анатолий</t>
  </si>
  <si>
    <t>Алексеевич</t>
  </si>
  <si>
    <t>Сайфуллина</t>
  </si>
  <si>
    <t>Минифлюра</t>
  </si>
  <si>
    <t>Шайхсултановна</t>
  </si>
  <si>
    <t>Ибрашев</t>
  </si>
  <si>
    <t>Сансызбай</t>
  </si>
  <si>
    <t>Дроздова</t>
  </si>
  <si>
    <t>Юрьевна</t>
  </si>
  <si>
    <t>Тимофеев</t>
  </si>
  <si>
    <t>Николаевич</t>
  </si>
  <si>
    <t>Антонова</t>
  </si>
  <si>
    <t>Тамара</t>
  </si>
  <si>
    <t>Федоровна</t>
  </si>
  <si>
    <t>Куренков</t>
  </si>
  <si>
    <t>Волков</t>
  </si>
  <si>
    <t>Петрович</t>
  </si>
  <si>
    <t>Островерхов</t>
  </si>
  <si>
    <t>Данилович</t>
  </si>
  <si>
    <t>Ситдиков</t>
  </si>
  <si>
    <t>Ильус</t>
  </si>
  <si>
    <t>Муллахметович</t>
  </si>
  <si>
    <t>Кудинов</t>
  </si>
  <si>
    <t>Виктор</t>
  </si>
  <si>
    <t>Дмитриевич</t>
  </si>
  <si>
    <t>Якусевич</t>
  </si>
  <si>
    <t>Сигизмундовна</t>
  </si>
  <si>
    <t>Грибанова</t>
  </si>
  <si>
    <t>Лидия</t>
  </si>
  <si>
    <t>Генриховна</t>
  </si>
  <si>
    <t>Валишев</t>
  </si>
  <si>
    <t>Рахимулла</t>
  </si>
  <si>
    <t>Тхватуллович</t>
  </si>
  <si>
    <t>Газизянов</t>
  </si>
  <si>
    <t>Шахит</t>
  </si>
  <si>
    <t>Галимзянович</t>
  </si>
  <si>
    <t>Сильченко</t>
  </si>
  <si>
    <t>Михайловна</t>
  </si>
  <si>
    <t>Богуш</t>
  </si>
  <si>
    <t>Игорь</t>
  </si>
  <si>
    <t>Валерьевич</t>
  </si>
  <si>
    <t>Ольга</t>
  </si>
  <si>
    <t>Кузнецов</t>
  </si>
  <si>
    <t>Юрий</t>
  </si>
  <si>
    <t>Полиматиди</t>
  </si>
  <si>
    <t>Георгиевна</t>
  </si>
  <si>
    <t>Телемджиева</t>
  </si>
  <si>
    <t>Саглар</t>
  </si>
  <si>
    <t>Анатольевна</t>
  </si>
  <si>
    <t>Анисин</t>
  </si>
  <si>
    <t>Меженина</t>
  </si>
  <si>
    <t>Дмитриевна</t>
  </si>
  <si>
    <t>Осипова</t>
  </si>
  <si>
    <t>Елена</t>
  </si>
  <si>
    <t>Савилов</t>
  </si>
  <si>
    <t>Евгеньевич</t>
  </si>
  <si>
    <t>Сахно</t>
  </si>
  <si>
    <t>Сергеевна</t>
  </si>
  <si>
    <t>Патрикеева</t>
  </si>
  <si>
    <t>Любовь</t>
  </si>
  <si>
    <t>Воробчук</t>
  </si>
  <si>
    <t>Коуров</t>
  </si>
  <si>
    <t>Валерий</t>
  </si>
  <si>
    <t>Назарович</t>
  </si>
  <si>
    <t>Жигунов</t>
  </si>
  <si>
    <t>Семенович</t>
  </si>
  <si>
    <t>Бею</t>
  </si>
  <si>
    <t>Павел</t>
  </si>
  <si>
    <t>Захарьевич</t>
  </si>
  <si>
    <t>Василенко</t>
  </si>
  <si>
    <t>Маркович</t>
  </si>
  <si>
    <t>Пронина</t>
  </si>
  <si>
    <t>Нина</t>
  </si>
  <si>
    <t>Алексеевна</t>
  </si>
  <si>
    <t>Дюков</t>
  </si>
  <si>
    <t>Федорович</t>
  </si>
  <si>
    <t>Грязных</t>
  </si>
  <si>
    <t>Магда</t>
  </si>
  <si>
    <t>Гаджиев</t>
  </si>
  <si>
    <t>Муса</t>
  </si>
  <si>
    <t>Мусаевич</t>
  </si>
  <si>
    <t>Гатиятуллин</t>
  </si>
  <si>
    <t>Зуфарович</t>
  </si>
  <si>
    <t>Сатаев</t>
  </si>
  <si>
    <t>Вячеслав</t>
  </si>
  <si>
    <t>Доношевских</t>
  </si>
  <si>
    <t>Найля</t>
  </si>
  <si>
    <t>Аптулловна</t>
  </si>
  <si>
    <t>Новицкая</t>
  </si>
  <si>
    <t>Викторовна</t>
  </si>
  <si>
    <t>Сычева</t>
  </si>
  <si>
    <t>Анжелика</t>
  </si>
  <si>
    <t>Соловьева</t>
  </si>
  <si>
    <t>Буцаев</t>
  </si>
  <si>
    <t>Антонович</t>
  </si>
  <si>
    <t>Шлепченко</t>
  </si>
  <si>
    <t>Сорокобаткин</t>
  </si>
  <si>
    <t>Виталий</t>
  </si>
  <si>
    <t>Васильев</t>
  </si>
  <si>
    <t>Иван</t>
  </si>
  <si>
    <t>Лень</t>
  </si>
  <si>
    <t>Омельченко</t>
  </si>
  <si>
    <t>Евгений</t>
  </si>
  <si>
    <t>Кондаков</t>
  </si>
  <si>
    <t>Слесарчук</t>
  </si>
  <si>
    <t>Маргарита</t>
  </si>
  <si>
    <t>Павловна</t>
  </si>
  <si>
    <t>Вихарев</t>
  </si>
  <si>
    <t>Грецов</t>
  </si>
  <si>
    <t>Панфилова</t>
  </si>
  <si>
    <t>Геннадьевна</t>
  </si>
  <si>
    <t>Семенова</t>
  </si>
  <si>
    <t>Белашев</t>
  </si>
  <si>
    <t>Телец</t>
  </si>
  <si>
    <t>Юрьевич</t>
  </si>
  <si>
    <t>Фадеев</t>
  </si>
  <si>
    <t>Веровец</t>
  </si>
  <si>
    <t>Насонов</t>
  </si>
  <si>
    <t>Андрей</t>
  </si>
  <si>
    <t>Ахмерова</t>
  </si>
  <si>
    <t>Залия</t>
  </si>
  <si>
    <t>Ильдусовна</t>
  </si>
  <si>
    <t>Изотова</t>
  </si>
  <si>
    <t>Кадиров</t>
  </si>
  <si>
    <t>Джяфяр</t>
  </si>
  <si>
    <t>Мустафьевич</t>
  </si>
  <si>
    <t>Тарчинец</t>
  </si>
  <si>
    <t>Валерьевна</t>
  </si>
  <si>
    <t>Житомирский</t>
  </si>
  <si>
    <t>Вадим</t>
  </si>
  <si>
    <t>Исаакович</t>
  </si>
  <si>
    <t>Смирнов</t>
  </si>
  <si>
    <t>Алексей</t>
  </si>
  <si>
    <t>Терешкин</t>
  </si>
  <si>
    <t>Деев</t>
  </si>
  <si>
    <t>Рындин</t>
  </si>
  <si>
    <t>Кирилл</t>
  </si>
  <si>
    <t>Семенов</t>
  </si>
  <si>
    <t>Борис</t>
  </si>
  <si>
    <t>Новокшанова</t>
  </si>
  <si>
    <t>Зинаида</t>
  </si>
  <si>
    <t>Петровна</t>
  </si>
  <si>
    <t>Петрова</t>
  </si>
  <si>
    <t>Раиса</t>
  </si>
  <si>
    <t>Остапкевич</t>
  </si>
  <si>
    <t>Валентин</t>
  </si>
  <si>
    <t>Петров</t>
  </si>
  <si>
    <t>Дмитрий</t>
  </si>
  <si>
    <t>Мягков</t>
  </si>
  <si>
    <t>Чирятьев</t>
  </si>
  <si>
    <t>Семин</t>
  </si>
  <si>
    <t>Грузина</t>
  </si>
  <si>
    <t>Валентина</t>
  </si>
  <si>
    <t>Меркулов</t>
  </si>
  <si>
    <t>Черных</t>
  </si>
  <si>
    <t>Кузьминична</t>
  </si>
  <si>
    <t>Зернов</t>
  </si>
  <si>
    <t>Закиров</t>
  </si>
  <si>
    <t>Наиль</t>
  </si>
  <si>
    <t>Гусманович</t>
  </si>
  <si>
    <t>Аверина</t>
  </si>
  <si>
    <t>Вениаминовна</t>
  </si>
  <si>
    <t>Гладышев</t>
  </si>
  <si>
    <t>Михайлович</t>
  </si>
  <si>
    <t>Белошицкая</t>
  </si>
  <si>
    <t>Данные не найдены</t>
  </si>
  <si>
    <t>вык.сум. сх. 2</t>
  </si>
  <si>
    <t>вык.сум. сх. 3</t>
  </si>
  <si>
    <t>пенсии сх. 1</t>
  </si>
  <si>
    <t>вык.сум. сх. 5</t>
  </si>
  <si>
    <t>пенсии</t>
  </si>
  <si>
    <t>рит.выпл.</t>
  </si>
  <si>
    <t>вык.сум.</t>
  </si>
  <si>
    <t>недоплата: 22268 руб., см. ниже</t>
  </si>
  <si>
    <t>Архипова</t>
  </si>
  <si>
    <t>Максимовна</t>
  </si>
  <si>
    <t>Важенина</t>
  </si>
  <si>
    <t>Елизавета</t>
  </si>
  <si>
    <t>Иосифовна</t>
  </si>
  <si>
    <t>Высогорец</t>
  </si>
  <si>
    <t>Федор</t>
  </si>
  <si>
    <t>Гойсан</t>
  </si>
  <si>
    <t>Богдан</t>
  </si>
  <si>
    <t>Степанович</t>
  </si>
  <si>
    <t>Губанов</t>
  </si>
  <si>
    <t>Денисов</t>
  </si>
  <si>
    <t>Георгиевич</t>
  </si>
  <si>
    <t>Сейвальд</t>
  </si>
  <si>
    <t>Нелли</t>
  </si>
  <si>
    <t>Фишер</t>
  </si>
  <si>
    <t>Августович</t>
  </si>
  <si>
    <t>gateway_pkg.get_report</t>
  </si>
  <si>
    <t>gateway_pkg.load_employees</t>
  </si>
  <si>
    <t>gateway_pkg.synhr_dv_sr_lspv_docs</t>
  </si>
  <si>
    <t>Абрамова</t>
  </si>
  <si>
    <t>132810642241</t>
  </si>
  <si>
    <t>Участник</t>
  </si>
  <si>
    <t>Нет</t>
  </si>
  <si>
    <t>Аверин</t>
  </si>
  <si>
    <t>772071335339</t>
  </si>
  <si>
    <t>Неучастник</t>
  </si>
  <si>
    <t>Александрд</t>
  </si>
  <si>
    <t>Альпидовская</t>
  </si>
  <si>
    <t>120401002410</t>
  </si>
  <si>
    <t>Олеся</t>
  </si>
  <si>
    <t>Олеговна</t>
  </si>
  <si>
    <t>121301905219</t>
  </si>
  <si>
    <t>Андриянов</t>
  </si>
  <si>
    <t>Денис</t>
  </si>
  <si>
    <t>772644833979</t>
  </si>
  <si>
    <t>Асадулина</t>
  </si>
  <si>
    <t>772801102587</t>
  </si>
  <si>
    <t>2, 3, 4</t>
  </si>
  <si>
    <t>Афанасьева</t>
  </si>
  <si>
    <t>770403056480</t>
  </si>
  <si>
    <t>Багурова</t>
  </si>
  <si>
    <t>770100526224</t>
  </si>
  <si>
    <t>Да</t>
  </si>
  <si>
    <t>3, 4</t>
  </si>
  <si>
    <t>Баранов</t>
  </si>
  <si>
    <t>Витальевич</t>
  </si>
  <si>
    <t>772410390721</t>
  </si>
  <si>
    <t>Белькевич</t>
  </si>
  <si>
    <t>400100188389</t>
  </si>
  <si>
    <t>Беневоленская</t>
  </si>
  <si>
    <t>Юлия</t>
  </si>
  <si>
    <t>Богини</t>
  </si>
  <si>
    <t>781906646162</t>
  </si>
  <si>
    <t>Бондарева</t>
  </si>
  <si>
    <t>772144698489</t>
  </si>
  <si>
    <t>Бордик</t>
  </si>
  <si>
    <t>507462096906</t>
  </si>
  <si>
    <t>Брыльков</t>
  </si>
  <si>
    <t>Владислав</t>
  </si>
  <si>
    <t>Викторович</t>
  </si>
  <si>
    <t>781906034441</t>
  </si>
  <si>
    <t>Брылькова</t>
  </si>
  <si>
    <t>Анна</t>
  </si>
  <si>
    <t>781906034378</t>
  </si>
  <si>
    <t>Бушмакин</t>
  </si>
  <si>
    <t>771705530179</t>
  </si>
  <si>
    <t>Вавилов</t>
  </si>
  <si>
    <t>Виноградова</t>
  </si>
  <si>
    <t>772803207602</t>
  </si>
  <si>
    <t>Вить</t>
  </si>
  <si>
    <t>Лариса</t>
  </si>
  <si>
    <t>Власова</t>
  </si>
  <si>
    <t>Анастасия</t>
  </si>
  <si>
    <t>507300256592</t>
  </si>
  <si>
    <t>Галицкий</t>
  </si>
  <si>
    <t>500305529882</t>
  </si>
  <si>
    <t>Гасилин</t>
  </si>
  <si>
    <t>502502288037</t>
  </si>
  <si>
    <t>Гладкая</t>
  </si>
  <si>
    <t>Виктория</t>
  </si>
  <si>
    <t>Николаевна</t>
  </si>
  <si>
    <t>504791991722</t>
  </si>
  <si>
    <t>Глушкова</t>
  </si>
  <si>
    <t>Ксения</t>
  </si>
  <si>
    <t>773000769532</t>
  </si>
  <si>
    <t>Голубчикова</t>
  </si>
  <si>
    <t>Мария</t>
  </si>
  <si>
    <t>772741807300</t>
  </si>
  <si>
    <t>Гонцов</t>
  </si>
  <si>
    <t>Станиславович</t>
  </si>
  <si>
    <t>773112064280</t>
  </si>
  <si>
    <t>Гончаренко</t>
  </si>
  <si>
    <t>772705329987</t>
  </si>
  <si>
    <t>Гребенникова</t>
  </si>
  <si>
    <t>771870299332</t>
  </si>
  <si>
    <t>Гулюгин</t>
  </si>
  <si>
    <t>774395863251</t>
  </si>
  <si>
    <t>Демидов</t>
  </si>
  <si>
    <t>Григорьевич</t>
  </si>
  <si>
    <t>772004775990</t>
  </si>
  <si>
    <t>Демин</t>
  </si>
  <si>
    <t>Леонидович</t>
  </si>
  <si>
    <t>781700869285</t>
  </si>
  <si>
    <t>Денисенко</t>
  </si>
  <si>
    <t>250805993253</t>
  </si>
  <si>
    <t>Докучаев</t>
  </si>
  <si>
    <t>772805587558</t>
  </si>
  <si>
    <t>Дударенко</t>
  </si>
  <si>
    <t>Евгения</t>
  </si>
  <si>
    <t>Владленовна</t>
  </si>
  <si>
    <t>771871415197</t>
  </si>
  <si>
    <t>Душко</t>
  </si>
  <si>
    <t>Дюженков</t>
  </si>
  <si>
    <t>772905476322</t>
  </si>
  <si>
    <t>Жадяева</t>
  </si>
  <si>
    <t>Евгеньевна</t>
  </si>
  <si>
    <t>773415346414</t>
  </si>
  <si>
    <t>Жмотов</t>
  </si>
  <si>
    <t>771705048060</t>
  </si>
  <si>
    <t>Заблоцкий</t>
  </si>
  <si>
    <t>771800675520</t>
  </si>
  <si>
    <t>Зарубенко</t>
  </si>
  <si>
    <t>Самвеловна</t>
  </si>
  <si>
    <t>502807063736</t>
  </si>
  <si>
    <t>Иванов</t>
  </si>
  <si>
    <t>770307468762</t>
  </si>
  <si>
    <t>Иващенко</t>
  </si>
  <si>
    <t>772645050804</t>
  </si>
  <si>
    <t>Измайлов</t>
  </si>
  <si>
    <t>Геннадьевич</t>
  </si>
  <si>
    <t>744517915408</t>
  </si>
  <si>
    <t>Канунникова</t>
  </si>
  <si>
    <t>772906445302</t>
  </si>
  <si>
    <t>Каплунов</t>
  </si>
  <si>
    <t>761002950960</t>
  </si>
  <si>
    <t>Карих</t>
  </si>
  <si>
    <t>Яна</t>
  </si>
  <si>
    <t>672706482343</t>
  </si>
  <si>
    <t>Касьян</t>
  </si>
  <si>
    <t>780220379592</t>
  </si>
  <si>
    <t>1, 2</t>
  </si>
  <si>
    <t>Катушенко</t>
  </si>
  <si>
    <t>Ульяна</t>
  </si>
  <si>
    <t>770902210232</t>
  </si>
  <si>
    <t>2, 3</t>
  </si>
  <si>
    <t>Качалина</t>
  </si>
  <si>
    <t>500344613792</t>
  </si>
  <si>
    <t>Качина</t>
  </si>
  <si>
    <t>Квасова</t>
  </si>
  <si>
    <t>Наталья</t>
  </si>
  <si>
    <t>772402064114</t>
  </si>
  <si>
    <t>Климова</t>
  </si>
  <si>
    <t>Алефтина</t>
  </si>
  <si>
    <t>772129172444</t>
  </si>
  <si>
    <t>Ростиславовна</t>
  </si>
  <si>
    <t>502903082202</t>
  </si>
  <si>
    <t>2, 4</t>
  </si>
  <si>
    <t>Козичев</t>
  </si>
  <si>
    <t>772327718291</t>
  </si>
  <si>
    <t>Козлова</t>
  </si>
  <si>
    <t>340303999427</t>
  </si>
  <si>
    <t>Колмозева</t>
  </si>
  <si>
    <t>223504342582</t>
  </si>
  <si>
    <t>Комарова</t>
  </si>
  <si>
    <t>770504272430</t>
  </si>
  <si>
    <t>Котов</t>
  </si>
  <si>
    <t>Олегович</t>
  </si>
  <si>
    <t>772327718365</t>
  </si>
  <si>
    <t>Круглов</t>
  </si>
  <si>
    <t>773605609750</t>
  </si>
  <si>
    <t>Кузнецова</t>
  </si>
  <si>
    <t>501800523037</t>
  </si>
  <si>
    <t>Кулагин</t>
  </si>
  <si>
    <t>400100796549</t>
  </si>
  <si>
    <t>Курбацкий</t>
  </si>
  <si>
    <t>771318375448</t>
  </si>
  <si>
    <t>Курочкин</t>
  </si>
  <si>
    <t>Куртина</t>
  </si>
  <si>
    <t>Екатерина</t>
  </si>
  <si>
    <t>772728404768</t>
  </si>
  <si>
    <t>Лаппо</t>
  </si>
  <si>
    <t>770201697890</t>
  </si>
  <si>
    <t>Лебедева</t>
  </si>
  <si>
    <t>772150164005</t>
  </si>
  <si>
    <t>Левина</t>
  </si>
  <si>
    <t>772320613853</t>
  </si>
  <si>
    <t>Ледовских</t>
  </si>
  <si>
    <t>Вероника</t>
  </si>
  <si>
    <t>772773761458</t>
  </si>
  <si>
    <t>Логовинский</t>
  </si>
  <si>
    <t>Ильич</t>
  </si>
  <si>
    <t>771524995292</t>
  </si>
  <si>
    <t>Майструк</t>
  </si>
  <si>
    <t>672902293448</t>
  </si>
  <si>
    <t>Макаренко</t>
  </si>
  <si>
    <t>772631820443</t>
  </si>
  <si>
    <t>Мамонтов</t>
  </si>
  <si>
    <t>501811274953</t>
  </si>
  <si>
    <t>Манаенкова</t>
  </si>
  <si>
    <t>Элеонора</t>
  </si>
  <si>
    <t>772746961793</t>
  </si>
  <si>
    <t>Медведев</t>
  </si>
  <si>
    <t>481801963423</t>
  </si>
  <si>
    <t>Мельник</t>
  </si>
  <si>
    <t>Владислава</t>
  </si>
  <si>
    <t>772150679269</t>
  </si>
  <si>
    <t>Мельников</t>
  </si>
  <si>
    <t>Андреевич</t>
  </si>
  <si>
    <t>772574074122</t>
  </si>
  <si>
    <t>Мещерякова</t>
  </si>
  <si>
    <t>Дарья</t>
  </si>
  <si>
    <t>771977466018</t>
  </si>
  <si>
    <t>Миллер</t>
  </si>
  <si>
    <t>Борисович</t>
  </si>
  <si>
    <t>782506133697</t>
  </si>
  <si>
    <t>Миронова</t>
  </si>
  <si>
    <t>Михайлова</t>
  </si>
  <si>
    <t>773713458353</t>
  </si>
  <si>
    <t>771377186636</t>
  </si>
  <si>
    <t>Мищенко</t>
  </si>
  <si>
    <t>Яковлевич</t>
  </si>
  <si>
    <t>501800346003</t>
  </si>
  <si>
    <t>Молодежникова</t>
  </si>
  <si>
    <t>781907243504</t>
  </si>
  <si>
    <t>Морова</t>
  </si>
  <si>
    <t>501800651977</t>
  </si>
  <si>
    <t>Мочалов</t>
  </si>
  <si>
    <t>500113143395</t>
  </si>
  <si>
    <t>Мудраков</t>
  </si>
  <si>
    <t>772600634976</t>
  </si>
  <si>
    <t>Мусаликин</t>
  </si>
  <si>
    <t>772273990026</t>
  </si>
  <si>
    <t>Мушкатёрова</t>
  </si>
  <si>
    <t>Васильевна</t>
  </si>
  <si>
    <t>772940114332</t>
  </si>
  <si>
    <t>Найденова</t>
  </si>
  <si>
    <t>Никитин</t>
  </si>
  <si>
    <t>771532093749</t>
  </si>
  <si>
    <t>Никитина</t>
  </si>
  <si>
    <t>Марина</t>
  </si>
  <si>
    <t>772973203274</t>
  </si>
  <si>
    <t>Новиков</t>
  </si>
  <si>
    <t>772201985549</t>
  </si>
  <si>
    <t>Носов</t>
  </si>
  <si>
    <t>770702605787</t>
  </si>
  <si>
    <t>Омельчук</t>
  </si>
  <si>
    <t>501801536085</t>
  </si>
  <si>
    <t>Османов</t>
  </si>
  <si>
    <t>Ринат</t>
  </si>
  <si>
    <t>Гафарович</t>
  </si>
  <si>
    <t>771814223202</t>
  </si>
  <si>
    <t>Осыка</t>
  </si>
  <si>
    <t>Олег</t>
  </si>
  <si>
    <t>782020894590</t>
  </si>
  <si>
    <t>Очковский</t>
  </si>
  <si>
    <t>Палкина</t>
  </si>
  <si>
    <t>772637360520</t>
  </si>
  <si>
    <t>Патрикеев</t>
  </si>
  <si>
    <t>771516939897</t>
  </si>
  <si>
    <t>Константин</t>
  </si>
  <si>
    <t>771376185005</t>
  </si>
  <si>
    <t>Пашковский</t>
  </si>
  <si>
    <t>Перепелкин</t>
  </si>
  <si>
    <t>Моисеевич</t>
  </si>
  <si>
    <t>504104169500</t>
  </si>
  <si>
    <t>Перестенко</t>
  </si>
  <si>
    <t>Ярослава</t>
  </si>
  <si>
    <t>501808352305</t>
  </si>
  <si>
    <t>Петрашишин</t>
  </si>
  <si>
    <t>773700218450</t>
  </si>
  <si>
    <t>Антон</t>
  </si>
  <si>
    <t>772487891230</t>
  </si>
  <si>
    <t>Погосова</t>
  </si>
  <si>
    <t>Аванесовна</t>
  </si>
  <si>
    <t>232103553439</t>
  </si>
  <si>
    <t>Покладов</t>
  </si>
  <si>
    <t>771313718885</t>
  </si>
  <si>
    <t>Помазкин</t>
  </si>
  <si>
    <t>773104265018</t>
  </si>
  <si>
    <t>Понкратова</t>
  </si>
  <si>
    <t>771400912529</t>
  </si>
  <si>
    <t>Пономарева</t>
  </si>
  <si>
    <t>773604197895</t>
  </si>
  <si>
    <t>Попова</t>
  </si>
  <si>
    <t>540432504607</t>
  </si>
  <si>
    <t>Потехина</t>
  </si>
  <si>
    <t>772700769920</t>
  </si>
  <si>
    <t>Пьянов</t>
  </si>
  <si>
    <t>773607912504</t>
  </si>
  <si>
    <t>Рагутская</t>
  </si>
  <si>
    <t>682009192812</t>
  </si>
  <si>
    <t>Родина</t>
  </si>
  <si>
    <t>771505192331</t>
  </si>
  <si>
    <t>Румянцева</t>
  </si>
  <si>
    <t>771973444126</t>
  </si>
  <si>
    <t>Савченков</t>
  </si>
  <si>
    <t>Эдуард</t>
  </si>
  <si>
    <t>500403673997</t>
  </si>
  <si>
    <t>Саковский</t>
  </si>
  <si>
    <t>501801537674</t>
  </si>
  <si>
    <t>Сапункова</t>
  </si>
  <si>
    <t>772407479401</t>
  </si>
  <si>
    <t>Сахарова</t>
  </si>
  <si>
    <t>500306328025</t>
  </si>
  <si>
    <t>783830127440</t>
  </si>
  <si>
    <t>772882042118</t>
  </si>
  <si>
    <t>Симонов</t>
  </si>
  <si>
    <t>771902832316</t>
  </si>
  <si>
    <t>Сипайло</t>
  </si>
  <si>
    <t>771821796853</t>
  </si>
  <si>
    <t>Скворцова</t>
  </si>
  <si>
    <t>772738261533</t>
  </si>
  <si>
    <t>Скурчинский</t>
  </si>
  <si>
    <t>507801907608</t>
  </si>
  <si>
    <t>Соболь</t>
  </si>
  <si>
    <t>771605440387</t>
  </si>
  <si>
    <t>Игоревна</t>
  </si>
  <si>
    <t>772604158541</t>
  </si>
  <si>
    <t>Соломатина</t>
  </si>
  <si>
    <t>771000668139</t>
  </si>
  <si>
    <t>Сорока</t>
  </si>
  <si>
    <t>672304351809</t>
  </si>
  <si>
    <t>Сороковикова</t>
  </si>
  <si>
    <t>Александра</t>
  </si>
  <si>
    <t>772773479620</t>
  </si>
  <si>
    <t>Спиридонов</t>
  </si>
  <si>
    <t>781012839321</t>
  </si>
  <si>
    <t>Стекачев</t>
  </si>
  <si>
    <t>773319024622</t>
  </si>
  <si>
    <t>Степанов</t>
  </si>
  <si>
    <t>772494387200</t>
  </si>
  <si>
    <t>505310810248</t>
  </si>
  <si>
    <t>Степанова</t>
  </si>
  <si>
    <t>Валентиновна</t>
  </si>
  <si>
    <t>772803208010</t>
  </si>
  <si>
    <t>Сусленников</t>
  </si>
  <si>
    <t>Сырова</t>
  </si>
  <si>
    <t>772703378386</t>
  </si>
  <si>
    <t>Телицына</t>
  </si>
  <si>
    <t>773774634408</t>
  </si>
  <si>
    <t>Толстоногов</t>
  </si>
  <si>
    <t>Максим</t>
  </si>
  <si>
    <t>753006127384</t>
  </si>
  <si>
    <t>Тюменцева</t>
  </si>
  <si>
    <t>Жанна</t>
  </si>
  <si>
    <t>500905936689</t>
  </si>
  <si>
    <t>Удеревский</t>
  </si>
  <si>
    <t>773171149747</t>
  </si>
  <si>
    <t>Филиппенков</t>
  </si>
  <si>
    <t>781010381830</t>
  </si>
  <si>
    <t>Фоменко</t>
  </si>
  <si>
    <t>Хайрулина</t>
  </si>
  <si>
    <t>231101325516</t>
  </si>
  <si>
    <t>Черепанова</t>
  </si>
  <si>
    <t>Чернощеков</t>
  </si>
  <si>
    <t>772773655450</t>
  </si>
  <si>
    <t>Чернышева</t>
  </si>
  <si>
    <t>643903876131</t>
  </si>
  <si>
    <t>Чиркова</t>
  </si>
  <si>
    <t>Чубуркова</t>
  </si>
  <si>
    <t>500307458605</t>
  </si>
  <si>
    <t>Чувашев</t>
  </si>
  <si>
    <t>502409061360</t>
  </si>
  <si>
    <t>Шамалов</t>
  </si>
  <si>
    <t>503210308344</t>
  </si>
  <si>
    <t>Шведова</t>
  </si>
  <si>
    <t>Леонидовна</t>
  </si>
  <si>
    <t>431208174760</t>
  </si>
  <si>
    <t>Шевелева</t>
  </si>
  <si>
    <t>770100199070</t>
  </si>
  <si>
    <t>Шелкунова</t>
  </si>
  <si>
    <t>890409726023</t>
  </si>
  <si>
    <t>Шестак</t>
  </si>
  <si>
    <t>772478580077</t>
  </si>
  <si>
    <t>Шумилина</t>
  </si>
  <si>
    <t>Щегольскова</t>
  </si>
  <si>
    <t>Кристина</t>
  </si>
  <si>
    <t>772871154490</t>
  </si>
  <si>
    <t>Ядренцева</t>
  </si>
  <si>
    <t>774317498812</t>
  </si>
</sst>
</file>

<file path=xl/styles.xml><?xml version="1.0" encoding="utf-8"?>
<styleSheet xmlns="http://schemas.openxmlformats.org/spreadsheetml/2006/main">
  <numFmts count="2">
    <numFmt numFmtId="164" formatCode="#,##0.00\ _₽"/>
    <numFmt numFmtId="165" formatCode="[$-419]mmmm\ yyyy;@"/>
  </numFmts>
  <fonts count="20">
    <font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2"/>
      <color rgb="FF3D454C"/>
      <name val="Helvetica"/>
      <family val="2"/>
    </font>
    <font>
      <b/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rgb="FFFFFFFF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10"/>
      <name val="Arial Cyr"/>
      <charset val="204"/>
    </font>
    <font>
      <sz val="11"/>
      <color theme="0" tint="-0.1499984740745262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1"/>
      <color theme="1"/>
      <name val="Calibri"/>
      <family val="2"/>
      <charset val="204"/>
      <scheme val="minor"/>
    </font>
    <font>
      <b/>
      <sz val="10"/>
      <name val="Arial Cyr"/>
      <charset val="204"/>
    </font>
    <font>
      <sz val="9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0"/>
      <color indexed="8"/>
      <name val="MS Sans Serif"/>
      <family val="2"/>
      <charset val="204"/>
    </font>
    <font>
      <sz val="8"/>
      <name val="Arial Cyr"/>
    </font>
    <font>
      <sz val="11"/>
      <name val="Calibri"/>
      <scheme val="minor"/>
    </font>
    <font>
      <b/>
      <sz val="11"/>
      <color theme="1"/>
      <name val="Calibri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4.9989318521683403E-2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theme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</borders>
  <cellStyleXfs count="4">
    <xf numFmtId="0" fontId="0" fillId="0" borderId="0"/>
    <xf numFmtId="0" fontId="7" fillId="0" borderId="0"/>
    <xf numFmtId="165" fontId="16" fillId="0" borderId="0"/>
    <xf numFmtId="0" fontId="11" fillId="0" borderId="0"/>
  </cellStyleXfs>
  <cellXfs count="202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 wrapText="1"/>
    </xf>
    <xf numFmtId="0" fontId="1" fillId="0" borderId="6" xfId="0" applyFont="1" applyFill="1" applyBorder="1" applyAlignment="1">
      <alignment horizontal="center" vertical="center" wrapText="1"/>
    </xf>
    <xf numFmtId="0" fontId="1" fillId="0" borderId="8" xfId="0" applyFont="1" applyFill="1" applyBorder="1" applyAlignment="1">
      <alignment horizontal="center" vertical="center" wrapText="1"/>
    </xf>
    <xf numFmtId="0" fontId="0" fillId="0" borderId="0" xfId="0" applyBorder="1"/>
    <xf numFmtId="0" fontId="0" fillId="0" borderId="0" xfId="0" applyBorder="1" applyAlignment="1"/>
    <xf numFmtId="0" fontId="4" fillId="0" borderId="2" xfId="0" applyFont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16" xfId="0" applyFont="1" applyFill="1" applyBorder="1" applyAlignment="1">
      <alignment horizontal="center" vertical="center"/>
    </xf>
    <xf numFmtId="14" fontId="0" fillId="0" borderId="17" xfId="0" applyNumberFormat="1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6" xfId="0" applyBorder="1" applyAlignment="1">
      <alignment horizontal="center" vertical="center"/>
    </xf>
    <xf numFmtId="164" fontId="0" fillId="0" borderId="6" xfId="0" applyNumberFormat="1" applyBorder="1" applyAlignment="1">
      <alignment horizontal="right" vertical="center"/>
    </xf>
    <xf numFmtId="164" fontId="0" fillId="0" borderId="18" xfId="0" applyNumberFormat="1" applyBorder="1" applyAlignment="1">
      <alignment horizontal="right" vertical="center"/>
    </xf>
    <xf numFmtId="0" fontId="1" fillId="0" borderId="6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64" fontId="0" fillId="0" borderId="1" xfId="0" applyNumberFormat="1" applyBorder="1" applyAlignment="1">
      <alignment horizontal="right" vertical="center"/>
    </xf>
    <xf numFmtId="0" fontId="1" fillId="0" borderId="1" xfId="0" applyFont="1" applyBorder="1" applyAlignment="1">
      <alignment horizontal="center" vertical="center"/>
    </xf>
    <xf numFmtId="0" fontId="5" fillId="0" borderId="0" xfId="0" applyFont="1" applyAlignment="1">
      <alignment horizontal="center"/>
    </xf>
    <xf numFmtId="49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right" vertical="center"/>
    </xf>
    <xf numFmtId="49" fontId="0" fillId="0" borderId="1" xfId="0" applyNumberFormat="1" applyBorder="1" applyAlignment="1">
      <alignment horizontal="left" vertical="center"/>
    </xf>
    <xf numFmtId="1" fontId="0" fillId="0" borderId="1" xfId="0" applyNumberFormat="1" applyBorder="1" applyAlignment="1">
      <alignment horizontal="center" vertical="center"/>
    </xf>
    <xf numFmtId="0" fontId="0" fillId="4" borderId="0" xfId="0" applyFill="1" applyAlignment="1">
      <alignment horizontal="right" vertical="center" indent="1"/>
    </xf>
    <xf numFmtId="0" fontId="0" fillId="4" borderId="0" xfId="0" applyFill="1"/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4" fontId="0" fillId="0" borderId="0" xfId="0" applyNumberFormat="1" applyAlignment="1">
      <alignment horizontal="center"/>
    </xf>
    <xf numFmtId="0" fontId="0" fillId="0" borderId="21" xfId="0" applyFont="1" applyBorder="1"/>
    <xf numFmtId="0" fontId="0" fillId="5" borderId="0" xfId="0" applyFont="1" applyFill="1" applyBorder="1"/>
    <xf numFmtId="0" fontId="3" fillId="4" borderId="0" xfId="0" applyFont="1" applyFill="1" applyAlignment="1">
      <alignment horizontal="center" vertical="center"/>
    </xf>
    <xf numFmtId="0" fontId="0" fillId="0" borderId="0" xfId="0" applyFill="1" applyBorder="1"/>
    <xf numFmtId="0" fontId="0" fillId="0" borderId="6" xfId="0" applyFill="1" applyBorder="1" applyAlignment="1">
      <alignment horizontal="left" vertical="center"/>
    </xf>
    <xf numFmtId="14" fontId="0" fillId="0" borderId="6" xfId="0" applyNumberFormat="1" applyFill="1" applyBorder="1" applyAlignment="1">
      <alignment horizontal="center" vertical="center"/>
    </xf>
    <xf numFmtId="14" fontId="0" fillId="0" borderId="2" xfId="0" applyNumberFormat="1" applyFill="1" applyBorder="1" applyAlignment="1">
      <alignment horizontal="center" vertical="center"/>
    </xf>
    <xf numFmtId="0" fontId="8" fillId="4" borderId="0" xfId="0" applyFont="1" applyFill="1" applyBorder="1"/>
    <xf numFmtId="0" fontId="0" fillId="0" borderId="0" xfId="0" applyFill="1" applyAlignment="1"/>
    <xf numFmtId="0" fontId="0" fillId="4" borderId="0" xfId="0" applyFill="1" applyBorder="1" applyAlignment="1">
      <alignment horizontal="center"/>
    </xf>
    <xf numFmtId="0" fontId="0" fillId="0" borderId="0" xfId="0" applyFont="1" applyBorder="1"/>
    <xf numFmtId="0" fontId="11" fillId="0" borderId="0" xfId="0" applyFont="1" applyBorder="1"/>
    <xf numFmtId="0" fontId="0" fillId="0" borderId="2" xfId="0" applyBorder="1" applyAlignment="1">
      <alignment horizontal="center" vertical="center"/>
    </xf>
    <xf numFmtId="0" fontId="0" fillId="0" borderId="6" xfId="0" applyBorder="1"/>
    <xf numFmtId="14" fontId="0" fillId="0" borderId="6" xfId="0" applyNumberFormat="1" applyBorder="1" applyAlignment="1">
      <alignment horizontal="center"/>
    </xf>
    <xf numFmtId="0" fontId="0" fillId="0" borderId="18" xfId="0" applyBorder="1"/>
    <xf numFmtId="0" fontId="0" fillId="0" borderId="2" xfId="0" applyBorder="1"/>
    <xf numFmtId="0" fontId="0" fillId="0" borderId="16" xfId="0" applyBorder="1"/>
    <xf numFmtId="4" fontId="0" fillId="0" borderId="0" xfId="0" applyNumberFormat="1"/>
    <xf numFmtId="0" fontId="0" fillId="0" borderId="0" xfId="0" applyAlignment="1">
      <alignment horizontal="right"/>
    </xf>
    <xf numFmtId="4" fontId="0" fillId="0" borderId="0" xfId="0" applyNumberFormat="1" applyBorder="1"/>
    <xf numFmtId="0" fontId="0" fillId="0" borderId="0" xfId="0" applyBorder="1" applyAlignment="1">
      <alignment horizontal="right"/>
    </xf>
    <xf numFmtId="4" fontId="0" fillId="0" borderId="23" xfId="0" applyNumberFormat="1" applyBorder="1"/>
    <xf numFmtId="0" fontId="6" fillId="3" borderId="25" xfId="0" quotePrefix="1" applyFont="1" applyFill="1" applyBorder="1" applyAlignment="1">
      <alignment horizontal="center"/>
    </xf>
    <xf numFmtId="0" fontId="6" fillId="3" borderId="26" xfId="0" quotePrefix="1" applyFont="1" applyFill="1" applyBorder="1" applyAlignment="1">
      <alignment horizontal="center"/>
    </xf>
    <xf numFmtId="0" fontId="3" fillId="0" borderId="0" xfId="0" applyFont="1"/>
    <xf numFmtId="4" fontId="3" fillId="0" borderId="0" xfId="0" applyNumberFormat="1" applyFont="1"/>
    <xf numFmtId="3" fontId="0" fillId="0" borderId="0" xfId="0" applyNumberFormat="1"/>
    <xf numFmtId="4" fontId="3" fillId="0" borderId="28" xfId="0" applyNumberFormat="1" applyFont="1" applyBorder="1"/>
    <xf numFmtId="4" fontId="12" fillId="0" borderId="0" xfId="1" applyNumberFormat="1" applyFont="1"/>
    <xf numFmtId="4" fontId="7" fillId="0" borderId="0" xfId="1" applyNumberFormat="1"/>
    <xf numFmtId="0" fontId="13" fillId="0" borderId="0" xfId="0" applyFont="1"/>
    <xf numFmtId="0" fontId="14" fillId="0" borderId="0" xfId="0" applyFont="1"/>
    <xf numFmtId="0" fontId="0" fillId="0" borderId="1" xfId="0" applyFont="1" applyFill="1" applyBorder="1"/>
    <xf numFmtId="0" fontId="0" fillId="0" borderId="1" xfId="0" applyFont="1" applyBorder="1"/>
    <xf numFmtId="4" fontId="0" fillId="0" borderId="1" xfId="0" applyNumberFormat="1" applyFont="1" applyFill="1" applyBorder="1"/>
    <xf numFmtId="3" fontId="0" fillId="0" borderId="1" xfId="0" applyNumberFormat="1" applyFont="1" applyFill="1" applyBorder="1"/>
    <xf numFmtId="0" fontId="3" fillId="3" borderId="19" xfId="0" applyFont="1" applyFill="1" applyBorder="1" applyAlignment="1">
      <alignment horizontal="center" vertical="center" wrapText="1"/>
    </xf>
    <xf numFmtId="0" fontId="3" fillId="3" borderId="20" xfId="0" applyFont="1" applyFill="1" applyBorder="1" applyAlignment="1">
      <alignment horizontal="center" vertical="center" wrapText="1"/>
    </xf>
    <xf numFmtId="0" fontId="3" fillId="3" borderId="27" xfId="0" applyFont="1" applyFill="1" applyBorder="1" applyAlignment="1">
      <alignment horizontal="center" vertical="center" wrapText="1"/>
    </xf>
    <xf numFmtId="0" fontId="6" fillId="3" borderId="24" xfId="0" applyFont="1" applyFill="1" applyBorder="1" applyAlignment="1">
      <alignment horizontal="center" vertical="center"/>
    </xf>
    <xf numFmtId="0" fontId="6" fillId="3" borderId="7" xfId="0" quotePrefix="1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 vertical="center" wrapText="1"/>
    </xf>
    <xf numFmtId="0" fontId="6" fillId="3" borderId="6" xfId="0" applyFont="1" applyFill="1" applyBorder="1" applyAlignment="1">
      <alignment horizontal="center" vertical="center"/>
    </xf>
    <xf numFmtId="0" fontId="0" fillId="0" borderId="1" xfId="0" applyBorder="1"/>
    <xf numFmtId="3" fontId="7" fillId="0" borderId="1" xfId="1" applyNumberFormat="1" applyFont="1" applyFill="1" applyBorder="1"/>
    <xf numFmtId="4" fontId="7" fillId="0" borderId="1" xfId="1" applyNumberFormat="1" applyFont="1" applyFill="1" applyBorder="1"/>
    <xf numFmtId="0" fontId="4" fillId="0" borderId="1" xfId="0" applyFont="1" applyFill="1" applyBorder="1"/>
    <xf numFmtId="4" fontId="7" fillId="0" borderId="1" xfId="1" applyNumberFormat="1" applyFont="1" applyFill="1" applyBorder="1" applyAlignment="1">
      <alignment horizontal="right"/>
    </xf>
    <xf numFmtId="0" fontId="3" fillId="0" borderId="29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 wrapText="1"/>
    </xf>
    <xf numFmtId="0" fontId="15" fillId="0" borderId="0" xfId="0" applyFont="1" applyFill="1" applyAlignment="1">
      <alignment horizontal="right"/>
    </xf>
    <xf numFmtId="0" fontId="15" fillId="0" borderId="0" xfId="0" applyFont="1" applyFill="1"/>
    <xf numFmtId="4" fontId="15" fillId="0" borderId="0" xfId="0" applyNumberFormat="1" applyFont="1" applyFill="1"/>
    <xf numFmtId="3" fontId="15" fillId="0" borderId="0" xfId="0" applyNumberFormat="1" applyFont="1" applyFill="1"/>
    <xf numFmtId="0" fontId="7" fillId="0" borderId="0" xfId="1"/>
    <xf numFmtId="49" fontId="12" fillId="0" borderId="0" xfId="1" applyNumberFormat="1" applyFont="1" applyAlignment="1" applyProtection="1">
      <alignment horizontal="right"/>
      <protection locked="0" hidden="1"/>
    </xf>
    <xf numFmtId="0" fontId="3" fillId="2" borderId="33" xfId="0" applyFont="1" applyFill="1" applyBorder="1" applyAlignment="1">
      <alignment wrapText="1"/>
    </xf>
    <xf numFmtId="14" fontId="12" fillId="2" borderId="34" xfId="1" applyNumberFormat="1" applyFont="1" applyFill="1" applyBorder="1" applyAlignment="1">
      <alignment horizontal="center" wrapText="1"/>
    </xf>
    <xf numFmtId="4" fontId="12" fillId="2" borderId="34" xfId="1" applyNumberFormat="1" applyFont="1" applyFill="1" applyBorder="1" applyAlignment="1">
      <alignment horizontal="center" wrapText="1"/>
    </xf>
    <xf numFmtId="4" fontId="12" fillId="2" borderId="35" xfId="1" applyNumberFormat="1" applyFont="1" applyFill="1" applyBorder="1" applyAlignment="1">
      <alignment horizontal="center" wrapText="1"/>
    </xf>
    <xf numFmtId="0" fontId="6" fillId="2" borderId="27" xfId="0" applyFont="1" applyFill="1" applyBorder="1" applyAlignment="1">
      <alignment horizontal="right"/>
    </xf>
    <xf numFmtId="49" fontId="6" fillId="0" borderId="0" xfId="0" applyNumberFormat="1" applyFont="1"/>
    <xf numFmtId="14" fontId="7" fillId="0" borderId="39" xfId="1" applyNumberFormat="1" applyBorder="1"/>
    <xf numFmtId="4" fontId="7" fillId="0" borderId="7" xfId="1" applyNumberFormat="1" applyBorder="1"/>
    <xf numFmtId="49" fontId="17" fillId="2" borderId="36" xfId="0" applyNumberFormat="1" applyFont="1" applyFill="1" applyBorder="1" applyAlignment="1" applyProtection="1">
      <alignment horizontal="center" wrapText="1"/>
    </xf>
    <xf numFmtId="49" fontId="17" fillId="2" borderId="37" xfId="0" applyNumberFormat="1" applyFont="1" applyFill="1" applyBorder="1" applyAlignment="1" applyProtection="1">
      <alignment horizontal="center" wrapText="1"/>
    </xf>
    <xf numFmtId="49" fontId="17" fillId="2" borderId="38" xfId="0" applyNumberFormat="1" applyFont="1" applyFill="1" applyBorder="1" applyAlignment="1" applyProtection="1">
      <alignment horizontal="center" wrapText="1"/>
    </xf>
    <xf numFmtId="0" fontId="1" fillId="0" borderId="1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14" fontId="0" fillId="0" borderId="9" xfId="0" applyNumberFormat="1" applyBorder="1" applyAlignment="1">
      <alignment horizontal="center" vertical="center"/>
    </xf>
    <xf numFmtId="164" fontId="0" fillId="0" borderId="10" xfId="0" applyNumberFormat="1" applyBorder="1" applyAlignment="1">
      <alignment horizontal="right" vertical="center"/>
    </xf>
    <xf numFmtId="14" fontId="0" fillId="0" borderId="0" xfId="0" applyNumberFormat="1" applyAlignment="1">
      <alignment horizontal="right" vertical="center"/>
    </xf>
    <xf numFmtId="0" fontId="0" fillId="0" borderId="0" xfId="0" applyAlignment="1">
      <alignment horizontal="right" vertical="center"/>
    </xf>
    <xf numFmtId="0" fontId="18" fillId="0" borderId="40" xfId="0" applyFont="1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64" fontId="0" fillId="0" borderId="7" xfId="0" applyNumberFormat="1" applyBorder="1" applyAlignment="1">
      <alignment horizontal="right" vertical="center"/>
    </xf>
    <xf numFmtId="0" fontId="0" fillId="0" borderId="43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44" xfId="0" applyBorder="1" applyAlignment="1">
      <alignment horizontal="right" vertical="center"/>
    </xf>
    <xf numFmtId="0" fontId="0" fillId="0" borderId="42" xfId="0" applyBorder="1" applyAlignment="1">
      <alignment horizontal="right" vertical="center"/>
    </xf>
    <xf numFmtId="164" fontId="0" fillId="0" borderId="44" xfId="0" applyNumberFormat="1" applyBorder="1" applyAlignment="1">
      <alignment horizontal="right" vertical="center"/>
    </xf>
    <xf numFmtId="164" fontId="0" fillId="0" borderId="45" xfId="0" applyNumberFormat="1" applyBorder="1" applyAlignment="1">
      <alignment horizontal="right" vertical="center"/>
    </xf>
    <xf numFmtId="14" fontId="0" fillId="0" borderId="39" xfId="0" applyNumberFormat="1" applyBorder="1" applyAlignment="1">
      <alignment horizontal="center" vertical="center"/>
    </xf>
    <xf numFmtId="14" fontId="0" fillId="0" borderId="7" xfId="0" applyNumberFormat="1" applyBorder="1" applyAlignment="1">
      <alignment horizontal="center" vertical="center"/>
    </xf>
    <xf numFmtId="0" fontId="0" fillId="0" borderId="7" xfId="0" applyBorder="1" applyAlignment="1">
      <alignment horizontal="left" vertical="center"/>
    </xf>
    <xf numFmtId="164" fontId="0" fillId="0" borderId="41" xfId="0" applyNumberFormat="1" applyBorder="1" applyAlignment="1">
      <alignment horizontal="right" vertical="center"/>
    </xf>
    <xf numFmtId="0" fontId="0" fillId="0" borderId="7" xfId="0" applyNumberFormat="1" applyBorder="1" applyAlignment="1">
      <alignment horizontal="center" vertical="center"/>
    </xf>
    <xf numFmtId="0" fontId="0" fillId="0" borderId="44" xfId="0" applyBorder="1" applyAlignment="1">
      <alignment horizontal="left" vertical="center"/>
    </xf>
    <xf numFmtId="14" fontId="0" fillId="0" borderId="44" xfId="0" applyNumberFormat="1" applyBorder="1" applyAlignment="1">
      <alignment horizontal="center" vertical="center"/>
    </xf>
    <xf numFmtId="14" fontId="0" fillId="0" borderId="7" xfId="0" applyNumberFormat="1" applyBorder="1" applyAlignment="1">
      <alignment horizontal="right" vertical="center"/>
    </xf>
    <xf numFmtId="14" fontId="18" fillId="0" borderId="40" xfId="0" applyNumberFormat="1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164" fontId="3" fillId="0" borderId="46" xfId="0" applyNumberFormat="1" applyFont="1" applyBorder="1" applyAlignment="1">
      <alignment horizontal="right" vertical="center"/>
    </xf>
    <xf numFmtId="164" fontId="3" fillId="0" borderId="47" xfId="0" applyNumberFormat="1" applyFont="1" applyBorder="1" applyAlignment="1">
      <alignment horizontal="right" vertical="center"/>
    </xf>
    <xf numFmtId="1" fontId="0" fillId="0" borderId="9" xfId="0" applyNumberFormat="1" applyBorder="1" applyAlignment="1">
      <alignment horizontal="center" vertical="center"/>
    </xf>
    <xf numFmtId="49" fontId="0" fillId="0" borderId="10" xfId="0" applyNumberFormat="1" applyBorder="1" applyAlignment="1">
      <alignment horizontal="left" vertical="center"/>
    </xf>
    <xf numFmtId="1" fontId="0" fillId="0" borderId="17" xfId="0" applyNumberFormat="1" applyBorder="1" applyAlignment="1">
      <alignment horizontal="center" vertical="center"/>
    </xf>
    <xf numFmtId="1" fontId="0" fillId="0" borderId="6" xfId="0" applyNumberFormat="1" applyBorder="1" applyAlignment="1">
      <alignment horizontal="center" vertical="center"/>
    </xf>
    <xf numFmtId="49" fontId="0" fillId="0" borderId="6" xfId="0" applyNumberFormat="1" applyBorder="1" applyAlignment="1">
      <alignment horizontal="center" vertical="center"/>
    </xf>
    <xf numFmtId="49" fontId="0" fillId="0" borderId="6" xfId="0" applyNumberFormat="1" applyBorder="1" applyAlignment="1">
      <alignment horizontal="left" vertical="center"/>
    </xf>
    <xf numFmtId="49" fontId="0" fillId="0" borderId="18" xfId="0" applyNumberFormat="1" applyBorder="1" applyAlignment="1">
      <alignment horizontal="left" vertical="center"/>
    </xf>
    <xf numFmtId="0" fontId="0" fillId="0" borderId="45" xfId="0" applyBorder="1" applyAlignment="1">
      <alignment horizontal="left" vertical="center"/>
    </xf>
    <xf numFmtId="14" fontId="0" fillId="0" borderId="1" xfId="0" applyNumberFormat="1" applyBorder="1" applyAlignment="1">
      <alignment horizontal="left" vertical="center"/>
    </xf>
    <xf numFmtId="14" fontId="7" fillId="0" borderId="39" xfId="1" applyNumberFormat="1" applyFill="1" applyBorder="1"/>
    <xf numFmtId="4" fontId="7" fillId="0" borderId="7" xfId="1" applyNumberFormat="1" applyFill="1" applyBorder="1"/>
    <xf numFmtId="0" fontId="19" fillId="0" borderId="0" xfId="0" applyFont="1" applyFill="1" applyAlignment="1">
      <alignment horizontal="right"/>
    </xf>
    <xf numFmtId="0" fontId="19" fillId="0" borderId="0" xfId="0" applyFont="1" applyFill="1"/>
    <xf numFmtId="4" fontId="19" fillId="0" borderId="0" xfId="0" applyNumberFormat="1" applyFont="1" applyFill="1"/>
    <xf numFmtId="3" fontId="19" fillId="0" borderId="0" xfId="0" applyNumberFormat="1" applyFont="1" applyFill="1"/>
    <xf numFmtId="0" fontId="0" fillId="0" borderId="0" xfId="0" applyFont="1" applyFill="1" applyBorder="1"/>
    <xf numFmtId="4" fontId="0" fillId="0" borderId="0" xfId="0" applyNumberFormat="1" applyFont="1" applyFill="1" applyBorder="1"/>
    <xf numFmtId="3" fontId="0" fillId="0" borderId="0" xfId="0" applyNumberFormat="1" applyFont="1" applyFill="1" applyBorder="1"/>
    <xf numFmtId="0" fontId="1" fillId="0" borderId="1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1" fillId="0" borderId="10" xfId="0" applyFont="1" applyFill="1" applyBorder="1" applyAlignment="1">
      <alignment horizontal="center" vertical="center"/>
    </xf>
    <xf numFmtId="0" fontId="3" fillId="0" borderId="11" xfId="0" applyFont="1" applyFill="1" applyBorder="1" applyAlignment="1">
      <alignment vertical="center"/>
    </xf>
    <xf numFmtId="0" fontId="3" fillId="0" borderId="9" xfId="0" applyFont="1" applyFill="1" applyBorder="1" applyAlignment="1">
      <alignment vertical="center"/>
    </xf>
    <xf numFmtId="0" fontId="3" fillId="0" borderId="14" xfId="0" applyFont="1" applyFill="1" applyBorder="1" applyAlignment="1">
      <alignment vertical="center"/>
    </xf>
    <xf numFmtId="0" fontId="1" fillId="0" borderId="12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1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vertical="center"/>
    </xf>
    <xf numFmtId="0" fontId="1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vertical="center"/>
    </xf>
    <xf numFmtId="0" fontId="1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4" xfId="0" applyFont="1" applyBorder="1" applyAlignment="1">
      <alignment vertical="center"/>
    </xf>
    <xf numFmtId="0" fontId="1" fillId="0" borderId="3" xfId="0" applyFont="1" applyFill="1" applyBorder="1" applyAlignment="1">
      <alignment horizontal="center" vertical="center" wrapText="1"/>
    </xf>
    <xf numFmtId="0" fontId="3" fillId="0" borderId="4" xfId="0" applyFont="1" applyFill="1" applyBorder="1" applyAlignment="1">
      <alignment vertical="center"/>
    </xf>
    <xf numFmtId="0" fontId="1" fillId="0" borderId="1" xfId="0" applyFont="1" applyBorder="1" applyAlignment="1">
      <alignment horizontal="center" vertical="center" wrapText="1"/>
    </xf>
    <xf numFmtId="0" fontId="0" fillId="4" borderId="0" xfId="0" applyFill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0" fillId="6" borderId="16" xfId="0" applyFill="1" applyBorder="1" applyAlignment="1">
      <alignment horizontal="left" vertical="top"/>
    </xf>
    <xf numFmtId="0" fontId="0" fillId="6" borderId="22" xfId="0" applyFill="1" applyBorder="1" applyAlignment="1">
      <alignment horizontal="left" vertical="top"/>
    </xf>
    <xf numFmtId="0" fontId="0" fillId="6" borderId="15" xfId="0" applyFill="1" applyBorder="1" applyAlignment="1">
      <alignment horizontal="left" vertical="top"/>
    </xf>
    <xf numFmtId="0" fontId="0" fillId="4" borderId="0" xfId="0" applyFill="1" applyBorder="1" applyAlignment="1">
      <alignment horizontal="center"/>
    </xf>
    <xf numFmtId="0" fontId="4" fillId="6" borderId="0" xfId="0" applyFont="1" applyFill="1" applyBorder="1" applyAlignment="1">
      <alignment horizontal="left" vertical="top"/>
    </xf>
    <xf numFmtId="0" fontId="1" fillId="0" borderId="0" xfId="0" applyFont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1" fillId="0" borderId="31" xfId="0" applyFont="1" applyBorder="1" applyAlignment="1">
      <alignment horizontal="center" vertical="center"/>
    </xf>
    <xf numFmtId="0" fontId="0" fillId="4" borderId="32" xfId="0" applyFill="1" applyBorder="1" applyAlignment="1">
      <alignment horizontal="center" vertical="center"/>
    </xf>
    <xf numFmtId="0" fontId="0" fillId="4" borderId="0" xfId="0" applyFont="1" applyFill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 wrapText="1"/>
    </xf>
    <xf numFmtId="0" fontId="13" fillId="0" borderId="0" xfId="0" applyFont="1" applyAlignment="1">
      <alignment horizontal="center"/>
    </xf>
    <xf numFmtId="0" fontId="0" fillId="0" borderId="9" xfId="0" applyBorder="1"/>
    <xf numFmtId="14" fontId="0" fillId="0" borderId="1" xfId="0" applyNumberFormat="1" applyBorder="1" applyAlignment="1">
      <alignment horizontal="center"/>
    </xf>
    <xf numFmtId="0" fontId="0" fillId="0" borderId="10" xfId="0" applyBorder="1"/>
  </cellXfs>
  <cellStyles count="4">
    <cellStyle name="Обычный" xfId="0" builtinId="0"/>
    <cellStyle name="Обычный 2" xfId="2"/>
    <cellStyle name="Обычный 3" xfId="3"/>
    <cellStyle name="Обычный 4" xfId="1"/>
  </cellStyles>
  <dxfs count="481">
    <dxf>
      <border>
        <top style="thin">
          <color rgb="FF000000"/>
        </top>
        <vertical/>
        <horizontal/>
      </border>
    </dxf>
    <dxf>
      <border>
        <bottom style="thin">
          <color rgb="FF000000"/>
        </bottom>
        <vertical/>
        <horizontal/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d/mm/yyyy"/>
      <alignment horizontal="center" vertical="bottom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rgb="FF000000"/>
        </top>
        <vertical/>
        <horizontal/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strike val="0"/>
        <outline val="0"/>
        <shadow val="0"/>
        <u val="none"/>
        <vertAlign val="baseline"/>
        <color auto="1"/>
      </font>
      <fill>
        <patternFill patternType="none">
          <fgColor rgb="FF000000"/>
          <bgColor rgb="FFFFFFFF"/>
        </patternFill>
      </fill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b val="0"/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solid">
          <fgColor indexed="64"/>
          <bgColor theme="4" tint="0.79998168889431442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4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solid">
          <fgColor indexed="64"/>
          <bgColor theme="4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border diagonalUp="0" diagonalDown="0" outline="0">
        <left/>
        <right/>
        <top/>
        <bottom/>
      </border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rgb="FF000000"/>
          <bgColor rgb="FFFFFFFF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d/mm/yyyy"/>
      <alignment horizontal="center" vertical="bottom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9" formatCode="dd/mm/yyyy"/>
      <alignment horizontal="center" vertical="bottom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4" formatCode="#,##0.00"/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numFmt numFmtId="4" formatCode="#,##0.00"/>
    </dxf>
    <dxf>
      <numFmt numFmtId="4" formatCode="#,##0.00"/>
    </dxf>
    <dxf>
      <numFmt numFmtId="4" formatCode="#,##0.00"/>
    </dxf>
    <dxf>
      <border diagonalUp="0" diagonalDown="0" outline="0">
        <left/>
        <right/>
        <top/>
        <bottom/>
      </border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</dxf>
    <dxf>
      <font>
        <b val="0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solid">
          <fgColor indexed="64"/>
          <bgColor theme="4" tint="0.79998168889431442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4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solid">
          <fgColor indexed="64"/>
          <bgColor theme="4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numFmt numFmtId="4" formatCode="#,##0.0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numFmt numFmtId="19" formatCode="dd/mm/yyyy"/>
      <border diagonalUp="0" diagonalDown="0">
        <left/>
        <right style="thin">
          <color indexed="64"/>
        </right>
        <top/>
        <bottom/>
        <vertical/>
        <horizontal/>
      </border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Cyr"/>
        <scheme val="none"/>
      </font>
      <numFmt numFmtId="30" formatCode="@"/>
      <fill>
        <patternFill patternType="solid">
          <fgColor indexed="64"/>
          <bgColor theme="4" tint="0.59999389629810485"/>
        </patternFill>
      </fill>
      <alignment horizontal="center" vertical="bottom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relativeIndent="0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relativeIndent="0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 style="thin">
          <color rgb="FF000000"/>
        </top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relativeIndent="0" justifyLastLine="0" shrinkToFit="0" mergeCell="0" readingOrder="0"/>
      <border diagonalUp="0" diagonalDown="0" outline="0">
        <left/>
        <right style="thin">
          <color indexed="64"/>
        </right>
        <top/>
        <bottom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</dxf>
    <dxf>
      <numFmt numFmtId="19" formatCode="dd/mm/yyyy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</dxf>
    <dxf>
      <numFmt numFmtId="19" formatCode="dd/mm/yyyy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</dxf>
    <dxf>
      <numFmt numFmtId="0" formatCode="General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</dxf>
    <dxf>
      <numFmt numFmtId="19" formatCode="dd/mm/yyyy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 style="thin">
          <color rgb="FF000000"/>
        </top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</dxf>
    <dxf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lef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</dxf>
    <dxf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center" vertical="center" textRotation="0" wrapText="0" indent="0" relativeIndent="0" justifyLastLine="0" shrinkToFit="0" mergeCell="0" readingOrder="0"/>
      <border diagonalUp="0" diagonalDown="0" outline="0">
        <left/>
        <right style="thin">
          <color indexed="64"/>
        </right>
        <top style="thin">
          <color rgb="FF000000"/>
        </top>
        <bottom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/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lef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center" vertical="center" textRotation="0" wrapText="0" indent="0" relativeIndent="0" justifyLastLine="0" shrinkToFit="0" mergeCell="0" readingOrder="0"/>
      <border diagonalUp="0" diagonalDown="0" outline="0">
        <left/>
        <right style="thin">
          <color indexed="64"/>
        </right>
        <top/>
        <bottom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/>
        <bottom/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relativeIndent="0" justifyLastLine="0" shrinkToFit="0" mergeCell="0" readingOrder="0"/>
      <border diagonalUp="0" diagonalDown="0" outline="0">
        <left/>
        <right style="thin">
          <color indexed="64"/>
        </right>
        <top/>
        <bottom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alignment horizontal="left" vertical="center" textRotation="0" wrapText="0" indent="0" relativeIndent="255" justifyLastLine="0" shrinkToFit="0" mergeCell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4" formatCode="#,##0.0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numFmt numFmtId="4" formatCode="#,##0.0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numFmt numFmtId="19" formatCode="dd/mm/yyyy"/>
      <border diagonalUp="0" diagonalDown="0">
        <left/>
        <right style="thin">
          <color indexed="64"/>
        </right>
        <top/>
        <bottom/>
        <vertical/>
        <horizontal/>
      </border>
    </dxf>
    <dxf>
      <border outline="0">
        <left style="thin">
          <color rgb="FF000000"/>
        </left>
        <top style="thin">
          <color rgb="FF000000"/>
        </top>
        <bottom style="thin">
          <color rgb="FF000000"/>
        </bottom>
      </border>
    </dxf>
    <dxf>
      <border outline="0">
        <bottom style="medium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Cyr"/>
        <scheme val="none"/>
      </font>
      <numFmt numFmtId="30" formatCode="@"/>
      <fill>
        <patternFill patternType="solid">
          <fgColor indexed="64"/>
          <bgColor theme="4" tint="0.59999389629810485"/>
        </patternFill>
      </fill>
      <alignment horizontal="center" vertical="bottom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ont>
        <strike val="0"/>
        <outline val="0"/>
        <shadow val="0"/>
        <u val="none"/>
        <vertAlign val="baseline"/>
        <sz val="11"/>
        <color theme="0" tint="-0.14999847407452621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border outline="0">
        <bottom style="thin">
          <color theme="4" tint="0.39997558519241921"/>
        </bottom>
      </border>
    </dxf>
    <dxf>
      <border diagonalUp="0" diagonalDown="0" outline="0">
        <left/>
        <right/>
        <top style="thin">
          <color indexed="64"/>
        </top>
        <bottom/>
      </border>
    </dxf>
    <dxf>
      <border diagonalUp="0" diagonalDown="0" outline="0">
        <left/>
        <right/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187686</xdr:colOff>
      <xdr:row>0</xdr:row>
      <xdr:rowOff>136823</xdr:rowOff>
    </xdr:from>
    <xdr:to>
      <xdr:col>4</xdr:col>
      <xdr:colOff>167604</xdr:colOff>
      <xdr:row>2</xdr:row>
      <xdr:rowOff>38288</xdr:rowOff>
    </xdr:to>
    <xdr:sp macro="[0]!Reports.go_onclick" textlink="">
      <xdr:nvSpPr>
        <xdr:cNvPr id="7" name="Стрелка вправо 6"/>
        <xdr:cNvSpPr/>
      </xdr:nvSpPr>
      <xdr:spPr>
        <a:xfrm>
          <a:off x="3845286" y="136823"/>
          <a:ext cx="790904" cy="483851"/>
        </a:xfrm>
        <a:prstGeom prst="rightArrow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500" b="1">
              <a:solidFill>
                <a:sysClr val="windowText" lastClr="000000"/>
              </a:solidFill>
            </a:rPr>
            <a:t>Go</a:t>
          </a:r>
          <a:endParaRPr lang="ru-RU" sz="15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0</xdr:row>
      <xdr:rowOff>0</xdr:rowOff>
    </xdr:from>
    <xdr:to>
      <xdr:col>0</xdr:col>
      <xdr:colOff>1095375</xdr:colOff>
      <xdr:row>0</xdr:row>
      <xdr:rowOff>400050</xdr:rowOff>
    </xdr:to>
    <xdr:sp macro="[0]!Processor.continue" textlink="">
      <xdr:nvSpPr>
        <xdr:cNvPr id="2" name="Стрелка вправо 1"/>
        <xdr:cNvSpPr/>
      </xdr:nvSpPr>
      <xdr:spPr>
        <a:xfrm>
          <a:off x="152400" y="0"/>
          <a:ext cx="942975" cy="400050"/>
        </a:xfrm>
        <a:prstGeom prst="rightArrow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ru-RU" sz="1100">
              <a:solidFill>
                <a:sysClr val="windowText" lastClr="000000"/>
              </a:solidFill>
            </a:rPr>
            <a:t>Разобрать</a:t>
          </a:r>
        </a:p>
      </xdr:txBody>
    </xdr:sp>
    <xdr:clientData/>
  </xdr:twoCellAnchor>
  <xdr:twoCellAnchor>
    <xdr:from>
      <xdr:col>3</xdr:col>
      <xdr:colOff>66676</xdr:colOff>
      <xdr:row>0</xdr:row>
      <xdr:rowOff>28575</xdr:rowOff>
    </xdr:from>
    <xdr:to>
      <xdr:col>3</xdr:col>
      <xdr:colOff>466726</xdr:colOff>
      <xdr:row>0</xdr:row>
      <xdr:rowOff>400050</xdr:rowOff>
    </xdr:to>
    <xdr:sp macro="[0]!send" textlink="">
      <xdr:nvSpPr>
        <xdr:cNvPr id="4" name="Молния 3"/>
        <xdr:cNvSpPr/>
      </xdr:nvSpPr>
      <xdr:spPr>
        <a:xfrm>
          <a:off x="7010401" y="28575"/>
          <a:ext cx="400050" cy="371475"/>
        </a:xfrm>
        <a:prstGeom prst="lightningBolt">
          <a:avLst/>
        </a:prstGeom>
        <a:solidFill>
          <a:schemeClr val="accent1"/>
        </a:solidFill>
        <a:ln>
          <a:noFill/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ru-RU" sz="1100"/>
        </a:p>
      </xdr:txBody>
    </xdr:sp>
    <xdr:clientData/>
  </xdr:twoCellAnchor>
</xdr:wsDr>
</file>

<file path=xl/tables/table1.xml><?xml version="1.0" encoding="utf-8"?>
<table xmlns="http://schemas.openxmlformats.org/spreadsheetml/2006/main" id="2" name="Таблица2" displayName="Таблица2" ref="A3:J4" totalsRowShown="0" headerRowDxfId="480" dataDxfId="478" headerRowBorderDxfId="479" tableBorderDxfId="477" totalsRowBorderDxfId="476">
  <autoFilter ref="A3:J4"/>
  <tableColumns count="10">
    <tableColumn id="1" name="1" dataDxfId="475"/>
    <tableColumn id="2" name="2" dataDxfId="474"/>
    <tableColumn id="5" name="3" dataDxfId="473"/>
    <tableColumn id="6" name="4" dataDxfId="472"/>
    <tableColumn id="7" name="5" dataDxfId="471"/>
    <tableColumn id="10" name="6" dataDxfId="470"/>
    <tableColumn id="11" name="7" dataDxfId="469"/>
    <tableColumn id="12" name="8" dataDxfId="468"/>
    <tableColumn id="13" name="9" dataDxfId="467"/>
    <tableColumn id="14" name="10" dataDxfId="46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Таблица22" displayName="Таблица22" ref="A4:P5" totalsRowShown="0" headerRowDxfId="465" dataDxfId="463" headerRowBorderDxfId="464" tableBorderDxfId="462" totalsRowBorderDxfId="461">
  <autoFilter ref="A4:P5"/>
  <tableColumns count="16">
    <tableColumn id="1" name="1" dataDxfId="460"/>
    <tableColumn id="2" name="2" dataDxfId="459"/>
    <tableColumn id="3" name="3" dataDxfId="458"/>
    <tableColumn id="4" name="4" dataDxfId="457"/>
    <tableColumn id="5" name="5" dataDxfId="456"/>
    <tableColumn id="6" name="6" dataDxfId="455"/>
    <tableColumn id="7" name="7" dataDxfId="454"/>
    <tableColumn id="8" name="8" dataDxfId="453"/>
    <tableColumn id="9" name="9" dataDxfId="452"/>
    <tableColumn id="10" name="10" dataDxfId="451"/>
    <tableColumn id="11" name="11" dataDxfId="450"/>
    <tableColumn id="12" name="12" dataDxfId="449"/>
    <tableColumn id="13" name="13" dataDxfId="448"/>
    <tableColumn id="14" name="14" dataDxfId="447"/>
    <tableColumn id="15" name="15" dataDxfId="446"/>
    <tableColumn id="16" name="16" dataDxfId="44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Таблица24" displayName="Таблица24" ref="A2:I3" totalsRowShown="0" headerRowDxfId="444" dataDxfId="442" headerRowBorderDxfId="443" tableBorderDxfId="441" totalsRowBorderDxfId="440">
  <autoFilter ref="A2:I3">
    <filterColumn colId="1"/>
  </autoFilter>
  <tableColumns count="9">
    <tableColumn id="1" name="1" dataDxfId="439"/>
    <tableColumn id="3" name="2" dataDxfId="438"/>
    <tableColumn id="2" name="3" dataDxfId="437"/>
    <tableColumn id="5" name="4" dataDxfId="436"/>
    <tableColumn id="6" name="5" dataDxfId="435"/>
    <tableColumn id="7" name="6" dataDxfId="434"/>
    <tableColumn id="10" name="7" dataDxfId="433"/>
    <tableColumn id="11" name="8" dataDxfId="432"/>
    <tableColumn id="12" name="9" dataDxfId="43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6" name="Таблица225" displayName="Таблица225" ref="A3:R4" totalsRowShown="0" headerRowDxfId="430" dataDxfId="428" headerRowBorderDxfId="429" tableBorderDxfId="427" totalsRowBorderDxfId="426">
  <autoFilter ref="A3:R4">
    <filterColumn colId="1"/>
    <filterColumn colId="2"/>
    <filterColumn colId="3"/>
    <filterColumn colId="4"/>
    <filterColumn colId="5"/>
    <filterColumn colId="6"/>
    <filterColumn colId="7"/>
    <filterColumn colId="8"/>
    <filterColumn colId="9"/>
    <filterColumn colId="10"/>
    <filterColumn colId="11"/>
    <filterColumn colId="12"/>
    <filterColumn colId="13"/>
    <filterColumn colId="14"/>
    <filterColumn colId="15"/>
    <filterColumn colId="16"/>
    <filterColumn colId="17"/>
  </autoFilter>
  <tableColumns count="18">
    <tableColumn id="1" name="1" dataDxfId="425"/>
    <tableColumn id="20" name="2" dataDxfId="424"/>
    <tableColumn id="19" name="3" dataDxfId="423"/>
    <tableColumn id="18" name="4" dataDxfId="422"/>
    <tableColumn id="17" name="5" dataDxfId="421"/>
    <tableColumn id="23" name="6" dataDxfId="420"/>
    <tableColumn id="22" name="7" dataDxfId="419"/>
    <tableColumn id="21" name="8" dataDxfId="418"/>
    <tableColumn id="28" name="9" dataDxfId="417"/>
    <tableColumn id="29" name="10" dataDxfId="416"/>
    <tableColumn id="27" name="11" dataDxfId="415"/>
    <tableColumn id="26" name="12" dataDxfId="414"/>
    <tableColumn id="25" name="13" dataDxfId="413"/>
    <tableColumn id="5" name="14" dataDxfId="412"/>
    <tableColumn id="4" name="15" dataDxfId="411"/>
    <tableColumn id="3" name="16" dataDxfId="410"/>
    <tableColumn id="2" name="17" dataDxfId="409"/>
    <tableColumn id="24" name="18" dataDxfId="40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9" name="Menu" displayName="Menu" ref="D2:E14" totalsRowShown="0">
  <autoFilter ref="D2:E14"/>
  <tableColumns count="2">
    <tableColumn id="1" name="Code"/>
    <tableColumn id="2" name="Action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10" name="Actions" displayName="Actions" ref="G2:J21" totalsRowShown="0">
  <autoFilter ref="G2:J21">
    <filterColumn colId="3"/>
  </autoFilter>
  <tableColumns count="4">
    <tableColumn id="1" name="Code"/>
    <tableColumn id="2" name="Type"/>
    <tableColumn id="3" name="ActionCode"/>
    <tableColumn id="4" name="AfterAction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11" name="Programs" displayName="Programs" ref="V2:Z8" totalsRowShown="0">
  <autoFilter ref="V2:Z8">
    <filterColumn colId="1"/>
    <filterColumn colId="2"/>
    <filterColumn colId="3"/>
  </autoFilter>
  <tableColumns count="5">
    <tableColumn id="1" name="Code"/>
    <tableColumn id="3" name="Type"/>
    <tableColumn id="4" name="isConnect"/>
    <tableColumn id="5" name="ReturnType"/>
    <tableColumn id="2" name="Routin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2" name="Reports" displayName="Reports" ref="L2:Q20" totalsRowShown="0">
  <autoFilter ref="L2:Q20">
    <filterColumn colId="3"/>
    <filterColumn colId="4"/>
  </autoFilter>
  <tableColumns count="6">
    <tableColumn id="1" name="Code"/>
    <tableColumn id="2" name="TemplateSheetName"/>
    <tableColumn id="3" name="NewSheetName"/>
    <tableColumn id="5" name="CreateMode"/>
    <tableColumn id="6" name="Program"/>
    <tableColumn id="4" name="ReportType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3" name="SubReports" displayName="SubReports" ref="S2:T12" totalsRowShown="0">
  <autoFilter ref="S2:T12"/>
  <tableColumns count="2">
    <tableColumn id="1" name="Code"/>
    <tableColumn id="2" name="SubCod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4" name="GeneralOptions" displayName="GeneralOptions" ref="A2:B8" headerRowBorderDxfId="407" tableBorderDxfId="406" totalsRowBorderDxfId="405">
  <autoFilter ref="A2:B8"/>
  <tableColumns count="2">
    <tableColumn id="1" name="Key" totalsRowLabel="Итог" totalsRowDxfId="404"/>
    <tableColumn id="2" name="Value" totalsRowFunction="count" totalsRowDxfId="403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7" name="ActionTypes" displayName="ActionTypes" ref="AJ2:AJ4" totalsRowShown="0" tableBorderDxfId="402">
  <autoFilter ref="AJ2:AJ4"/>
  <tableColumns count="1">
    <tableColumn id="1" name="Cod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8" name="CreateModes" displayName="CreateModes" ref="AL2:AL4" totalsRowShown="0">
  <autoFilter ref="AL2:AL4"/>
  <tableColumns count="1">
    <tableColumn id="1" name="Cod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20" name="ReportTypes" displayName="ReportTypes" ref="AN2:AN4" totalsRowShown="0">
  <autoFilter ref="AN2:AN4"/>
  <tableColumns count="1">
    <tableColumn id="1" name="Code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5" name="ProgramTypes" displayName="ProgramTypes" ref="AP2:AP4" totalsRowShown="0">
  <autoFilter ref="AP2:AP4"/>
  <tableColumns count="1">
    <tableColumn id="1" name="Code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19" name="ParamPurpose" displayName="ParamPurpose" ref="AR2:AR3" totalsRowShown="0">
  <autoFilter ref="AR2:AR3"/>
  <tableColumns count="1">
    <tableColumn id="1" name="Code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21" name="ReturnTypes" displayName="ReturnTypes" ref="AT2:AT3" totalsRowShown="0">
  <autoFilter ref="AT2:AT3"/>
  <tableColumns count="1">
    <tableColumn id="1" name="Code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23" name="Direction" displayName="Direction" ref="AV2:AV4" totalsRowShown="0">
  <autoFilter ref="AV2:AV4"/>
  <tableColumns count="1">
    <tableColumn id="1" name="Code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22" name="Parameters" displayName="Parameters" ref="AB2:AH13" totalsRowShown="0">
  <autoFilter ref="AB2:AH13">
    <filterColumn colId="5"/>
    <filterColumn colId="6"/>
  </autoFilter>
  <tableColumns count="7">
    <tableColumn id="1" name="Program" dataDxfId="401"/>
    <tableColumn id="2" name="Name"/>
    <tableColumn id="3" name="Direction"/>
    <tableColumn id="4" name="Source"/>
    <tableColumn id="5" name="Required"/>
    <tableColumn id="6" name="Size"/>
    <tableColumn id="7" name="output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24" name="YesNo" displayName="YesNo" ref="AX2:AX4" totalsRowShown="0">
  <autoFilter ref="AX2:AX4"/>
  <tableColumns count="1">
    <tableColumn id="1" name="Code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7" name="AfterAction" displayName="AfterAction" ref="AZ2:AZ3" totalsRowShown="0">
  <autoFilter ref="AZ2:AZ3"/>
  <tableColumns count="1">
    <tableColumn id="1" name="Code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16" name="Таблица16" displayName="Таблица16" ref="C3:C5" totalsRowShown="0" headerRowDxfId="400" dataDxfId="399" tableBorderDxfId="398">
  <tableColumns count="1">
    <tableColumn id="1" name="Столбец1" dataDxfId="397"/>
  </tableColumns>
  <tableStyleInfo name="TableStyleMedium2" showFirstColumn="0" showLastColumn="0" showRowStripes="0" showColumnStripes="0"/>
</table>
</file>

<file path=xl/tables/table22.xml><?xml version="1.0" encoding="utf-8"?>
<table xmlns="http://schemas.openxmlformats.org/spreadsheetml/2006/main" id="49" name="Таблица852650" displayName="Таблица852650" ref="A1:I163" totalsRowShown="0" headerRowDxfId="3" headerRowBorderDxfId="1" tableBorderDxfId="2" totalsRowBorderDxfId="0">
  <autoFilter ref="A1:I163">
    <filterColumn colId="0"/>
    <filterColumn colId="1"/>
    <filterColumn colId="2"/>
    <filterColumn colId="4"/>
    <filterColumn colId="5"/>
    <filterColumn colId="6"/>
    <filterColumn colId="7"/>
    <filterColumn colId="8"/>
  </autoFilter>
  <tableColumns count="9">
    <tableColumn id="7" name="Фамилия" dataDxfId="12"/>
    <tableColumn id="6" name="Имя" dataDxfId="11"/>
    <tableColumn id="4" name="Отчество" dataDxfId="10"/>
    <tableColumn id="5" name="Дата рождения" dataDxfId="9"/>
    <tableColumn id="3" name="ИНН" dataDxfId="8"/>
    <tableColumn id="1" name="Участник/Не участник" dataDxfId="7"/>
    <tableColumn id="2" name="Доход" dataDxfId="6"/>
    <tableColumn id="8" name="Пенсионные схемы" dataDxfId="5"/>
    <tableColumn id="9" name="Типы дохода" dataDxfId="4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id="41" name="ndfl6_recalc_prev_year42" displayName="ndfl6_recalc_prev_year42" ref="D13:E16" headerRowCount="0" totalsRowShown="0">
  <tableColumns count="2">
    <tableColumn id="1" name="Столбец1"/>
    <tableColumn id="2" name="Столбец2" headerRowDxfId="28" dataDxfId="27"/>
  </tableColumns>
  <tableStyleInfo showFirstColumn="0" showLastColumn="0" showRowStripes="0" showColumnStripes="0"/>
</table>
</file>

<file path=xl/tables/table24.xml><?xml version="1.0" encoding="utf-8"?>
<table xmlns="http://schemas.openxmlformats.org/spreadsheetml/2006/main" id="42" name="ndfl6_part1_general_recalc_curr43" displayName="ndfl6_part1_general_recalc_curr43" ref="D9:E10" headerRowCount="0" totalsRowShown="0">
  <tableColumns count="2">
    <tableColumn id="1" name="Столбец1"/>
    <tableColumn id="2" name="Столбец2" headerRowDxfId="26" dataDxfId="25"/>
  </tableColumns>
  <tableStyleInfo showFirstColumn="0" showLastColumn="0" showRowStripes="0" showColumnStripes="0"/>
</table>
</file>

<file path=xl/tables/table25.xml><?xml version="1.0" encoding="utf-8"?>
<table xmlns="http://schemas.openxmlformats.org/spreadsheetml/2006/main" id="43" name="Таблица444" displayName="Таблица444" ref="B5:E5" headerRowCount="0" totalsRowShown="0" headerRowDxfId="16" dataDxfId="15" tableBorderDxfId="14" totalsRowBorderDxfId="13">
  <tableColumns count="4">
    <tableColumn id="1" name="Столбец1" headerRowDxfId="24" dataDxfId="23" dataCellStyle="Обычный 4"/>
    <tableColumn id="2" name="Столбец2" headerRowDxfId="22" dataDxfId="21" headerRowCellStyle="Обычный 4" dataCellStyle="Обычный 4"/>
    <tableColumn id="3" name="Столбец3" headerRowDxfId="20" dataDxfId="19"/>
    <tableColumn id="4" name="Столбец4" headerRowDxfId="18" dataDxfId="17" headerRowCellStyle="Обычный 4" dataCellStyle="Обычный 4"/>
  </tableColumns>
  <tableStyleInfo name="TableStyleLight1" showFirstColumn="0" showLastColumn="0" showRowStripes="0" showColumnStripes="0"/>
</table>
</file>

<file path=xl/tables/table26.xml><?xml version="1.0" encoding="utf-8"?>
<table xmlns="http://schemas.openxmlformats.org/spreadsheetml/2006/main" id="34" name="Таблица2935" displayName="Таблица2935" ref="A4:H6" headerRowCount="0" totalsRowCount="1" headerRowDxfId="53" dataDxfId="52">
  <tableColumns count="8">
    <tableColumn id="1" name="Столбец1" totalsRowLabel="Итого:" headerRowDxfId="69" dataDxfId="68" totalsRowDxfId="39"/>
    <tableColumn id="2" name="Столбец2" headerRowDxfId="67" dataDxfId="66" totalsRowDxfId="38"/>
    <tableColumn id="3" name="Столбец3" totalsRowFunction="sum" headerRowDxfId="65" dataDxfId="64" totalsRowDxfId="37"/>
    <tableColumn id="4" name="Столбец4" totalsRowFunction="sum" headerRowDxfId="63" dataDxfId="62" totalsRowDxfId="36"/>
    <tableColumn id="5" name="Столбец5" totalsRowFunction="sum" headerRowDxfId="61" dataDxfId="60" totalsRowDxfId="35"/>
    <tableColumn id="6" name="Столбец6" totalsRowFunction="sum" headerRowDxfId="59" dataDxfId="58" totalsRowDxfId="34"/>
    <tableColumn id="7" name="Столбец7" totalsRowFunction="sum" headerRowDxfId="57" dataDxfId="56" totalsRowDxfId="33"/>
    <tableColumn id="8" name="Столбец8" totalsRowFunction="sum" headerRowDxfId="55" dataDxfId="54" totalsRowDxfId="32"/>
  </tableColumns>
  <tableStyleInfo name="TableStyleLight1" showFirstColumn="0" showLastColumn="0" showRowStripes="0" showColumnStripes="0"/>
</table>
</file>

<file path=xl/tables/table27.xml><?xml version="1.0" encoding="utf-8"?>
<table xmlns="http://schemas.openxmlformats.org/spreadsheetml/2006/main" id="35" name="Таблица3036" displayName="Таблица3036" ref="A10:H16" headerRowCount="0">
  <tableColumns count="8">
    <tableColumn id="1" name="тип" totalsRowLabel="Итог"/>
    <tableColumn id="2" name="схема"/>
    <tableColumn id="3" name="Столбец1" totalsRowFunction="sum" dataDxfId="50" totalsRowDxfId="51"/>
    <tableColumn id="4" name="Столбец2" dataDxfId="49"/>
    <tableColumn id="5" name="итог" dataDxfId="48"/>
    <tableColumn id="6" name="в 1 кв"/>
    <tableColumn id="7" name="во 2 кв"/>
    <tableColumn id="8" name="в 3 кв"/>
  </tableColumns>
  <tableStyleInfo name="TableStyleLight1" showFirstColumn="0" showLastColumn="0" showRowStripes="0" showColumnStripes="0"/>
</table>
</file>

<file path=xl/tables/table28.xml><?xml version="1.0" encoding="utf-8"?>
<table xmlns="http://schemas.openxmlformats.org/spreadsheetml/2006/main" id="38" name="Таблица3139" displayName="Таблица3139" ref="A21:H24" headerRowCount="0">
  <tableColumns count="8">
    <tableColumn id="1" name="Столбец1" totalsRowLabel="Итог" headerRowDxfId="47"/>
    <tableColumn id="2" name="Столбец2"/>
    <tableColumn id="3" name="Столбец3" totalsRowFunction="sum" headerRowDxfId="45" dataDxfId="44" totalsRowDxfId="46"/>
    <tableColumn id="4" name="Столбец4"/>
    <tableColumn id="5" name="Столбец5"/>
    <tableColumn id="6" name="Столбец6"/>
    <tableColumn id="7" name="Столбец7"/>
    <tableColumn id="8" name="Столбец8"/>
  </tableColumns>
  <tableStyleInfo name="TableStyleLight1" showFirstColumn="0" showLastColumn="0" showRowStripes="0" showColumnStripes="0"/>
</table>
</file>

<file path=xl/tables/table29.xml><?xml version="1.0" encoding="utf-8"?>
<table xmlns="http://schemas.openxmlformats.org/spreadsheetml/2006/main" id="39" name="Таблица540" displayName="Таблица540" ref="A28:E34" headerRowCount="0" totalsRowShown="0">
  <tableColumns count="5">
    <tableColumn id="1" name="Столбец1"/>
    <tableColumn id="2" name="Столбец2"/>
    <tableColumn id="3" name="Столбец3"/>
    <tableColumn id="4" name="Столбец4"/>
    <tableColumn id="5" name="Столбец5"/>
  </tableColumns>
  <tableStyleInfo name="TableStyleLight1" showFirstColumn="0" showLastColumn="0" showRowStripes="0" showColumnStripes="0"/>
</table>
</file>

<file path=xl/tables/table30.xml><?xml version="1.0" encoding="utf-8"?>
<table xmlns="http://schemas.openxmlformats.org/spreadsheetml/2006/main" id="40" name="Таблица4741" displayName="Таблица4741" ref="A39:F48" totalsRowCount="1" headerRowDxfId="40">
  <autoFilter ref="A39:F47"/>
  <tableColumns count="6">
    <tableColumn id="1" name="Фамилия" totalsRowLabel="Итог"/>
    <tableColumn id="2" name="Имя"/>
    <tableColumn id="3" name="Отчество"/>
    <tableColumn id="4" name="Налог исчисленный" totalsRowFunction="sum" dataDxfId="43" totalsRowDxfId="31"/>
    <tableColumn id="5" name="Налог удержанный" totalsRowFunction="sum" dataDxfId="42" totalsRowDxfId="30"/>
    <tableColumn id="6" name="Разница" totalsRowFunction="sum" dataDxfId="41" totalsRowDxfId="29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id="92" name="Таблица2693" displayName="Таблица2693" ref="B5:D44" totalsRowShown="0" headerRowDxfId="396" headerRowBorderDxfId="395" tableBorderDxfId="394" headerRowCellStyle="Обычный 4">
  <autoFilter ref="B5:D44"/>
  <tableColumns count="3">
    <tableColumn id="1" name="100" dataDxfId="393" dataCellStyle="Обычный 4"/>
    <tableColumn id="2" name="130" dataDxfId="392" dataCellStyle="Обычный 4"/>
    <tableColumn id="3" name="140" dataDxfId="391" dataCellStyle="Обычный 4"/>
  </tableColumns>
  <tableStyleInfo name="TableStyleLight1" showFirstColumn="0" showLastColumn="0" showRowStripes="0" showColumnStripes="0"/>
</table>
</file>

<file path=xl/tables/table32.xml><?xml version="1.0" encoding="utf-8"?>
<table xmlns="http://schemas.openxmlformats.org/spreadsheetml/2006/main" id="48" name="Таблица249" displayName="Таблица249" ref="A3:J90" totalsRowShown="0" headerRowDxfId="390" dataDxfId="388" headerRowBorderDxfId="389" tableBorderDxfId="387" totalsRowBorderDxfId="386">
  <autoFilter ref="A3:J90"/>
  <tableColumns count="10">
    <tableColumn id="1" name="1" dataDxfId="385"/>
    <tableColumn id="2" name="2" dataDxfId="384"/>
    <tableColumn id="5" name="3" dataDxfId="383"/>
    <tableColumn id="6" name="4" dataDxfId="382"/>
    <tableColumn id="7" name="5" dataDxfId="381"/>
    <tableColumn id="10" name="6" dataDxfId="380"/>
    <tableColumn id="11" name="7" dataDxfId="379"/>
    <tableColumn id="12" name="8" dataDxfId="378"/>
    <tableColumn id="13" name="9" dataDxfId="377"/>
    <tableColumn id="14" name="10" dataDxfId="376"/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id="46" name="Таблица2447" displayName="Таблица2447" ref="A2:I3" totalsRowShown="0" headerRowDxfId="375" dataDxfId="373" headerRowBorderDxfId="374" tableBorderDxfId="372" totalsRowBorderDxfId="371">
  <autoFilter ref="A2:I3">
    <filterColumn colId="1"/>
  </autoFilter>
  <tableColumns count="9">
    <tableColumn id="1" name="1" dataDxfId="370"/>
    <tableColumn id="3" name="2" dataDxfId="369"/>
    <tableColumn id="2" name="3" dataDxfId="368"/>
    <tableColumn id="5" name="4" dataDxfId="367"/>
    <tableColumn id="6" name="5" dataDxfId="366"/>
    <tableColumn id="7" name="6" dataDxfId="365"/>
    <tableColumn id="10" name="7" dataDxfId="364"/>
    <tableColumn id="11" name="8" dataDxfId="363"/>
    <tableColumn id="12" name="9" dataDxfId="362"/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id="44" name="Таблица22545" displayName="Таблица22545" ref="A3:R262" totalsRowShown="0" headerRowDxfId="361" dataDxfId="359" headerRowBorderDxfId="360" tableBorderDxfId="358" totalsRowBorderDxfId="357">
  <autoFilter ref="A3:R262">
    <filterColumn colId="1"/>
    <filterColumn colId="2"/>
    <filterColumn colId="3"/>
    <filterColumn colId="4">
      <filters>
        <filter val="2016"/>
      </filters>
    </filterColumn>
    <filterColumn colId="5"/>
    <filterColumn colId="6"/>
    <filterColumn colId="7"/>
    <filterColumn colId="8"/>
    <filterColumn colId="9"/>
    <filterColumn colId="10"/>
    <filterColumn colId="11"/>
    <filterColumn colId="12"/>
    <filterColumn colId="13"/>
    <filterColumn colId="14"/>
    <filterColumn colId="15"/>
    <filterColumn colId="16"/>
    <filterColumn colId="17"/>
  </autoFilter>
  <tableColumns count="18">
    <tableColumn id="1" name="1" dataDxfId="356"/>
    <tableColumn id="20" name="2" dataDxfId="355"/>
    <tableColumn id="19" name="3" dataDxfId="354"/>
    <tableColumn id="18" name="4" dataDxfId="353"/>
    <tableColumn id="17" name="5" dataDxfId="352"/>
    <tableColumn id="23" name="6" dataDxfId="351"/>
    <tableColumn id="22" name="7" dataDxfId="350"/>
    <tableColumn id="21" name="8" dataDxfId="349"/>
    <tableColumn id="28" name="9" dataDxfId="348"/>
    <tableColumn id="29" name="10" dataDxfId="347"/>
    <tableColumn id="27" name="11" dataDxfId="346"/>
    <tableColumn id="26" name="12" dataDxfId="345"/>
    <tableColumn id="25" name="13" dataDxfId="344"/>
    <tableColumn id="5" name="14" dataDxfId="343"/>
    <tableColumn id="4" name="15" dataDxfId="342"/>
    <tableColumn id="3" name="16" dataDxfId="341"/>
    <tableColumn id="2" name="17" dataDxfId="340"/>
    <tableColumn id="24" name="18" dataDxfId="339"/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id="37" name="Таблица22538" displayName="Таблица22538" ref="A3:R263" totalsRowCount="1" headerRowDxfId="338" dataDxfId="336" headerRowBorderDxfId="337" tableBorderDxfId="335" totalsRowBorderDxfId="334">
  <autoFilter ref="A3:R262">
    <filterColumn colId="1"/>
    <filterColumn colId="2"/>
    <filterColumn colId="3"/>
    <filterColumn colId="4"/>
    <filterColumn colId="5"/>
    <filterColumn colId="6"/>
    <filterColumn colId="7"/>
    <filterColumn colId="8"/>
    <filterColumn colId="9"/>
    <filterColumn colId="10"/>
    <filterColumn colId="11"/>
    <filterColumn colId="12"/>
    <filterColumn colId="13"/>
    <filterColumn colId="14"/>
    <filterColumn colId="15"/>
    <filterColumn colId="16"/>
    <filterColumn colId="17"/>
  </autoFilter>
  <tableColumns count="18">
    <tableColumn id="1" name="1" totalsRowLabel="Итог" dataDxfId="333" totalsRowDxfId="332"/>
    <tableColumn id="20" name="2" dataDxfId="331" totalsRowDxfId="330"/>
    <tableColumn id="19" name="3" dataDxfId="329" totalsRowDxfId="328"/>
    <tableColumn id="18" name="4" dataDxfId="327" totalsRowDxfId="326"/>
    <tableColumn id="17" name="5" dataDxfId="325" totalsRowDxfId="324"/>
    <tableColumn id="23" name="6" dataDxfId="323" totalsRowDxfId="322"/>
    <tableColumn id="22" name="7" dataDxfId="321" totalsRowDxfId="320"/>
    <tableColumn id="21" name="8" dataDxfId="319" totalsRowDxfId="318"/>
    <tableColumn id="28" name="9" totalsRowFunction="sum" dataDxfId="317" totalsRowDxfId="316"/>
    <tableColumn id="29" name="10" totalsRowFunction="sum" dataDxfId="315" totalsRowDxfId="314"/>
    <tableColumn id="27" name="11" dataDxfId="313" totalsRowDxfId="312"/>
    <tableColumn id="26" name="12" dataDxfId="311" totalsRowDxfId="310"/>
    <tableColumn id="25" name="13" dataDxfId="309" totalsRowDxfId="308"/>
    <tableColumn id="5" name="14" dataDxfId="307" totalsRowDxfId="306"/>
    <tableColumn id="4" name="15" dataDxfId="305" totalsRowDxfId="304"/>
    <tableColumn id="3" name="16" dataDxfId="303" totalsRowDxfId="302"/>
    <tableColumn id="2" name="17" dataDxfId="301" totalsRowDxfId="300"/>
    <tableColumn id="24" name="18" totalsRowFunction="count" dataDxfId="299" totalsRowDxfId="298"/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id="36" name="Таблица2237" displayName="Таблица2237" ref="A4:P205" totalsRowCount="1" headerRowDxfId="297" dataDxfId="295" headerRowBorderDxfId="296" tableBorderDxfId="294" totalsRowBorderDxfId="293">
  <autoFilter ref="A4:P204"/>
  <tableColumns count="16">
    <tableColumn id="1" name="1" totalsRowLabel="Итог" dataDxfId="292" totalsRowDxfId="291"/>
    <tableColumn id="2" name="2" dataDxfId="290" totalsRowDxfId="289"/>
    <tableColumn id="3" name="3" dataDxfId="288" totalsRowDxfId="287"/>
    <tableColumn id="4" name="4" dataDxfId="286" totalsRowDxfId="285"/>
    <tableColumn id="5" name="5" totalsRowFunction="sum" dataDxfId="284" totalsRowDxfId="283"/>
    <tableColumn id="6" name="6" totalsRowFunction="sum" dataDxfId="282" totalsRowDxfId="281"/>
    <tableColumn id="7" name="7" totalsRowFunction="sum" dataDxfId="280" totalsRowDxfId="279"/>
    <tableColumn id="8" name="8" totalsRowFunction="sum" dataDxfId="278" totalsRowDxfId="277"/>
    <tableColumn id="9" name="9" totalsRowFunction="sum" dataDxfId="276" totalsRowDxfId="275"/>
    <tableColumn id="10" name="10" dataDxfId="274" totalsRowDxfId="273"/>
    <tableColumn id="11" name="11" dataDxfId="272" totalsRowDxfId="271"/>
    <tableColumn id="12" name="12" totalsRowFunction="sum" dataDxfId="270" totalsRowDxfId="269"/>
    <tableColumn id="13" name="13" totalsRowFunction="sum" dataDxfId="268" totalsRowDxfId="267"/>
    <tableColumn id="14" name="14" totalsRowFunction="sum" dataDxfId="266" totalsRowDxfId="265"/>
    <tableColumn id="15" name="15" totalsRowFunction="sum" dataDxfId="264" totalsRowDxfId="263"/>
    <tableColumn id="16" name="16" totalsRowFunction="sum" dataDxfId="262" totalsRowDxfId="261"/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id="28" name="Таблица2229" displayName="Таблица2229" ref="A4:AE205" totalsRowCount="1" headerRowDxfId="260" dataDxfId="258" headerRowBorderDxfId="259" tableBorderDxfId="257" totalsRowBorderDxfId="256">
  <autoFilter ref="A4:AE204">
    <filterColumn colId="16"/>
    <filterColumn colId="17"/>
    <filterColumn colId="18"/>
    <filterColumn colId="19"/>
    <filterColumn colId="20"/>
    <filterColumn colId="21"/>
    <filterColumn colId="22"/>
    <filterColumn colId="23"/>
    <filterColumn colId="24"/>
    <filterColumn colId="25"/>
    <filterColumn colId="26"/>
    <filterColumn colId="27"/>
    <filterColumn colId="28"/>
    <filterColumn colId="29"/>
    <filterColumn colId="30"/>
  </autoFilter>
  <tableColumns count="31">
    <tableColumn id="1" name="1" totalsRowLabel="Итог" dataDxfId="255" totalsRowDxfId="254"/>
    <tableColumn id="2" name="2" dataDxfId="253" totalsRowDxfId="252"/>
    <tableColumn id="3" name="3" dataDxfId="251" totalsRowDxfId="250"/>
    <tableColumn id="4" name="4" dataDxfId="249" totalsRowDxfId="248"/>
    <tableColumn id="5" name="5" totalsRowFunction="sum" dataDxfId="247" totalsRowDxfId="246"/>
    <tableColumn id="6" name="6" totalsRowFunction="sum" dataDxfId="245" totalsRowDxfId="244"/>
    <tableColumn id="7" name="7" totalsRowFunction="sum" dataDxfId="243" totalsRowDxfId="242"/>
    <tableColumn id="8" name="8" totalsRowFunction="sum" dataDxfId="241" totalsRowDxfId="240"/>
    <tableColumn id="9" name="9" totalsRowFunction="sum" dataDxfId="239" totalsRowDxfId="238"/>
    <tableColumn id="10" name="10" dataDxfId="237" totalsRowDxfId="236"/>
    <tableColumn id="11" name="11" dataDxfId="235" totalsRowDxfId="234"/>
    <tableColumn id="12" name="12" totalsRowFunction="sum" dataDxfId="233" totalsRowDxfId="232"/>
    <tableColumn id="13" name="13" totalsRowFunction="sum" dataDxfId="231" totalsRowDxfId="230"/>
    <tableColumn id="14" name="14" totalsRowFunction="sum" dataDxfId="229" totalsRowDxfId="228"/>
    <tableColumn id="15" name="15" totalsRowFunction="sum" dataDxfId="227" totalsRowDxfId="226"/>
    <tableColumn id="16" name="16" totalsRowFunction="sum" dataDxfId="225" totalsRowDxfId="224"/>
    <tableColumn id="17" name="17" dataDxfId="223" totalsRowDxfId="222"/>
    <tableColumn id="18" name="18" dataDxfId="221" totalsRowDxfId="220"/>
    <tableColumn id="19" name="19" dataDxfId="219" totalsRowDxfId="218"/>
    <tableColumn id="20" name="20" totalsRowFunction="sum" dataDxfId="217" totalsRowDxfId="216"/>
    <tableColumn id="21" name="21" totalsRowFunction="sum" dataDxfId="215" totalsRowDxfId="214"/>
    <tableColumn id="22" name="22" totalsRowFunction="sum" dataDxfId="213" totalsRowDxfId="212"/>
    <tableColumn id="23" name="23" totalsRowFunction="sum" dataDxfId="211" totalsRowDxfId="210"/>
    <tableColumn id="24" name="24" totalsRowFunction="sum" dataDxfId="209" totalsRowDxfId="208"/>
    <tableColumn id="25" name="25" dataDxfId="207" totalsRowDxfId="206"/>
    <tableColumn id="26" name="26" dataDxfId="205" totalsRowDxfId="204"/>
    <tableColumn id="27" name="27" totalsRowFunction="sum" dataDxfId="203" totalsRowDxfId="202"/>
    <tableColumn id="28" name="28" totalsRowFunction="sum" dataDxfId="201" totalsRowDxfId="200"/>
    <tableColumn id="29" name="29" totalsRowFunction="sum" dataDxfId="199" totalsRowDxfId="198"/>
    <tableColumn id="30" name="30" totalsRowFunction="sum" dataDxfId="197" totalsRowDxfId="196"/>
    <tableColumn id="31" name="31" totalsRowFunction="sum" dataDxfId="195" totalsRowDxfId="194"/>
  </tableColumns>
  <tableStyleInfo name="TableStyleMedium2" showFirstColumn="0" showLastColumn="0" showRowStripes="1" showColumnStripes="0"/>
</table>
</file>

<file path=xl/tables/table38.xml><?xml version="1.0" encoding="utf-8"?>
<table xmlns="http://schemas.openxmlformats.org/spreadsheetml/2006/main" id="27" name="Таблица228" displayName="Таблица228" ref="A3:T91" totalsRowCount="1" headerRowDxfId="193" dataDxfId="191" headerRowBorderDxfId="192" tableBorderDxfId="190" totalsRowBorderDxfId="189">
  <autoFilter ref="A3:T90">
    <filterColumn colId="10"/>
    <filterColumn colId="11"/>
    <filterColumn colId="12"/>
    <filterColumn colId="13"/>
    <filterColumn colId="14"/>
    <filterColumn colId="15"/>
    <filterColumn colId="16"/>
    <filterColumn colId="17"/>
    <filterColumn colId="18"/>
    <filterColumn colId="19"/>
  </autoFilter>
  <tableColumns count="20">
    <tableColumn id="1" name="1" totalsRowLabel="Итог" dataDxfId="188" totalsRowDxfId="187"/>
    <tableColumn id="2" name="2" dataDxfId="186" totalsRowDxfId="185"/>
    <tableColumn id="5" name="3" totalsRowFunction="sum" dataDxfId="184" totalsRowDxfId="183"/>
    <tableColumn id="6" name="4" totalsRowFunction="sum" dataDxfId="182" totalsRowDxfId="181"/>
    <tableColumn id="7" name="5" totalsRowFunction="sum" dataDxfId="180" totalsRowDxfId="179"/>
    <tableColumn id="10" name="6" dataDxfId="178" totalsRowDxfId="177"/>
    <tableColumn id="11" name="7" dataDxfId="176" totalsRowDxfId="175"/>
    <tableColumn id="12" name="8" totalsRowFunction="sum" dataDxfId="174" totalsRowDxfId="173"/>
    <tableColumn id="13" name="9" totalsRowFunction="sum" dataDxfId="172" totalsRowDxfId="171"/>
    <tableColumn id="14" name="10" totalsRowFunction="sum" dataDxfId="170" totalsRowDxfId="169"/>
    <tableColumn id="3" name="11" dataDxfId="168" totalsRowDxfId="167"/>
    <tableColumn id="4" name="12" dataDxfId="166" totalsRowDxfId="165"/>
    <tableColumn id="8" name="13" totalsRowFunction="sum" dataDxfId="164" totalsRowDxfId="163"/>
    <tableColumn id="9" name="14" totalsRowFunction="sum" dataDxfId="162" totalsRowDxfId="161"/>
    <tableColumn id="15" name="15" totalsRowFunction="sum" dataDxfId="160" totalsRowDxfId="159"/>
    <tableColumn id="16" name="16" dataDxfId="158" totalsRowDxfId="157"/>
    <tableColumn id="17" name="17" dataDxfId="156" totalsRowDxfId="155"/>
    <tableColumn id="18" name="18" totalsRowFunction="sum" dataDxfId="154" totalsRowDxfId="153"/>
    <tableColumn id="19" name="19" totalsRowFunction="sum" dataDxfId="152" totalsRowDxfId="151"/>
    <tableColumn id="20" name="20" totalsRowFunction="sum" dataDxfId="150" totalsRowDxfId="149"/>
  </tableColumns>
  <tableStyleInfo name="TableStyleMedium2" showFirstColumn="0" showLastColumn="0" showRowStripes="1" showColumnStripes="0"/>
</table>
</file>

<file path=xl/tables/table39.xml><?xml version="1.0" encoding="utf-8"?>
<table xmlns="http://schemas.openxmlformats.org/spreadsheetml/2006/main" id="26" name="Таблица26" displayName="Таблица26" ref="B5:D6" totalsRowShown="0" headerRowDxfId="148" headerRowBorderDxfId="147" tableBorderDxfId="146" headerRowCellStyle="Обычный 4">
  <autoFilter ref="B5:D6"/>
  <tableColumns count="3">
    <tableColumn id="1" name="100" dataDxfId="145" dataCellStyle="Обычный 4"/>
    <tableColumn id="2" name="130" dataDxfId="144" dataCellStyle="Обычный 4"/>
    <tableColumn id="3" name="140" dataDxfId="143" dataCellStyle="Обычный 4"/>
  </tableColumns>
  <tableStyleInfo name="TableStyleLight1" showFirstColumn="0" showLastColumn="0" showRowStripes="0" showColumnStripes="0"/>
</table>
</file>

<file path=xl/tables/table40.xml><?xml version="1.0" encoding="utf-8"?>
<table xmlns="http://schemas.openxmlformats.org/spreadsheetml/2006/main" id="33" name="ndfl6_recalc_prev_year" displayName="ndfl6_recalc_prev_year" ref="D12:E12" headerRowCount="0" totalsRowShown="0">
  <tableColumns count="2">
    <tableColumn id="1" name="Столбец1"/>
    <tableColumn id="2" name="Столбец2" headerRowDxfId="142" dataDxfId="141"/>
  </tableColumns>
  <tableStyleInfo showFirstColumn="0" showLastColumn="0" showRowStripes="0" showColumnStripes="0"/>
</table>
</file>

<file path=xl/tables/table41.xml><?xml version="1.0" encoding="utf-8"?>
<table xmlns="http://schemas.openxmlformats.org/spreadsheetml/2006/main" id="32" name="ndfl6_part1_general_recalc_curr" displayName="ndfl6_part1_general_recalc_curr" ref="D9:E9" headerRowCount="0" totalsRowShown="0">
  <tableColumns count="2">
    <tableColumn id="1" name="Столбец1"/>
    <tableColumn id="2" name="Столбец2" headerRowDxfId="140" dataDxfId="139"/>
  </tableColumns>
  <tableStyleInfo showFirstColumn="0" showLastColumn="0" showRowStripes="0" showColumnStripes="0"/>
</table>
</file>

<file path=xl/tables/table42.xml><?xml version="1.0" encoding="utf-8"?>
<table xmlns="http://schemas.openxmlformats.org/spreadsheetml/2006/main" id="4" name="Таблица4" displayName="Таблица4" ref="B5:E5" headerRowCount="0" totalsRowShown="0" headerRowDxfId="138" dataDxfId="137" tableBorderDxfId="136" totalsRowBorderDxfId="135">
  <tableColumns count="4">
    <tableColumn id="1" name="Столбец1" headerRowDxfId="134" dataDxfId="133" dataCellStyle="Обычный 4"/>
    <tableColumn id="2" name="Столбец2" headerRowDxfId="132" dataDxfId="131" headerRowCellStyle="Обычный 4" dataCellStyle="Обычный 4"/>
    <tableColumn id="3" name="Столбец3" headerRowDxfId="130" dataDxfId="129"/>
    <tableColumn id="4" name="Столбец4" headerRowDxfId="128" dataDxfId="127" headerRowCellStyle="Обычный 4" dataCellStyle="Обычный 4"/>
  </tableColumns>
  <tableStyleInfo name="TableStyleLight1" showFirstColumn="0" showLastColumn="0" showRowStripes="0" showColumnStripes="0"/>
</table>
</file>

<file path=xl/tables/table43.xml><?xml version="1.0" encoding="utf-8"?>
<table xmlns="http://schemas.openxmlformats.org/spreadsheetml/2006/main" id="29" name="Таблица29" displayName="Таблица29" ref="A4:H5" headerRowCount="0" totalsRowCount="1" headerRowDxfId="126" dataDxfId="125">
  <tableColumns count="8">
    <tableColumn id="1" name="Столбец1" totalsRowLabel="Итого:" headerRowDxfId="124" dataDxfId="123" totalsRowDxfId="122"/>
    <tableColumn id="2" name="Столбец2" headerRowDxfId="121" dataDxfId="120" totalsRowDxfId="119"/>
    <tableColumn id="3" name="Столбец3" totalsRowFunction="sum" headerRowDxfId="118" dataDxfId="117" totalsRowDxfId="116"/>
    <tableColumn id="4" name="Столбец4" totalsRowFunction="sum" headerRowDxfId="115" dataDxfId="114" totalsRowDxfId="113"/>
    <tableColumn id="5" name="Столбец5" totalsRowFunction="sum" headerRowDxfId="112" dataDxfId="111" totalsRowDxfId="110"/>
    <tableColumn id="6" name="Столбец6" totalsRowFunction="sum" headerRowDxfId="109" dataDxfId="108" totalsRowDxfId="107"/>
    <tableColumn id="7" name="Столбец7" totalsRowFunction="sum" headerRowDxfId="106" dataDxfId="105" totalsRowDxfId="104"/>
    <tableColumn id="8" name="Столбец8" totalsRowFunction="sum" headerRowDxfId="103" dataDxfId="102" totalsRowDxfId="101"/>
  </tableColumns>
  <tableStyleInfo name="TableStyleLight1" showFirstColumn="0" showLastColumn="0" showRowStripes="0" showColumnStripes="0"/>
</table>
</file>

<file path=xl/tables/table44.xml><?xml version="1.0" encoding="utf-8"?>
<table xmlns="http://schemas.openxmlformats.org/spreadsheetml/2006/main" id="30" name="Таблица30" displayName="Таблица30" ref="A9:H9" headerRowCount="0">
  <tableColumns count="8">
    <tableColumn id="1" name="тип" totalsRowLabel="Итог"/>
    <tableColumn id="2" name="схема"/>
    <tableColumn id="3" name="Столбец1" totalsRowFunction="sum" dataDxfId="100" totalsRowDxfId="99"/>
    <tableColumn id="4" name="Столбец2" dataDxfId="98"/>
    <tableColumn id="5" name="итог" dataDxfId="97"/>
    <tableColumn id="6" name="в 1 кв"/>
    <tableColumn id="7" name="во 2 кв"/>
    <tableColumn id="8" name="в 3 кв"/>
  </tableColumns>
  <tableStyleInfo name="TableStyleLight1" showFirstColumn="0" showLastColumn="0" showRowStripes="0" showColumnStripes="0"/>
</table>
</file>

<file path=xl/tables/table45.xml><?xml version="1.0" encoding="utf-8"?>
<table xmlns="http://schemas.openxmlformats.org/spreadsheetml/2006/main" id="31" name="Таблица31" displayName="Таблица31" ref="A14:H14" headerRowCount="0">
  <tableColumns count="8">
    <tableColumn id="1" name="Столбец1" totalsRowLabel="Итог" headerRowDxfId="96"/>
    <tableColumn id="2" name="Столбец2"/>
    <tableColumn id="3" name="Столбец3" totalsRowFunction="sum" headerRowDxfId="95" dataDxfId="94" totalsRowDxfId="93"/>
    <tableColumn id="4" name="Столбец4"/>
    <tableColumn id="5" name="Столбец5"/>
    <tableColumn id="6" name="Столбец6"/>
    <tableColumn id="7" name="Столбец7"/>
    <tableColumn id="8" name="Столбец8"/>
  </tableColumns>
  <tableStyleInfo name="TableStyleLight1" showFirstColumn="0" showLastColumn="0" showRowStripes="0" showColumnStripes="0"/>
</table>
</file>

<file path=xl/tables/table46.xml><?xml version="1.0" encoding="utf-8"?>
<table xmlns="http://schemas.openxmlformats.org/spreadsheetml/2006/main" id="5" name="Таблица5" displayName="Таблица5" ref="A18:E18" headerRowCount="0" totalsRowShown="0">
  <tableColumns count="5">
    <tableColumn id="1" name="Столбец1"/>
    <tableColumn id="2" name="Столбец2"/>
    <tableColumn id="3" name="Столбец3"/>
    <tableColumn id="4" name="Столбец4"/>
    <tableColumn id="5" name="Столбец5"/>
  </tableColumns>
  <tableStyleInfo name="TableStyleLight1" showFirstColumn="0" showLastColumn="0" showRowStripes="0" showColumnStripes="0"/>
</table>
</file>

<file path=xl/tables/table47.xml><?xml version="1.0" encoding="utf-8"?>
<table xmlns="http://schemas.openxmlformats.org/spreadsheetml/2006/main" id="47" name="Таблица47" displayName="Таблица47" ref="A23:F25" totalsRowCount="1" headerRowDxfId="92">
  <autoFilter ref="A23:F24"/>
  <tableColumns count="6">
    <tableColumn id="1" name="Фамилия" totalsRowLabel="Итог"/>
    <tableColumn id="2" name="Имя"/>
    <tableColumn id="3" name="Отчество"/>
    <tableColumn id="4" name="Налог исчисленный" totalsRowFunction="sum" dataDxfId="91"/>
    <tableColumn id="5" name="Налог удержанный" totalsRowFunction="sum" dataDxfId="90"/>
    <tableColumn id="6" name="Разница" totalsRowFunction="sum" dataDxfId="89"/>
  </tableColumns>
  <tableStyleInfo name="TableStyleMedium2" showFirstColumn="0" showLastColumn="0" showRowStripes="1" showColumnStripes="0"/>
</table>
</file>

<file path=xl/tables/table48.xml><?xml version="1.0" encoding="utf-8"?>
<table xmlns="http://schemas.openxmlformats.org/spreadsheetml/2006/main" id="8" name="Таблица8" displayName="Таблица8" ref="A1:D2" insertRow="1" totalsRowShown="0" headerRowDxfId="88" headerRowBorderDxfId="87" tableBorderDxfId="86" totalsRowBorderDxfId="85">
  <autoFilter ref="A1:D2">
    <filterColumn colId="2"/>
    <filterColumn colId="3"/>
  </autoFilter>
  <tableColumns count="4">
    <tableColumn id="1" name="ФИО" dataDxfId="84"/>
    <tableColumn id="5" name="Дата рождения" dataDxfId="83"/>
    <tableColumn id="2" name="Снилс"/>
    <tableColumn id="3" name="ИНН"/>
  </tableColumns>
  <tableStyleInfo name="TableStyleMedium2" showFirstColumn="0" showLastColumn="0" showRowStripes="1" showColumnStripes="0"/>
</table>
</file>

<file path=xl/tables/table49.xml><?xml version="1.0" encoding="utf-8"?>
<table xmlns="http://schemas.openxmlformats.org/spreadsheetml/2006/main" id="25" name="Таблица8526" displayName="Таблица8526" ref="A1:I2" totalsRowShown="0" headerRowDxfId="82" headerRowBorderDxfId="81" tableBorderDxfId="80" totalsRowBorderDxfId="79">
  <autoFilter ref="A1:I2">
    <filterColumn colId="0"/>
    <filterColumn colId="1"/>
    <filterColumn colId="2"/>
    <filterColumn colId="4"/>
    <filterColumn colId="5"/>
    <filterColumn colId="6"/>
    <filterColumn colId="7"/>
    <filterColumn colId="8"/>
  </autoFilter>
  <tableColumns count="9">
    <tableColumn id="7" name="Фамилия" dataDxfId="78"/>
    <tableColumn id="6" name="Имя" dataDxfId="77"/>
    <tableColumn id="4" name="Отчество" dataDxfId="76"/>
    <tableColumn id="5" name="Дата рождения" dataDxfId="75"/>
    <tableColumn id="3" name="ИНН" dataDxfId="74"/>
    <tableColumn id="1" name="Участник/Не участник" dataDxfId="73"/>
    <tableColumn id="2" name="Доход" dataDxfId="72"/>
    <tableColumn id="8" name="Пенсионные схемы" dataDxfId="71"/>
    <tableColumn id="9" name="Типы дохода" dataDxfId="7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0.xml"/><Relationship Id="rId13" Type="http://schemas.openxmlformats.org/officeDocument/2006/relationships/table" Target="../tables/table15.xml"/><Relationship Id="rId18" Type="http://schemas.openxmlformats.org/officeDocument/2006/relationships/table" Target="../tables/table20.xml"/><Relationship Id="rId3" Type="http://schemas.openxmlformats.org/officeDocument/2006/relationships/table" Target="../tables/table5.xml"/><Relationship Id="rId7" Type="http://schemas.openxmlformats.org/officeDocument/2006/relationships/table" Target="../tables/table9.xml"/><Relationship Id="rId12" Type="http://schemas.openxmlformats.org/officeDocument/2006/relationships/table" Target="../tables/table14.xml"/><Relationship Id="rId17" Type="http://schemas.openxmlformats.org/officeDocument/2006/relationships/table" Target="../tables/table19.xml"/><Relationship Id="rId2" Type="http://schemas.openxmlformats.org/officeDocument/2006/relationships/vmlDrawing" Target="../drawings/vmlDrawing1.vml"/><Relationship Id="rId16" Type="http://schemas.openxmlformats.org/officeDocument/2006/relationships/table" Target="../tables/table18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8.xml"/><Relationship Id="rId11" Type="http://schemas.openxmlformats.org/officeDocument/2006/relationships/table" Target="../tables/table13.xml"/><Relationship Id="rId5" Type="http://schemas.openxmlformats.org/officeDocument/2006/relationships/table" Target="../tables/table7.xml"/><Relationship Id="rId15" Type="http://schemas.openxmlformats.org/officeDocument/2006/relationships/table" Target="../tables/table17.xml"/><Relationship Id="rId10" Type="http://schemas.openxmlformats.org/officeDocument/2006/relationships/table" Target="../tables/table12.xml"/><Relationship Id="rId19" Type="http://schemas.openxmlformats.org/officeDocument/2006/relationships/comments" Target="../comments1.xml"/><Relationship Id="rId4" Type="http://schemas.openxmlformats.org/officeDocument/2006/relationships/table" Target="../tables/table6.xml"/><Relationship Id="rId9" Type="http://schemas.openxmlformats.org/officeDocument/2006/relationships/table" Target="../tables/table11.xml"/><Relationship Id="rId14" Type="http://schemas.openxmlformats.org/officeDocument/2006/relationships/table" Target="../tables/table1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4.xml"/><Relationship Id="rId2" Type="http://schemas.openxmlformats.org/officeDocument/2006/relationships/table" Target="../tables/table23.xml"/><Relationship Id="rId1" Type="http://schemas.openxmlformats.org/officeDocument/2006/relationships/printerSettings" Target="../printerSettings/printerSettings8.bin"/><Relationship Id="rId4" Type="http://schemas.openxmlformats.org/officeDocument/2006/relationships/table" Target="../tables/table2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7.xml"/><Relationship Id="rId2" Type="http://schemas.openxmlformats.org/officeDocument/2006/relationships/table" Target="../tables/table26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30.xml"/><Relationship Id="rId5" Type="http://schemas.openxmlformats.org/officeDocument/2006/relationships/table" Target="../tables/table29.xml"/><Relationship Id="rId4" Type="http://schemas.openxmlformats.org/officeDocument/2006/relationships/table" Target="../tables/table2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1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2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3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4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5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6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7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8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9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1.xml"/><Relationship Id="rId2" Type="http://schemas.openxmlformats.org/officeDocument/2006/relationships/table" Target="../tables/table40.xml"/><Relationship Id="rId1" Type="http://schemas.openxmlformats.org/officeDocument/2006/relationships/printerSettings" Target="../printerSettings/printerSettings19.bin"/><Relationship Id="rId4" Type="http://schemas.openxmlformats.org/officeDocument/2006/relationships/table" Target="../tables/table42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4.xml"/><Relationship Id="rId2" Type="http://schemas.openxmlformats.org/officeDocument/2006/relationships/table" Target="../tables/table43.xml"/><Relationship Id="rId1" Type="http://schemas.openxmlformats.org/officeDocument/2006/relationships/printerSettings" Target="../printerSettings/printerSettings20.bin"/><Relationship Id="rId6" Type="http://schemas.openxmlformats.org/officeDocument/2006/relationships/table" Target="../tables/table47.xml"/><Relationship Id="rId5" Type="http://schemas.openxmlformats.org/officeDocument/2006/relationships/table" Target="../tables/table46.xml"/><Relationship Id="rId4" Type="http://schemas.openxmlformats.org/officeDocument/2006/relationships/table" Target="../tables/table45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9.xml"/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J4"/>
  <sheetViews>
    <sheetView workbookViewId="0">
      <selection activeCell="A4" sqref="A4"/>
    </sheetView>
  </sheetViews>
  <sheetFormatPr defaultRowHeight="15"/>
  <cols>
    <col min="1" max="1" width="13.5703125" customWidth="1"/>
    <col min="2" max="2" width="12.42578125" customWidth="1"/>
    <col min="3" max="5" width="16.7109375" customWidth="1"/>
    <col min="6" max="7" width="13.5703125" customWidth="1"/>
    <col min="8" max="10" width="16.7109375" customWidth="1"/>
  </cols>
  <sheetData>
    <row r="1" spans="1:10" ht="31.5" customHeight="1">
      <c r="A1" s="157" t="s">
        <v>4</v>
      </c>
      <c r="B1" s="157"/>
      <c r="C1" s="157"/>
      <c r="D1" s="157"/>
      <c r="E1" s="157"/>
      <c r="F1" s="158" t="s">
        <v>23</v>
      </c>
      <c r="G1" s="158"/>
      <c r="H1" s="158"/>
      <c r="I1" s="158"/>
      <c r="J1" s="158"/>
    </row>
    <row r="2" spans="1:10" ht="78" customHeight="1">
      <c r="A2" s="19" t="s">
        <v>0</v>
      </c>
      <c r="B2" s="19" t="s">
        <v>30</v>
      </c>
      <c r="C2" s="20" t="s">
        <v>1</v>
      </c>
      <c r="D2" s="20" t="s">
        <v>2</v>
      </c>
      <c r="E2" s="19" t="s">
        <v>22</v>
      </c>
      <c r="F2" s="21" t="s">
        <v>29</v>
      </c>
      <c r="G2" s="21" t="s">
        <v>33</v>
      </c>
      <c r="H2" s="21" t="s">
        <v>1</v>
      </c>
      <c r="I2" s="21" t="s">
        <v>2</v>
      </c>
      <c r="J2" s="21" t="s">
        <v>22</v>
      </c>
    </row>
    <row r="3" spans="1:10">
      <c r="A3" s="22" t="s">
        <v>7</v>
      </c>
      <c r="B3" s="22" t="s">
        <v>8</v>
      </c>
      <c r="C3" s="22" t="s">
        <v>9</v>
      </c>
      <c r="D3" s="22" t="s">
        <v>10</v>
      </c>
      <c r="E3" s="22" t="s">
        <v>11</v>
      </c>
      <c r="F3" s="23" t="s">
        <v>12</v>
      </c>
      <c r="G3" s="23" t="s">
        <v>13</v>
      </c>
      <c r="H3" s="23" t="s">
        <v>14</v>
      </c>
      <c r="I3" s="23" t="s">
        <v>15</v>
      </c>
      <c r="J3" s="23" t="s">
        <v>16</v>
      </c>
    </row>
    <row r="4" spans="1:10">
      <c r="A4" s="1" t="s">
        <v>28</v>
      </c>
      <c r="B4" s="1"/>
      <c r="C4" s="24"/>
      <c r="D4" s="24"/>
      <c r="E4" s="24"/>
      <c r="F4" s="1"/>
      <c r="G4" s="1"/>
      <c r="H4" s="24"/>
      <c r="I4" s="24"/>
      <c r="J4" s="24"/>
    </row>
  </sheetData>
  <mergeCells count="2">
    <mergeCell ref="A1:E1"/>
    <mergeCell ref="F1:J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P5"/>
  <sheetViews>
    <sheetView workbookViewId="0">
      <selection activeCell="A5" sqref="A5"/>
    </sheetView>
  </sheetViews>
  <sheetFormatPr defaultRowHeight="15"/>
  <cols>
    <col min="1" max="1" width="13.5703125" customWidth="1"/>
    <col min="2" max="2" width="12.42578125" customWidth="1"/>
    <col min="3" max="3" width="20.85546875" customWidth="1"/>
    <col min="4" max="4" width="13.140625" customWidth="1"/>
    <col min="5" max="9" width="16.7109375" customWidth="1"/>
    <col min="10" max="11" width="13.5703125" customWidth="1"/>
    <col min="12" max="16" width="16.7109375" customWidth="1"/>
  </cols>
  <sheetData>
    <row r="1" spans="1:16" ht="31.5" customHeight="1">
      <c r="A1" s="163" t="s">
        <v>4</v>
      </c>
      <c r="B1" s="164"/>
      <c r="C1" s="164"/>
      <c r="D1" s="164"/>
      <c r="E1" s="164"/>
      <c r="F1" s="164"/>
      <c r="G1" s="164"/>
      <c r="H1" s="164"/>
      <c r="I1" s="165"/>
      <c r="J1" s="166" t="s">
        <v>23</v>
      </c>
      <c r="K1" s="167"/>
      <c r="L1" s="167"/>
      <c r="M1" s="167"/>
      <c r="N1" s="167"/>
      <c r="O1" s="167"/>
      <c r="P1" s="168"/>
    </row>
    <row r="2" spans="1:16" ht="24" customHeight="1">
      <c r="A2" s="169" t="s">
        <v>0</v>
      </c>
      <c r="B2" s="171" t="s">
        <v>30</v>
      </c>
      <c r="C2" s="171" t="s">
        <v>3</v>
      </c>
      <c r="D2" s="171" t="s">
        <v>31</v>
      </c>
      <c r="E2" s="173" t="s">
        <v>5</v>
      </c>
      <c r="F2" s="174"/>
      <c r="G2" s="175"/>
      <c r="H2" s="173" t="s">
        <v>6</v>
      </c>
      <c r="I2" s="176"/>
      <c r="J2" s="177" t="s">
        <v>29</v>
      </c>
      <c r="K2" s="177" t="s">
        <v>33</v>
      </c>
      <c r="L2" s="159" t="s">
        <v>5</v>
      </c>
      <c r="M2" s="160"/>
      <c r="N2" s="161"/>
      <c r="O2" s="159" t="s">
        <v>6</v>
      </c>
      <c r="P2" s="162"/>
    </row>
    <row r="3" spans="1:16" ht="38.25" customHeight="1">
      <c r="A3" s="170"/>
      <c r="B3" s="172"/>
      <c r="C3" s="172"/>
      <c r="D3" s="172"/>
      <c r="E3" s="2" t="s">
        <v>1</v>
      </c>
      <c r="F3" s="2" t="s">
        <v>2</v>
      </c>
      <c r="G3" s="18" t="s">
        <v>22</v>
      </c>
      <c r="H3" s="2" t="s">
        <v>1</v>
      </c>
      <c r="I3" s="3" t="s">
        <v>22</v>
      </c>
      <c r="J3" s="178"/>
      <c r="K3" s="178"/>
      <c r="L3" s="4" t="s">
        <v>1</v>
      </c>
      <c r="M3" s="4" t="s">
        <v>2</v>
      </c>
      <c r="N3" s="4" t="s">
        <v>22</v>
      </c>
      <c r="O3" s="4" t="s">
        <v>1</v>
      </c>
      <c r="P3" s="5" t="s">
        <v>22</v>
      </c>
    </row>
    <row r="4" spans="1:16">
      <c r="A4" s="10" t="s">
        <v>7</v>
      </c>
      <c r="B4" s="8" t="s">
        <v>8</v>
      </c>
      <c r="C4" s="8" t="s">
        <v>9</v>
      </c>
      <c r="D4" s="8" t="s">
        <v>10</v>
      </c>
      <c r="E4" s="8" t="s">
        <v>11</v>
      </c>
      <c r="F4" s="8" t="s">
        <v>12</v>
      </c>
      <c r="G4" s="8" t="s">
        <v>13</v>
      </c>
      <c r="H4" s="8" t="s">
        <v>14</v>
      </c>
      <c r="I4" s="8" t="s">
        <v>15</v>
      </c>
      <c r="J4" s="9" t="s">
        <v>16</v>
      </c>
      <c r="K4" s="9" t="s">
        <v>17</v>
      </c>
      <c r="L4" s="9" t="s">
        <v>18</v>
      </c>
      <c r="M4" s="9" t="s">
        <v>19</v>
      </c>
      <c r="N4" s="9" t="s">
        <v>20</v>
      </c>
      <c r="O4" s="9" t="s">
        <v>21</v>
      </c>
      <c r="P4" s="11" t="s">
        <v>24</v>
      </c>
    </row>
    <row r="5" spans="1:16">
      <c r="A5" s="12" t="s">
        <v>34</v>
      </c>
      <c r="B5" s="13"/>
      <c r="C5" s="14"/>
      <c r="D5" s="15"/>
      <c r="E5" s="16"/>
      <c r="F5" s="16"/>
      <c r="G5" s="16"/>
      <c r="H5" s="16"/>
      <c r="I5" s="16"/>
      <c r="J5" s="13"/>
      <c r="K5" s="13"/>
      <c r="L5" s="16"/>
      <c r="M5" s="16"/>
      <c r="N5" s="16"/>
      <c r="O5" s="16"/>
      <c r="P5" s="17"/>
    </row>
  </sheetData>
  <mergeCells count="12">
    <mergeCell ref="L2:N2"/>
    <mergeCell ref="O2:P2"/>
    <mergeCell ref="A1:I1"/>
    <mergeCell ref="J1:P1"/>
    <mergeCell ref="A2:A3"/>
    <mergeCell ref="B2:B3"/>
    <mergeCell ref="C2:C3"/>
    <mergeCell ref="D2:D3"/>
    <mergeCell ref="E2:G2"/>
    <mergeCell ref="H2:I2"/>
    <mergeCell ref="J2:J3"/>
    <mergeCell ref="K2:K3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:I3"/>
  <sheetViews>
    <sheetView workbookViewId="0">
      <selection activeCell="A4" sqref="A4"/>
    </sheetView>
  </sheetViews>
  <sheetFormatPr defaultRowHeight="15"/>
  <cols>
    <col min="1" max="2" width="13.140625" customWidth="1"/>
    <col min="3" max="4" width="15.28515625" customWidth="1"/>
    <col min="5" max="5" width="11.42578125" customWidth="1"/>
    <col min="6" max="6" width="10.5703125" customWidth="1"/>
    <col min="7" max="7" width="20.7109375" customWidth="1"/>
    <col min="8" max="8" width="62" customWidth="1"/>
    <col min="9" max="9" width="99" customWidth="1"/>
  </cols>
  <sheetData>
    <row r="1" spans="1:9" ht="31.5">
      <c r="A1" s="19" t="s">
        <v>36</v>
      </c>
      <c r="B1" s="19" t="s">
        <v>46</v>
      </c>
      <c r="C1" s="19" t="s">
        <v>37</v>
      </c>
      <c r="D1" s="25" t="s">
        <v>38</v>
      </c>
      <c r="E1" s="25" t="s">
        <v>39</v>
      </c>
      <c r="F1" s="19" t="s">
        <v>40</v>
      </c>
      <c r="G1" s="21" t="s">
        <v>41</v>
      </c>
      <c r="H1" s="21" t="s">
        <v>42</v>
      </c>
      <c r="I1" s="21" t="s">
        <v>43</v>
      </c>
    </row>
    <row r="2" spans="1:9">
      <c r="A2" s="22" t="s">
        <v>7</v>
      </c>
      <c r="B2" s="22" t="s">
        <v>8</v>
      </c>
      <c r="C2" s="22" t="s">
        <v>9</v>
      </c>
      <c r="D2" s="22" t="s">
        <v>10</v>
      </c>
      <c r="E2" s="22" t="s">
        <v>11</v>
      </c>
      <c r="F2" s="22" t="s">
        <v>12</v>
      </c>
      <c r="G2" s="23" t="s">
        <v>13</v>
      </c>
      <c r="H2" s="23" t="s">
        <v>14</v>
      </c>
      <c r="I2" s="23" t="s">
        <v>15</v>
      </c>
    </row>
    <row r="3" spans="1:9">
      <c r="A3" s="1" t="s">
        <v>44</v>
      </c>
      <c r="B3" s="27"/>
      <c r="C3" s="27"/>
      <c r="D3" s="28"/>
      <c r="E3" s="27"/>
      <c r="F3" s="27"/>
      <c r="G3" s="24"/>
      <c r="H3" s="29"/>
      <c r="I3" s="29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4"/>
  <dimension ref="A1:R4"/>
  <sheetViews>
    <sheetView workbookViewId="0">
      <selection activeCell="A4" sqref="A4"/>
    </sheetView>
  </sheetViews>
  <sheetFormatPr defaultRowHeight="15"/>
  <cols>
    <col min="1" max="2" width="9.140625" customWidth="1"/>
    <col min="3" max="3" width="13.5703125" customWidth="1"/>
    <col min="4" max="4" width="14.28515625" customWidth="1"/>
    <col min="5" max="6" width="9.140625" customWidth="1"/>
    <col min="7" max="10" width="13.5703125" customWidth="1"/>
    <col min="11" max="11" width="6.7109375" customWidth="1"/>
    <col min="12" max="12" width="13.5703125" customWidth="1"/>
    <col min="13" max="13" width="10.42578125" customWidth="1"/>
    <col min="14" max="14" width="8" customWidth="1"/>
    <col min="15" max="15" width="13.85546875" customWidth="1"/>
    <col min="16" max="18" width="26.42578125" customWidth="1"/>
  </cols>
  <sheetData>
    <row r="1" spans="1:18" ht="31.5" customHeight="1">
      <c r="A1" s="157" t="s">
        <v>60</v>
      </c>
      <c r="B1" s="157"/>
      <c r="C1" s="157"/>
      <c r="D1" s="157"/>
      <c r="E1" s="157" t="s">
        <v>59</v>
      </c>
      <c r="F1" s="157"/>
      <c r="G1" s="157"/>
      <c r="H1" s="157"/>
      <c r="I1" s="157"/>
      <c r="J1" s="157"/>
      <c r="K1" s="179" t="s">
        <v>53</v>
      </c>
      <c r="L1" s="179" t="s">
        <v>54</v>
      </c>
      <c r="M1" s="179" t="s">
        <v>39</v>
      </c>
      <c r="N1" s="179" t="s">
        <v>55</v>
      </c>
      <c r="O1" s="157" t="s">
        <v>61</v>
      </c>
      <c r="P1" s="157"/>
      <c r="Q1" s="157"/>
      <c r="R1" s="157"/>
    </row>
    <row r="2" spans="1:18" ht="31.5">
      <c r="A2" s="19" t="s">
        <v>52</v>
      </c>
      <c r="B2" s="19" t="s">
        <v>58</v>
      </c>
      <c r="C2" s="19" t="s">
        <v>48</v>
      </c>
      <c r="D2" s="19" t="s">
        <v>62</v>
      </c>
      <c r="E2" s="19" t="s">
        <v>51</v>
      </c>
      <c r="F2" s="19" t="s">
        <v>52</v>
      </c>
      <c r="G2" s="19" t="s">
        <v>48</v>
      </c>
      <c r="H2" s="19" t="s">
        <v>62</v>
      </c>
      <c r="I2" s="19" t="s">
        <v>56</v>
      </c>
      <c r="J2" s="19" t="s">
        <v>57</v>
      </c>
      <c r="K2" s="179"/>
      <c r="L2" s="179"/>
      <c r="M2" s="179"/>
      <c r="N2" s="179"/>
      <c r="O2" s="19" t="s">
        <v>63</v>
      </c>
      <c r="P2" s="19" t="s">
        <v>64</v>
      </c>
      <c r="Q2" s="19" t="s">
        <v>65</v>
      </c>
      <c r="R2" s="19" t="s">
        <v>66</v>
      </c>
    </row>
    <row r="3" spans="1:18" ht="15" customHeight="1">
      <c r="A3" s="22" t="s">
        <v>7</v>
      </c>
      <c r="B3" s="22" t="s">
        <v>8</v>
      </c>
      <c r="C3" s="22" t="s">
        <v>9</v>
      </c>
      <c r="D3" s="22" t="s">
        <v>10</v>
      </c>
      <c r="E3" s="22" t="s">
        <v>11</v>
      </c>
      <c r="F3" s="22" t="s">
        <v>12</v>
      </c>
      <c r="G3" s="22" t="s">
        <v>13</v>
      </c>
      <c r="H3" s="22" t="s">
        <v>14</v>
      </c>
      <c r="I3" s="22" t="s">
        <v>15</v>
      </c>
      <c r="J3" s="22" t="s">
        <v>16</v>
      </c>
      <c r="K3" s="22" t="s">
        <v>17</v>
      </c>
      <c r="L3" s="22" t="s">
        <v>18</v>
      </c>
      <c r="M3" s="22" t="s">
        <v>19</v>
      </c>
      <c r="N3" s="22" t="s">
        <v>20</v>
      </c>
      <c r="O3" s="22" t="s">
        <v>21</v>
      </c>
      <c r="P3" s="22" t="s">
        <v>24</v>
      </c>
      <c r="Q3" s="22" t="s">
        <v>49</v>
      </c>
      <c r="R3" s="22" t="s">
        <v>50</v>
      </c>
    </row>
    <row r="4" spans="1:18">
      <c r="A4" s="30" t="s">
        <v>67</v>
      </c>
      <c r="B4" s="30"/>
      <c r="C4" s="1"/>
      <c r="D4" s="27"/>
      <c r="E4" s="30"/>
      <c r="F4" s="30"/>
      <c r="G4" s="1"/>
      <c r="H4" s="27"/>
      <c r="I4" s="24"/>
      <c r="J4" s="24"/>
      <c r="K4" s="30"/>
      <c r="L4" s="30"/>
      <c r="M4" s="30"/>
      <c r="N4" s="30"/>
      <c r="O4" s="30"/>
      <c r="P4" s="29"/>
      <c r="Q4" s="29"/>
      <c r="R4" s="29"/>
    </row>
  </sheetData>
  <mergeCells count="7">
    <mergeCell ref="O1:R1"/>
    <mergeCell ref="A1:D1"/>
    <mergeCell ref="E1:J1"/>
    <mergeCell ref="K1:K2"/>
    <mergeCell ref="L1:L2"/>
    <mergeCell ref="M1:M2"/>
    <mergeCell ref="N1:N2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Settings"/>
  <dimension ref="A1:AZ21"/>
  <sheetViews>
    <sheetView workbookViewId="0">
      <selection activeCell="A5" sqref="A5"/>
    </sheetView>
  </sheetViews>
  <sheetFormatPr defaultRowHeight="15"/>
  <cols>
    <col min="1" max="2" width="25" customWidth="1"/>
    <col min="3" max="3" width="7.5703125" customWidth="1"/>
    <col min="4" max="4" width="32.42578125" bestFit="1" customWidth="1"/>
    <col min="5" max="5" width="23.85546875" bestFit="1" customWidth="1"/>
    <col min="6" max="6" width="7.5703125" customWidth="1"/>
    <col min="7" max="7" width="21.42578125" customWidth="1"/>
    <col min="8" max="8" width="18.140625" customWidth="1"/>
    <col min="9" max="9" width="23.85546875" bestFit="1" customWidth="1"/>
    <col min="10" max="10" width="23" customWidth="1"/>
    <col min="11" max="11" width="7.5703125" customWidth="1"/>
    <col min="12" max="13" width="30.7109375" bestFit="1" customWidth="1"/>
    <col min="14" max="14" width="32.42578125" bestFit="1" customWidth="1"/>
    <col min="15" max="16" width="16.7109375" customWidth="1"/>
    <col min="17" max="17" width="13.85546875" customWidth="1"/>
    <col min="18" max="18" width="7.5703125" customWidth="1"/>
    <col min="19" max="19" width="23" customWidth="1"/>
    <col min="20" max="20" width="30.7109375" bestFit="1" customWidth="1"/>
    <col min="21" max="21" width="7.5703125" customWidth="1"/>
    <col min="22" max="22" width="19.7109375" bestFit="1" customWidth="1"/>
    <col min="23" max="25" width="17.85546875" customWidth="1"/>
    <col min="26" max="26" width="34" bestFit="1" customWidth="1"/>
    <col min="27" max="27" width="7.5703125" customWidth="1"/>
    <col min="28" max="28" width="19.7109375" bestFit="1" customWidth="1"/>
    <col min="29" max="29" width="14.140625" bestFit="1" customWidth="1"/>
    <col min="30" max="30" width="11.28515625" customWidth="1"/>
    <col min="31" max="31" width="11.85546875" bestFit="1" customWidth="1"/>
    <col min="32" max="34" width="13.7109375" customWidth="1"/>
    <col min="35" max="35" width="7.5703125" customWidth="1"/>
    <col min="36" max="36" width="11.85546875" bestFit="1" customWidth="1"/>
    <col min="37" max="37" width="7.5703125" customWidth="1"/>
    <col min="38" max="38" width="13.140625" bestFit="1" customWidth="1"/>
    <col min="39" max="39" width="7.5703125" customWidth="1"/>
    <col min="40" max="40" width="12.140625" bestFit="1" customWidth="1"/>
    <col min="41" max="41" width="7.5703125" customWidth="1"/>
    <col min="42" max="42" width="13.7109375" bestFit="1" customWidth="1"/>
    <col min="43" max="43" width="7.5703125" customWidth="1"/>
    <col min="44" max="44" width="14" bestFit="1" customWidth="1"/>
    <col min="45" max="45" width="7.5703125" customWidth="1"/>
    <col min="46" max="46" width="12.140625" bestFit="1" customWidth="1"/>
    <col min="47" max="47" width="7.5703125" customWidth="1"/>
    <col min="48" max="48" width="13.5703125" customWidth="1"/>
    <col min="49" max="49" width="7.5703125" customWidth="1"/>
    <col min="52" max="52" width="11.28515625" bestFit="1" customWidth="1"/>
  </cols>
  <sheetData>
    <row r="1" spans="1:52" ht="29.25" customHeight="1">
      <c r="A1" s="181" t="s">
        <v>118</v>
      </c>
      <c r="B1" s="181"/>
      <c r="D1" s="180" t="s">
        <v>119</v>
      </c>
      <c r="E1" s="180"/>
      <c r="G1" s="180" t="s">
        <v>114</v>
      </c>
      <c r="H1" s="180"/>
      <c r="I1" s="180"/>
      <c r="J1" s="180"/>
      <c r="L1" s="180" t="s">
        <v>109</v>
      </c>
      <c r="M1" s="180"/>
      <c r="N1" s="180"/>
      <c r="O1" s="180"/>
      <c r="P1" s="180"/>
      <c r="Q1" s="180"/>
      <c r="S1" s="180" t="s">
        <v>115</v>
      </c>
      <c r="T1" s="180"/>
      <c r="V1" s="180" t="s">
        <v>106</v>
      </c>
      <c r="W1" s="180"/>
      <c r="X1" s="180"/>
      <c r="Y1" s="180"/>
      <c r="Z1" s="180"/>
      <c r="AB1" s="180" t="s">
        <v>146</v>
      </c>
      <c r="AC1" s="180"/>
      <c r="AD1" s="180"/>
      <c r="AE1" s="180"/>
      <c r="AF1" s="180"/>
      <c r="AG1" s="180"/>
      <c r="AH1" s="180"/>
      <c r="AJ1" s="38" t="s">
        <v>132</v>
      </c>
      <c r="AL1" s="38" t="s">
        <v>134</v>
      </c>
      <c r="AN1" s="38" t="s">
        <v>136</v>
      </c>
      <c r="AP1" s="38" t="s">
        <v>145</v>
      </c>
      <c r="AR1" s="38" t="s">
        <v>154</v>
      </c>
      <c r="AT1" s="38" t="s">
        <v>155</v>
      </c>
      <c r="AV1" s="38" t="s">
        <v>147</v>
      </c>
      <c r="AX1" s="38" t="s">
        <v>160</v>
      </c>
      <c r="AZ1" s="38" t="s">
        <v>171</v>
      </c>
    </row>
    <row r="2" spans="1:52">
      <c r="A2" s="6" t="s">
        <v>139</v>
      </c>
      <c r="B2" s="6" t="s">
        <v>117</v>
      </c>
      <c r="D2" t="s">
        <v>110</v>
      </c>
      <c r="E2" t="s">
        <v>124</v>
      </c>
      <c r="G2" t="s">
        <v>110</v>
      </c>
      <c r="H2" t="s">
        <v>126</v>
      </c>
      <c r="I2" t="s">
        <v>113</v>
      </c>
      <c r="J2" t="s">
        <v>171</v>
      </c>
      <c r="L2" t="s">
        <v>110</v>
      </c>
      <c r="M2" t="s">
        <v>32</v>
      </c>
      <c r="N2" t="s">
        <v>98</v>
      </c>
      <c r="O2" t="s">
        <v>133</v>
      </c>
      <c r="P2" t="s">
        <v>128</v>
      </c>
      <c r="Q2" t="s">
        <v>120</v>
      </c>
      <c r="S2" t="s">
        <v>110</v>
      </c>
      <c r="T2" t="s">
        <v>116</v>
      </c>
      <c r="V2" t="s">
        <v>110</v>
      </c>
      <c r="W2" t="s">
        <v>126</v>
      </c>
      <c r="X2" t="s">
        <v>142</v>
      </c>
      <c r="Y2" t="s">
        <v>148</v>
      </c>
      <c r="Z2" t="s">
        <v>130</v>
      </c>
      <c r="AB2" t="s">
        <v>128</v>
      </c>
      <c r="AC2" t="s">
        <v>156</v>
      </c>
      <c r="AD2" t="s">
        <v>147</v>
      </c>
      <c r="AE2" t="s">
        <v>157</v>
      </c>
      <c r="AF2" t="s">
        <v>158</v>
      </c>
      <c r="AG2" t="s">
        <v>163</v>
      </c>
      <c r="AH2" t="s">
        <v>170</v>
      </c>
      <c r="AJ2" t="s">
        <v>110</v>
      </c>
      <c r="AL2" t="s">
        <v>110</v>
      </c>
      <c r="AN2" t="s">
        <v>110</v>
      </c>
      <c r="AP2" t="s">
        <v>110</v>
      </c>
      <c r="AR2" t="s">
        <v>110</v>
      </c>
      <c r="AT2" t="s">
        <v>110</v>
      </c>
      <c r="AV2" t="s">
        <v>110</v>
      </c>
      <c r="AX2" t="s">
        <v>110</v>
      </c>
      <c r="AZ2" t="s">
        <v>110</v>
      </c>
    </row>
    <row r="3" spans="1:52">
      <c r="A3" s="6" t="s">
        <v>186</v>
      </c>
      <c r="B3" s="6" t="s">
        <v>187</v>
      </c>
      <c r="D3" t="s">
        <v>26</v>
      </c>
      <c r="E3" t="s">
        <v>28</v>
      </c>
      <c r="G3" t="s">
        <v>28</v>
      </c>
      <c r="H3" t="s">
        <v>107</v>
      </c>
      <c r="I3" t="s">
        <v>28</v>
      </c>
      <c r="L3" t="s">
        <v>28</v>
      </c>
      <c r="M3" t="s">
        <v>28</v>
      </c>
      <c r="N3" t="s">
        <v>26</v>
      </c>
      <c r="O3" t="s">
        <v>131</v>
      </c>
      <c r="P3" t="s">
        <v>129</v>
      </c>
      <c r="Q3" t="s">
        <v>137</v>
      </c>
      <c r="S3" t="s">
        <v>122</v>
      </c>
      <c r="T3" t="s">
        <v>140</v>
      </c>
      <c r="V3" s="6" t="s">
        <v>177</v>
      </c>
      <c r="W3" t="s">
        <v>127</v>
      </c>
      <c r="X3" t="s">
        <v>144</v>
      </c>
      <c r="Z3" t="s">
        <v>179</v>
      </c>
      <c r="AB3" s="6" t="s">
        <v>129</v>
      </c>
      <c r="AC3" t="s">
        <v>165</v>
      </c>
      <c r="AD3" t="s">
        <v>150</v>
      </c>
      <c r="AG3">
        <v>2000</v>
      </c>
      <c r="AH3" t="s">
        <v>144</v>
      </c>
      <c r="AJ3" s="36" t="s">
        <v>107</v>
      </c>
      <c r="AL3" t="s">
        <v>131</v>
      </c>
      <c r="AN3" t="s">
        <v>137</v>
      </c>
      <c r="AP3" t="s">
        <v>127</v>
      </c>
      <c r="AR3" t="s">
        <v>153</v>
      </c>
      <c r="AT3" t="s">
        <v>149</v>
      </c>
      <c r="AV3" t="s">
        <v>151</v>
      </c>
      <c r="AX3" t="s">
        <v>144</v>
      </c>
      <c r="AZ3" t="s">
        <v>172</v>
      </c>
    </row>
    <row r="4" spans="1:52">
      <c r="A4" s="7" t="s">
        <v>104</v>
      </c>
      <c r="B4" s="7" t="s">
        <v>25</v>
      </c>
      <c r="D4" t="s">
        <v>35</v>
      </c>
      <c r="E4" t="s">
        <v>34</v>
      </c>
      <c r="G4" t="s">
        <v>34</v>
      </c>
      <c r="H4" t="s">
        <v>107</v>
      </c>
      <c r="I4" t="s">
        <v>34</v>
      </c>
      <c r="L4" t="s">
        <v>34</v>
      </c>
      <c r="M4" t="s">
        <v>34</v>
      </c>
      <c r="N4" t="s">
        <v>35</v>
      </c>
      <c r="O4" t="s">
        <v>131</v>
      </c>
      <c r="P4" t="s">
        <v>129</v>
      </c>
      <c r="Q4" t="s">
        <v>137</v>
      </c>
      <c r="S4" t="s">
        <v>122</v>
      </c>
      <c r="T4" s="6" t="s">
        <v>198</v>
      </c>
      <c r="V4" s="6" t="s">
        <v>129</v>
      </c>
      <c r="W4" t="s">
        <v>164</v>
      </c>
      <c r="X4" t="s">
        <v>144</v>
      </c>
      <c r="Y4" t="s">
        <v>149</v>
      </c>
      <c r="Z4" s="6" t="s">
        <v>625</v>
      </c>
      <c r="AA4" s="6"/>
      <c r="AB4" s="46" t="s">
        <v>129</v>
      </c>
      <c r="AC4" s="6" t="s">
        <v>159</v>
      </c>
      <c r="AD4" s="6" t="s">
        <v>151</v>
      </c>
      <c r="AE4" s="6" t="s">
        <v>152</v>
      </c>
      <c r="AF4" s="6" t="s">
        <v>144</v>
      </c>
      <c r="AG4" s="6">
        <v>40</v>
      </c>
      <c r="AH4" s="6" t="s">
        <v>143</v>
      </c>
      <c r="AJ4" s="37" t="s">
        <v>108</v>
      </c>
      <c r="AL4" t="s">
        <v>135</v>
      </c>
      <c r="AN4" t="s">
        <v>121</v>
      </c>
      <c r="AP4" t="s">
        <v>164</v>
      </c>
      <c r="AV4" t="s">
        <v>150</v>
      </c>
      <c r="AX4" t="s">
        <v>143</v>
      </c>
    </row>
    <row r="5" spans="1:52">
      <c r="A5" s="7" t="s">
        <v>105</v>
      </c>
      <c r="B5" s="7" t="s">
        <v>27</v>
      </c>
      <c r="D5" t="s">
        <v>45</v>
      </c>
      <c r="E5" t="s">
        <v>44</v>
      </c>
      <c r="G5" t="s">
        <v>44</v>
      </c>
      <c r="H5" t="s">
        <v>107</v>
      </c>
      <c r="I5" t="s">
        <v>44</v>
      </c>
      <c r="L5" t="s">
        <v>44</v>
      </c>
      <c r="M5" t="s">
        <v>44</v>
      </c>
      <c r="N5" t="s">
        <v>45</v>
      </c>
      <c r="O5" t="s">
        <v>131</v>
      </c>
      <c r="P5" t="s">
        <v>129</v>
      </c>
      <c r="Q5" t="s">
        <v>137</v>
      </c>
      <c r="S5" t="s">
        <v>122</v>
      </c>
      <c r="T5" s="6" t="s">
        <v>199</v>
      </c>
      <c r="V5" s="6" t="s">
        <v>168</v>
      </c>
      <c r="W5" t="s">
        <v>127</v>
      </c>
      <c r="X5" s="6" t="s">
        <v>143</v>
      </c>
      <c r="Y5" s="6"/>
      <c r="Z5" s="6" t="s">
        <v>169</v>
      </c>
      <c r="AB5" s="46" t="s">
        <v>129</v>
      </c>
      <c r="AC5" s="6" t="s">
        <v>166</v>
      </c>
      <c r="AD5" s="6" t="s">
        <v>151</v>
      </c>
      <c r="AE5" s="6" t="s">
        <v>161</v>
      </c>
      <c r="AF5" s="6" t="s">
        <v>144</v>
      </c>
      <c r="AG5" s="6">
        <v>20</v>
      </c>
      <c r="AH5" s="6" t="s">
        <v>143</v>
      </c>
    </row>
    <row r="6" spans="1:52">
      <c r="A6" s="6" t="s">
        <v>125</v>
      </c>
      <c r="B6" s="6" t="str">
        <f>VLOOKUP(ReportSelected,Menu[],2,FALSE)</f>
        <v>employees_load</v>
      </c>
      <c r="D6" t="s">
        <v>68</v>
      </c>
      <c r="E6" t="s">
        <v>67</v>
      </c>
      <c r="G6" t="s">
        <v>67</v>
      </c>
      <c r="H6" t="s">
        <v>107</v>
      </c>
      <c r="I6" t="s">
        <v>67</v>
      </c>
      <c r="L6" t="s">
        <v>67</v>
      </c>
      <c r="M6" t="s">
        <v>67</v>
      </c>
      <c r="N6" t="s">
        <v>68</v>
      </c>
      <c r="O6" t="s">
        <v>131</v>
      </c>
      <c r="P6" t="s">
        <v>129</v>
      </c>
      <c r="Q6" t="s">
        <v>137</v>
      </c>
      <c r="S6" s="6" t="s">
        <v>78</v>
      </c>
      <c r="T6" s="6" t="s">
        <v>141</v>
      </c>
      <c r="V6" s="6" t="s">
        <v>173</v>
      </c>
      <c r="W6" t="s">
        <v>127</v>
      </c>
      <c r="X6" t="s">
        <v>143</v>
      </c>
      <c r="Y6" s="6"/>
      <c r="Z6" t="s">
        <v>174</v>
      </c>
      <c r="AB6" s="46" t="s">
        <v>129</v>
      </c>
      <c r="AC6" s="6" t="s">
        <v>167</v>
      </c>
      <c r="AD6" s="6" t="s">
        <v>151</v>
      </c>
      <c r="AE6" s="6" t="s">
        <v>162</v>
      </c>
      <c r="AF6" s="6" t="s">
        <v>144</v>
      </c>
      <c r="AG6" s="6">
        <v>20</v>
      </c>
      <c r="AH6" s="6" t="s">
        <v>143</v>
      </c>
    </row>
    <row r="7" spans="1:52">
      <c r="A7" s="39" t="s">
        <v>152</v>
      </c>
      <c r="B7" s="6" t="s">
        <v>185</v>
      </c>
      <c r="D7" t="s">
        <v>189</v>
      </c>
      <c r="E7" s="6" t="s">
        <v>188</v>
      </c>
      <c r="G7" t="s">
        <v>122</v>
      </c>
      <c r="H7" t="s">
        <v>107</v>
      </c>
      <c r="I7" t="s">
        <v>122</v>
      </c>
      <c r="L7" t="s">
        <v>122</v>
      </c>
      <c r="M7" t="s">
        <v>122</v>
      </c>
      <c r="N7" t="s">
        <v>77</v>
      </c>
      <c r="O7" t="s">
        <v>131</v>
      </c>
      <c r="Q7" t="s">
        <v>121</v>
      </c>
      <c r="S7" s="6" t="s">
        <v>78</v>
      </c>
      <c r="T7" s="6" t="s">
        <v>220</v>
      </c>
      <c r="V7" s="6" t="s">
        <v>178</v>
      </c>
      <c r="W7" t="s">
        <v>164</v>
      </c>
      <c r="X7" t="s">
        <v>144</v>
      </c>
      <c r="Y7" s="6"/>
      <c r="Z7" s="6" t="s">
        <v>626</v>
      </c>
      <c r="AB7" s="46" t="s">
        <v>168</v>
      </c>
      <c r="AC7" s="6" t="s">
        <v>159</v>
      </c>
      <c r="AD7" s="6" t="s">
        <v>151</v>
      </c>
      <c r="AE7" s="6" t="s">
        <v>152</v>
      </c>
      <c r="AF7" s="6" t="s">
        <v>144</v>
      </c>
      <c r="AG7" s="6">
        <v>40</v>
      </c>
      <c r="AH7" s="6" t="s">
        <v>143</v>
      </c>
    </row>
    <row r="8" spans="1:52">
      <c r="A8" s="6"/>
      <c r="B8" s="6"/>
      <c r="D8" s="6" t="s">
        <v>251</v>
      </c>
      <c r="E8" s="6" t="s">
        <v>252</v>
      </c>
      <c r="G8" t="s">
        <v>78</v>
      </c>
      <c r="H8" t="s">
        <v>107</v>
      </c>
      <c r="I8" t="s">
        <v>78</v>
      </c>
      <c r="L8" t="s">
        <v>78</v>
      </c>
      <c r="M8" t="s">
        <v>78</v>
      </c>
      <c r="N8" t="s">
        <v>79</v>
      </c>
      <c r="O8" t="s">
        <v>131</v>
      </c>
      <c r="Q8" t="s">
        <v>121</v>
      </c>
      <c r="S8" s="6" t="s">
        <v>78</v>
      </c>
      <c r="T8" s="6" t="s">
        <v>221</v>
      </c>
      <c r="V8" s="6" t="s">
        <v>188</v>
      </c>
      <c r="W8" t="s">
        <v>164</v>
      </c>
      <c r="X8" t="s">
        <v>144</v>
      </c>
      <c r="Y8" s="6"/>
      <c r="Z8" s="6" t="s">
        <v>627</v>
      </c>
      <c r="AB8" s="47" t="s">
        <v>168</v>
      </c>
      <c r="AC8" s="6" t="s">
        <v>166</v>
      </c>
      <c r="AD8" s="6" t="s">
        <v>151</v>
      </c>
      <c r="AE8" s="6" t="s">
        <v>161</v>
      </c>
      <c r="AF8" s="6" t="s">
        <v>144</v>
      </c>
      <c r="AG8" s="6">
        <v>20</v>
      </c>
      <c r="AH8" s="6" t="s">
        <v>143</v>
      </c>
    </row>
    <row r="9" spans="1:52">
      <c r="A9" s="6"/>
      <c r="B9" s="6"/>
      <c r="D9" s="6" t="s">
        <v>235</v>
      </c>
      <c r="E9" t="s">
        <v>236</v>
      </c>
      <c r="G9" t="s">
        <v>111</v>
      </c>
      <c r="H9" t="s">
        <v>107</v>
      </c>
      <c r="I9" t="s">
        <v>184</v>
      </c>
      <c r="J9" t="s">
        <v>172</v>
      </c>
      <c r="L9" t="s">
        <v>185</v>
      </c>
      <c r="M9" t="s">
        <v>183</v>
      </c>
      <c r="N9" t="s">
        <v>99</v>
      </c>
      <c r="O9" t="s">
        <v>131</v>
      </c>
      <c r="P9" t="s">
        <v>129</v>
      </c>
      <c r="Q9" t="s">
        <v>137</v>
      </c>
      <c r="S9" s="6" t="s">
        <v>78</v>
      </c>
      <c r="T9" s="6" t="s">
        <v>225</v>
      </c>
      <c r="AB9" s="47" t="s">
        <v>168</v>
      </c>
      <c r="AC9" s="6" t="s">
        <v>167</v>
      </c>
      <c r="AD9" s="6" t="s">
        <v>151</v>
      </c>
      <c r="AE9" s="6" t="s">
        <v>162</v>
      </c>
      <c r="AF9" s="6" t="s">
        <v>144</v>
      </c>
      <c r="AG9" s="6">
        <v>20</v>
      </c>
      <c r="AH9" s="6" t="s">
        <v>143</v>
      </c>
    </row>
    <row r="10" spans="1:52">
      <c r="A10" s="6"/>
      <c r="B10" s="6"/>
      <c r="D10" t="s">
        <v>77</v>
      </c>
      <c r="E10" t="s">
        <v>122</v>
      </c>
      <c r="G10" t="s">
        <v>111</v>
      </c>
      <c r="H10" t="s">
        <v>108</v>
      </c>
      <c r="I10" t="s">
        <v>173</v>
      </c>
      <c r="L10" t="s">
        <v>184</v>
      </c>
      <c r="M10" t="s">
        <v>97</v>
      </c>
      <c r="N10" t="s">
        <v>99</v>
      </c>
      <c r="O10" t="s">
        <v>131</v>
      </c>
      <c r="P10" s="6"/>
      <c r="Q10" t="s">
        <v>137</v>
      </c>
      <c r="S10" s="6" t="s">
        <v>78</v>
      </c>
      <c r="T10" s="6" t="s">
        <v>227</v>
      </c>
      <c r="AB10" s="6" t="s">
        <v>178</v>
      </c>
      <c r="AC10" t="s">
        <v>165</v>
      </c>
      <c r="AD10" t="s">
        <v>150</v>
      </c>
      <c r="AG10">
        <v>2000</v>
      </c>
      <c r="AH10" t="s">
        <v>144</v>
      </c>
    </row>
    <row r="11" spans="1:52">
      <c r="A11" s="6"/>
      <c r="B11" s="6"/>
      <c r="D11" t="s">
        <v>79</v>
      </c>
      <c r="E11" t="s">
        <v>78</v>
      </c>
      <c r="G11" t="s">
        <v>175</v>
      </c>
      <c r="H11" t="s">
        <v>108</v>
      </c>
      <c r="I11" t="s">
        <v>177</v>
      </c>
      <c r="L11" s="6" t="s">
        <v>198</v>
      </c>
      <c r="M11" s="6" t="s">
        <v>200</v>
      </c>
      <c r="N11" s="6" t="s">
        <v>198</v>
      </c>
      <c r="O11" t="s">
        <v>131</v>
      </c>
      <c r="P11" t="s">
        <v>129</v>
      </c>
      <c r="Q11" t="s">
        <v>137</v>
      </c>
      <c r="S11" s="6" t="s">
        <v>249</v>
      </c>
      <c r="T11" s="6" t="s">
        <v>247</v>
      </c>
      <c r="AB11" s="6" t="s">
        <v>178</v>
      </c>
      <c r="AC11" s="6" t="s">
        <v>176</v>
      </c>
      <c r="AD11" s="6" t="s">
        <v>151</v>
      </c>
      <c r="AE11" s="6" t="s">
        <v>162</v>
      </c>
      <c r="AF11" s="6" t="s">
        <v>144</v>
      </c>
      <c r="AG11" s="6">
        <v>20</v>
      </c>
      <c r="AH11" s="6" t="s">
        <v>143</v>
      </c>
    </row>
    <row r="12" spans="1:52">
      <c r="A12" s="6"/>
      <c r="B12" s="6"/>
      <c r="D12" s="6" t="s">
        <v>248</v>
      </c>
      <c r="E12" s="6" t="s">
        <v>249</v>
      </c>
      <c r="G12" t="s">
        <v>175</v>
      </c>
      <c r="H12" t="s">
        <v>108</v>
      </c>
      <c r="I12" t="s">
        <v>178</v>
      </c>
      <c r="L12" s="6" t="s">
        <v>199</v>
      </c>
      <c r="M12" s="6" t="s">
        <v>200</v>
      </c>
      <c r="N12" s="6" t="s">
        <v>199</v>
      </c>
      <c r="O12" t="s">
        <v>131</v>
      </c>
      <c r="P12" t="s">
        <v>129</v>
      </c>
      <c r="Q12" t="s">
        <v>137</v>
      </c>
      <c r="S12" s="6"/>
      <c r="AB12" s="47" t="s">
        <v>188</v>
      </c>
      <c r="AC12" t="s">
        <v>165</v>
      </c>
      <c r="AD12" t="s">
        <v>150</v>
      </c>
      <c r="AG12">
        <v>2000</v>
      </c>
      <c r="AH12" t="s">
        <v>144</v>
      </c>
    </row>
    <row r="13" spans="1:52">
      <c r="D13" t="s">
        <v>123</v>
      </c>
      <c r="E13" t="s">
        <v>111</v>
      </c>
      <c r="G13" t="s">
        <v>175</v>
      </c>
      <c r="H13" t="s">
        <v>107</v>
      </c>
      <c r="I13" t="s">
        <v>185</v>
      </c>
      <c r="L13" t="s">
        <v>140</v>
      </c>
      <c r="M13" s="6" t="s">
        <v>200</v>
      </c>
      <c r="N13" t="s">
        <v>140</v>
      </c>
      <c r="O13" t="s">
        <v>131</v>
      </c>
      <c r="P13" t="s">
        <v>129</v>
      </c>
      <c r="Q13" t="s">
        <v>137</v>
      </c>
      <c r="AB13" s="47" t="s">
        <v>188</v>
      </c>
      <c r="AC13" s="6" t="s">
        <v>167</v>
      </c>
      <c r="AD13" s="6" t="s">
        <v>151</v>
      </c>
      <c r="AE13" s="6" t="s">
        <v>162</v>
      </c>
      <c r="AF13" s="6" t="s">
        <v>144</v>
      </c>
      <c r="AG13" s="6">
        <v>20</v>
      </c>
      <c r="AH13" s="6" t="s">
        <v>143</v>
      </c>
    </row>
    <row r="14" spans="1:52">
      <c r="D14" t="s">
        <v>96</v>
      </c>
      <c r="E14" t="s">
        <v>112</v>
      </c>
      <c r="G14" t="s">
        <v>112</v>
      </c>
      <c r="H14" t="s">
        <v>107</v>
      </c>
      <c r="I14" t="s">
        <v>185</v>
      </c>
      <c r="L14" t="s">
        <v>141</v>
      </c>
      <c r="M14" s="6" t="s">
        <v>200</v>
      </c>
      <c r="N14" s="6" t="s">
        <v>141</v>
      </c>
      <c r="O14" t="s">
        <v>131</v>
      </c>
      <c r="P14" t="s">
        <v>129</v>
      </c>
      <c r="Q14" t="s">
        <v>137</v>
      </c>
    </row>
    <row r="15" spans="1:52">
      <c r="D15" s="6"/>
      <c r="G15" s="6" t="s">
        <v>188</v>
      </c>
      <c r="H15" t="s">
        <v>108</v>
      </c>
      <c r="I15" s="6" t="s">
        <v>188</v>
      </c>
      <c r="J15" s="6"/>
      <c r="L15" s="6" t="s">
        <v>220</v>
      </c>
      <c r="M15" s="6" t="s">
        <v>200</v>
      </c>
      <c r="N15" s="6" t="s">
        <v>220</v>
      </c>
      <c r="O15" t="s">
        <v>131</v>
      </c>
      <c r="P15" t="s">
        <v>129</v>
      </c>
      <c r="Q15" t="s">
        <v>137</v>
      </c>
    </row>
    <row r="16" spans="1:52">
      <c r="G16" s="6" t="s">
        <v>236</v>
      </c>
      <c r="H16" t="s">
        <v>107</v>
      </c>
      <c r="I16" t="s">
        <v>78</v>
      </c>
      <c r="J16" s="6"/>
      <c r="L16" s="6" t="s">
        <v>221</v>
      </c>
      <c r="M16" s="6" t="s">
        <v>200</v>
      </c>
      <c r="N16" s="6" t="s">
        <v>221</v>
      </c>
      <c r="O16" t="s">
        <v>131</v>
      </c>
      <c r="P16" t="s">
        <v>129</v>
      </c>
      <c r="Q16" t="s">
        <v>137</v>
      </c>
    </row>
    <row r="17" spans="7:17">
      <c r="G17" s="6" t="s">
        <v>236</v>
      </c>
      <c r="H17" t="s">
        <v>107</v>
      </c>
      <c r="I17" s="6" t="s">
        <v>122</v>
      </c>
      <c r="J17" s="6"/>
      <c r="L17" s="6" t="s">
        <v>225</v>
      </c>
      <c r="M17" s="6" t="s">
        <v>200</v>
      </c>
      <c r="N17" s="6" t="s">
        <v>225</v>
      </c>
      <c r="O17" t="s">
        <v>131</v>
      </c>
      <c r="P17" t="s">
        <v>129</v>
      </c>
      <c r="Q17" t="s">
        <v>137</v>
      </c>
    </row>
    <row r="18" spans="7:17">
      <c r="G18" s="6" t="s">
        <v>249</v>
      </c>
      <c r="H18" t="s">
        <v>107</v>
      </c>
      <c r="I18" s="6" t="s">
        <v>249</v>
      </c>
      <c r="J18" s="6"/>
      <c r="L18" s="6" t="s">
        <v>227</v>
      </c>
      <c r="M18" s="6" t="s">
        <v>200</v>
      </c>
      <c r="N18" s="6" t="s">
        <v>227</v>
      </c>
      <c r="O18" t="s">
        <v>131</v>
      </c>
      <c r="P18" t="s">
        <v>129</v>
      </c>
      <c r="Q18" t="s">
        <v>137</v>
      </c>
    </row>
    <row r="19" spans="7:17">
      <c r="G19" s="6" t="s">
        <v>252</v>
      </c>
      <c r="H19" s="6" t="s">
        <v>107</v>
      </c>
      <c r="I19" s="6" t="s">
        <v>249</v>
      </c>
      <c r="J19" s="6"/>
      <c r="L19" s="6" t="s">
        <v>249</v>
      </c>
      <c r="M19" s="6" t="s">
        <v>249</v>
      </c>
      <c r="N19" s="6" t="s">
        <v>250</v>
      </c>
      <c r="O19" t="s">
        <v>131</v>
      </c>
      <c r="Q19" t="s">
        <v>121</v>
      </c>
    </row>
    <row r="20" spans="7:17">
      <c r="G20" s="6" t="s">
        <v>252</v>
      </c>
      <c r="H20" s="6" t="s">
        <v>107</v>
      </c>
      <c r="I20" t="s">
        <v>78</v>
      </c>
      <c r="J20" s="6"/>
      <c r="L20" s="6" t="s">
        <v>247</v>
      </c>
      <c r="M20" s="6" t="s">
        <v>200</v>
      </c>
      <c r="N20" s="6" t="s">
        <v>247</v>
      </c>
      <c r="O20" t="s">
        <v>131</v>
      </c>
      <c r="P20" t="s">
        <v>129</v>
      </c>
      <c r="Q20" t="s">
        <v>137</v>
      </c>
    </row>
    <row r="21" spans="7:17">
      <c r="G21" s="6" t="s">
        <v>252</v>
      </c>
      <c r="H21" s="6" t="s">
        <v>107</v>
      </c>
      <c r="I21" s="6" t="s">
        <v>122</v>
      </c>
      <c r="J21" s="6"/>
    </row>
  </sheetData>
  <dataConsolidate/>
  <mergeCells count="7">
    <mergeCell ref="AB1:AH1"/>
    <mergeCell ref="V1:Z1"/>
    <mergeCell ref="L1:Q1"/>
    <mergeCell ref="S1:T1"/>
    <mergeCell ref="A1:B1"/>
    <mergeCell ref="D1:E1"/>
    <mergeCell ref="G1:J1"/>
  </mergeCells>
  <dataValidations count="13">
    <dataValidation type="list" allowBlank="1" showInputMessage="1" showErrorMessage="1" sqref="AI3:AI6">
      <formula1>INDIRECT("ParamPurpose[Code]")</formula1>
    </dataValidation>
    <dataValidation type="list" allowBlank="1" showInputMessage="1" showErrorMessage="1" sqref="AD3:AD13">
      <formula1>INDIRECT("Direction[Code]")</formula1>
    </dataValidation>
    <dataValidation type="list" allowBlank="1" showInputMessage="1" showErrorMessage="1" sqref="B7 L11:L12 T4:T11 S3:S12">
      <formula1>INDIRECT("Reports[Code]")</formula1>
    </dataValidation>
    <dataValidation type="list" allowBlank="1" showInputMessage="1" showErrorMessage="1" sqref="W3:W8">
      <formula1>INDIRECT("ProgramTypes[Code]")</formula1>
    </dataValidation>
    <dataValidation type="list" allowBlank="1" showInputMessage="1" showErrorMessage="1" sqref="Y3:Y8">
      <formula1>INDIRECT("ReturnTypes[Code]")</formula1>
    </dataValidation>
    <dataValidation type="list" allowBlank="1" showInputMessage="1" showErrorMessage="1" sqref="AF3:AF13 AH3:AH13">
      <formula1>INDIRECT("YesNo[Code]")</formula1>
    </dataValidation>
    <dataValidation type="whole" allowBlank="1" showInputMessage="1" showErrorMessage="1" sqref="AG3:AG13">
      <formula1>1</formula1>
      <formula2>32767</formula2>
    </dataValidation>
    <dataValidation type="list" allowBlank="1" showInputMessage="1" showErrorMessage="1" sqref="O3:O20">
      <formula1>INDIRECT("CreateModes[Code]")</formula1>
    </dataValidation>
    <dataValidation type="list" allowBlank="1" showInputMessage="1" showErrorMessage="1" sqref="Q3:Q20">
      <formula1>INDIRECT("ReportTypes[Code]")</formula1>
    </dataValidation>
    <dataValidation type="list" allowBlank="1" showInputMessage="1" showErrorMessage="1" sqref="P3:P20">
      <formula1>INDIRECT("Programs[Code]")</formula1>
    </dataValidation>
    <dataValidation type="list" allowBlank="1" showInputMessage="1" showErrorMessage="1" sqref="E14:E15 E3:E6 E9:E11">
      <formula1>INDIRECT("Actions[Code]")</formula1>
    </dataValidation>
    <dataValidation type="list" allowBlank="1" showInputMessage="1" showErrorMessage="1" sqref="H3:H21">
      <formula1>INDIRECT("ActionTypes[Code]")</formula1>
    </dataValidation>
    <dataValidation type="list" allowBlank="1" showInputMessage="1" showErrorMessage="1" sqref="J3:J21">
      <formula1>INDIRECT("AfterAction")</formula1>
    </dataValidation>
  </dataValidations>
  <pageMargins left="0.7" right="0.7" top="0.75" bottom="0.75" header="0.3" footer="0.3"/>
  <pageSetup paperSize="9" orientation="portrait" r:id="rId1"/>
  <legacyDrawing r:id="rId2"/>
  <tableParts count="16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Reports"/>
  <dimension ref="A1:F24"/>
  <sheetViews>
    <sheetView showGridLines="0" showRowColHeaders="0" zoomScale="175" zoomScaleNormal="175" workbookViewId="0">
      <selection activeCell="C2" sqref="C2"/>
    </sheetView>
  </sheetViews>
  <sheetFormatPr defaultColWidth="0" defaultRowHeight="15" zeroHeight="1"/>
  <cols>
    <col min="1" max="1" width="4.42578125" customWidth="1"/>
    <col min="2" max="2" width="17.7109375" customWidth="1"/>
    <col min="3" max="3" width="32.7109375" customWidth="1"/>
    <col min="4" max="4" width="12.140625" customWidth="1"/>
    <col min="5" max="5" width="4.42578125" customWidth="1"/>
    <col min="6" max="6" width="0" hidden="1" customWidth="1"/>
    <col min="7" max="16384" width="9.140625" hidden="1"/>
  </cols>
  <sheetData>
    <row r="1" spans="1:6">
      <c r="A1" s="32"/>
      <c r="B1" s="32"/>
      <c r="C1" s="32"/>
      <c r="D1" s="32"/>
      <c r="E1" s="32"/>
    </row>
    <row r="2" spans="1:6" ht="30.75" customHeight="1">
      <c r="A2" s="32"/>
      <c r="B2" s="31" t="s">
        <v>93</v>
      </c>
      <c r="C2" s="40" t="s">
        <v>123</v>
      </c>
      <c r="D2" s="32"/>
      <c r="E2" s="32"/>
    </row>
    <row r="3" spans="1:6" ht="28.5" customHeight="1">
      <c r="A3" s="32"/>
      <c r="B3" s="31"/>
      <c r="C3" s="43" t="s">
        <v>138</v>
      </c>
      <c r="D3" s="32"/>
      <c r="E3" s="32"/>
    </row>
    <row r="4" spans="1:6">
      <c r="A4" s="32"/>
      <c r="B4" s="31" t="s">
        <v>94</v>
      </c>
      <c r="C4" s="42">
        <v>42736</v>
      </c>
      <c r="D4" s="32"/>
      <c r="E4" s="32"/>
    </row>
    <row r="5" spans="1:6">
      <c r="A5" s="32"/>
      <c r="B5" s="31" t="s">
        <v>95</v>
      </c>
      <c r="C5" s="41">
        <v>42947</v>
      </c>
      <c r="D5" s="32"/>
      <c r="E5" s="32"/>
    </row>
    <row r="6" spans="1:6">
      <c r="A6" s="32"/>
      <c r="B6" s="32"/>
      <c r="C6" s="32"/>
      <c r="D6" s="32"/>
      <c r="E6" s="32"/>
    </row>
    <row r="7" spans="1:6" ht="1.5" customHeight="1">
      <c r="A7" s="185"/>
      <c r="B7" s="185"/>
      <c r="C7" s="185"/>
      <c r="D7" s="185"/>
      <c r="E7" s="185"/>
    </row>
    <row r="8" spans="1:6" ht="51" customHeight="1">
      <c r="A8" s="45"/>
      <c r="B8" s="186" t="s">
        <v>253</v>
      </c>
      <c r="C8" s="186"/>
      <c r="D8" s="186"/>
      <c r="E8" s="45"/>
    </row>
    <row r="9" spans="1:6" s="44" customFormat="1" ht="14.25" customHeight="1">
      <c r="A9" s="185"/>
      <c r="B9" s="185"/>
      <c r="C9" s="185"/>
      <c r="D9" s="185"/>
      <c r="E9" s="185"/>
    </row>
    <row r="10" spans="1:6" hidden="1">
      <c r="A10" s="182"/>
      <c r="B10" s="183"/>
      <c r="C10" s="183"/>
      <c r="D10" s="183"/>
      <c r="E10" s="184"/>
    </row>
    <row r="11" spans="1:6" hidden="1"/>
    <row r="12" spans="1:6" hidden="1"/>
    <row r="13" spans="1:6" hidden="1"/>
    <row r="14" spans="1:6" hidden="1">
      <c r="F14" s="26" t="s">
        <v>47</v>
      </c>
    </row>
    <row r="15" spans="1:6" hidden="1"/>
    <row r="16" spans="1:6" hidden="1"/>
    <row r="17" spans="5:5" hidden="1"/>
    <row r="18" spans="5:5" hidden="1"/>
    <row r="19" spans="5:5" hidden="1"/>
    <row r="20" spans="5:5" hidden="1"/>
    <row r="21" spans="5:5" hidden="1"/>
    <row r="22" spans="5:5" hidden="1"/>
    <row r="23" spans="5:5" hidden="1"/>
    <row r="24" spans="5:5" hidden="1">
      <c r="E24" s="26" t="s">
        <v>47</v>
      </c>
    </row>
  </sheetData>
  <dataConsolidate/>
  <mergeCells count="4">
    <mergeCell ref="A10:E10"/>
    <mergeCell ref="A7:E7"/>
    <mergeCell ref="A9:E9"/>
    <mergeCell ref="B8:D8"/>
  </mergeCells>
  <dataValidations count="1">
    <dataValidation type="list" allowBlank="1" showInputMessage="1" showErrorMessage="1" sqref="C2">
      <formula1>INDIRECT("Menu[Code]")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Лист21"/>
  <dimension ref="A1:I163"/>
  <sheetViews>
    <sheetView showGridLines="0" workbookViewId="0">
      <pane ySplit="1" topLeftCell="A131" activePane="bottomLeft" state="frozen"/>
      <selection pane="bottomLeft" activeCell="G1" sqref="G1"/>
    </sheetView>
  </sheetViews>
  <sheetFormatPr defaultRowHeight="15"/>
  <cols>
    <col min="1" max="3" width="21.42578125" customWidth="1"/>
    <col min="4" max="4" width="21.85546875" customWidth="1"/>
    <col min="5" max="5" width="28.42578125" customWidth="1"/>
    <col min="6" max="6" width="21.7109375" customWidth="1"/>
    <col min="7" max="7" width="19" customWidth="1"/>
    <col min="8" max="8" width="21.85546875" bestFit="1" customWidth="1"/>
    <col min="9" max="9" width="17.28515625" bestFit="1" customWidth="1"/>
  </cols>
  <sheetData>
    <row r="1" spans="1:9" ht="34.5" customHeight="1">
      <c r="A1" s="33" t="s">
        <v>64</v>
      </c>
      <c r="B1" s="48" t="s">
        <v>65</v>
      </c>
      <c r="C1" s="48" t="s">
        <v>66</v>
      </c>
      <c r="D1" s="48" t="s">
        <v>101</v>
      </c>
      <c r="E1" s="48" t="s">
        <v>103</v>
      </c>
      <c r="F1" s="52" t="s">
        <v>180</v>
      </c>
      <c r="G1" s="52" t="s">
        <v>1</v>
      </c>
      <c r="H1" s="52" t="s">
        <v>181</v>
      </c>
      <c r="I1" s="53" t="s">
        <v>182</v>
      </c>
    </row>
    <row r="2" spans="1:9">
      <c r="A2" t="s">
        <v>628</v>
      </c>
      <c r="B2" s="49" t="s">
        <v>475</v>
      </c>
      <c r="C2" s="49" t="s">
        <v>426</v>
      </c>
      <c r="D2" s="50">
        <v>30032</v>
      </c>
      <c r="E2" s="49" t="s">
        <v>629</v>
      </c>
      <c r="F2" s="49" t="s">
        <v>630</v>
      </c>
      <c r="G2" s="49" t="s">
        <v>631</v>
      </c>
      <c r="H2" s="49"/>
      <c r="I2" s="51"/>
    </row>
    <row r="3" spans="1:9">
      <c r="A3" s="199" t="s">
        <v>632</v>
      </c>
      <c r="B3" s="80" t="s">
        <v>386</v>
      </c>
      <c r="C3" s="80" t="s">
        <v>429</v>
      </c>
      <c r="D3" s="200">
        <v>31999</v>
      </c>
      <c r="E3" s="80" t="s">
        <v>633</v>
      </c>
      <c r="F3" s="80" t="s">
        <v>634</v>
      </c>
      <c r="G3" s="80" t="s">
        <v>631</v>
      </c>
      <c r="H3" s="80"/>
      <c r="I3" s="201"/>
    </row>
    <row r="4" spans="1:9">
      <c r="A4" s="199" t="s">
        <v>632</v>
      </c>
      <c r="B4" s="80" t="s">
        <v>635</v>
      </c>
      <c r="C4" s="80" t="s">
        <v>429</v>
      </c>
      <c r="D4" s="200">
        <v>31999</v>
      </c>
      <c r="E4" s="80"/>
      <c r="F4" s="80" t="s">
        <v>634</v>
      </c>
      <c r="G4" s="80" t="s">
        <v>631</v>
      </c>
      <c r="H4" s="80"/>
      <c r="I4" s="201"/>
    </row>
    <row r="5" spans="1:9">
      <c r="A5" s="199" t="s">
        <v>636</v>
      </c>
      <c r="B5" s="80" t="s">
        <v>493</v>
      </c>
      <c r="C5" s="80" t="s">
        <v>523</v>
      </c>
      <c r="D5" s="200">
        <v>28612</v>
      </c>
      <c r="E5" s="80" t="s">
        <v>637</v>
      </c>
      <c r="F5" s="80" t="s">
        <v>630</v>
      </c>
      <c r="G5" s="80" t="s">
        <v>631</v>
      </c>
      <c r="H5" s="80"/>
      <c r="I5" s="201"/>
    </row>
    <row r="6" spans="1:9">
      <c r="A6" s="199" t="s">
        <v>636</v>
      </c>
      <c r="B6" s="80" t="s">
        <v>638</v>
      </c>
      <c r="C6" s="80" t="s">
        <v>639</v>
      </c>
      <c r="D6" s="200">
        <v>30860</v>
      </c>
      <c r="E6" s="80" t="s">
        <v>640</v>
      </c>
      <c r="F6" s="80" t="s">
        <v>634</v>
      </c>
      <c r="G6" s="80" t="s">
        <v>631</v>
      </c>
      <c r="H6" s="80"/>
      <c r="I6" s="201"/>
    </row>
    <row r="7" spans="1:9">
      <c r="A7" s="199" t="s">
        <v>641</v>
      </c>
      <c r="B7" s="80" t="s">
        <v>642</v>
      </c>
      <c r="C7" s="80" t="s">
        <v>450</v>
      </c>
      <c r="D7" s="200">
        <v>28379</v>
      </c>
      <c r="E7" s="80" t="s">
        <v>643</v>
      </c>
      <c r="F7" s="80" t="s">
        <v>630</v>
      </c>
      <c r="G7" s="80" t="s">
        <v>631</v>
      </c>
      <c r="H7" s="80" t="s">
        <v>10</v>
      </c>
      <c r="I7" s="201"/>
    </row>
    <row r="8" spans="1:9">
      <c r="A8" s="199" t="s">
        <v>644</v>
      </c>
      <c r="B8" s="80" t="s">
        <v>425</v>
      </c>
      <c r="C8" s="80" t="s">
        <v>423</v>
      </c>
      <c r="D8" s="200">
        <v>24262</v>
      </c>
      <c r="E8" s="80" t="s">
        <v>645</v>
      </c>
      <c r="F8" s="80" t="s">
        <v>630</v>
      </c>
      <c r="G8" s="80" t="s">
        <v>631</v>
      </c>
      <c r="H8" s="80" t="s">
        <v>646</v>
      </c>
      <c r="I8" s="201"/>
    </row>
    <row r="9" spans="1:9">
      <c r="A9" s="199" t="s">
        <v>647</v>
      </c>
      <c r="B9" s="80" t="s">
        <v>425</v>
      </c>
      <c r="C9" s="80" t="s">
        <v>507</v>
      </c>
      <c r="D9" s="200">
        <v>19425</v>
      </c>
      <c r="E9" s="80" t="s">
        <v>648</v>
      </c>
      <c r="F9" s="80" t="s">
        <v>630</v>
      </c>
      <c r="G9" s="80" t="s">
        <v>631</v>
      </c>
      <c r="H9" s="80" t="s">
        <v>10</v>
      </c>
      <c r="I9" s="201"/>
    </row>
    <row r="10" spans="1:9">
      <c r="A10" s="199" t="s">
        <v>649</v>
      </c>
      <c r="B10" s="80" t="s">
        <v>487</v>
      </c>
      <c r="C10" s="80" t="s">
        <v>396</v>
      </c>
      <c r="D10" s="200">
        <v>25720</v>
      </c>
      <c r="E10" s="80" t="s">
        <v>650</v>
      </c>
      <c r="F10" s="80" t="s">
        <v>630</v>
      </c>
      <c r="G10" s="80" t="s">
        <v>651</v>
      </c>
      <c r="H10" s="80" t="s">
        <v>652</v>
      </c>
      <c r="I10" s="201" t="s">
        <v>364</v>
      </c>
    </row>
    <row r="11" spans="1:9">
      <c r="A11" s="199" t="s">
        <v>653</v>
      </c>
      <c r="B11" s="80" t="s">
        <v>413</v>
      </c>
      <c r="C11" s="80" t="s">
        <v>654</v>
      </c>
      <c r="D11" s="200">
        <v>30866</v>
      </c>
      <c r="E11" s="80" t="s">
        <v>655</v>
      </c>
      <c r="F11" s="80" t="s">
        <v>634</v>
      </c>
      <c r="G11" s="80" t="s">
        <v>631</v>
      </c>
      <c r="H11" s="80"/>
      <c r="I11" s="201"/>
    </row>
    <row r="12" spans="1:9">
      <c r="A12" s="199" t="s">
        <v>656</v>
      </c>
      <c r="B12" s="80" t="s">
        <v>473</v>
      </c>
      <c r="C12" s="80" t="s">
        <v>429</v>
      </c>
      <c r="D12" s="200">
        <v>25703</v>
      </c>
      <c r="E12" s="80" t="s">
        <v>657</v>
      </c>
      <c r="F12" s="80" t="s">
        <v>630</v>
      </c>
      <c r="G12" s="80" t="s">
        <v>631</v>
      </c>
      <c r="H12" s="80" t="s">
        <v>9</v>
      </c>
      <c r="I12" s="201"/>
    </row>
    <row r="13" spans="1:9">
      <c r="A13" s="199" t="s">
        <v>658</v>
      </c>
      <c r="B13" s="80" t="s">
        <v>659</v>
      </c>
      <c r="C13" s="80" t="s">
        <v>426</v>
      </c>
      <c r="D13" s="200">
        <v>32315</v>
      </c>
      <c r="E13" s="80"/>
      <c r="F13" s="80" t="s">
        <v>630</v>
      </c>
      <c r="G13" s="80" t="s">
        <v>631</v>
      </c>
      <c r="H13" s="80"/>
      <c r="I13" s="201"/>
    </row>
    <row r="14" spans="1:9">
      <c r="A14" s="199" t="s">
        <v>660</v>
      </c>
      <c r="B14" s="80" t="s">
        <v>404</v>
      </c>
      <c r="C14" s="80" t="s">
        <v>471</v>
      </c>
      <c r="D14" s="200">
        <v>25810</v>
      </c>
      <c r="E14" s="80" t="s">
        <v>661</v>
      </c>
      <c r="F14" s="80" t="s">
        <v>630</v>
      </c>
      <c r="G14" s="80" t="s">
        <v>631</v>
      </c>
      <c r="H14" s="80" t="s">
        <v>8</v>
      </c>
      <c r="I14" s="201"/>
    </row>
    <row r="15" spans="1:9">
      <c r="A15" s="199" t="s">
        <v>662</v>
      </c>
      <c r="B15" s="80" t="s">
        <v>425</v>
      </c>
      <c r="C15" s="80" t="s">
        <v>482</v>
      </c>
      <c r="D15" s="200">
        <v>26209</v>
      </c>
      <c r="E15" s="80" t="s">
        <v>663</v>
      </c>
      <c r="F15" s="80" t="s">
        <v>630</v>
      </c>
      <c r="G15" s="80" t="s">
        <v>631</v>
      </c>
      <c r="H15" s="80" t="s">
        <v>9</v>
      </c>
      <c r="I15" s="201"/>
    </row>
    <row r="16" spans="1:9">
      <c r="A16" s="199" t="s">
        <v>664</v>
      </c>
      <c r="B16" s="80" t="s">
        <v>642</v>
      </c>
      <c r="C16" s="80" t="s">
        <v>620</v>
      </c>
      <c r="D16" s="200">
        <v>31742</v>
      </c>
      <c r="E16" s="80" t="s">
        <v>665</v>
      </c>
      <c r="F16" s="80" t="s">
        <v>634</v>
      </c>
      <c r="G16" s="80" t="s">
        <v>631</v>
      </c>
      <c r="H16" s="80"/>
      <c r="I16" s="201"/>
    </row>
    <row r="17" spans="1:9">
      <c r="A17" s="199" t="s">
        <v>666</v>
      </c>
      <c r="B17" s="80" t="s">
        <v>667</v>
      </c>
      <c r="C17" s="80" t="s">
        <v>668</v>
      </c>
      <c r="D17" s="200">
        <v>25739</v>
      </c>
      <c r="E17" s="80" t="s">
        <v>669</v>
      </c>
      <c r="F17" s="80" t="s">
        <v>630</v>
      </c>
      <c r="G17" s="80" t="s">
        <v>631</v>
      </c>
      <c r="H17" s="80" t="s">
        <v>10</v>
      </c>
      <c r="I17" s="201"/>
    </row>
    <row r="18" spans="1:9">
      <c r="A18" s="199" t="s">
        <v>670</v>
      </c>
      <c r="B18" s="80" t="s">
        <v>671</v>
      </c>
      <c r="C18" s="80" t="s">
        <v>561</v>
      </c>
      <c r="D18" s="200">
        <v>25712</v>
      </c>
      <c r="E18" s="80" t="s">
        <v>672</v>
      </c>
      <c r="F18" s="80" t="s">
        <v>630</v>
      </c>
      <c r="G18" s="80" t="s">
        <v>631</v>
      </c>
      <c r="H18" s="80"/>
      <c r="I18" s="201"/>
    </row>
    <row r="19" spans="1:9">
      <c r="A19" s="199" t="s">
        <v>673</v>
      </c>
      <c r="B19" s="80" t="s">
        <v>383</v>
      </c>
      <c r="C19" s="80" t="s">
        <v>384</v>
      </c>
      <c r="D19" s="200">
        <v>25813</v>
      </c>
      <c r="E19" s="80" t="s">
        <v>674</v>
      </c>
      <c r="F19" s="80" t="s">
        <v>630</v>
      </c>
      <c r="G19" s="80" t="s">
        <v>631</v>
      </c>
      <c r="H19" s="80" t="s">
        <v>10</v>
      </c>
      <c r="I19" s="201"/>
    </row>
    <row r="20" spans="1:9">
      <c r="A20" s="199" t="s">
        <v>675</v>
      </c>
      <c r="B20" s="80" t="s">
        <v>386</v>
      </c>
      <c r="C20" s="80" t="s">
        <v>411</v>
      </c>
      <c r="D20" s="200">
        <v>32035</v>
      </c>
      <c r="E20" s="80"/>
      <c r="F20" s="80" t="s">
        <v>634</v>
      </c>
      <c r="G20" s="80" t="s">
        <v>631</v>
      </c>
      <c r="H20" s="80"/>
      <c r="I20" s="201"/>
    </row>
    <row r="21" spans="1:9">
      <c r="A21" s="199" t="s">
        <v>676</v>
      </c>
      <c r="B21" s="80" t="s">
        <v>404</v>
      </c>
      <c r="C21" s="80" t="s">
        <v>482</v>
      </c>
      <c r="D21" s="200">
        <v>20122</v>
      </c>
      <c r="E21" s="80" t="s">
        <v>677</v>
      </c>
      <c r="F21" s="80" t="s">
        <v>630</v>
      </c>
      <c r="G21" s="80" t="s">
        <v>631</v>
      </c>
      <c r="H21" s="80" t="s">
        <v>10</v>
      </c>
      <c r="I21" s="201"/>
    </row>
    <row r="22" spans="1:9">
      <c r="A22" s="199" t="s">
        <v>678</v>
      </c>
      <c r="B22" s="80" t="s">
        <v>679</v>
      </c>
      <c r="C22" s="80" t="s">
        <v>396</v>
      </c>
      <c r="D22" s="200">
        <v>22487</v>
      </c>
      <c r="E22" s="80"/>
      <c r="F22" s="80" t="s">
        <v>630</v>
      </c>
      <c r="G22" s="80" t="s">
        <v>631</v>
      </c>
      <c r="H22" s="80" t="s">
        <v>7</v>
      </c>
      <c r="I22" s="201"/>
    </row>
    <row r="23" spans="1:9">
      <c r="A23" s="199" t="s">
        <v>680</v>
      </c>
      <c r="B23" s="80" t="s">
        <v>681</v>
      </c>
      <c r="C23" s="80" t="s">
        <v>485</v>
      </c>
      <c r="D23" s="200">
        <v>33874</v>
      </c>
      <c r="E23" s="80"/>
      <c r="F23" s="80" t="s">
        <v>630</v>
      </c>
      <c r="G23" s="80" t="s">
        <v>631</v>
      </c>
      <c r="H23" s="80"/>
      <c r="I23" s="201"/>
    </row>
    <row r="24" spans="1:9">
      <c r="A24" s="199" t="s">
        <v>449</v>
      </c>
      <c r="B24" s="80" t="s">
        <v>566</v>
      </c>
      <c r="C24" s="80" t="s">
        <v>548</v>
      </c>
      <c r="D24" s="200">
        <v>25293</v>
      </c>
      <c r="E24" s="80" t="s">
        <v>682</v>
      </c>
      <c r="F24" s="80" t="s">
        <v>630</v>
      </c>
      <c r="G24" s="80" t="s">
        <v>631</v>
      </c>
      <c r="H24" s="80" t="s">
        <v>10</v>
      </c>
      <c r="I24" s="201"/>
    </row>
    <row r="25" spans="1:9">
      <c r="A25" s="199" t="s">
        <v>683</v>
      </c>
      <c r="B25" s="80" t="s">
        <v>410</v>
      </c>
      <c r="C25" s="80" t="s">
        <v>668</v>
      </c>
      <c r="D25" s="200">
        <v>27202</v>
      </c>
      <c r="E25" s="80" t="s">
        <v>684</v>
      </c>
      <c r="F25" s="80" t="s">
        <v>630</v>
      </c>
      <c r="G25" s="80" t="s">
        <v>631</v>
      </c>
      <c r="H25" s="80"/>
      <c r="I25" s="201"/>
    </row>
    <row r="26" spans="1:9">
      <c r="A26" s="199" t="s">
        <v>685</v>
      </c>
      <c r="B26" s="80" t="s">
        <v>581</v>
      </c>
      <c r="C26" s="80" t="s">
        <v>384</v>
      </c>
      <c r="D26" s="200">
        <v>29275</v>
      </c>
      <c r="E26" s="80" t="s">
        <v>686</v>
      </c>
      <c r="F26" s="80" t="s">
        <v>630</v>
      </c>
      <c r="G26" s="80" t="s">
        <v>631</v>
      </c>
      <c r="H26" s="80"/>
      <c r="I26" s="201"/>
    </row>
    <row r="27" spans="1:9">
      <c r="A27" s="199" t="s">
        <v>687</v>
      </c>
      <c r="B27" s="80" t="s">
        <v>688</v>
      </c>
      <c r="C27" s="80" t="s">
        <v>689</v>
      </c>
      <c r="D27" s="200">
        <v>26873</v>
      </c>
      <c r="E27" s="80" t="s">
        <v>690</v>
      </c>
      <c r="F27" s="80" t="s">
        <v>630</v>
      </c>
      <c r="G27" s="80" t="s">
        <v>631</v>
      </c>
      <c r="H27" s="80"/>
      <c r="I27" s="201"/>
    </row>
    <row r="28" spans="1:9">
      <c r="A28" s="199" t="s">
        <v>691</v>
      </c>
      <c r="B28" s="80" t="s">
        <v>692</v>
      </c>
      <c r="C28" s="80" t="s">
        <v>491</v>
      </c>
      <c r="D28" s="200">
        <v>30741</v>
      </c>
      <c r="E28" s="80" t="s">
        <v>693</v>
      </c>
      <c r="F28" s="80" t="s">
        <v>634</v>
      </c>
      <c r="G28" s="80" t="s">
        <v>631</v>
      </c>
      <c r="H28" s="80"/>
      <c r="I28" s="201"/>
    </row>
    <row r="29" spans="1:9">
      <c r="A29" s="199" t="s">
        <v>694</v>
      </c>
      <c r="B29" s="80" t="s">
        <v>695</v>
      </c>
      <c r="C29" s="80" t="s">
        <v>689</v>
      </c>
      <c r="D29" s="200">
        <v>30512</v>
      </c>
      <c r="E29" s="80" t="s">
        <v>696</v>
      </c>
      <c r="F29" s="80" t="s">
        <v>634</v>
      </c>
      <c r="G29" s="80" t="s">
        <v>631</v>
      </c>
      <c r="H29" s="80"/>
      <c r="I29" s="201"/>
    </row>
    <row r="30" spans="1:9">
      <c r="A30" s="199" t="s">
        <v>697</v>
      </c>
      <c r="B30" s="80" t="s">
        <v>552</v>
      </c>
      <c r="C30" s="80" t="s">
        <v>698</v>
      </c>
      <c r="D30" s="200">
        <v>22876</v>
      </c>
      <c r="E30" s="80" t="s">
        <v>699</v>
      </c>
      <c r="F30" s="80" t="s">
        <v>630</v>
      </c>
      <c r="G30" s="80" t="s">
        <v>631</v>
      </c>
      <c r="H30" s="80" t="s">
        <v>10</v>
      </c>
      <c r="I30" s="201"/>
    </row>
    <row r="31" spans="1:9">
      <c r="A31" s="199" t="s">
        <v>700</v>
      </c>
      <c r="B31" s="80" t="s">
        <v>671</v>
      </c>
      <c r="C31" s="80" t="s">
        <v>396</v>
      </c>
      <c r="D31" s="200">
        <v>31388</v>
      </c>
      <c r="E31" s="80" t="s">
        <v>701</v>
      </c>
      <c r="F31" s="80" t="s">
        <v>630</v>
      </c>
      <c r="G31" s="80" t="s">
        <v>631</v>
      </c>
      <c r="H31" s="80"/>
      <c r="I31" s="201"/>
    </row>
    <row r="32" spans="1:9">
      <c r="A32" s="199" t="s">
        <v>702</v>
      </c>
      <c r="B32" s="80" t="s">
        <v>487</v>
      </c>
      <c r="C32" s="80" t="s">
        <v>491</v>
      </c>
      <c r="D32" s="200">
        <v>30944</v>
      </c>
      <c r="E32" s="80" t="s">
        <v>703</v>
      </c>
      <c r="F32" s="80" t="s">
        <v>630</v>
      </c>
      <c r="G32" s="80" t="s">
        <v>631</v>
      </c>
      <c r="H32" s="80" t="s">
        <v>8</v>
      </c>
      <c r="I32" s="201"/>
    </row>
    <row r="33" spans="1:9">
      <c r="A33" s="199" t="s">
        <v>704</v>
      </c>
      <c r="B33" s="80" t="s">
        <v>552</v>
      </c>
      <c r="C33" s="80" t="s">
        <v>444</v>
      </c>
      <c r="D33" s="200">
        <v>30942</v>
      </c>
      <c r="E33" s="80" t="s">
        <v>705</v>
      </c>
      <c r="F33" s="80" t="s">
        <v>630</v>
      </c>
      <c r="G33" s="80" t="s">
        <v>631</v>
      </c>
      <c r="H33" s="80"/>
      <c r="I33" s="201"/>
    </row>
    <row r="34" spans="1:9">
      <c r="A34" s="199" t="s">
        <v>706</v>
      </c>
      <c r="B34" s="80" t="s">
        <v>401</v>
      </c>
      <c r="C34" s="80" t="s">
        <v>707</v>
      </c>
      <c r="D34" s="200">
        <v>21431</v>
      </c>
      <c r="E34" s="80" t="s">
        <v>708</v>
      </c>
      <c r="F34" s="80" t="s">
        <v>630</v>
      </c>
      <c r="G34" s="80" t="s">
        <v>631</v>
      </c>
      <c r="H34" s="80" t="s">
        <v>10</v>
      </c>
      <c r="I34" s="201"/>
    </row>
    <row r="35" spans="1:9">
      <c r="A35" s="199" t="s">
        <v>709</v>
      </c>
      <c r="B35" s="80" t="s">
        <v>473</v>
      </c>
      <c r="C35" s="80" t="s">
        <v>710</v>
      </c>
      <c r="D35" s="200">
        <v>23832</v>
      </c>
      <c r="E35" s="80" t="s">
        <v>711</v>
      </c>
      <c r="F35" s="80" t="s">
        <v>630</v>
      </c>
      <c r="G35" s="80" t="s">
        <v>631</v>
      </c>
      <c r="H35" s="80"/>
      <c r="I35" s="201"/>
    </row>
    <row r="36" spans="1:9">
      <c r="A36" s="199" t="s">
        <v>712</v>
      </c>
      <c r="B36" s="80" t="s">
        <v>475</v>
      </c>
      <c r="C36" s="80" t="s">
        <v>561</v>
      </c>
      <c r="D36" s="200">
        <v>30938</v>
      </c>
      <c r="E36" s="80" t="s">
        <v>713</v>
      </c>
      <c r="F36" s="80" t="s">
        <v>630</v>
      </c>
      <c r="G36" s="80" t="s">
        <v>631</v>
      </c>
      <c r="H36" s="80" t="s">
        <v>9</v>
      </c>
      <c r="I36" s="201"/>
    </row>
    <row r="37" spans="1:9">
      <c r="A37" s="199" t="s">
        <v>714</v>
      </c>
      <c r="B37" s="80" t="s">
        <v>477</v>
      </c>
      <c r="C37" s="80" t="s">
        <v>444</v>
      </c>
      <c r="D37" s="200">
        <v>24451</v>
      </c>
      <c r="E37" s="80" t="s">
        <v>715</v>
      </c>
      <c r="F37" s="80" t="s">
        <v>630</v>
      </c>
      <c r="G37" s="80" t="s">
        <v>631</v>
      </c>
      <c r="H37" s="80"/>
      <c r="I37" s="201"/>
    </row>
    <row r="38" spans="1:9">
      <c r="A38" s="199" t="s">
        <v>716</v>
      </c>
      <c r="B38" s="80" t="s">
        <v>717</v>
      </c>
      <c r="C38" s="80" t="s">
        <v>718</v>
      </c>
      <c r="D38" s="200">
        <v>30001</v>
      </c>
      <c r="E38" s="80" t="s">
        <v>719</v>
      </c>
      <c r="F38" s="80" t="s">
        <v>630</v>
      </c>
      <c r="G38" s="80" t="s">
        <v>631</v>
      </c>
      <c r="H38" s="80" t="s">
        <v>8</v>
      </c>
      <c r="I38" s="201"/>
    </row>
    <row r="39" spans="1:9">
      <c r="A39" s="199" t="s">
        <v>720</v>
      </c>
      <c r="B39" s="80" t="s">
        <v>386</v>
      </c>
      <c r="C39" s="80" t="s">
        <v>414</v>
      </c>
      <c r="D39" s="200">
        <v>23550</v>
      </c>
      <c r="E39" s="80"/>
      <c r="F39" s="80" t="s">
        <v>634</v>
      </c>
      <c r="G39" s="80" t="s">
        <v>631</v>
      </c>
      <c r="H39" s="80"/>
      <c r="I39" s="201"/>
    </row>
    <row r="40" spans="1:9">
      <c r="A40" s="199" t="s">
        <v>721</v>
      </c>
      <c r="B40" s="80" t="s">
        <v>581</v>
      </c>
      <c r="C40" s="80" t="s">
        <v>411</v>
      </c>
      <c r="D40" s="200">
        <v>29163</v>
      </c>
      <c r="E40" s="80" t="s">
        <v>722</v>
      </c>
      <c r="F40" s="80" t="s">
        <v>630</v>
      </c>
      <c r="G40" s="80" t="s">
        <v>631</v>
      </c>
      <c r="H40" s="80"/>
      <c r="I40" s="201"/>
    </row>
    <row r="41" spans="1:9">
      <c r="A41" s="199" t="s">
        <v>723</v>
      </c>
      <c r="B41" s="80" t="s">
        <v>695</v>
      </c>
      <c r="C41" s="80" t="s">
        <v>724</v>
      </c>
      <c r="D41" s="200">
        <v>34598</v>
      </c>
      <c r="E41" s="80" t="s">
        <v>725</v>
      </c>
      <c r="F41" s="80" t="s">
        <v>634</v>
      </c>
      <c r="G41" s="80" t="s">
        <v>631</v>
      </c>
      <c r="H41" s="80"/>
      <c r="I41" s="201"/>
    </row>
    <row r="42" spans="1:9">
      <c r="A42" s="199" t="s">
        <v>726</v>
      </c>
      <c r="B42" s="80" t="s">
        <v>434</v>
      </c>
      <c r="C42" s="80" t="s">
        <v>387</v>
      </c>
      <c r="D42" s="200">
        <v>21559</v>
      </c>
      <c r="E42" s="80" t="s">
        <v>727</v>
      </c>
      <c r="F42" s="80" t="s">
        <v>634</v>
      </c>
      <c r="G42" s="80" t="s">
        <v>631</v>
      </c>
      <c r="H42" s="80"/>
      <c r="I42" s="201"/>
    </row>
    <row r="43" spans="1:9">
      <c r="A43" s="199" t="s">
        <v>728</v>
      </c>
      <c r="B43" s="80" t="s">
        <v>477</v>
      </c>
      <c r="C43" s="80" t="s">
        <v>387</v>
      </c>
      <c r="D43" s="200">
        <v>20429</v>
      </c>
      <c r="E43" s="80" t="s">
        <v>729</v>
      </c>
      <c r="F43" s="80" t="s">
        <v>630</v>
      </c>
      <c r="G43" s="80" t="s">
        <v>631</v>
      </c>
      <c r="H43" s="80" t="s">
        <v>10</v>
      </c>
      <c r="I43" s="201"/>
    </row>
    <row r="44" spans="1:9">
      <c r="A44" s="199" t="s">
        <v>730</v>
      </c>
      <c r="B44" s="80" t="s">
        <v>671</v>
      </c>
      <c r="C44" s="80" t="s">
        <v>731</v>
      </c>
      <c r="D44" s="200">
        <v>31278</v>
      </c>
      <c r="E44" s="80" t="s">
        <v>732</v>
      </c>
      <c r="F44" s="80" t="s">
        <v>634</v>
      </c>
      <c r="G44" s="80" t="s">
        <v>631</v>
      </c>
      <c r="H44" s="80"/>
      <c r="I44" s="201"/>
    </row>
    <row r="45" spans="1:9">
      <c r="A45" s="199" t="s">
        <v>733</v>
      </c>
      <c r="B45" s="80" t="s">
        <v>383</v>
      </c>
      <c r="C45" s="80" t="s">
        <v>411</v>
      </c>
      <c r="D45" s="200">
        <v>29517</v>
      </c>
      <c r="E45" s="80" t="s">
        <v>734</v>
      </c>
      <c r="F45" s="80" t="s">
        <v>630</v>
      </c>
      <c r="G45" s="80" t="s">
        <v>631</v>
      </c>
      <c r="H45" s="80"/>
      <c r="I45" s="201"/>
    </row>
    <row r="46" spans="1:9">
      <c r="A46" s="199" t="s">
        <v>735</v>
      </c>
      <c r="B46" s="80" t="s">
        <v>531</v>
      </c>
      <c r="C46" s="80" t="s">
        <v>402</v>
      </c>
      <c r="D46" s="200">
        <v>21711</v>
      </c>
      <c r="E46" s="80" t="s">
        <v>736</v>
      </c>
      <c r="F46" s="80" t="s">
        <v>630</v>
      </c>
      <c r="G46" s="80" t="s">
        <v>631</v>
      </c>
      <c r="H46" s="80" t="s">
        <v>9</v>
      </c>
      <c r="I46" s="201"/>
    </row>
    <row r="47" spans="1:9">
      <c r="A47" s="199" t="s">
        <v>737</v>
      </c>
      <c r="B47" s="80" t="s">
        <v>563</v>
      </c>
      <c r="C47" s="80" t="s">
        <v>738</v>
      </c>
      <c r="D47" s="200">
        <v>32260</v>
      </c>
      <c r="E47" s="80" t="s">
        <v>739</v>
      </c>
      <c r="F47" s="80" t="s">
        <v>634</v>
      </c>
      <c r="G47" s="80" t="s">
        <v>631</v>
      </c>
      <c r="H47" s="80"/>
      <c r="I47" s="201"/>
    </row>
    <row r="48" spans="1:9">
      <c r="A48" s="199" t="s">
        <v>740</v>
      </c>
      <c r="B48" s="80" t="s">
        <v>425</v>
      </c>
      <c r="C48" s="80" t="s">
        <v>426</v>
      </c>
      <c r="D48" s="200">
        <v>22906</v>
      </c>
      <c r="E48" s="80" t="s">
        <v>741</v>
      </c>
      <c r="F48" s="80" t="s">
        <v>630</v>
      </c>
      <c r="G48" s="80" t="s">
        <v>631</v>
      </c>
      <c r="H48" s="80" t="s">
        <v>10</v>
      </c>
      <c r="I48" s="201"/>
    </row>
    <row r="49" spans="1:9">
      <c r="A49" s="199" t="s">
        <v>742</v>
      </c>
      <c r="B49" s="80" t="s">
        <v>386</v>
      </c>
      <c r="C49" s="80" t="s">
        <v>408</v>
      </c>
      <c r="D49" s="200">
        <v>25422</v>
      </c>
      <c r="E49" s="80" t="s">
        <v>743</v>
      </c>
      <c r="F49" s="80" t="s">
        <v>630</v>
      </c>
      <c r="G49" s="80" t="s">
        <v>631</v>
      </c>
      <c r="H49" s="80" t="s">
        <v>10</v>
      </c>
      <c r="I49" s="201"/>
    </row>
    <row r="50" spans="1:9">
      <c r="A50" s="199" t="s">
        <v>744</v>
      </c>
      <c r="B50" s="80" t="s">
        <v>745</v>
      </c>
      <c r="C50" s="80" t="s">
        <v>405</v>
      </c>
      <c r="D50" s="200">
        <v>32770</v>
      </c>
      <c r="E50" s="80" t="s">
        <v>746</v>
      </c>
      <c r="F50" s="80" t="s">
        <v>634</v>
      </c>
      <c r="G50" s="80" t="s">
        <v>631</v>
      </c>
      <c r="H50" s="80"/>
      <c r="I50" s="201"/>
    </row>
    <row r="51" spans="1:9">
      <c r="A51" s="199" t="s">
        <v>747</v>
      </c>
      <c r="B51" s="80" t="s">
        <v>487</v>
      </c>
      <c r="C51" s="80" t="s">
        <v>423</v>
      </c>
      <c r="D51" s="200">
        <v>22404</v>
      </c>
      <c r="E51" s="80" t="s">
        <v>748</v>
      </c>
      <c r="F51" s="80" t="s">
        <v>630</v>
      </c>
      <c r="G51" s="80" t="s">
        <v>651</v>
      </c>
      <c r="H51" s="80" t="s">
        <v>749</v>
      </c>
      <c r="I51" s="201" t="s">
        <v>362</v>
      </c>
    </row>
    <row r="52" spans="1:9">
      <c r="A52" s="199" t="s">
        <v>750</v>
      </c>
      <c r="B52" s="80" t="s">
        <v>751</v>
      </c>
      <c r="C52" s="80" t="s">
        <v>396</v>
      </c>
      <c r="D52" s="200">
        <v>29398</v>
      </c>
      <c r="E52" s="80" t="s">
        <v>752</v>
      </c>
      <c r="F52" s="80" t="s">
        <v>630</v>
      </c>
      <c r="G52" s="80" t="s">
        <v>631</v>
      </c>
      <c r="H52" s="80" t="s">
        <v>753</v>
      </c>
      <c r="I52" s="201"/>
    </row>
    <row r="53" spans="1:9">
      <c r="A53" s="199" t="s">
        <v>754</v>
      </c>
      <c r="B53" s="80" t="s">
        <v>475</v>
      </c>
      <c r="C53" s="80" t="s">
        <v>426</v>
      </c>
      <c r="D53" s="200">
        <v>26996</v>
      </c>
      <c r="E53" s="80" t="s">
        <v>755</v>
      </c>
      <c r="F53" s="80" t="s">
        <v>630</v>
      </c>
      <c r="G53" s="80" t="s">
        <v>631</v>
      </c>
      <c r="H53" s="80" t="s">
        <v>753</v>
      </c>
      <c r="I53" s="201"/>
    </row>
    <row r="54" spans="1:9">
      <c r="A54" s="199" t="s">
        <v>756</v>
      </c>
      <c r="B54" s="80" t="s">
        <v>389</v>
      </c>
      <c r="C54" s="80" t="s">
        <v>544</v>
      </c>
      <c r="D54" s="200">
        <v>23219</v>
      </c>
      <c r="E54" s="80"/>
      <c r="F54" s="80" t="s">
        <v>630</v>
      </c>
      <c r="G54" s="80" t="s">
        <v>631</v>
      </c>
      <c r="H54" s="80" t="s">
        <v>7</v>
      </c>
      <c r="I54" s="201"/>
    </row>
    <row r="55" spans="1:9">
      <c r="A55" s="199" t="s">
        <v>757</v>
      </c>
      <c r="B55" s="80" t="s">
        <v>758</v>
      </c>
      <c r="C55" s="80" t="s">
        <v>426</v>
      </c>
      <c r="D55" s="200">
        <v>31240</v>
      </c>
      <c r="E55" s="80" t="s">
        <v>759</v>
      </c>
      <c r="F55" s="80" t="s">
        <v>634</v>
      </c>
      <c r="G55" s="80" t="s">
        <v>631</v>
      </c>
      <c r="H55" s="80"/>
      <c r="I55" s="201"/>
    </row>
    <row r="56" spans="1:9">
      <c r="A56" s="199" t="s">
        <v>760</v>
      </c>
      <c r="B56" s="80" t="s">
        <v>761</v>
      </c>
      <c r="C56" s="80" t="s">
        <v>540</v>
      </c>
      <c r="D56" s="200">
        <v>22715</v>
      </c>
      <c r="E56" s="80" t="s">
        <v>762</v>
      </c>
      <c r="F56" s="80" t="s">
        <v>630</v>
      </c>
      <c r="G56" s="80" t="s">
        <v>631</v>
      </c>
      <c r="H56" s="80" t="s">
        <v>646</v>
      </c>
      <c r="I56" s="201"/>
    </row>
    <row r="57" spans="1:9">
      <c r="A57" s="199" t="s">
        <v>760</v>
      </c>
      <c r="B57" s="80" t="s">
        <v>487</v>
      </c>
      <c r="C57" s="80" t="s">
        <v>763</v>
      </c>
      <c r="D57" s="200">
        <v>21031</v>
      </c>
      <c r="E57" s="80" t="s">
        <v>764</v>
      </c>
      <c r="F57" s="80" t="s">
        <v>630</v>
      </c>
      <c r="G57" s="80" t="s">
        <v>631</v>
      </c>
      <c r="H57" s="80" t="s">
        <v>765</v>
      </c>
      <c r="I57" s="201"/>
    </row>
    <row r="58" spans="1:9">
      <c r="A58" s="199" t="s">
        <v>766</v>
      </c>
      <c r="B58" s="80" t="s">
        <v>413</v>
      </c>
      <c r="C58" s="80" t="s">
        <v>402</v>
      </c>
      <c r="D58" s="200">
        <v>22588</v>
      </c>
      <c r="E58" s="80" t="s">
        <v>767</v>
      </c>
      <c r="F58" s="80" t="s">
        <v>630</v>
      </c>
      <c r="G58" s="80" t="s">
        <v>631</v>
      </c>
      <c r="H58" s="80" t="s">
        <v>10</v>
      </c>
      <c r="I58" s="201"/>
    </row>
    <row r="59" spans="1:9">
      <c r="A59" s="199" t="s">
        <v>768</v>
      </c>
      <c r="B59" s="80" t="s">
        <v>758</v>
      </c>
      <c r="C59" s="80" t="s">
        <v>405</v>
      </c>
      <c r="D59" s="200">
        <v>28827</v>
      </c>
      <c r="E59" s="80" t="s">
        <v>769</v>
      </c>
      <c r="F59" s="80" t="s">
        <v>630</v>
      </c>
      <c r="G59" s="80" t="s">
        <v>631</v>
      </c>
      <c r="H59" s="80" t="s">
        <v>9</v>
      </c>
      <c r="I59" s="201"/>
    </row>
    <row r="60" spans="1:9">
      <c r="A60" s="199" t="s">
        <v>770</v>
      </c>
      <c r="B60" s="80" t="s">
        <v>389</v>
      </c>
      <c r="C60" s="80" t="s">
        <v>426</v>
      </c>
      <c r="D60" s="200">
        <v>32699</v>
      </c>
      <c r="E60" s="80" t="s">
        <v>771</v>
      </c>
      <c r="F60" s="80" t="s">
        <v>630</v>
      </c>
      <c r="G60" s="80" t="s">
        <v>631</v>
      </c>
      <c r="H60" s="80"/>
      <c r="I60" s="201"/>
    </row>
    <row r="61" spans="1:9">
      <c r="A61" s="199" t="s">
        <v>772</v>
      </c>
      <c r="B61" s="80" t="s">
        <v>389</v>
      </c>
      <c r="C61" s="80" t="s">
        <v>482</v>
      </c>
      <c r="D61" s="200">
        <v>19894</v>
      </c>
      <c r="E61" s="80" t="s">
        <v>773</v>
      </c>
      <c r="F61" s="80" t="s">
        <v>630</v>
      </c>
      <c r="G61" s="80" t="s">
        <v>631</v>
      </c>
      <c r="H61" s="80" t="s">
        <v>753</v>
      </c>
      <c r="I61" s="201"/>
    </row>
    <row r="62" spans="1:9">
      <c r="A62" s="199" t="s">
        <v>774</v>
      </c>
      <c r="B62" s="80" t="s">
        <v>383</v>
      </c>
      <c r="C62" s="80" t="s">
        <v>775</v>
      </c>
      <c r="D62" s="200">
        <v>22453</v>
      </c>
      <c r="E62" s="80" t="s">
        <v>776</v>
      </c>
      <c r="F62" s="80" t="s">
        <v>630</v>
      </c>
      <c r="G62" s="80" t="s">
        <v>631</v>
      </c>
      <c r="H62" s="80" t="s">
        <v>10</v>
      </c>
      <c r="I62" s="201"/>
    </row>
    <row r="63" spans="1:9">
      <c r="A63" s="199" t="s">
        <v>777</v>
      </c>
      <c r="B63" s="80" t="s">
        <v>401</v>
      </c>
      <c r="C63" s="80" t="s">
        <v>402</v>
      </c>
      <c r="D63" s="200">
        <v>22266</v>
      </c>
      <c r="E63" s="80" t="s">
        <v>778</v>
      </c>
      <c r="F63" s="80" t="s">
        <v>630</v>
      </c>
      <c r="G63" s="80" t="s">
        <v>631</v>
      </c>
      <c r="H63" s="80" t="s">
        <v>9</v>
      </c>
      <c r="I63" s="201"/>
    </row>
    <row r="64" spans="1:9">
      <c r="A64" s="199" t="s">
        <v>779</v>
      </c>
      <c r="B64" s="80" t="s">
        <v>487</v>
      </c>
      <c r="C64" s="80" t="s">
        <v>396</v>
      </c>
      <c r="D64" s="200">
        <v>24323</v>
      </c>
      <c r="E64" s="80" t="s">
        <v>780</v>
      </c>
      <c r="F64" s="80" t="s">
        <v>630</v>
      </c>
      <c r="G64" s="80" t="s">
        <v>631</v>
      </c>
      <c r="H64" s="80" t="s">
        <v>10</v>
      </c>
      <c r="I64" s="201"/>
    </row>
    <row r="65" spans="1:9">
      <c r="A65" s="199" t="s">
        <v>781</v>
      </c>
      <c r="B65" s="80" t="s">
        <v>477</v>
      </c>
      <c r="C65" s="80" t="s">
        <v>408</v>
      </c>
      <c r="D65" s="200">
        <v>25579</v>
      </c>
      <c r="E65" s="80" t="s">
        <v>782</v>
      </c>
      <c r="F65" s="80" t="s">
        <v>630</v>
      </c>
      <c r="G65" s="80" t="s">
        <v>631</v>
      </c>
      <c r="H65" s="80" t="s">
        <v>10</v>
      </c>
      <c r="I65" s="201"/>
    </row>
    <row r="66" spans="1:9">
      <c r="A66" s="199" t="s">
        <v>783</v>
      </c>
      <c r="B66" s="80" t="s">
        <v>413</v>
      </c>
      <c r="C66" s="80" t="s">
        <v>489</v>
      </c>
      <c r="D66" s="200">
        <v>29284</v>
      </c>
      <c r="E66" s="80" t="s">
        <v>784</v>
      </c>
      <c r="F66" s="80" t="s">
        <v>634</v>
      </c>
      <c r="G66" s="80" t="s">
        <v>631</v>
      </c>
      <c r="H66" s="80"/>
      <c r="I66" s="201"/>
    </row>
    <row r="67" spans="1:9">
      <c r="A67" s="199" t="s">
        <v>785</v>
      </c>
      <c r="B67" s="80" t="s">
        <v>581</v>
      </c>
      <c r="C67" s="80" t="s">
        <v>435</v>
      </c>
      <c r="D67" s="200">
        <v>28436</v>
      </c>
      <c r="E67" s="80"/>
      <c r="F67" s="80" t="s">
        <v>634</v>
      </c>
      <c r="G67" s="80" t="s">
        <v>631</v>
      </c>
      <c r="H67" s="80"/>
      <c r="I67" s="201"/>
    </row>
    <row r="68" spans="1:9">
      <c r="A68" s="199" t="s">
        <v>786</v>
      </c>
      <c r="B68" s="80" t="s">
        <v>787</v>
      </c>
      <c r="C68" s="80" t="s">
        <v>426</v>
      </c>
      <c r="D68" s="200">
        <v>28892</v>
      </c>
      <c r="E68" s="80" t="s">
        <v>788</v>
      </c>
      <c r="F68" s="80" t="s">
        <v>630</v>
      </c>
      <c r="G68" s="80" t="s">
        <v>631</v>
      </c>
      <c r="H68" s="80" t="s">
        <v>10</v>
      </c>
      <c r="I68" s="201"/>
    </row>
    <row r="69" spans="1:9">
      <c r="A69" s="199" t="s">
        <v>789</v>
      </c>
      <c r="B69" s="80" t="s">
        <v>552</v>
      </c>
      <c r="C69" s="80" t="s">
        <v>450</v>
      </c>
      <c r="D69" s="200">
        <v>29693</v>
      </c>
      <c r="E69" s="80" t="s">
        <v>790</v>
      </c>
      <c r="F69" s="80" t="s">
        <v>630</v>
      </c>
      <c r="G69" s="80" t="s">
        <v>631</v>
      </c>
      <c r="H69" s="80"/>
      <c r="I69" s="201"/>
    </row>
    <row r="70" spans="1:9">
      <c r="A70" s="199" t="s">
        <v>791</v>
      </c>
      <c r="B70" s="80" t="s">
        <v>425</v>
      </c>
      <c r="C70" s="80" t="s">
        <v>482</v>
      </c>
      <c r="D70" s="200">
        <v>30403</v>
      </c>
      <c r="E70" s="80" t="s">
        <v>792</v>
      </c>
      <c r="F70" s="80" t="s">
        <v>630</v>
      </c>
      <c r="G70" s="80" t="s">
        <v>631</v>
      </c>
      <c r="H70" s="80" t="s">
        <v>9</v>
      </c>
      <c r="I70" s="201"/>
    </row>
    <row r="71" spans="1:9">
      <c r="A71" s="199" t="s">
        <v>793</v>
      </c>
      <c r="B71" s="80" t="s">
        <v>425</v>
      </c>
      <c r="C71" s="80" t="s">
        <v>426</v>
      </c>
      <c r="D71" s="200">
        <v>29789</v>
      </c>
      <c r="E71" s="80" t="s">
        <v>794</v>
      </c>
      <c r="F71" s="80" t="s">
        <v>630</v>
      </c>
      <c r="G71" s="80" t="s">
        <v>631</v>
      </c>
      <c r="H71" s="80" t="s">
        <v>8</v>
      </c>
      <c r="I71" s="201"/>
    </row>
    <row r="72" spans="1:9">
      <c r="A72" s="199" t="s">
        <v>795</v>
      </c>
      <c r="B72" s="80" t="s">
        <v>796</v>
      </c>
      <c r="C72" s="80" t="s">
        <v>540</v>
      </c>
      <c r="D72" s="200">
        <v>26575</v>
      </c>
      <c r="E72" s="80" t="s">
        <v>797</v>
      </c>
      <c r="F72" s="80" t="s">
        <v>630</v>
      </c>
      <c r="G72" s="80" t="s">
        <v>631</v>
      </c>
      <c r="H72" s="80" t="s">
        <v>765</v>
      </c>
      <c r="I72" s="201"/>
    </row>
    <row r="73" spans="1:9">
      <c r="A73" s="199" t="s">
        <v>798</v>
      </c>
      <c r="B73" s="80" t="s">
        <v>536</v>
      </c>
      <c r="C73" s="80" t="s">
        <v>799</v>
      </c>
      <c r="D73" s="200">
        <v>26582</v>
      </c>
      <c r="E73" s="80" t="s">
        <v>800</v>
      </c>
      <c r="F73" s="80" t="s">
        <v>630</v>
      </c>
      <c r="G73" s="80" t="s">
        <v>631</v>
      </c>
      <c r="H73" s="80" t="s">
        <v>8</v>
      </c>
      <c r="I73" s="201"/>
    </row>
    <row r="74" spans="1:9">
      <c r="A74" s="199" t="s">
        <v>801</v>
      </c>
      <c r="B74" s="80" t="s">
        <v>475</v>
      </c>
      <c r="C74" s="80" t="s">
        <v>381</v>
      </c>
      <c r="D74" s="200">
        <v>26822</v>
      </c>
      <c r="E74" s="80" t="s">
        <v>802</v>
      </c>
      <c r="F74" s="80" t="s">
        <v>630</v>
      </c>
      <c r="G74" s="80" t="s">
        <v>631</v>
      </c>
      <c r="H74" s="80" t="s">
        <v>9</v>
      </c>
      <c r="I74" s="201"/>
    </row>
    <row r="75" spans="1:9">
      <c r="A75" s="199" t="s">
        <v>803</v>
      </c>
      <c r="B75" s="80" t="s">
        <v>552</v>
      </c>
      <c r="C75" s="80" t="s">
        <v>402</v>
      </c>
      <c r="D75" s="200">
        <v>19994</v>
      </c>
      <c r="E75" s="80" t="s">
        <v>804</v>
      </c>
      <c r="F75" s="80" t="s">
        <v>630</v>
      </c>
      <c r="G75" s="80" t="s">
        <v>631</v>
      </c>
      <c r="H75" s="80" t="s">
        <v>10</v>
      </c>
      <c r="I75" s="201"/>
    </row>
    <row r="76" spans="1:9">
      <c r="A76" s="199" t="s">
        <v>805</v>
      </c>
      <c r="B76" s="80" t="s">
        <v>407</v>
      </c>
      <c r="C76" s="80" t="s">
        <v>435</v>
      </c>
      <c r="D76" s="200">
        <v>30019</v>
      </c>
      <c r="E76" s="80" t="s">
        <v>806</v>
      </c>
      <c r="F76" s="80" t="s">
        <v>634</v>
      </c>
      <c r="G76" s="80" t="s">
        <v>631</v>
      </c>
      <c r="H76" s="80"/>
      <c r="I76" s="201"/>
    </row>
    <row r="77" spans="1:9">
      <c r="A77" s="199" t="s">
        <v>807</v>
      </c>
      <c r="B77" s="80" t="s">
        <v>808</v>
      </c>
      <c r="C77" s="80" t="s">
        <v>491</v>
      </c>
      <c r="D77" s="200">
        <v>21269</v>
      </c>
      <c r="E77" s="80" t="s">
        <v>809</v>
      </c>
      <c r="F77" s="80" t="s">
        <v>630</v>
      </c>
      <c r="G77" s="80" t="s">
        <v>631</v>
      </c>
      <c r="H77" s="80"/>
      <c r="I77" s="201"/>
    </row>
    <row r="78" spans="1:9">
      <c r="A78" s="199" t="s">
        <v>810</v>
      </c>
      <c r="B78" s="80" t="s">
        <v>401</v>
      </c>
      <c r="C78" s="80" t="s">
        <v>435</v>
      </c>
      <c r="D78" s="200">
        <v>29728</v>
      </c>
      <c r="E78" s="80" t="s">
        <v>811</v>
      </c>
      <c r="F78" s="80" t="s">
        <v>634</v>
      </c>
      <c r="G78" s="80" t="s">
        <v>631</v>
      </c>
      <c r="H78" s="80"/>
      <c r="I78" s="201"/>
    </row>
    <row r="79" spans="1:9">
      <c r="A79" s="199" t="s">
        <v>812</v>
      </c>
      <c r="B79" s="80" t="s">
        <v>813</v>
      </c>
      <c r="C79" s="80" t="s">
        <v>381</v>
      </c>
      <c r="D79" s="200">
        <v>29489</v>
      </c>
      <c r="E79" s="80" t="s">
        <v>814</v>
      </c>
      <c r="F79" s="80" t="s">
        <v>634</v>
      </c>
      <c r="G79" s="80" t="s">
        <v>631</v>
      </c>
      <c r="H79" s="80"/>
      <c r="I79" s="201"/>
    </row>
    <row r="80" spans="1:9">
      <c r="A80" s="199" t="s">
        <v>815</v>
      </c>
      <c r="B80" s="80" t="s">
        <v>552</v>
      </c>
      <c r="C80" s="80" t="s">
        <v>816</v>
      </c>
      <c r="D80" s="200">
        <v>28019</v>
      </c>
      <c r="E80" s="80" t="s">
        <v>817</v>
      </c>
      <c r="F80" s="80" t="s">
        <v>630</v>
      </c>
      <c r="G80" s="80" t="s">
        <v>631</v>
      </c>
      <c r="H80" s="80"/>
      <c r="I80" s="201"/>
    </row>
    <row r="81" spans="1:9">
      <c r="A81" s="199" t="s">
        <v>818</v>
      </c>
      <c r="B81" s="80" t="s">
        <v>819</v>
      </c>
      <c r="C81" s="80" t="s">
        <v>396</v>
      </c>
      <c r="D81" s="200">
        <v>31401</v>
      </c>
      <c r="E81" s="80" t="s">
        <v>820</v>
      </c>
      <c r="F81" s="80" t="s">
        <v>634</v>
      </c>
      <c r="G81" s="80" t="s">
        <v>631</v>
      </c>
      <c r="H81" s="80"/>
      <c r="I81" s="201"/>
    </row>
    <row r="82" spans="1:9">
      <c r="A82" s="199" t="s">
        <v>821</v>
      </c>
      <c r="B82" s="80" t="s">
        <v>566</v>
      </c>
      <c r="C82" s="80" t="s">
        <v>822</v>
      </c>
      <c r="D82" s="200">
        <v>22677</v>
      </c>
      <c r="E82" s="80" t="s">
        <v>823</v>
      </c>
      <c r="F82" s="80" t="s">
        <v>630</v>
      </c>
      <c r="G82" s="80" t="s">
        <v>631</v>
      </c>
      <c r="H82" s="80" t="s">
        <v>10</v>
      </c>
      <c r="I82" s="201"/>
    </row>
    <row r="83" spans="1:9">
      <c r="A83" s="199" t="s">
        <v>824</v>
      </c>
      <c r="B83" s="80" t="s">
        <v>539</v>
      </c>
      <c r="C83" s="80" t="s">
        <v>381</v>
      </c>
      <c r="D83" s="200">
        <v>23459</v>
      </c>
      <c r="E83" s="80"/>
      <c r="F83" s="80" t="s">
        <v>634</v>
      </c>
      <c r="G83" s="80" t="s">
        <v>631</v>
      </c>
      <c r="H83" s="80"/>
      <c r="I83" s="201"/>
    </row>
    <row r="84" spans="1:9">
      <c r="A84" s="199" t="s">
        <v>825</v>
      </c>
      <c r="B84" s="80" t="s">
        <v>487</v>
      </c>
      <c r="C84" s="80" t="s">
        <v>396</v>
      </c>
      <c r="D84" s="200">
        <v>28243</v>
      </c>
      <c r="E84" s="80" t="s">
        <v>826</v>
      </c>
      <c r="F84" s="80" t="s">
        <v>630</v>
      </c>
      <c r="G84" s="80" t="s">
        <v>631</v>
      </c>
      <c r="H84" s="80"/>
      <c r="I84" s="201"/>
    </row>
    <row r="85" spans="1:9">
      <c r="A85" s="199" t="s">
        <v>825</v>
      </c>
      <c r="B85" s="80" t="s">
        <v>446</v>
      </c>
      <c r="C85" s="80" t="s">
        <v>426</v>
      </c>
      <c r="D85" s="200">
        <v>29795</v>
      </c>
      <c r="E85" s="80" t="s">
        <v>827</v>
      </c>
      <c r="F85" s="80" t="s">
        <v>630</v>
      </c>
      <c r="G85" s="80" t="s">
        <v>631</v>
      </c>
      <c r="H85" s="80" t="s">
        <v>10</v>
      </c>
      <c r="I85" s="201"/>
    </row>
    <row r="86" spans="1:9">
      <c r="A86" s="199" t="s">
        <v>828</v>
      </c>
      <c r="B86" s="80" t="s">
        <v>413</v>
      </c>
      <c r="C86" s="80" t="s">
        <v>829</v>
      </c>
      <c r="D86" s="200">
        <v>20882</v>
      </c>
      <c r="E86" s="80" t="s">
        <v>830</v>
      </c>
      <c r="F86" s="80" t="s">
        <v>630</v>
      </c>
      <c r="G86" s="80" t="s">
        <v>631</v>
      </c>
      <c r="H86" s="80" t="s">
        <v>10</v>
      </c>
      <c r="I86" s="201"/>
    </row>
    <row r="87" spans="1:9">
      <c r="A87" s="199" t="s">
        <v>831</v>
      </c>
      <c r="B87" s="80" t="s">
        <v>487</v>
      </c>
      <c r="C87" s="80" t="s">
        <v>442</v>
      </c>
      <c r="D87" s="200">
        <v>26552</v>
      </c>
      <c r="E87" s="80" t="s">
        <v>832</v>
      </c>
      <c r="F87" s="80" t="s">
        <v>630</v>
      </c>
      <c r="G87" s="80" t="s">
        <v>631</v>
      </c>
      <c r="H87" s="80"/>
      <c r="I87" s="201"/>
    </row>
    <row r="88" spans="1:9">
      <c r="A88" s="199" t="s">
        <v>833</v>
      </c>
      <c r="B88" s="80" t="s">
        <v>425</v>
      </c>
      <c r="C88" s="80" t="s">
        <v>426</v>
      </c>
      <c r="D88" s="200">
        <v>23468</v>
      </c>
      <c r="E88" s="80" t="s">
        <v>834</v>
      </c>
      <c r="F88" s="80" t="s">
        <v>630</v>
      </c>
      <c r="G88" s="80" t="s">
        <v>631</v>
      </c>
      <c r="H88" s="80" t="s">
        <v>652</v>
      </c>
      <c r="I88" s="201"/>
    </row>
    <row r="89" spans="1:9">
      <c r="A89" s="199" t="s">
        <v>835</v>
      </c>
      <c r="B89" s="80" t="s">
        <v>536</v>
      </c>
      <c r="C89" s="80" t="s">
        <v>387</v>
      </c>
      <c r="D89" s="200">
        <v>28161</v>
      </c>
      <c r="E89" s="80" t="s">
        <v>836</v>
      </c>
      <c r="F89" s="80" t="s">
        <v>630</v>
      </c>
      <c r="G89" s="80" t="s">
        <v>631</v>
      </c>
      <c r="H89" s="80" t="s">
        <v>9</v>
      </c>
      <c r="I89" s="201"/>
    </row>
    <row r="90" spans="1:9">
      <c r="A90" s="199" t="s">
        <v>837</v>
      </c>
      <c r="B90" s="80" t="s">
        <v>413</v>
      </c>
      <c r="C90" s="80" t="s">
        <v>402</v>
      </c>
      <c r="D90" s="200">
        <v>21530</v>
      </c>
      <c r="E90" s="80" t="s">
        <v>838</v>
      </c>
      <c r="F90" s="80" t="s">
        <v>630</v>
      </c>
      <c r="G90" s="80" t="s">
        <v>631</v>
      </c>
      <c r="H90" s="80" t="s">
        <v>652</v>
      </c>
      <c r="I90" s="201"/>
    </row>
    <row r="91" spans="1:9">
      <c r="A91" s="199" t="s">
        <v>839</v>
      </c>
      <c r="B91" s="80" t="s">
        <v>477</v>
      </c>
      <c r="C91" s="80" t="s">
        <v>387</v>
      </c>
      <c r="D91" s="200">
        <v>26432</v>
      </c>
      <c r="E91" s="80" t="s">
        <v>840</v>
      </c>
      <c r="F91" s="80" t="s">
        <v>630</v>
      </c>
      <c r="G91" s="80" t="s">
        <v>631</v>
      </c>
      <c r="H91" s="80"/>
      <c r="I91" s="201"/>
    </row>
    <row r="92" spans="1:9">
      <c r="A92" s="199" t="s">
        <v>841</v>
      </c>
      <c r="B92" s="80" t="s">
        <v>659</v>
      </c>
      <c r="C92" s="80" t="s">
        <v>842</v>
      </c>
      <c r="D92" s="200">
        <v>32249</v>
      </c>
      <c r="E92" s="80" t="s">
        <v>843</v>
      </c>
      <c r="F92" s="80" t="s">
        <v>634</v>
      </c>
      <c r="G92" s="80" t="s">
        <v>631</v>
      </c>
      <c r="H92" s="80"/>
      <c r="I92" s="201"/>
    </row>
    <row r="93" spans="1:9">
      <c r="A93" s="199" t="s">
        <v>844</v>
      </c>
      <c r="B93" s="80" t="s">
        <v>475</v>
      </c>
      <c r="C93" s="80" t="s">
        <v>689</v>
      </c>
      <c r="D93" s="200">
        <v>28603</v>
      </c>
      <c r="E93" s="80"/>
      <c r="F93" s="80" t="s">
        <v>634</v>
      </c>
      <c r="G93" s="80" t="s">
        <v>631</v>
      </c>
      <c r="H93" s="80"/>
      <c r="I93" s="201"/>
    </row>
    <row r="94" spans="1:9">
      <c r="A94" s="199" t="s">
        <v>845</v>
      </c>
      <c r="B94" s="80" t="s">
        <v>581</v>
      </c>
      <c r="C94" s="80" t="s">
        <v>435</v>
      </c>
      <c r="D94" s="200">
        <v>25676</v>
      </c>
      <c r="E94" s="80" t="s">
        <v>846</v>
      </c>
      <c r="F94" s="80" t="s">
        <v>630</v>
      </c>
      <c r="G94" s="80" t="s">
        <v>631</v>
      </c>
      <c r="H94" s="80"/>
      <c r="I94" s="201"/>
    </row>
    <row r="95" spans="1:9">
      <c r="A95" s="199" t="s">
        <v>847</v>
      </c>
      <c r="B95" s="80" t="s">
        <v>848</v>
      </c>
      <c r="C95" s="80" t="s">
        <v>639</v>
      </c>
      <c r="D95" s="200">
        <v>32140</v>
      </c>
      <c r="E95" s="80" t="s">
        <v>849</v>
      </c>
      <c r="F95" s="80" t="s">
        <v>630</v>
      </c>
      <c r="G95" s="80" t="s">
        <v>631</v>
      </c>
      <c r="H95" s="80"/>
      <c r="I95" s="201"/>
    </row>
    <row r="96" spans="1:9">
      <c r="A96" s="199" t="s">
        <v>850</v>
      </c>
      <c r="B96" s="80" t="s">
        <v>552</v>
      </c>
      <c r="C96" s="80" t="s">
        <v>822</v>
      </c>
      <c r="D96" s="200">
        <v>28991</v>
      </c>
      <c r="E96" s="80" t="s">
        <v>851</v>
      </c>
      <c r="F96" s="80" t="s">
        <v>630</v>
      </c>
      <c r="G96" s="80" t="s">
        <v>631</v>
      </c>
      <c r="H96" s="80"/>
      <c r="I96" s="201"/>
    </row>
    <row r="97" spans="1:9">
      <c r="A97" s="199" t="s">
        <v>852</v>
      </c>
      <c r="B97" s="80" t="s">
        <v>413</v>
      </c>
      <c r="C97" s="80" t="s">
        <v>597</v>
      </c>
      <c r="D97" s="200">
        <v>25939</v>
      </c>
      <c r="E97" s="80" t="s">
        <v>853</v>
      </c>
      <c r="F97" s="80" t="s">
        <v>630</v>
      </c>
      <c r="G97" s="80" t="s">
        <v>631</v>
      </c>
      <c r="H97" s="80" t="s">
        <v>8</v>
      </c>
      <c r="I97" s="201"/>
    </row>
    <row r="98" spans="1:9">
      <c r="A98" s="199" t="s">
        <v>854</v>
      </c>
      <c r="B98" s="80" t="s">
        <v>428</v>
      </c>
      <c r="C98" s="80" t="s">
        <v>429</v>
      </c>
      <c r="D98" s="200">
        <v>24078</v>
      </c>
      <c r="E98" s="80" t="s">
        <v>855</v>
      </c>
      <c r="F98" s="80" t="s">
        <v>630</v>
      </c>
      <c r="G98" s="80" t="s">
        <v>631</v>
      </c>
      <c r="H98" s="80" t="s">
        <v>10</v>
      </c>
      <c r="I98" s="201"/>
    </row>
    <row r="99" spans="1:9">
      <c r="A99" s="199" t="s">
        <v>856</v>
      </c>
      <c r="B99" s="80" t="s">
        <v>857</v>
      </c>
      <c r="C99" s="80" t="s">
        <v>858</v>
      </c>
      <c r="D99" s="200">
        <v>26817</v>
      </c>
      <c r="E99" s="80" t="s">
        <v>859</v>
      </c>
      <c r="F99" s="80" t="s">
        <v>630</v>
      </c>
      <c r="G99" s="80" t="s">
        <v>631</v>
      </c>
      <c r="H99" s="80" t="s">
        <v>10</v>
      </c>
      <c r="I99" s="201"/>
    </row>
    <row r="100" spans="1:9">
      <c r="A100" s="199" t="s">
        <v>860</v>
      </c>
      <c r="B100" s="80" t="s">
        <v>861</v>
      </c>
      <c r="C100" s="80" t="s">
        <v>617</v>
      </c>
      <c r="D100" s="200">
        <v>25684</v>
      </c>
      <c r="E100" s="80" t="s">
        <v>862</v>
      </c>
      <c r="F100" s="80" t="s">
        <v>630</v>
      </c>
      <c r="G100" s="80" t="s">
        <v>631</v>
      </c>
      <c r="H100" s="80"/>
      <c r="I100" s="201"/>
    </row>
    <row r="101" spans="1:9">
      <c r="A101" s="199" t="s">
        <v>863</v>
      </c>
      <c r="B101" s="80" t="s">
        <v>536</v>
      </c>
      <c r="C101" s="80" t="s">
        <v>411</v>
      </c>
      <c r="D101" s="200">
        <v>28899</v>
      </c>
      <c r="E101" s="80"/>
      <c r="F101" s="80" t="s">
        <v>630</v>
      </c>
      <c r="G101" s="80" t="s">
        <v>631</v>
      </c>
      <c r="H101" s="80" t="s">
        <v>11</v>
      </c>
      <c r="I101" s="201"/>
    </row>
    <row r="102" spans="1:9">
      <c r="A102" s="199" t="s">
        <v>864</v>
      </c>
      <c r="B102" s="80" t="s">
        <v>487</v>
      </c>
      <c r="C102" s="80" t="s">
        <v>507</v>
      </c>
      <c r="D102" s="200">
        <v>23428</v>
      </c>
      <c r="E102" s="80" t="s">
        <v>865</v>
      </c>
      <c r="F102" s="80" t="s">
        <v>634</v>
      </c>
      <c r="G102" s="80" t="s">
        <v>631</v>
      </c>
      <c r="H102" s="80"/>
      <c r="I102" s="201"/>
    </row>
    <row r="103" spans="1:9">
      <c r="A103" s="199" t="s">
        <v>866</v>
      </c>
      <c r="B103" s="80" t="s">
        <v>566</v>
      </c>
      <c r="C103" s="80" t="s">
        <v>668</v>
      </c>
      <c r="D103" s="200">
        <v>23940</v>
      </c>
      <c r="E103" s="80" t="s">
        <v>867</v>
      </c>
      <c r="F103" s="80" t="s">
        <v>630</v>
      </c>
      <c r="G103" s="80" t="s">
        <v>631</v>
      </c>
      <c r="H103" s="80"/>
      <c r="I103" s="201"/>
    </row>
    <row r="104" spans="1:9">
      <c r="A104" s="199" t="s">
        <v>866</v>
      </c>
      <c r="B104" s="80" t="s">
        <v>868</v>
      </c>
      <c r="C104" s="80" t="s">
        <v>387</v>
      </c>
      <c r="D104" s="200">
        <v>27940</v>
      </c>
      <c r="E104" s="80" t="s">
        <v>869</v>
      </c>
      <c r="F104" s="80" t="s">
        <v>630</v>
      </c>
      <c r="G104" s="80" t="s">
        <v>631</v>
      </c>
      <c r="H104" s="80"/>
      <c r="I104" s="201"/>
    </row>
    <row r="105" spans="1:9">
      <c r="A105" s="199" t="s">
        <v>870</v>
      </c>
      <c r="B105" s="80" t="s">
        <v>581</v>
      </c>
      <c r="C105" s="80" t="s">
        <v>384</v>
      </c>
      <c r="D105" s="200">
        <v>26135</v>
      </c>
      <c r="E105" s="80"/>
      <c r="F105" s="80" t="s">
        <v>634</v>
      </c>
      <c r="G105" s="80" t="s">
        <v>631</v>
      </c>
      <c r="H105" s="80"/>
      <c r="I105" s="201"/>
    </row>
    <row r="106" spans="1:9">
      <c r="A106" s="199" t="s">
        <v>871</v>
      </c>
      <c r="B106" s="80" t="s">
        <v>477</v>
      </c>
      <c r="C106" s="80" t="s">
        <v>872</v>
      </c>
      <c r="D106" s="200">
        <v>21862</v>
      </c>
      <c r="E106" s="80" t="s">
        <v>873</v>
      </c>
      <c r="F106" s="80" t="s">
        <v>630</v>
      </c>
      <c r="G106" s="80" t="s">
        <v>631</v>
      </c>
      <c r="H106" s="80"/>
      <c r="I106" s="201"/>
    </row>
    <row r="107" spans="1:9">
      <c r="A107" s="199" t="s">
        <v>874</v>
      </c>
      <c r="B107" s="80" t="s">
        <v>875</v>
      </c>
      <c r="C107" s="80" t="s">
        <v>426</v>
      </c>
      <c r="D107" s="200">
        <v>25327</v>
      </c>
      <c r="E107" s="80" t="s">
        <v>876</v>
      </c>
      <c r="F107" s="80" t="s">
        <v>630</v>
      </c>
      <c r="G107" s="80" t="s">
        <v>631</v>
      </c>
      <c r="H107" s="80" t="s">
        <v>10</v>
      </c>
      <c r="I107" s="201"/>
    </row>
    <row r="108" spans="1:9">
      <c r="A108" s="199" t="s">
        <v>877</v>
      </c>
      <c r="B108" s="80" t="s">
        <v>386</v>
      </c>
      <c r="C108" s="80" t="s">
        <v>474</v>
      </c>
      <c r="D108" s="200">
        <v>28106</v>
      </c>
      <c r="E108" s="80" t="s">
        <v>878</v>
      </c>
      <c r="F108" s="80" t="s">
        <v>630</v>
      </c>
      <c r="G108" s="80" t="s">
        <v>631</v>
      </c>
      <c r="H108" s="80" t="s">
        <v>10</v>
      </c>
      <c r="I108" s="201"/>
    </row>
    <row r="109" spans="1:9">
      <c r="A109" s="199" t="s">
        <v>580</v>
      </c>
      <c r="B109" s="80" t="s">
        <v>879</v>
      </c>
      <c r="C109" s="80" t="s">
        <v>489</v>
      </c>
      <c r="D109" s="200">
        <v>29286</v>
      </c>
      <c r="E109" s="80" t="s">
        <v>880</v>
      </c>
      <c r="F109" s="80" t="s">
        <v>630</v>
      </c>
      <c r="G109" s="80" t="s">
        <v>631</v>
      </c>
      <c r="H109" s="80" t="s">
        <v>8</v>
      </c>
      <c r="I109" s="201"/>
    </row>
    <row r="110" spans="1:9">
      <c r="A110" s="199" t="s">
        <v>881</v>
      </c>
      <c r="B110" s="80" t="s">
        <v>431</v>
      </c>
      <c r="C110" s="80" t="s">
        <v>882</v>
      </c>
      <c r="D110" s="200">
        <v>29296</v>
      </c>
      <c r="E110" s="80" t="s">
        <v>883</v>
      </c>
      <c r="F110" s="80" t="s">
        <v>630</v>
      </c>
      <c r="G110" s="80" t="s">
        <v>631</v>
      </c>
      <c r="H110" s="80" t="s">
        <v>10</v>
      </c>
      <c r="I110" s="201"/>
    </row>
    <row r="111" spans="1:9">
      <c r="A111" s="199" t="s">
        <v>884</v>
      </c>
      <c r="B111" s="80" t="s">
        <v>473</v>
      </c>
      <c r="C111" s="80" t="s">
        <v>668</v>
      </c>
      <c r="D111" s="200">
        <v>27148</v>
      </c>
      <c r="E111" s="80" t="s">
        <v>885</v>
      </c>
      <c r="F111" s="80" t="s">
        <v>630</v>
      </c>
      <c r="G111" s="80" t="s">
        <v>631</v>
      </c>
      <c r="H111" s="80" t="s">
        <v>652</v>
      </c>
      <c r="I111" s="201"/>
    </row>
    <row r="112" spans="1:9">
      <c r="A112" s="199" t="s">
        <v>886</v>
      </c>
      <c r="B112" s="80" t="s">
        <v>581</v>
      </c>
      <c r="C112" s="80" t="s">
        <v>387</v>
      </c>
      <c r="D112" s="200">
        <v>23239</v>
      </c>
      <c r="E112" s="80" t="s">
        <v>887</v>
      </c>
      <c r="F112" s="80" t="s">
        <v>630</v>
      </c>
      <c r="G112" s="80" t="s">
        <v>631</v>
      </c>
      <c r="H112" s="80" t="s">
        <v>8</v>
      </c>
      <c r="I112" s="201"/>
    </row>
    <row r="113" spans="1:9">
      <c r="A113" s="199" t="s">
        <v>888</v>
      </c>
      <c r="B113" s="80" t="s">
        <v>695</v>
      </c>
      <c r="C113" s="80" t="s">
        <v>561</v>
      </c>
      <c r="D113" s="200">
        <v>27508</v>
      </c>
      <c r="E113" s="80" t="s">
        <v>889</v>
      </c>
      <c r="F113" s="80" t="s">
        <v>630</v>
      </c>
      <c r="G113" s="80" t="s">
        <v>631</v>
      </c>
      <c r="H113" s="80" t="s">
        <v>765</v>
      </c>
      <c r="I113" s="201"/>
    </row>
    <row r="114" spans="1:9">
      <c r="A114" s="199" t="s">
        <v>890</v>
      </c>
      <c r="B114" s="80" t="s">
        <v>487</v>
      </c>
      <c r="C114" s="80" t="s">
        <v>479</v>
      </c>
      <c r="D114" s="200">
        <v>24300</v>
      </c>
      <c r="E114" s="80" t="s">
        <v>891</v>
      </c>
      <c r="F114" s="80" t="s">
        <v>630</v>
      </c>
      <c r="G114" s="80" t="s">
        <v>631</v>
      </c>
      <c r="H114" s="80" t="s">
        <v>765</v>
      </c>
      <c r="I114" s="201"/>
    </row>
    <row r="115" spans="1:9">
      <c r="A115" s="199" t="s">
        <v>892</v>
      </c>
      <c r="B115" s="80" t="s">
        <v>688</v>
      </c>
      <c r="C115" s="80" t="s">
        <v>523</v>
      </c>
      <c r="D115" s="200">
        <v>28612</v>
      </c>
      <c r="E115" s="80" t="s">
        <v>893</v>
      </c>
      <c r="F115" s="80" t="s">
        <v>630</v>
      </c>
      <c r="G115" s="80" t="s">
        <v>631</v>
      </c>
      <c r="H115" s="80"/>
      <c r="I115" s="201"/>
    </row>
    <row r="116" spans="1:9">
      <c r="A116" s="199" t="s">
        <v>894</v>
      </c>
      <c r="B116" s="80" t="s">
        <v>586</v>
      </c>
      <c r="C116" s="80" t="s">
        <v>842</v>
      </c>
      <c r="D116" s="200">
        <v>21486</v>
      </c>
      <c r="E116" s="80" t="s">
        <v>895</v>
      </c>
      <c r="F116" s="80" t="s">
        <v>630</v>
      </c>
      <c r="G116" s="80" t="s">
        <v>631</v>
      </c>
      <c r="H116" s="80" t="s">
        <v>10</v>
      </c>
      <c r="I116" s="201"/>
    </row>
    <row r="117" spans="1:9">
      <c r="A117" s="199" t="s">
        <v>896</v>
      </c>
      <c r="B117" s="80" t="s">
        <v>386</v>
      </c>
      <c r="C117" s="80" t="s">
        <v>822</v>
      </c>
      <c r="D117" s="200">
        <v>29695</v>
      </c>
      <c r="E117" s="80" t="s">
        <v>897</v>
      </c>
      <c r="F117" s="80" t="s">
        <v>630</v>
      </c>
      <c r="G117" s="80" t="s">
        <v>651</v>
      </c>
      <c r="H117" s="80" t="s">
        <v>10</v>
      </c>
      <c r="I117" s="201" t="s">
        <v>364</v>
      </c>
    </row>
    <row r="118" spans="1:9">
      <c r="A118" s="199" t="s">
        <v>898</v>
      </c>
      <c r="B118" s="80" t="s">
        <v>659</v>
      </c>
      <c r="C118" s="80" t="s">
        <v>540</v>
      </c>
      <c r="D118" s="200">
        <v>30643</v>
      </c>
      <c r="E118" s="80" t="s">
        <v>899</v>
      </c>
      <c r="F118" s="80" t="s">
        <v>630</v>
      </c>
      <c r="G118" s="80" t="s">
        <v>631</v>
      </c>
      <c r="H118" s="80"/>
      <c r="I118" s="201"/>
    </row>
    <row r="119" spans="1:9">
      <c r="A119" s="199" t="s">
        <v>900</v>
      </c>
      <c r="B119" s="80" t="s">
        <v>487</v>
      </c>
      <c r="C119" s="80" t="s">
        <v>482</v>
      </c>
      <c r="D119" s="200">
        <v>30678</v>
      </c>
      <c r="E119" s="80" t="s">
        <v>901</v>
      </c>
      <c r="F119" s="80" t="s">
        <v>630</v>
      </c>
      <c r="G119" s="80" t="s">
        <v>631</v>
      </c>
      <c r="H119" s="80"/>
      <c r="I119" s="201"/>
    </row>
    <row r="120" spans="1:9">
      <c r="A120" s="199" t="s">
        <v>902</v>
      </c>
      <c r="B120" s="80" t="s">
        <v>787</v>
      </c>
      <c r="C120" s="80" t="s">
        <v>724</v>
      </c>
      <c r="D120" s="200">
        <v>25546</v>
      </c>
      <c r="E120" s="80" t="s">
        <v>903</v>
      </c>
      <c r="F120" s="80" t="s">
        <v>630</v>
      </c>
      <c r="G120" s="80" t="s">
        <v>631</v>
      </c>
      <c r="H120" s="80" t="s">
        <v>765</v>
      </c>
      <c r="I120" s="201"/>
    </row>
    <row r="121" spans="1:9">
      <c r="A121" s="199" t="s">
        <v>904</v>
      </c>
      <c r="B121" s="80" t="s">
        <v>905</v>
      </c>
      <c r="C121" s="80" t="s">
        <v>387</v>
      </c>
      <c r="D121" s="200">
        <v>27745</v>
      </c>
      <c r="E121" s="80" t="s">
        <v>906</v>
      </c>
      <c r="F121" s="80" t="s">
        <v>634</v>
      </c>
      <c r="G121" s="80" t="s">
        <v>631</v>
      </c>
      <c r="H121" s="80"/>
      <c r="I121" s="201"/>
    </row>
    <row r="122" spans="1:9">
      <c r="A122" s="199" t="s">
        <v>907</v>
      </c>
      <c r="B122" s="80" t="s">
        <v>457</v>
      </c>
      <c r="C122" s="80" t="s">
        <v>444</v>
      </c>
      <c r="D122" s="200">
        <v>19931</v>
      </c>
      <c r="E122" s="80" t="s">
        <v>908</v>
      </c>
      <c r="F122" s="80" t="s">
        <v>630</v>
      </c>
      <c r="G122" s="80" t="s">
        <v>631</v>
      </c>
      <c r="H122" s="80" t="s">
        <v>10</v>
      </c>
      <c r="I122" s="201"/>
    </row>
    <row r="123" spans="1:9">
      <c r="A123" s="199" t="s">
        <v>909</v>
      </c>
      <c r="B123" s="80" t="s">
        <v>404</v>
      </c>
      <c r="C123" s="80" t="s">
        <v>544</v>
      </c>
      <c r="D123" s="200">
        <v>31059</v>
      </c>
      <c r="E123" s="80" t="s">
        <v>910</v>
      </c>
      <c r="F123" s="80" t="s">
        <v>630</v>
      </c>
      <c r="G123" s="80" t="s">
        <v>631</v>
      </c>
      <c r="H123" s="80"/>
      <c r="I123" s="201"/>
    </row>
    <row r="124" spans="1:9">
      <c r="A124" s="199" t="s">
        <v>911</v>
      </c>
      <c r="B124" s="80" t="s">
        <v>425</v>
      </c>
      <c r="C124" s="80" t="s">
        <v>396</v>
      </c>
      <c r="D124" s="200">
        <v>27027</v>
      </c>
      <c r="E124" s="80" t="s">
        <v>912</v>
      </c>
      <c r="F124" s="80" t="s">
        <v>630</v>
      </c>
      <c r="G124" s="80" t="s">
        <v>631</v>
      </c>
      <c r="H124" s="80" t="s">
        <v>9</v>
      </c>
      <c r="I124" s="201"/>
    </row>
    <row r="125" spans="1:9">
      <c r="A125" s="199" t="s">
        <v>571</v>
      </c>
      <c r="B125" s="80" t="s">
        <v>410</v>
      </c>
      <c r="C125" s="80" t="s">
        <v>822</v>
      </c>
      <c r="D125" s="200">
        <v>22117</v>
      </c>
      <c r="E125" s="80" t="s">
        <v>913</v>
      </c>
      <c r="F125" s="80" t="s">
        <v>634</v>
      </c>
      <c r="G125" s="80" t="s">
        <v>631</v>
      </c>
      <c r="H125" s="80"/>
      <c r="I125" s="201"/>
    </row>
    <row r="126" spans="1:9">
      <c r="A126" s="199" t="s">
        <v>584</v>
      </c>
      <c r="B126" s="80" t="s">
        <v>566</v>
      </c>
      <c r="C126" s="80" t="s">
        <v>444</v>
      </c>
      <c r="D126" s="200">
        <v>28985</v>
      </c>
      <c r="E126" s="80" t="s">
        <v>914</v>
      </c>
      <c r="F126" s="80" t="s">
        <v>630</v>
      </c>
      <c r="G126" s="80" t="s">
        <v>631</v>
      </c>
      <c r="H126" s="80"/>
      <c r="I126" s="201"/>
    </row>
    <row r="127" spans="1:9">
      <c r="A127" s="199" t="s">
        <v>915</v>
      </c>
      <c r="B127" s="80" t="s">
        <v>868</v>
      </c>
      <c r="C127" s="80" t="s">
        <v>384</v>
      </c>
      <c r="D127" s="200">
        <v>20615</v>
      </c>
      <c r="E127" s="80" t="s">
        <v>916</v>
      </c>
      <c r="F127" s="80" t="s">
        <v>630</v>
      </c>
      <c r="G127" s="80" t="s">
        <v>631</v>
      </c>
      <c r="H127" s="80" t="s">
        <v>10</v>
      </c>
      <c r="I127" s="201"/>
    </row>
    <row r="128" spans="1:9">
      <c r="A128" s="199" t="s">
        <v>917</v>
      </c>
      <c r="B128" s="80" t="s">
        <v>879</v>
      </c>
      <c r="C128" s="80" t="s">
        <v>411</v>
      </c>
      <c r="D128" s="200">
        <v>27842</v>
      </c>
      <c r="E128" s="80" t="s">
        <v>918</v>
      </c>
      <c r="F128" s="80" t="s">
        <v>630</v>
      </c>
      <c r="G128" s="80" t="s">
        <v>631</v>
      </c>
      <c r="H128" s="80"/>
      <c r="I128" s="201"/>
    </row>
    <row r="129" spans="1:9">
      <c r="A129" s="199" t="s">
        <v>919</v>
      </c>
      <c r="B129" s="80" t="s">
        <v>380</v>
      </c>
      <c r="C129" s="80" t="s">
        <v>689</v>
      </c>
      <c r="D129" s="200">
        <v>25555</v>
      </c>
      <c r="E129" s="80" t="s">
        <v>920</v>
      </c>
      <c r="F129" s="80" t="s">
        <v>630</v>
      </c>
      <c r="G129" s="80" t="s">
        <v>631</v>
      </c>
      <c r="H129" s="80"/>
      <c r="I129" s="201"/>
    </row>
    <row r="130" spans="1:9">
      <c r="A130" s="199" t="s">
        <v>921</v>
      </c>
      <c r="B130" s="80" t="s">
        <v>531</v>
      </c>
      <c r="C130" s="80" t="s">
        <v>474</v>
      </c>
      <c r="D130" s="200">
        <v>27085</v>
      </c>
      <c r="E130" s="80" t="s">
        <v>922</v>
      </c>
      <c r="F130" s="80" t="s">
        <v>630</v>
      </c>
      <c r="G130" s="80" t="s">
        <v>631</v>
      </c>
      <c r="H130" s="80" t="s">
        <v>8</v>
      </c>
      <c r="I130" s="201"/>
    </row>
    <row r="131" spans="1:9">
      <c r="A131" s="199" t="s">
        <v>923</v>
      </c>
      <c r="B131" s="80" t="s">
        <v>386</v>
      </c>
      <c r="C131" s="80" t="s">
        <v>402</v>
      </c>
      <c r="D131" s="200">
        <v>25406</v>
      </c>
      <c r="E131" s="80" t="s">
        <v>924</v>
      </c>
      <c r="F131" s="80" t="s">
        <v>630</v>
      </c>
      <c r="G131" s="80" t="s">
        <v>631</v>
      </c>
      <c r="H131" s="80"/>
      <c r="I131" s="201"/>
    </row>
    <row r="132" spans="1:9">
      <c r="A132" s="199" t="s">
        <v>526</v>
      </c>
      <c r="B132" s="80" t="s">
        <v>681</v>
      </c>
      <c r="C132" s="80" t="s">
        <v>925</v>
      </c>
      <c r="D132" s="200">
        <v>30459</v>
      </c>
      <c r="E132" s="80" t="s">
        <v>926</v>
      </c>
      <c r="F132" s="80" t="s">
        <v>630</v>
      </c>
      <c r="G132" s="80" t="s">
        <v>631</v>
      </c>
      <c r="H132" s="80" t="s">
        <v>10</v>
      </c>
      <c r="I132" s="201"/>
    </row>
    <row r="133" spans="1:9">
      <c r="A133" s="199" t="s">
        <v>927</v>
      </c>
      <c r="B133" s="80" t="s">
        <v>493</v>
      </c>
      <c r="C133" s="80" t="s">
        <v>724</v>
      </c>
      <c r="D133" s="200">
        <v>21782</v>
      </c>
      <c r="E133" s="80" t="s">
        <v>928</v>
      </c>
      <c r="F133" s="80" t="s">
        <v>634</v>
      </c>
      <c r="G133" s="80" t="s">
        <v>631</v>
      </c>
      <c r="H133" s="80"/>
      <c r="I133" s="201"/>
    </row>
    <row r="134" spans="1:9">
      <c r="A134" s="199" t="s">
        <v>929</v>
      </c>
      <c r="B134" s="80" t="s">
        <v>879</v>
      </c>
      <c r="C134" s="80" t="s">
        <v>474</v>
      </c>
      <c r="D134" s="200">
        <v>33277</v>
      </c>
      <c r="E134" s="80" t="s">
        <v>930</v>
      </c>
      <c r="F134" s="80" t="s">
        <v>630</v>
      </c>
      <c r="G134" s="80" t="s">
        <v>631</v>
      </c>
      <c r="H134" s="80"/>
      <c r="I134" s="201"/>
    </row>
    <row r="135" spans="1:9">
      <c r="A135" s="199" t="s">
        <v>931</v>
      </c>
      <c r="B135" s="80" t="s">
        <v>932</v>
      </c>
      <c r="C135" s="80" t="s">
        <v>396</v>
      </c>
      <c r="D135" s="200">
        <v>29667</v>
      </c>
      <c r="E135" s="80" t="s">
        <v>933</v>
      </c>
      <c r="F135" s="80" t="s">
        <v>630</v>
      </c>
      <c r="G135" s="80" t="s">
        <v>631</v>
      </c>
      <c r="H135" s="80" t="s">
        <v>9</v>
      </c>
      <c r="I135" s="201"/>
    </row>
    <row r="136" spans="1:9">
      <c r="A136" s="199" t="s">
        <v>934</v>
      </c>
      <c r="B136" s="80" t="s">
        <v>552</v>
      </c>
      <c r="C136" s="80" t="s">
        <v>408</v>
      </c>
      <c r="D136" s="200">
        <v>19982</v>
      </c>
      <c r="E136" s="80" t="s">
        <v>935</v>
      </c>
      <c r="F136" s="80" t="s">
        <v>630</v>
      </c>
      <c r="G136" s="80" t="s">
        <v>631</v>
      </c>
      <c r="H136" s="80" t="s">
        <v>9</v>
      </c>
      <c r="I136" s="201"/>
    </row>
    <row r="137" spans="1:9">
      <c r="A137" s="199" t="s">
        <v>936</v>
      </c>
      <c r="B137" s="80" t="s">
        <v>536</v>
      </c>
      <c r="C137" s="80" t="s">
        <v>444</v>
      </c>
      <c r="D137" s="200">
        <v>25033</v>
      </c>
      <c r="E137" s="80" t="s">
        <v>937</v>
      </c>
      <c r="F137" s="80" t="s">
        <v>630</v>
      </c>
      <c r="G137" s="80" t="s">
        <v>631</v>
      </c>
      <c r="H137" s="80" t="s">
        <v>10</v>
      </c>
      <c r="I137" s="201"/>
    </row>
    <row r="138" spans="1:9">
      <c r="A138" s="199" t="s">
        <v>938</v>
      </c>
      <c r="B138" s="80" t="s">
        <v>386</v>
      </c>
      <c r="C138" s="80" t="s">
        <v>411</v>
      </c>
      <c r="D138" s="200">
        <v>32219</v>
      </c>
      <c r="E138" s="80" t="s">
        <v>939</v>
      </c>
      <c r="F138" s="80" t="s">
        <v>634</v>
      </c>
      <c r="G138" s="80" t="s">
        <v>631</v>
      </c>
      <c r="H138" s="80"/>
      <c r="I138" s="201"/>
    </row>
    <row r="139" spans="1:9">
      <c r="A139" s="199" t="s">
        <v>938</v>
      </c>
      <c r="B139" s="80" t="s">
        <v>413</v>
      </c>
      <c r="C139" s="80" t="s">
        <v>387</v>
      </c>
      <c r="D139" s="200">
        <v>25677</v>
      </c>
      <c r="E139" s="80" t="s">
        <v>940</v>
      </c>
      <c r="F139" s="80" t="s">
        <v>634</v>
      </c>
      <c r="G139" s="80" t="s">
        <v>631</v>
      </c>
      <c r="H139" s="80"/>
      <c r="I139" s="201"/>
    </row>
    <row r="140" spans="1:9">
      <c r="A140" s="199" t="s">
        <v>941</v>
      </c>
      <c r="B140" s="80" t="s">
        <v>425</v>
      </c>
      <c r="C140" s="80" t="s">
        <v>942</v>
      </c>
      <c r="D140" s="200">
        <v>23373</v>
      </c>
      <c r="E140" s="80" t="s">
        <v>943</v>
      </c>
      <c r="F140" s="80" t="s">
        <v>630</v>
      </c>
      <c r="G140" s="80" t="s">
        <v>631</v>
      </c>
      <c r="H140" s="80" t="s">
        <v>765</v>
      </c>
      <c r="I140" s="201"/>
    </row>
    <row r="141" spans="1:9">
      <c r="A141" s="199" t="s">
        <v>944</v>
      </c>
      <c r="B141" s="80" t="s">
        <v>413</v>
      </c>
      <c r="C141" s="80" t="s">
        <v>387</v>
      </c>
      <c r="D141" s="200">
        <v>30610</v>
      </c>
      <c r="E141" s="80"/>
      <c r="F141" s="80" t="s">
        <v>634</v>
      </c>
      <c r="G141" s="80" t="s">
        <v>631</v>
      </c>
      <c r="H141" s="80"/>
      <c r="I141" s="201"/>
    </row>
    <row r="142" spans="1:9">
      <c r="A142" s="199" t="s">
        <v>945</v>
      </c>
      <c r="B142" s="80" t="s">
        <v>487</v>
      </c>
      <c r="C142" s="80" t="s">
        <v>396</v>
      </c>
      <c r="D142" s="200">
        <v>28669</v>
      </c>
      <c r="E142" s="80" t="s">
        <v>946</v>
      </c>
      <c r="F142" s="80" t="s">
        <v>630</v>
      </c>
      <c r="G142" s="80" t="s">
        <v>631</v>
      </c>
      <c r="H142" s="80" t="s">
        <v>753</v>
      </c>
      <c r="I142" s="201"/>
    </row>
    <row r="143" spans="1:9">
      <c r="A143" s="199" t="s">
        <v>947</v>
      </c>
      <c r="B143" s="80" t="s">
        <v>659</v>
      </c>
      <c r="C143" s="80" t="s">
        <v>842</v>
      </c>
      <c r="D143" s="200">
        <v>31613</v>
      </c>
      <c r="E143" s="80" t="s">
        <v>948</v>
      </c>
      <c r="F143" s="80" t="s">
        <v>634</v>
      </c>
      <c r="G143" s="80" t="s">
        <v>631</v>
      </c>
      <c r="H143" s="80"/>
      <c r="I143" s="201"/>
    </row>
    <row r="144" spans="1:9">
      <c r="A144" s="199" t="s">
        <v>949</v>
      </c>
      <c r="B144" s="80" t="s">
        <v>950</v>
      </c>
      <c r="C144" s="80" t="s">
        <v>384</v>
      </c>
      <c r="D144" s="200">
        <v>30878</v>
      </c>
      <c r="E144" s="80" t="s">
        <v>951</v>
      </c>
      <c r="F144" s="80" t="s">
        <v>634</v>
      </c>
      <c r="G144" s="80" t="s">
        <v>631</v>
      </c>
      <c r="H144" s="80"/>
      <c r="I144" s="201"/>
    </row>
    <row r="145" spans="1:9">
      <c r="A145" s="199" t="s">
        <v>952</v>
      </c>
      <c r="B145" s="80" t="s">
        <v>953</v>
      </c>
      <c r="C145" s="80" t="s">
        <v>396</v>
      </c>
      <c r="D145" s="200">
        <v>33165</v>
      </c>
      <c r="E145" s="80" t="s">
        <v>954</v>
      </c>
      <c r="F145" s="80" t="s">
        <v>630</v>
      </c>
      <c r="G145" s="80" t="s">
        <v>631</v>
      </c>
      <c r="H145" s="80"/>
      <c r="I145" s="201"/>
    </row>
    <row r="146" spans="1:9">
      <c r="A146" s="199" t="s">
        <v>955</v>
      </c>
      <c r="B146" s="80" t="s">
        <v>410</v>
      </c>
      <c r="C146" s="80" t="s">
        <v>738</v>
      </c>
      <c r="D146" s="200">
        <v>29409</v>
      </c>
      <c r="E146" s="80" t="s">
        <v>956</v>
      </c>
      <c r="F146" s="80" t="s">
        <v>630</v>
      </c>
      <c r="G146" s="80" t="s">
        <v>631</v>
      </c>
      <c r="H146" s="80" t="s">
        <v>765</v>
      </c>
      <c r="I146" s="201"/>
    </row>
    <row r="147" spans="1:9">
      <c r="A147" s="199" t="s">
        <v>957</v>
      </c>
      <c r="B147" s="80" t="s">
        <v>383</v>
      </c>
      <c r="C147" s="80" t="s">
        <v>402</v>
      </c>
      <c r="D147" s="200">
        <v>22712</v>
      </c>
      <c r="E147" s="80" t="s">
        <v>958</v>
      </c>
      <c r="F147" s="80" t="s">
        <v>630</v>
      </c>
      <c r="G147" s="80" t="s">
        <v>631</v>
      </c>
      <c r="H147" s="80" t="s">
        <v>753</v>
      </c>
      <c r="I147" s="201"/>
    </row>
    <row r="148" spans="1:9">
      <c r="A148" s="199" t="s">
        <v>959</v>
      </c>
      <c r="B148" s="80" t="s">
        <v>813</v>
      </c>
      <c r="C148" s="80" t="s">
        <v>426</v>
      </c>
      <c r="D148" s="200">
        <v>35165</v>
      </c>
      <c r="E148" s="80"/>
      <c r="F148" s="80" t="s">
        <v>634</v>
      </c>
      <c r="G148" s="80" t="s">
        <v>631</v>
      </c>
      <c r="H148" s="80"/>
      <c r="I148" s="201"/>
    </row>
    <row r="149" spans="1:9">
      <c r="A149" s="199" t="s">
        <v>960</v>
      </c>
      <c r="B149" s="80" t="s">
        <v>659</v>
      </c>
      <c r="C149" s="80" t="s">
        <v>426</v>
      </c>
      <c r="D149" s="200">
        <v>30317</v>
      </c>
      <c r="E149" s="80" t="s">
        <v>961</v>
      </c>
      <c r="F149" s="80" t="s">
        <v>630</v>
      </c>
      <c r="G149" s="80" t="s">
        <v>631</v>
      </c>
      <c r="H149" s="80"/>
      <c r="I149" s="201"/>
    </row>
    <row r="150" spans="1:9">
      <c r="A150" s="199" t="s">
        <v>962</v>
      </c>
      <c r="B150" s="80" t="s">
        <v>695</v>
      </c>
      <c r="C150" s="80" t="s">
        <v>442</v>
      </c>
      <c r="D150" s="200">
        <v>24501</v>
      </c>
      <c r="E150" s="80"/>
      <c r="F150" s="80" t="s">
        <v>630</v>
      </c>
      <c r="G150" s="80" t="s">
        <v>631</v>
      </c>
      <c r="H150" s="80" t="s">
        <v>8</v>
      </c>
      <c r="I150" s="201"/>
    </row>
    <row r="151" spans="1:9">
      <c r="A151" s="199" t="s">
        <v>963</v>
      </c>
      <c r="B151" s="80" t="s">
        <v>407</v>
      </c>
      <c r="C151" s="80" t="s">
        <v>444</v>
      </c>
      <c r="D151" s="200">
        <v>18582</v>
      </c>
      <c r="E151" s="80" t="s">
        <v>964</v>
      </c>
      <c r="F151" s="80" t="s">
        <v>630</v>
      </c>
      <c r="G151" s="80" t="s">
        <v>631</v>
      </c>
      <c r="H151" s="80" t="s">
        <v>7</v>
      </c>
      <c r="I151" s="201"/>
    </row>
    <row r="152" spans="1:9">
      <c r="A152" s="199" t="s">
        <v>965</v>
      </c>
      <c r="B152" s="80" t="s">
        <v>695</v>
      </c>
      <c r="C152" s="80" t="s">
        <v>396</v>
      </c>
      <c r="D152" s="200">
        <v>28484</v>
      </c>
      <c r="E152" s="80" t="s">
        <v>966</v>
      </c>
      <c r="F152" s="80" t="s">
        <v>634</v>
      </c>
      <c r="G152" s="80" t="s">
        <v>631</v>
      </c>
      <c r="H152" s="80"/>
      <c r="I152" s="201"/>
    </row>
    <row r="153" spans="1:9">
      <c r="A153" s="199" t="s">
        <v>967</v>
      </c>
      <c r="B153" s="80" t="s">
        <v>475</v>
      </c>
      <c r="C153" s="80" t="s">
        <v>639</v>
      </c>
      <c r="D153" s="200">
        <v>25378</v>
      </c>
      <c r="E153" s="80"/>
      <c r="F153" s="80" t="s">
        <v>630</v>
      </c>
      <c r="G153" s="80" t="s">
        <v>631</v>
      </c>
      <c r="H153" s="80" t="s">
        <v>753</v>
      </c>
      <c r="I153" s="201"/>
    </row>
    <row r="154" spans="1:9">
      <c r="A154" s="199" t="s">
        <v>968</v>
      </c>
      <c r="B154" s="80" t="s">
        <v>506</v>
      </c>
      <c r="C154" s="80" t="s">
        <v>689</v>
      </c>
      <c r="D154" s="200">
        <v>27875</v>
      </c>
      <c r="E154" s="80" t="s">
        <v>969</v>
      </c>
      <c r="F154" s="80" t="s">
        <v>630</v>
      </c>
      <c r="G154" s="80" t="s">
        <v>631</v>
      </c>
      <c r="H154" s="80" t="s">
        <v>646</v>
      </c>
      <c r="I154" s="201"/>
    </row>
    <row r="155" spans="1:9">
      <c r="A155" s="199" t="s">
        <v>970</v>
      </c>
      <c r="B155" s="80" t="s">
        <v>501</v>
      </c>
      <c r="C155" s="80" t="s">
        <v>414</v>
      </c>
      <c r="D155" s="200">
        <v>28349</v>
      </c>
      <c r="E155" s="80" t="s">
        <v>971</v>
      </c>
      <c r="F155" s="80" t="s">
        <v>634</v>
      </c>
      <c r="G155" s="80" t="s">
        <v>631</v>
      </c>
      <c r="H155" s="80"/>
      <c r="I155" s="201"/>
    </row>
    <row r="156" spans="1:9">
      <c r="A156" s="199" t="s">
        <v>972</v>
      </c>
      <c r="B156" s="80" t="s">
        <v>477</v>
      </c>
      <c r="C156" s="80" t="s">
        <v>444</v>
      </c>
      <c r="D156" s="200">
        <v>25729</v>
      </c>
      <c r="E156" s="80" t="s">
        <v>973</v>
      </c>
      <c r="F156" s="80" t="s">
        <v>630</v>
      </c>
      <c r="G156" s="80" t="s">
        <v>631</v>
      </c>
      <c r="H156" s="80" t="s">
        <v>765</v>
      </c>
      <c r="I156" s="201"/>
    </row>
    <row r="157" spans="1:9">
      <c r="A157" s="199" t="s">
        <v>974</v>
      </c>
      <c r="B157" s="80" t="s">
        <v>638</v>
      </c>
      <c r="C157" s="80" t="s">
        <v>975</v>
      </c>
      <c r="D157" s="200">
        <v>30542</v>
      </c>
      <c r="E157" s="80" t="s">
        <v>976</v>
      </c>
      <c r="F157" s="80" t="s">
        <v>630</v>
      </c>
      <c r="G157" s="80" t="s">
        <v>631</v>
      </c>
      <c r="H157" s="80"/>
      <c r="I157" s="201"/>
    </row>
    <row r="158" spans="1:9">
      <c r="A158" s="199" t="s">
        <v>977</v>
      </c>
      <c r="B158" s="80" t="s">
        <v>487</v>
      </c>
      <c r="C158" s="80" t="s">
        <v>925</v>
      </c>
      <c r="D158" s="200">
        <v>23640</v>
      </c>
      <c r="E158" s="80" t="s">
        <v>978</v>
      </c>
      <c r="F158" s="80" t="s">
        <v>630</v>
      </c>
      <c r="G158" s="80" t="s">
        <v>631</v>
      </c>
      <c r="H158" s="80" t="s">
        <v>10</v>
      </c>
      <c r="I158" s="201"/>
    </row>
    <row r="159" spans="1:9">
      <c r="A159" s="199" t="s">
        <v>979</v>
      </c>
      <c r="B159" s="80" t="s">
        <v>425</v>
      </c>
      <c r="C159" s="80" t="s">
        <v>442</v>
      </c>
      <c r="D159" s="200">
        <v>33697</v>
      </c>
      <c r="E159" s="80" t="s">
        <v>980</v>
      </c>
      <c r="F159" s="80" t="s">
        <v>630</v>
      </c>
      <c r="G159" s="80" t="s">
        <v>631</v>
      </c>
      <c r="H159" s="80" t="s">
        <v>9</v>
      </c>
      <c r="I159" s="201"/>
    </row>
    <row r="160" spans="1:9">
      <c r="A160" s="199" t="s">
        <v>981</v>
      </c>
      <c r="B160" s="80" t="s">
        <v>389</v>
      </c>
      <c r="C160" s="80" t="s">
        <v>575</v>
      </c>
      <c r="D160" s="200">
        <v>29913</v>
      </c>
      <c r="E160" s="80" t="s">
        <v>982</v>
      </c>
      <c r="F160" s="80" t="s">
        <v>630</v>
      </c>
      <c r="G160" s="80" t="s">
        <v>631</v>
      </c>
      <c r="H160" s="80" t="s">
        <v>765</v>
      </c>
      <c r="I160" s="201"/>
    </row>
    <row r="161" spans="1:9">
      <c r="A161" s="199" t="s">
        <v>983</v>
      </c>
      <c r="B161" s="80" t="s">
        <v>425</v>
      </c>
      <c r="C161" s="80" t="s">
        <v>482</v>
      </c>
      <c r="D161" s="200">
        <v>24135</v>
      </c>
      <c r="E161" s="80"/>
      <c r="F161" s="80" t="s">
        <v>634</v>
      </c>
      <c r="G161" s="80" t="s">
        <v>631</v>
      </c>
      <c r="H161" s="80"/>
      <c r="I161" s="201"/>
    </row>
    <row r="162" spans="1:9">
      <c r="A162" s="199" t="s">
        <v>984</v>
      </c>
      <c r="B162" s="80" t="s">
        <v>985</v>
      </c>
      <c r="C162" s="80" t="s">
        <v>405</v>
      </c>
      <c r="D162" s="200">
        <v>29579</v>
      </c>
      <c r="E162" s="80" t="s">
        <v>986</v>
      </c>
      <c r="F162" s="80" t="s">
        <v>630</v>
      </c>
      <c r="G162" s="80" t="s">
        <v>631</v>
      </c>
      <c r="H162" s="80"/>
      <c r="I162" s="201"/>
    </row>
    <row r="163" spans="1:9">
      <c r="A163" s="199" t="s">
        <v>987</v>
      </c>
      <c r="B163" s="80" t="s">
        <v>462</v>
      </c>
      <c r="C163" s="80" t="s">
        <v>842</v>
      </c>
      <c r="D163" s="200">
        <v>31692</v>
      </c>
      <c r="E163" s="80" t="s">
        <v>988</v>
      </c>
      <c r="F163" s="80" t="s">
        <v>630</v>
      </c>
      <c r="G163" s="80" t="s">
        <v>631</v>
      </c>
      <c r="H163" s="80"/>
      <c r="I163" s="201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Лист18"/>
  <dimension ref="A1:F17"/>
  <sheetViews>
    <sheetView zoomScale="130" zoomScaleNormal="130" workbookViewId="0">
      <selection activeCell="G1" sqref="G1"/>
    </sheetView>
  </sheetViews>
  <sheetFormatPr defaultRowHeight="15"/>
  <cols>
    <col min="1" max="1" width="11.5703125" customWidth="1"/>
    <col min="2" max="2" width="16.7109375" customWidth="1"/>
    <col min="3" max="3" width="18.28515625" customWidth="1"/>
    <col min="4" max="4" width="19.28515625" customWidth="1"/>
    <col min="5" max="5" width="16.5703125" customWidth="1"/>
  </cols>
  <sheetData>
    <row r="1" spans="1:6" ht="28.5" customHeight="1">
      <c r="A1" s="187" t="s">
        <v>190</v>
      </c>
      <c r="B1" s="187"/>
      <c r="C1" s="187"/>
      <c r="D1" s="187"/>
      <c r="E1" s="187"/>
    </row>
    <row r="2" spans="1:6" ht="19.5" customHeight="1">
      <c r="A2" s="188" t="s">
        <v>191</v>
      </c>
      <c r="B2" s="189"/>
      <c r="C2" s="189"/>
      <c r="D2" s="189"/>
      <c r="E2" s="190"/>
    </row>
    <row r="3" spans="1:6" ht="30">
      <c r="A3" s="78" t="s">
        <v>192</v>
      </c>
      <c r="B3" s="78" t="s">
        <v>69</v>
      </c>
      <c r="C3" s="78" t="s">
        <v>70</v>
      </c>
      <c r="D3" s="78" t="s">
        <v>71</v>
      </c>
      <c r="E3" s="78" t="s">
        <v>72</v>
      </c>
    </row>
    <row r="4" spans="1:6">
      <c r="A4" s="79" t="s">
        <v>193</v>
      </c>
      <c r="B4" s="77" t="s">
        <v>73</v>
      </c>
      <c r="C4" s="77" t="s">
        <v>74</v>
      </c>
      <c r="D4" s="77" t="s">
        <v>75</v>
      </c>
      <c r="E4" s="77" t="s">
        <v>76</v>
      </c>
    </row>
    <row r="5" spans="1:6">
      <c r="A5" s="80"/>
      <c r="B5" s="81">
        <v>159584</v>
      </c>
      <c r="C5" s="82">
        <v>1219008440</v>
      </c>
      <c r="D5" s="83"/>
      <c r="E5" s="84">
        <v>318799</v>
      </c>
    </row>
    <row r="6" spans="1:6">
      <c r="D6" t="s">
        <v>201</v>
      </c>
    </row>
    <row r="7" spans="1:6">
      <c r="D7" t="s">
        <v>194</v>
      </c>
    </row>
    <row r="8" spans="1:6" ht="20.25" customHeight="1">
      <c r="D8" s="180" t="s">
        <v>195</v>
      </c>
      <c r="E8" s="180"/>
    </row>
    <row r="9" spans="1:6">
      <c r="C9" s="6"/>
      <c r="D9" s="6" t="s">
        <v>600</v>
      </c>
      <c r="E9" s="56">
        <v>29120</v>
      </c>
      <c r="F9" s="6"/>
    </row>
    <row r="10" spans="1:6">
      <c r="C10" s="6"/>
      <c r="D10" s="6" t="s">
        <v>601</v>
      </c>
      <c r="E10" s="56">
        <v>62790</v>
      </c>
      <c r="F10" s="6"/>
    </row>
    <row r="11" spans="1:6">
      <c r="C11" s="56"/>
      <c r="D11" s="57" t="s">
        <v>196</v>
      </c>
      <c r="E11" s="58">
        <f>SUBTOTAL(109,ndfl6_part1_general_recalc_curr43[[#All],[Столбец2]])</f>
        <v>91910</v>
      </c>
      <c r="F11" s="6"/>
    </row>
    <row r="12" spans="1:6" ht="19.5" customHeight="1">
      <c r="C12" s="54"/>
      <c r="D12" s="180" t="s">
        <v>197</v>
      </c>
      <c r="E12" s="180"/>
    </row>
    <row r="13" spans="1:6">
      <c r="D13" s="6" t="s">
        <v>602</v>
      </c>
      <c r="E13" s="54">
        <v>2184</v>
      </c>
    </row>
    <row r="14" spans="1:6">
      <c r="D14" s="6" t="s">
        <v>600</v>
      </c>
      <c r="E14" s="54">
        <v>131300</v>
      </c>
    </row>
    <row r="15" spans="1:6">
      <c r="D15" s="6" t="s">
        <v>601</v>
      </c>
      <c r="E15" s="54">
        <v>89505</v>
      </c>
    </row>
    <row r="16" spans="1:6">
      <c r="D16" s="6" t="s">
        <v>603</v>
      </c>
      <c r="E16" s="56">
        <v>3900</v>
      </c>
    </row>
    <row r="17" spans="4:5">
      <c r="D17" s="55" t="s">
        <v>196</v>
      </c>
      <c r="E17" s="58">
        <f>SUBTOTAL(109,ndfl6_recalc_prev_year42[[#All],[Столбец2]])</f>
        <v>226889</v>
      </c>
    </row>
  </sheetData>
  <mergeCells count="4">
    <mergeCell ref="A1:E1"/>
    <mergeCell ref="A2:E2"/>
    <mergeCell ref="D8:E8"/>
    <mergeCell ref="D12:E12"/>
  </mergeCells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>
  <sheetPr codeName="Лист19"/>
  <dimension ref="A1:H48"/>
  <sheetViews>
    <sheetView topLeftCell="A8" zoomScale="115" zoomScaleNormal="115" workbookViewId="0">
      <selection activeCell="G1" sqref="G1"/>
    </sheetView>
  </sheetViews>
  <sheetFormatPr defaultRowHeight="15"/>
  <cols>
    <col min="1" max="1" width="13.7109375" customWidth="1"/>
    <col min="2" max="2" width="11.85546875" customWidth="1"/>
    <col min="3" max="3" width="18" customWidth="1"/>
    <col min="4" max="5" width="17.7109375" customWidth="1"/>
    <col min="6" max="6" width="15.5703125" customWidth="1"/>
    <col min="7" max="7" width="13" customWidth="1"/>
    <col min="8" max="8" width="11.85546875" customWidth="1"/>
  </cols>
  <sheetData>
    <row r="1" spans="1:8" ht="28.5" customHeight="1" thickBot="1">
      <c r="A1" s="191" t="s">
        <v>202</v>
      </c>
      <c r="B1" s="191"/>
      <c r="C1" s="191"/>
      <c r="D1" s="191"/>
      <c r="E1" s="191"/>
      <c r="F1" s="191"/>
      <c r="G1" s="191"/>
      <c r="H1" s="191"/>
    </row>
    <row r="2" spans="1:8" ht="30.75" thickBot="1">
      <c r="A2" s="75" t="s">
        <v>192</v>
      </c>
      <c r="B2" s="73" t="s">
        <v>80</v>
      </c>
      <c r="C2" s="73" t="s">
        <v>1</v>
      </c>
      <c r="D2" s="73" t="s">
        <v>81</v>
      </c>
      <c r="E2" s="73" t="s">
        <v>82</v>
      </c>
      <c r="F2" s="73" t="s">
        <v>83</v>
      </c>
      <c r="G2" s="73" t="s">
        <v>84</v>
      </c>
      <c r="H2" s="74" t="s">
        <v>85</v>
      </c>
    </row>
    <row r="3" spans="1:8">
      <c r="A3" s="76" t="s">
        <v>193</v>
      </c>
      <c r="B3" s="59" t="s">
        <v>86</v>
      </c>
      <c r="C3" s="59" t="s">
        <v>87</v>
      </c>
      <c r="D3" s="59" t="s">
        <v>88</v>
      </c>
      <c r="E3" s="59" t="s">
        <v>89</v>
      </c>
      <c r="F3" s="59" t="s">
        <v>90</v>
      </c>
      <c r="G3" s="59" t="s">
        <v>91</v>
      </c>
      <c r="H3" s="60" t="s">
        <v>92</v>
      </c>
    </row>
    <row r="4" spans="1:8">
      <c r="A4" s="69"/>
      <c r="B4" s="70">
        <v>13</v>
      </c>
      <c r="C4" s="71">
        <v>9375296988.2700005</v>
      </c>
      <c r="D4" s="71"/>
      <c r="E4" s="71">
        <v>46041753.909999996</v>
      </c>
      <c r="F4" s="72">
        <v>1212803490</v>
      </c>
      <c r="G4" s="72"/>
      <c r="H4" s="72"/>
    </row>
    <row r="5" spans="1:8">
      <c r="A5" s="154"/>
      <c r="B5" s="46">
        <v>30</v>
      </c>
      <c r="C5" s="155">
        <v>20210875.52</v>
      </c>
      <c r="D5" s="155"/>
      <c r="E5" s="155">
        <v>0</v>
      </c>
      <c r="F5" s="156">
        <v>6063301</v>
      </c>
      <c r="G5" s="156"/>
      <c r="H5" s="156"/>
    </row>
    <row r="6" spans="1:8">
      <c r="A6" s="150" t="s">
        <v>226</v>
      </c>
      <c r="B6" s="151"/>
      <c r="C6" s="152">
        <f>SUBTOTAL(109,[Столбец3])</f>
        <v>9395507863.7900009</v>
      </c>
      <c r="D6" s="152">
        <f>SUBTOTAL(109,[Столбец4])</f>
        <v>0</v>
      </c>
      <c r="E6" s="152">
        <f>SUBTOTAL(109,[Столбец5])</f>
        <v>46041753.909999996</v>
      </c>
      <c r="F6" s="153">
        <f>SUBTOTAL(109,[Столбец6])</f>
        <v>1218866791</v>
      </c>
      <c r="G6" s="153">
        <f>SUBTOTAL(109,[Столбец7])</f>
        <v>0</v>
      </c>
      <c r="H6" s="153">
        <f>SUBTOTAL(109,[Столбец8])</f>
        <v>0</v>
      </c>
    </row>
    <row r="7" spans="1:8">
      <c r="A7" t="s">
        <v>203</v>
      </c>
    </row>
    <row r="8" spans="1:8">
      <c r="A8" s="61" t="s">
        <v>204</v>
      </c>
      <c r="C8" s="54"/>
      <c r="D8" s="54"/>
      <c r="E8" s="192" t="s">
        <v>205</v>
      </c>
      <c r="F8" s="192"/>
      <c r="G8" s="192"/>
      <c r="H8" s="192"/>
    </row>
    <row r="9" spans="1:8">
      <c r="A9" s="85" t="s">
        <v>206</v>
      </c>
      <c r="B9" s="85" t="s">
        <v>207</v>
      </c>
      <c r="C9" s="85" t="s">
        <v>232</v>
      </c>
      <c r="D9" s="85" t="s">
        <v>208</v>
      </c>
      <c r="E9" s="85" t="s">
        <v>209</v>
      </c>
      <c r="F9" s="85" t="s">
        <v>210</v>
      </c>
      <c r="G9" s="85" t="s">
        <v>222</v>
      </c>
      <c r="H9" s="85" t="s">
        <v>223</v>
      </c>
    </row>
    <row r="10" spans="1:8">
      <c r="A10" s="6" t="s">
        <v>604</v>
      </c>
      <c r="B10" t="s">
        <v>7</v>
      </c>
      <c r="C10" s="54">
        <v>7893666043.2200003</v>
      </c>
      <c r="D10" s="54">
        <v>-382789.27</v>
      </c>
      <c r="E10">
        <v>-92610.95</v>
      </c>
      <c r="F10">
        <v>-268933.46999999997</v>
      </c>
      <c r="G10">
        <v>-21244.85</v>
      </c>
      <c r="H10">
        <v>0</v>
      </c>
    </row>
    <row r="11" spans="1:8">
      <c r="A11" s="6" t="s">
        <v>604</v>
      </c>
      <c r="B11" t="s">
        <v>8</v>
      </c>
      <c r="C11" s="54">
        <v>280485969.47000003</v>
      </c>
      <c r="D11" s="54">
        <v>-23409.47</v>
      </c>
      <c r="E11">
        <v>-6400</v>
      </c>
      <c r="F11">
        <v>-6773.47</v>
      </c>
      <c r="G11">
        <v>-10236</v>
      </c>
      <c r="H11">
        <v>0</v>
      </c>
    </row>
    <row r="12" spans="1:8">
      <c r="A12" s="6" t="s">
        <v>604</v>
      </c>
      <c r="B12" t="s">
        <v>9</v>
      </c>
      <c r="C12" s="54">
        <v>137555869.91</v>
      </c>
      <c r="D12" s="54">
        <v>0</v>
      </c>
      <c r="E12">
        <v>0</v>
      </c>
      <c r="F12">
        <v>0</v>
      </c>
      <c r="G12">
        <v>0</v>
      </c>
      <c r="H12">
        <v>0</v>
      </c>
    </row>
    <row r="13" spans="1:8">
      <c r="A13" s="6" t="s">
        <v>604</v>
      </c>
      <c r="B13" t="s">
        <v>11</v>
      </c>
      <c r="C13" s="54">
        <v>24369357.32</v>
      </c>
      <c r="D13" s="54">
        <v>0</v>
      </c>
      <c r="E13">
        <v>0</v>
      </c>
      <c r="F13">
        <v>0</v>
      </c>
      <c r="G13">
        <v>0</v>
      </c>
      <c r="H13">
        <v>0</v>
      </c>
    </row>
    <row r="14" spans="1:8">
      <c r="A14" s="6" t="s">
        <v>604</v>
      </c>
      <c r="B14" t="s">
        <v>12</v>
      </c>
      <c r="C14" s="54">
        <v>237695077.22</v>
      </c>
      <c r="D14" s="54">
        <v>-39409.699999999997</v>
      </c>
      <c r="E14">
        <v>0</v>
      </c>
      <c r="F14">
        <v>-5328.1</v>
      </c>
      <c r="G14">
        <v>-34081.599999999999</v>
      </c>
      <c r="H14">
        <v>0</v>
      </c>
    </row>
    <row r="15" spans="1:8">
      <c r="A15" s="6" t="s">
        <v>604</v>
      </c>
      <c r="B15" t="s">
        <v>13</v>
      </c>
      <c r="C15" s="54">
        <v>651465778.91999996</v>
      </c>
      <c r="D15" s="54">
        <v>0</v>
      </c>
      <c r="E15">
        <v>0</v>
      </c>
      <c r="F15">
        <v>0</v>
      </c>
      <c r="G15">
        <v>0</v>
      </c>
      <c r="H15">
        <v>0</v>
      </c>
    </row>
    <row r="16" spans="1:8">
      <c r="A16" s="6" t="s">
        <v>605</v>
      </c>
      <c r="B16" s="6" t="s">
        <v>7</v>
      </c>
      <c r="C16" s="56">
        <v>78822153.709999993</v>
      </c>
      <c r="D16" s="56">
        <v>0</v>
      </c>
      <c r="E16" s="56">
        <v>0</v>
      </c>
      <c r="F16" s="6">
        <v>0</v>
      </c>
      <c r="G16" s="6">
        <v>0</v>
      </c>
      <c r="H16" s="6">
        <v>0</v>
      </c>
    </row>
    <row r="17" spans="1:8">
      <c r="A17" s="6"/>
      <c r="C17" s="54"/>
      <c r="D17" s="54"/>
    </row>
    <row r="18" spans="1:8" ht="15.75" thickBot="1">
      <c r="C18" s="54"/>
      <c r="E18" s="193" t="s">
        <v>211</v>
      </c>
      <c r="F18" s="193"/>
      <c r="G18" s="193"/>
      <c r="H18" s="193"/>
    </row>
    <row r="19" spans="1:8">
      <c r="C19" s="54"/>
      <c r="D19" s="86"/>
      <c r="E19" s="194" t="s">
        <v>212</v>
      </c>
      <c r="F19" s="195"/>
      <c r="G19" s="196"/>
      <c r="H19" s="197" t="s">
        <v>224</v>
      </c>
    </row>
    <row r="20" spans="1:8" ht="15.75" thickBot="1">
      <c r="C20" s="90" t="s">
        <v>232</v>
      </c>
      <c r="D20" s="86" t="s">
        <v>213</v>
      </c>
      <c r="E20" s="87" t="s">
        <v>214</v>
      </c>
      <c r="F20" s="88" t="s">
        <v>215</v>
      </c>
      <c r="G20" s="89" t="s">
        <v>216</v>
      </c>
      <c r="H20" s="197"/>
    </row>
    <row r="21" spans="1:8">
      <c r="A21" s="6" t="s">
        <v>606</v>
      </c>
      <c r="B21" t="s">
        <v>8</v>
      </c>
      <c r="C21" s="54">
        <v>41488284.240000002</v>
      </c>
      <c r="D21">
        <v>41462784.240000002</v>
      </c>
      <c r="E21">
        <v>249500</v>
      </c>
      <c r="F21">
        <v>-224000</v>
      </c>
      <c r="G21">
        <v>25500</v>
      </c>
      <c r="H21">
        <v>-1010000</v>
      </c>
    </row>
    <row r="22" spans="1:8">
      <c r="A22" s="6"/>
      <c r="B22" t="s">
        <v>9</v>
      </c>
      <c r="C22" s="54">
        <v>19510585.890000001</v>
      </c>
      <c r="D22">
        <v>19505585.890000001</v>
      </c>
      <c r="E22">
        <v>488000</v>
      </c>
      <c r="F22">
        <v>-483000</v>
      </c>
      <c r="G22">
        <v>5000</v>
      </c>
      <c r="H22">
        <v>-688500</v>
      </c>
    </row>
    <row r="23" spans="1:8">
      <c r="A23" s="6"/>
      <c r="B23" t="s">
        <v>10</v>
      </c>
      <c r="C23" s="54">
        <v>5304944.7699999996</v>
      </c>
      <c r="D23">
        <v>5304944.7699999996</v>
      </c>
      <c r="E23">
        <v>0</v>
      </c>
      <c r="F23">
        <v>0</v>
      </c>
      <c r="G23">
        <v>0</v>
      </c>
      <c r="H23">
        <v>0</v>
      </c>
    </row>
    <row r="24" spans="1:8">
      <c r="A24" s="6"/>
      <c r="B24" s="6" t="s">
        <v>11</v>
      </c>
      <c r="C24" s="56">
        <v>4932923.5999999996</v>
      </c>
      <c r="D24" s="6">
        <v>4932923.5999999996</v>
      </c>
      <c r="E24" s="6">
        <v>0</v>
      </c>
      <c r="F24" s="6">
        <v>0</v>
      </c>
      <c r="G24" s="6">
        <v>0</v>
      </c>
      <c r="H24" s="6">
        <v>-30000</v>
      </c>
    </row>
    <row r="25" spans="1:8">
      <c r="C25" s="62">
        <f>SUM(Таблица3036[Столбец1])+SUM(Таблица3139[Столбец3])</f>
        <v>9375296988.2699986</v>
      </c>
      <c r="D25" t="s">
        <v>217</v>
      </c>
      <c r="E25" s="54"/>
    </row>
    <row r="26" spans="1:8">
      <c r="A26" s="61" t="s">
        <v>218</v>
      </c>
      <c r="E26" s="54"/>
    </row>
    <row r="27" spans="1:8" ht="37.5" customHeight="1">
      <c r="A27" s="90" t="s">
        <v>206</v>
      </c>
      <c r="B27" s="90" t="s">
        <v>207</v>
      </c>
      <c r="C27" s="90" t="s">
        <v>232</v>
      </c>
      <c r="D27" s="90" t="s">
        <v>233</v>
      </c>
      <c r="E27" s="91" t="s">
        <v>234</v>
      </c>
    </row>
    <row r="28" spans="1:8">
      <c r="A28" t="s">
        <v>604</v>
      </c>
      <c r="B28" t="s">
        <v>7</v>
      </c>
      <c r="C28">
        <v>18435853.800000001</v>
      </c>
      <c r="D28">
        <v>5530788</v>
      </c>
      <c r="E28" t="s">
        <v>607</v>
      </c>
      <c r="F28" s="63"/>
    </row>
    <row r="29" spans="1:8">
      <c r="A29" t="s">
        <v>604</v>
      </c>
      <c r="B29" t="s">
        <v>8</v>
      </c>
      <c r="C29">
        <v>236219</v>
      </c>
      <c r="D29">
        <v>70871</v>
      </c>
      <c r="F29" s="63"/>
    </row>
    <row r="30" spans="1:8">
      <c r="A30" t="s">
        <v>604</v>
      </c>
      <c r="B30" t="s">
        <v>9</v>
      </c>
      <c r="C30">
        <v>31221</v>
      </c>
      <c r="D30">
        <v>9367</v>
      </c>
      <c r="F30" s="63"/>
    </row>
    <row r="31" spans="1:8">
      <c r="A31" t="s">
        <v>604</v>
      </c>
      <c r="B31" t="s">
        <v>11</v>
      </c>
      <c r="C31">
        <v>32010.1</v>
      </c>
      <c r="D31">
        <v>9605</v>
      </c>
      <c r="F31" s="63"/>
    </row>
    <row r="32" spans="1:8">
      <c r="A32" t="s">
        <v>604</v>
      </c>
      <c r="B32" t="s">
        <v>12</v>
      </c>
      <c r="C32">
        <v>478898.36</v>
      </c>
      <c r="D32">
        <v>143669</v>
      </c>
      <c r="F32" s="63"/>
    </row>
    <row r="33" spans="1:8">
      <c r="A33" t="s">
        <v>604</v>
      </c>
      <c r="B33" t="s">
        <v>13</v>
      </c>
      <c r="C33">
        <v>143825</v>
      </c>
      <c r="D33">
        <v>43148</v>
      </c>
      <c r="F33" s="63"/>
    </row>
    <row r="34" spans="1:8">
      <c r="A34" s="6" t="s">
        <v>605</v>
      </c>
      <c r="B34" s="6" t="s">
        <v>7</v>
      </c>
      <c r="C34" s="6">
        <v>852848.26</v>
      </c>
      <c r="D34" s="6">
        <v>255853</v>
      </c>
      <c r="E34" s="6"/>
      <c r="F34" s="63"/>
    </row>
    <row r="35" spans="1:8" ht="15.75" thickBot="1">
      <c r="C35" s="64">
        <f>SUM(C28:C34)</f>
        <v>20210875.520000003</v>
      </c>
      <c r="D35" t="s">
        <v>219</v>
      </c>
      <c r="F35" s="63"/>
    </row>
    <row r="36" spans="1:8" ht="15.75" thickTop="1">
      <c r="C36" s="65">
        <f>tax_13+tax_30</f>
        <v>9395507863.789999</v>
      </c>
      <c r="D36" t="s">
        <v>231</v>
      </c>
    </row>
    <row r="37" spans="1:8">
      <c r="C37" s="66"/>
      <c r="H37" s="67"/>
    </row>
    <row r="38" spans="1:8">
      <c r="A38" s="198" t="s">
        <v>230</v>
      </c>
      <c r="B38" s="198"/>
      <c r="C38" s="198"/>
      <c r="D38" s="198"/>
      <c r="E38" s="198"/>
      <c r="F38" s="198"/>
      <c r="G38" s="67"/>
      <c r="H38" s="67"/>
    </row>
    <row r="39" spans="1:8">
      <c r="A39" s="68" t="s">
        <v>64</v>
      </c>
      <c r="B39" s="68" t="s">
        <v>65</v>
      </c>
      <c r="C39" s="68" t="s">
        <v>66</v>
      </c>
      <c r="D39" s="68" t="s">
        <v>83</v>
      </c>
      <c r="E39" s="68" t="s">
        <v>70</v>
      </c>
      <c r="F39" s="68" t="s">
        <v>228</v>
      </c>
      <c r="G39" s="67"/>
    </row>
    <row r="40" spans="1:8">
      <c r="A40" t="s">
        <v>608</v>
      </c>
      <c r="B40" t="s">
        <v>431</v>
      </c>
      <c r="C40" t="s">
        <v>609</v>
      </c>
      <c r="D40" s="54">
        <v>26782</v>
      </c>
      <c r="E40" s="54">
        <v>26781</v>
      </c>
      <c r="F40" s="54">
        <v>1</v>
      </c>
    </row>
    <row r="41" spans="1:8">
      <c r="A41" t="s">
        <v>610</v>
      </c>
      <c r="B41" t="s">
        <v>611</v>
      </c>
      <c r="C41" t="s">
        <v>612</v>
      </c>
      <c r="D41" s="54">
        <v>9359</v>
      </c>
      <c r="E41" s="54">
        <v>5702</v>
      </c>
      <c r="F41" s="54">
        <v>3657</v>
      </c>
    </row>
    <row r="42" spans="1:8">
      <c r="A42" t="s">
        <v>613</v>
      </c>
      <c r="B42" t="s">
        <v>614</v>
      </c>
      <c r="C42" t="s">
        <v>597</v>
      </c>
      <c r="D42" s="54">
        <v>19012</v>
      </c>
      <c r="E42" s="54">
        <v>14937</v>
      </c>
      <c r="F42" s="54">
        <v>4075</v>
      </c>
    </row>
    <row r="43" spans="1:8">
      <c r="A43" t="s">
        <v>615</v>
      </c>
      <c r="B43" t="s">
        <v>616</v>
      </c>
      <c r="C43" t="s">
        <v>617</v>
      </c>
      <c r="D43" s="54">
        <v>9576</v>
      </c>
      <c r="E43" s="54">
        <v>7525</v>
      </c>
      <c r="F43" s="54">
        <v>2051</v>
      </c>
    </row>
    <row r="44" spans="1:8">
      <c r="A44" t="s">
        <v>618</v>
      </c>
      <c r="B44" t="s">
        <v>410</v>
      </c>
      <c r="C44" t="s">
        <v>617</v>
      </c>
      <c r="D44" s="54">
        <v>20419</v>
      </c>
      <c r="E44" s="54">
        <v>15717</v>
      </c>
      <c r="F44" s="54">
        <v>4702</v>
      </c>
    </row>
    <row r="45" spans="1:8">
      <c r="A45" t="s">
        <v>619</v>
      </c>
      <c r="B45" t="s">
        <v>457</v>
      </c>
      <c r="C45" t="s">
        <v>620</v>
      </c>
      <c r="D45" s="54">
        <v>21392</v>
      </c>
      <c r="E45" s="54">
        <v>20572</v>
      </c>
      <c r="F45" s="54">
        <v>820</v>
      </c>
    </row>
    <row r="46" spans="1:8">
      <c r="A46" t="s">
        <v>621</v>
      </c>
      <c r="B46" t="s">
        <v>622</v>
      </c>
      <c r="C46" t="s">
        <v>575</v>
      </c>
      <c r="D46" s="54">
        <v>9708</v>
      </c>
      <c r="E46" s="54">
        <v>7199</v>
      </c>
      <c r="F46" s="54">
        <v>2509</v>
      </c>
    </row>
    <row r="47" spans="1:8">
      <c r="A47" t="s">
        <v>623</v>
      </c>
      <c r="B47" t="s">
        <v>501</v>
      </c>
      <c r="C47" t="s">
        <v>624</v>
      </c>
      <c r="D47" s="54">
        <v>15212</v>
      </c>
      <c r="E47" s="54">
        <v>10759</v>
      </c>
      <c r="F47" s="54">
        <v>4453</v>
      </c>
    </row>
    <row r="48" spans="1:8">
      <c r="A48" t="s">
        <v>229</v>
      </c>
      <c r="D48" s="54">
        <f>SUBTOTAL(109,[Налог исчисленный])</f>
        <v>131460</v>
      </c>
      <c r="E48" s="54">
        <f>SUBTOTAL(109,[Налог удержанный])</f>
        <v>109192</v>
      </c>
      <c r="F48" s="54">
        <f>SUBTOTAL(109,[Разница])</f>
        <v>22268</v>
      </c>
      <c r="G48" s="54"/>
      <c r="H48" s="54"/>
    </row>
  </sheetData>
  <mergeCells count="6">
    <mergeCell ref="A1:H1"/>
    <mergeCell ref="E8:H8"/>
    <mergeCell ref="E18:H18"/>
    <mergeCell ref="E19:G19"/>
    <mergeCell ref="H19:H20"/>
    <mergeCell ref="A38:F38"/>
  </mergeCells>
  <pageMargins left="0.7" right="0.7" top="0.75" bottom="0.75" header="0.3" footer="0.3"/>
  <pageSetup paperSize="9" orientation="portrait" r:id="rId1"/>
  <tableParts count="5">
    <tablePart r:id="rId2"/>
    <tablePart r:id="rId3"/>
    <tablePart r:id="rId4"/>
    <tablePart r:id="rId5"/>
    <tablePart r:id="rId6"/>
  </tableParts>
</worksheet>
</file>

<file path=xl/worksheets/sheet10.xml><?xml version="1.0" encoding="utf-8"?>
<worksheet xmlns="http://schemas.openxmlformats.org/spreadsheetml/2006/main" xmlns:r="http://schemas.openxmlformats.org/officeDocument/2006/relationships">
  <sheetPr codeName="Лист20"/>
  <dimension ref="A1:D47"/>
  <sheetViews>
    <sheetView zoomScale="145" zoomScaleNormal="145" workbookViewId="0">
      <selection activeCell="G1" sqref="G1"/>
    </sheetView>
  </sheetViews>
  <sheetFormatPr defaultRowHeight="15"/>
  <cols>
    <col min="1" max="1" width="10.7109375" customWidth="1"/>
    <col min="2" max="2" width="16.140625" customWidth="1"/>
    <col min="3" max="3" width="19.5703125" customWidth="1"/>
    <col min="4" max="4" width="19.28515625" customWidth="1"/>
    <col min="5" max="5" width="10.42578125" bestFit="1" customWidth="1"/>
    <col min="6" max="6" width="12.42578125" bestFit="1" customWidth="1"/>
    <col min="7" max="7" width="10.28515625" bestFit="1" customWidth="1"/>
    <col min="8" max="8" width="11" customWidth="1"/>
  </cols>
  <sheetData>
    <row r="1" spans="1:4">
      <c r="B1" s="96"/>
      <c r="C1" s="65" t="s">
        <v>237</v>
      </c>
      <c r="D1" s="65" t="s">
        <v>238</v>
      </c>
    </row>
    <row r="2" spans="1:4">
      <c r="B2" s="97" t="s">
        <v>239</v>
      </c>
      <c r="C2" s="66">
        <f>SUM(Таблица2693[130])</f>
        <v>9395507863.7900009</v>
      </c>
      <c r="D2" s="66">
        <f>SUM(Таблица2693[140])</f>
        <v>1219008440</v>
      </c>
    </row>
    <row r="3" spans="1:4" ht="15.75" thickBot="1">
      <c r="B3" s="96"/>
      <c r="C3" s="96"/>
      <c r="D3" s="96"/>
    </row>
    <row r="4" spans="1:4" ht="43.15" customHeight="1">
      <c r="A4" s="98" t="s">
        <v>192</v>
      </c>
      <c r="B4" s="99" t="s">
        <v>240</v>
      </c>
      <c r="C4" s="100" t="s">
        <v>241</v>
      </c>
      <c r="D4" s="101" t="s">
        <v>241</v>
      </c>
    </row>
    <row r="5" spans="1:4" s="103" customFormat="1" ht="12" thickBot="1">
      <c r="A5" s="102" t="s">
        <v>193</v>
      </c>
      <c r="B5" s="106" t="s">
        <v>246</v>
      </c>
      <c r="C5" s="107" t="s">
        <v>242</v>
      </c>
      <c r="D5" s="108" t="s">
        <v>243</v>
      </c>
    </row>
    <row r="6" spans="1:4">
      <c r="A6" s="52"/>
      <c r="B6" s="104">
        <v>42745</v>
      </c>
      <c r="C6" s="105">
        <v>1283225586.3800001</v>
      </c>
      <c r="D6" s="105">
        <v>166564221</v>
      </c>
    </row>
    <row r="7" spans="1:4">
      <c r="A7" s="6"/>
      <c r="B7" s="104">
        <v>42748</v>
      </c>
      <c r="C7" s="105">
        <v>5153171.72</v>
      </c>
      <c r="D7" s="105">
        <v>669913</v>
      </c>
    </row>
    <row r="8" spans="1:4">
      <c r="A8" s="6"/>
      <c r="B8" s="104">
        <v>42760</v>
      </c>
      <c r="C8" s="105">
        <v>12551085.619999999</v>
      </c>
      <c r="D8" s="105">
        <v>1630610</v>
      </c>
    </row>
    <row r="9" spans="1:4">
      <c r="A9" s="6"/>
      <c r="B9" s="104">
        <v>42762</v>
      </c>
      <c r="C9" s="105">
        <v>4946399.78</v>
      </c>
      <c r="D9" s="105">
        <v>671161</v>
      </c>
    </row>
    <row r="10" spans="1:4">
      <c r="A10" s="6"/>
      <c r="B10" s="104">
        <v>42776</v>
      </c>
      <c r="C10" s="105">
        <v>1287576720.1199999</v>
      </c>
      <c r="D10" s="105">
        <v>167044688</v>
      </c>
    </row>
    <row r="11" spans="1:4">
      <c r="A11" s="6"/>
      <c r="B11" s="104">
        <v>42779</v>
      </c>
      <c r="C11" s="105">
        <v>4825209.93</v>
      </c>
      <c r="D11" s="105">
        <v>646568</v>
      </c>
    </row>
    <row r="12" spans="1:4">
      <c r="A12" s="6"/>
      <c r="B12" s="104">
        <v>42793</v>
      </c>
      <c r="C12" s="105">
        <v>8154389.2400000002</v>
      </c>
      <c r="D12" s="105">
        <v>1064515</v>
      </c>
    </row>
    <row r="13" spans="1:4">
      <c r="A13" s="6"/>
      <c r="B13" s="104">
        <v>42794</v>
      </c>
      <c r="C13" s="105">
        <v>6597302.0999999996</v>
      </c>
      <c r="D13" s="105">
        <v>857649</v>
      </c>
    </row>
    <row r="14" spans="1:4">
      <c r="A14" s="6"/>
      <c r="B14" s="104">
        <v>42804</v>
      </c>
      <c r="C14" s="105">
        <v>1289426859.4000001</v>
      </c>
      <c r="D14" s="105">
        <v>167203655</v>
      </c>
    </row>
    <row r="15" spans="1:4">
      <c r="A15" s="6"/>
      <c r="B15" s="104">
        <v>42807</v>
      </c>
      <c r="C15" s="105">
        <v>6888208.5700000003</v>
      </c>
      <c r="D15" s="105">
        <v>895467</v>
      </c>
    </row>
    <row r="16" spans="1:4">
      <c r="A16" s="6"/>
      <c r="B16" s="104">
        <v>42818</v>
      </c>
      <c r="C16" s="105">
        <v>12032292.210000001</v>
      </c>
      <c r="D16" s="105">
        <v>1562754</v>
      </c>
    </row>
    <row r="17" spans="1:4">
      <c r="A17" s="6"/>
      <c r="B17" s="104">
        <v>42821</v>
      </c>
      <c r="C17" s="105">
        <v>5595558.9900000002</v>
      </c>
      <c r="D17" s="105">
        <v>736304</v>
      </c>
    </row>
    <row r="18" spans="1:4">
      <c r="A18" s="6"/>
      <c r="B18" s="104">
        <v>42832</v>
      </c>
      <c r="C18" s="105">
        <v>16965626.34</v>
      </c>
      <c r="D18" s="105">
        <v>2283896</v>
      </c>
    </row>
    <row r="19" spans="1:4">
      <c r="A19" s="6"/>
      <c r="B19" s="104">
        <v>42835</v>
      </c>
      <c r="C19" s="105">
        <v>1310310886.4300001</v>
      </c>
      <c r="D19" s="105">
        <v>169861732</v>
      </c>
    </row>
    <row r="20" spans="1:4">
      <c r="A20" s="6"/>
      <c r="B20" s="104">
        <v>42839</v>
      </c>
      <c r="C20" s="105">
        <v>1611442.36</v>
      </c>
      <c r="D20" s="105">
        <v>256287</v>
      </c>
    </row>
    <row r="21" spans="1:4">
      <c r="A21" s="6"/>
      <c r="B21" s="104">
        <v>42846</v>
      </c>
      <c r="C21" s="105">
        <v>6324114.5999999996</v>
      </c>
      <c r="D21" s="105">
        <v>822138</v>
      </c>
    </row>
    <row r="22" spans="1:4">
      <c r="A22" s="6"/>
      <c r="B22" s="104">
        <v>42850</v>
      </c>
      <c r="C22" s="105">
        <v>10239982.59</v>
      </c>
      <c r="D22" s="105">
        <v>1330199</v>
      </c>
    </row>
    <row r="23" spans="1:4">
      <c r="A23" s="6"/>
      <c r="B23" s="104">
        <v>42853</v>
      </c>
      <c r="C23" s="105">
        <v>808776.25</v>
      </c>
      <c r="D23" s="105">
        <v>106701</v>
      </c>
    </row>
    <row r="24" spans="1:4">
      <c r="A24" s="6"/>
      <c r="B24" s="104">
        <v>42857</v>
      </c>
      <c r="C24" s="105">
        <v>27403809.07</v>
      </c>
      <c r="D24" s="105">
        <v>3546044</v>
      </c>
    </row>
    <row r="25" spans="1:4">
      <c r="A25" s="6"/>
      <c r="B25" s="104">
        <v>42858</v>
      </c>
      <c r="C25" s="105">
        <v>325372026.66000003</v>
      </c>
      <c r="D25" s="105">
        <v>42057122</v>
      </c>
    </row>
    <row r="26" spans="1:4">
      <c r="A26" s="6"/>
      <c r="B26" s="104">
        <v>42859</v>
      </c>
      <c r="C26" s="105">
        <v>952727745.70000005</v>
      </c>
      <c r="D26" s="105">
        <v>123725817</v>
      </c>
    </row>
    <row r="27" spans="1:4">
      <c r="A27" s="6"/>
      <c r="B27" s="104">
        <v>42865</v>
      </c>
      <c r="C27" s="105">
        <v>11166283.720000001</v>
      </c>
      <c r="D27" s="105">
        <v>1469217</v>
      </c>
    </row>
    <row r="28" spans="1:4">
      <c r="A28" s="6"/>
      <c r="B28" s="104">
        <v>42874</v>
      </c>
      <c r="C28" s="105">
        <v>6141243.1699999999</v>
      </c>
      <c r="D28" s="105">
        <v>798364</v>
      </c>
    </row>
    <row r="29" spans="1:4">
      <c r="A29" s="6"/>
      <c r="B29" s="104">
        <v>42880</v>
      </c>
      <c r="C29" s="105">
        <v>11707334.43</v>
      </c>
      <c r="D29" s="105">
        <v>1522917</v>
      </c>
    </row>
    <row r="30" spans="1:4">
      <c r="A30" s="6"/>
      <c r="B30" s="104">
        <v>42881</v>
      </c>
      <c r="C30" s="105">
        <v>2352052.9300000002</v>
      </c>
      <c r="D30" s="105">
        <v>305766</v>
      </c>
    </row>
    <row r="31" spans="1:4">
      <c r="A31" s="6"/>
      <c r="B31" s="104">
        <v>42888</v>
      </c>
      <c r="C31" s="105">
        <v>6281071.54</v>
      </c>
      <c r="D31" s="105">
        <v>820805</v>
      </c>
    </row>
    <row r="32" spans="1:4">
      <c r="A32" s="6"/>
      <c r="B32" s="104">
        <v>42895</v>
      </c>
      <c r="C32" s="105">
        <v>1331388241.3</v>
      </c>
      <c r="D32" s="105">
        <v>172677952</v>
      </c>
    </row>
    <row r="33" spans="1:4">
      <c r="A33" s="6"/>
      <c r="B33" s="104">
        <v>42899</v>
      </c>
      <c r="C33" s="105">
        <v>3650589.45</v>
      </c>
      <c r="D33" s="105">
        <v>474576</v>
      </c>
    </row>
    <row r="34" spans="1:4">
      <c r="A34" s="6"/>
      <c r="B34" s="104">
        <v>42902</v>
      </c>
      <c r="C34" s="105">
        <v>32595233.170000002</v>
      </c>
      <c r="D34" s="105">
        <v>4237379</v>
      </c>
    </row>
    <row r="35" spans="1:4">
      <c r="A35" s="6"/>
      <c r="B35" s="104">
        <v>42907</v>
      </c>
      <c r="C35" s="105">
        <v>2320966.84</v>
      </c>
      <c r="D35" s="105">
        <v>304584</v>
      </c>
    </row>
    <row r="36" spans="1:4">
      <c r="A36" s="6"/>
      <c r="B36" s="104">
        <v>42912</v>
      </c>
      <c r="C36" s="105">
        <v>15134289.43</v>
      </c>
      <c r="D36" s="105">
        <v>1967099</v>
      </c>
    </row>
    <row r="37" spans="1:4">
      <c r="A37" s="6"/>
      <c r="B37" s="104">
        <v>42916</v>
      </c>
      <c r="C37" s="105">
        <v>5108827.5199999996</v>
      </c>
      <c r="D37" s="105">
        <v>679266</v>
      </c>
    </row>
    <row r="38" spans="1:4">
      <c r="A38" s="6"/>
      <c r="B38" s="104">
        <v>42923</v>
      </c>
      <c r="C38" s="105">
        <v>2454296.08</v>
      </c>
      <c r="D38" s="105">
        <v>319061</v>
      </c>
    </row>
    <row r="39" spans="1:4">
      <c r="A39" s="6"/>
      <c r="B39" s="104">
        <v>42926</v>
      </c>
      <c r="C39" s="105">
        <v>1021855525.8</v>
      </c>
      <c r="D39" s="105">
        <v>132714502</v>
      </c>
    </row>
    <row r="40" spans="1:4">
      <c r="A40" s="6"/>
      <c r="B40" s="104">
        <v>42927</v>
      </c>
      <c r="C40" s="105">
        <v>330529045.5</v>
      </c>
      <c r="D40" s="105">
        <v>42735035</v>
      </c>
    </row>
    <row r="41" spans="1:4">
      <c r="A41" s="6"/>
      <c r="B41" s="104">
        <v>42928</v>
      </c>
      <c r="C41" s="105">
        <v>2668642.09</v>
      </c>
      <c r="D41" s="105">
        <v>346922</v>
      </c>
    </row>
    <row r="42" spans="1:4">
      <c r="A42" s="6"/>
      <c r="B42" s="104">
        <v>42930</v>
      </c>
      <c r="C42" s="105">
        <v>11465316.380000001</v>
      </c>
      <c r="D42" s="105">
        <v>1504519</v>
      </c>
    </row>
    <row r="43" spans="1:4">
      <c r="A43" s="6"/>
      <c r="B43" s="104">
        <v>42937</v>
      </c>
      <c r="C43" s="105">
        <v>7660049.0300000003</v>
      </c>
      <c r="D43" s="105">
        <v>995810</v>
      </c>
    </row>
    <row r="44" spans="1:4">
      <c r="A44" s="6"/>
      <c r="B44" s="148">
        <v>42941</v>
      </c>
      <c r="C44" s="149">
        <v>12291661.35</v>
      </c>
      <c r="D44" s="149">
        <v>1597225</v>
      </c>
    </row>
    <row r="46" spans="1:4">
      <c r="B46" t="s">
        <v>244</v>
      </c>
    </row>
    <row r="47" spans="1:4">
      <c r="B47" t="s">
        <v>245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>
  <sheetPr codeName="Лист7"/>
  <dimension ref="A1:J90"/>
  <sheetViews>
    <sheetView workbookViewId="0">
      <selection activeCell="G1" sqref="G1"/>
    </sheetView>
  </sheetViews>
  <sheetFormatPr defaultRowHeight="15"/>
  <cols>
    <col min="1" max="1" width="13.5703125" customWidth="1"/>
    <col min="2" max="2" width="12.42578125" customWidth="1"/>
    <col min="3" max="5" width="16.7109375" customWidth="1"/>
    <col min="6" max="7" width="13.5703125" customWidth="1"/>
    <col min="8" max="10" width="16.7109375" customWidth="1"/>
  </cols>
  <sheetData>
    <row r="1" spans="1:10" ht="31.5" customHeight="1">
      <c r="A1" s="157" t="s">
        <v>4</v>
      </c>
      <c r="B1" s="157"/>
      <c r="C1" s="157"/>
      <c r="D1" s="157"/>
      <c r="E1" s="157"/>
      <c r="F1" s="158" t="s">
        <v>23</v>
      </c>
      <c r="G1" s="158"/>
      <c r="H1" s="158"/>
      <c r="I1" s="158"/>
      <c r="J1" s="158"/>
    </row>
    <row r="2" spans="1:10" ht="78" customHeight="1">
      <c r="A2" s="136" t="s">
        <v>0</v>
      </c>
      <c r="B2" s="136" t="s">
        <v>30</v>
      </c>
      <c r="C2" s="134" t="s">
        <v>1</v>
      </c>
      <c r="D2" s="134" t="s">
        <v>2</v>
      </c>
      <c r="E2" s="136" t="s">
        <v>22</v>
      </c>
      <c r="F2" s="21" t="s">
        <v>29</v>
      </c>
      <c r="G2" s="21" t="s">
        <v>33</v>
      </c>
      <c r="H2" s="21" t="s">
        <v>1</v>
      </c>
      <c r="I2" s="21" t="s">
        <v>2</v>
      </c>
      <c r="J2" s="21" t="s">
        <v>22</v>
      </c>
    </row>
    <row r="3" spans="1:10">
      <c r="A3" s="22" t="s">
        <v>7</v>
      </c>
      <c r="B3" s="22" t="s">
        <v>8</v>
      </c>
      <c r="C3" s="22" t="s">
        <v>9</v>
      </c>
      <c r="D3" s="22" t="s">
        <v>10</v>
      </c>
      <c r="E3" s="22" t="s">
        <v>11</v>
      </c>
      <c r="F3" s="23" t="s">
        <v>12</v>
      </c>
      <c r="G3" s="23" t="s">
        <v>13</v>
      </c>
      <c r="H3" s="23" t="s">
        <v>14</v>
      </c>
      <c r="I3" s="23" t="s">
        <v>15</v>
      </c>
      <c r="J3" s="23" t="s">
        <v>16</v>
      </c>
    </row>
    <row r="4" spans="1:10">
      <c r="A4" s="1">
        <v>42745</v>
      </c>
      <c r="B4" s="1">
        <v>42746</v>
      </c>
      <c r="C4" s="24">
        <v>1283335409.8499999</v>
      </c>
      <c r="D4" s="24">
        <v>6308000</v>
      </c>
      <c r="E4" s="24">
        <v>166581807</v>
      </c>
      <c r="F4" s="1">
        <v>42745</v>
      </c>
      <c r="G4" s="1"/>
      <c r="H4" s="24"/>
      <c r="I4" s="24"/>
      <c r="J4" s="24"/>
    </row>
    <row r="5" spans="1:10">
      <c r="A5" s="112">
        <v>42748</v>
      </c>
      <c r="B5" s="1">
        <v>42749</v>
      </c>
      <c r="C5" s="24">
        <v>5153171.72</v>
      </c>
      <c r="D5" s="24"/>
      <c r="E5" s="24">
        <v>669913</v>
      </c>
      <c r="F5" s="1">
        <v>42748</v>
      </c>
      <c r="G5" s="1"/>
      <c r="H5" s="24"/>
      <c r="I5" s="24"/>
      <c r="J5" s="113"/>
    </row>
    <row r="6" spans="1:10">
      <c r="A6" s="112">
        <v>42755</v>
      </c>
      <c r="B6" s="1"/>
      <c r="C6" s="24"/>
      <c r="D6" s="24"/>
      <c r="E6" s="24"/>
      <c r="F6" s="1">
        <v>42755</v>
      </c>
      <c r="G6" s="1">
        <v>42643</v>
      </c>
      <c r="H6" s="24">
        <v>-82000</v>
      </c>
      <c r="I6" s="24"/>
      <c r="J6" s="113">
        <v>-10660</v>
      </c>
    </row>
    <row r="7" spans="1:10">
      <c r="A7" s="112">
        <v>42755</v>
      </c>
      <c r="B7" s="1"/>
      <c r="C7" s="24"/>
      <c r="D7" s="24"/>
      <c r="E7" s="24"/>
      <c r="F7" s="1">
        <v>42755</v>
      </c>
      <c r="G7" s="1">
        <v>42706</v>
      </c>
      <c r="H7" s="24">
        <v>-45000</v>
      </c>
      <c r="I7" s="24"/>
      <c r="J7" s="113">
        <v>-5850</v>
      </c>
    </row>
    <row r="8" spans="1:10">
      <c r="A8" s="112">
        <v>42755</v>
      </c>
      <c r="B8" s="1"/>
      <c r="C8" s="24"/>
      <c r="D8" s="24"/>
      <c r="E8" s="24"/>
      <c r="F8" s="1">
        <v>42755</v>
      </c>
      <c r="G8" s="1">
        <v>42720</v>
      </c>
      <c r="H8" s="24">
        <v>-53000</v>
      </c>
      <c r="I8" s="24"/>
      <c r="J8" s="113">
        <v>-6890</v>
      </c>
    </row>
    <row r="9" spans="1:10">
      <c r="A9" s="112">
        <v>42760</v>
      </c>
      <c r="B9" s="1">
        <v>42761</v>
      </c>
      <c r="C9" s="24">
        <v>12551085.619999999</v>
      </c>
      <c r="D9" s="24">
        <v>20400</v>
      </c>
      <c r="E9" s="24">
        <v>1630610</v>
      </c>
      <c r="F9" s="1">
        <v>42760</v>
      </c>
      <c r="G9" s="1"/>
      <c r="H9" s="24"/>
      <c r="I9" s="24"/>
      <c r="J9" s="113"/>
    </row>
    <row r="10" spans="1:10">
      <c r="A10" s="112">
        <v>42762</v>
      </c>
      <c r="B10" s="1">
        <v>42763</v>
      </c>
      <c r="C10" s="24">
        <v>4946399.78</v>
      </c>
      <c r="D10" s="24"/>
      <c r="E10" s="24">
        <v>671161</v>
      </c>
      <c r="F10" s="1">
        <v>42762</v>
      </c>
      <c r="G10" s="1">
        <v>42671</v>
      </c>
      <c r="H10" s="24">
        <v>-66000</v>
      </c>
      <c r="I10" s="24"/>
      <c r="J10" s="113">
        <v>-8580</v>
      </c>
    </row>
    <row r="11" spans="1:10">
      <c r="A11" s="112">
        <v>42762</v>
      </c>
      <c r="B11" s="1"/>
      <c r="C11" s="24"/>
      <c r="D11" s="24"/>
      <c r="E11" s="24"/>
      <c r="F11" s="1">
        <v>42762</v>
      </c>
      <c r="G11" s="1">
        <v>42716</v>
      </c>
      <c r="H11" s="24">
        <v>-62000</v>
      </c>
      <c r="I11" s="24"/>
      <c r="J11" s="113">
        <v>-8060</v>
      </c>
    </row>
    <row r="12" spans="1:10">
      <c r="A12" s="112">
        <v>42762</v>
      </c>
      <c r="B12" s="1"/>
      <c r="C12" s="24"/>
      <c r="D12" s="24"/>
      <c r="E12" s="24"/>
      <c r="F12" s="1">
        <v>42762</v>
      </c>
      <c r="G12" s="1">
        <v>42727</v>
      </c>
      <c r="H12" s="24">
        <v>-49500</v>
      </c>
      <c r="I12" s="24"/>
      <c r="J12" s="113">
        <v>-6435</v>
      </c>
    </row>
    <row r="13" spans="1:10">
      <c r="A13" s="112">
        <v>42766</v>
      </c>
      <c r="B13" s="1"/>
      <c r="C13" s="24"/>
      <c r="D13" s="24"/>
      <c r="E13" s="24"/>
      <c r="F13" s="1">
        <v>42766</v>
      </c>
      <c r="G13" s="1">
        <v>42745</v>
      </c>
      <c r="H13" s="24">
        <v>-26995.02</v>
      </c>
      <c r="I13" s="24">
        <v>-500</v>
      </c>
      <c r="J13" s="113">
        <v>-3444</v>
      </c>
    </row>
    <row r="14" spans="1:10">
      <c r="A14" s="112">
        <v>42769</v>
      </c>
      <c r="B14" s="1"/>
      <c r="C14" s="24"/>
      <c r="D14" s="24"/>
      <c r="E14" s="24"/>
      <c r="F14" s="1">
        <v>42769</v>
      </c>
      <c r="G14" s="1">
        <v>42731</v>
      </c>
      <c r="H14" s="24">
        <v>-210000</v>
      </c>
      <c r="I14" s="24"/>
      <c r="J14" s="113">
        <v>-27300</v>
      </c>
    </row>
    <row r="15" spans="1:10">
      <c r="A15" s="112">
        <v>42776</v>
      </c>
      <c r="B15" s="1">
        <v>42777</v>
      </c>
      <c r="C15" s="24">
        <v>1287654754.45</v>
      </c>
      <c r="D15" s="24">
        <v>6373800</v>
      </c>
      <c r="E15" s="24">
        <v>167054697</v>
      </c>
      <c r="F15" s="1">
        <v>42776</v>
      </c>
      <c r="G15" s="1">
        <v>42745</v>
      </c>
      <c r="H15" s="24">
        <v>0</v>
      </c>
      <c r="I15" s="24"/>
      <c r="J15" s="113">
        <v>-3504</v>
      </c>
    </row>
    <row r="16" spans="1:10">
      <c r="A16" s="112">
        <v>42779</v>
      </c>
      <c r="B16" s="1">
        <v>42780</v>
      </c>
      <c r="C16" s="24">
        <v>4825209.93</v>
      </c>
      <c r="D16" s="24"/>
      <c r="E16" s="24">
        <v>646568</v>
      </c>
      <c r="F16" s="1">
        <v>42779</v>
      </c>
      <c r="G16" s="1">
        <v>42657</v>
      </c>
      <c r="H16" s="24">
        <v>-10000</v>
      </c>
      <c r="I16" s="24"/>
      <c r="J16" s="113">
        <v>-1300</v>
      </c>
    </row>
    <row r="17" spans="1:10">
      <c r="A17" s="112">
        <v>42779</v>
      </c>
      <c r="B17" s="1"/>
      <c r="C17" s="24"/>
      <c r="D17" s="24"/>
      <c r="E17" s="24"/>
      <c r="F17" s="1">
        <v>42779</v>
      </c>
      <c r="G17" s="1">
        <v>42692</v>
      </c>
      <c r="H17" s="24">
        <v>-40000</v>
      </c>
      <c r="I17" s="24"/>
      <c r="J17" s="113">
        <v>-5200</v>
      </c>
    </row>
    <row r="18" spans="1:10">
      <c r="A18" s="112">
        <v>42779</v>
      </c>
      <c r="B18" s="1"/>
      <c r="C18" s="24"/>
      <c r="D18" s="24"/>
      <c r="E18" s="24"/>
      <c r="F18" s="1">
        <v>42779</v>
      </c>
      <c r="G18" s="1">
        <v>42702</v>
      </c>
      <c r="H18" s="24">
        <v>-104000</v>
      </c>
      <c r="I18" s="24"/>
      <c r="J18" s="113">
        <v>-13520</v>
      </c>
    </row>
    <row r="19" spans="1:10">
      <c r="A19" s="112">
        <v>42779</v>
      </c>
      <c r="B19" s="1"/>
      <c r="C19" s="24"/>
      <c r="D19" s="24"/>
      <c r="E19" s="24"/>
      <c r="F19" s="1">
        <v>42779</v>
      </c>
      <c r="G19" s="1">
        <v>42727</v>
      </c>
      <c r="H19" s="24">
        <v>-28500</v>
      </c>
      <c r="I19" s="24"/>
      <c r="J19" s="113">
        <v>-3705</v>
      </c>
    </row>
    <row r="20" spans="1:10">
      <c r="A20" s="112">
        <v>42793</v>
      </c>
      <c r="B20" s="1">
        <v>42794</v>
      </c>
      <c r="C20" s="24">
        <v>8154389.2400000002</v>
      </c>
      <c r="D20" s="24">
        <v>3900</v>
      </c>
      <c r="E20" s="24">
        <v>1064515</v>
      </c>
      <c r="F20" s="1">
        <v>42793</v>
      </c>
      <c r="G20" s="1"/>
      <c r="H20" s="24"/>
      <c r="I20" s="24"/>
      <c r="J20" s="113"/>
    </row>
    <row r="21" spans="1:10">
      <c r="A21" s="112">
        <v>42794</v>
      </c>
      <c r="B21" s="1">
        <v>42795</v>
      </c>
      <c r="C21" s="24">
        <v>6597302.0999999996</v>
      </c>
      <c r="D21" s="24"/>
      <c r="E21" s="24">
        <v>857649</v>
      </c>
      <c r="F21" s="1">
        <v>42794</v>
      </c>
      <c r="G21" s="1">
        <v>42745</v>
      </c>
      <c r="H21" s="24">
        <v>-15112.68</v>
      </c>
      <c r="I21" s="24">
        <v>-500</v>
      </c>
      <c r="J21" s="113">
        <v>-1899</v>
      </c>
    </row>
    <row r="22" spans="1:10">
      <c r="A22" s="112">
        <v>42794</v>
      </c>
      <c r="B22" s="1"/>
      <c r="C22" s="24"/>
      <c r="D22" s="24"/>
      <c r="E22" s="24"/>
      <c r="F22" s="1">
        <v>42794</v>
      </c>
      <c r="G22" s="1">
        <v>42776</v>
      </c>
      <c r="H22" s="24">
        <v>-8935.0499999999993</v>
      </c>
      <c r="I22" s="24"/>
      <c r="J22" s="113">
        <v>-1162</v>
      </c>
    </row>
    <row r="23" spans="1:10">
      <c r="A23" s="112">
        <v>42804</v>
      </c>
      <c r="B23" s="1">
        <v>42805</v>
      </c>
      <c r="C23" s="24">
        <v>1289499772.21</v>
      </c>
      <c r="D23" s="24">
        <v>7033900</v>
      </c>
      <c r="E23" s="24">
        <v>167213134</v>
      </c>
      <c r="F23" s="1">
        <v>42804</v>
      </c>
      <c r="G23" s="1"/>
      <c r="H23" s="24"/>
      <c r="I23" s="24"/>
      <c r="J23" s="113"/>
    </row>
    <row r="24" spans="1:10">
      <c r="A24" s="112">
        <v>42807</v>
      </c>
      <c r="B24" s="1">
        <v>42808</v>
      </c>
      <c r="C24" s="24">
        <v>6888208.5700000003</v>
      </c>
      <c r="D24" s="24"/>
      <c r="E24" s="24">
        <v>895467</v>
      </c>
      <c r="F24" s="1">
        <v>42807</v>
      </c>
      <c r="G24" s="1"/>
      <c r="H24" s="24"/>
      <c r="I24" s="24"/>
      <c r="J24" s="113"/>
    </row>
    <row r="25" spans="1:10">
      <c r="A25" s="112">
        <v>42811</v>
      </c>
      <c r="B25" s="1"/>
      <c r="C25" s="24"/>
      <c r="D25" s="24"/>
      <c r="E25" s="24"/>
      <c r="F25" s="1">
        <v>42811</v>
      </c>
      <c r="G25" s="1">
        <v>42587</v>
      </c>
      <c r="H25" s="24">
        <v>-50000</v>
      </c>
      <c r="I25" s="24"/>
      <c r="J25" s="113">
        <v>-6500</v>
      </c>
    </row>
    <row r="26" spans="1:10">
      <c r="A26" s="112">
        <v>42818</v>
      </c>
      <c r="B26" s="1">
        <v>42819</v>
      </c>
      <c r="C26" s="24">
        <v>12032292.210000001</v>
      </c>
      <c r="D26" s="24">
        <v>26300</v>
      </c>
      <c r="E26" s="24">
        <v>1562754</v>
      </c>
      <c r="F26" s="1">
        <v>42818</v>
      </c>
      <c r="G26" s="1"/>
      <c r="H26" s="24"/>
      <c r="I26" s="24"/>
      <c r="J26" s="113"/>
    </row>
    <row r="27" spans="1:10">
      <c r="A27" s="112">
        <v>42821</v>
      </c>
      <c r="B27" s="1">
        <v>42822</v>
      </c>
      <c r="C27" s="24">
        <v>5595558.9900000002</v>
      </c>
      <c r="D27" s="24"/>
      <c r="E27" s="24">
        <v>736304</v>
      </c>
      <c r="F27" s="1">
        <v>42821</v>
      </c>
      <c r="G27" s="1">
        <v>42650</v>
      </c>
      <c r="H27" s="24">
        <v>-35000</v>
      </c>
      <c r="I27" s="24"/>
      <c r="J27" s="113">
        <v>-4550</v>
      </c>
    </row>
    <row r="28" spans="1:10">
      <c r="A28" s="112">
        <v>42825</v>
      </c>
      <c r="B28" s="1"/>
      <c r="C28" s="24"/>
      <c r="D28" s="24"/>
      <c r="E28" s="24"/>
      <c r="F28" s="1">
        <v>42825</v>
      </c>
      <c r="G28" s="1">
        <v>42745</v>
      </c>
      <c r="H28" s="24">
        <v>-10090.99</v>
      </c>
      <c r="I28" s="24">
        <v>-500</v>
      </c>
      <c r="J28" s="113">
        <v>-1247</v>
      </c>
    </row>
    <row r="29" spans="1:10">
      <c r="A29" s="112">
        <v>42825</v>
      </c>
      <c r="B29" s="1"/>
      <c r="C29" s="24"/>
      <c r="D29" s="24"/>
      <c r="E29" s="24"/>
      <c r="F29" s="1">
        <v>42825</v>
      </c>
      <c r="G29" s="1">
        <v>42776</v>
      </c>
      <c r="H29" s="24">
        <v>-34138.81</v>
      </c>
      <c r="I29" s="24">
        <v>-1000</v>
      </c>
      <c r="J29" s="113">
        <v>-4304</v>
      </c>
    </row>
    <row r="30" spans="1:10">
      <c r="A30" s="112">
        <v>42825</v>
      </c>
      <c r="B30" s="1"/>
      <c r="C30" s="24"/>
      <c r="D30" s="24"/>
      <c r="E30" s="24"/>
      <c r="F30" s="1">
        <v>42825</v>
      </c>
      <c r="G30" s="1">
        <v>42804</v>
      </c>
      <c r="H30" s="24">
        <v>-3738.4</v>
      </c>
      <c r="I30" s="24"/>
      <c r="J30" s="113">
        <v>-486</v>
      </c>
    </row>
    <row r="31" spans="1:10">
      <c r="A31" s="112">
        <v>42832</v>
      </c>
      <c r="B31" s="1">
        <v>42833</v>
      </c>
      <c r="C31" s="24">
        <v>17238626.34</v>
      </c>
      <c r="D31" s="24"/>
      <c r="E31" s="24">
        <v>2283896</v>
      </c>
      <c r="F31" s="1">
        <v>42832</v>
      </c>
      <c r="G31" s="1">
        <v>42727</v>
      </c>
      <c r="H31" s="24">
        <v>-7000</v>
      </c>
      <c r="I31" s="24"/>
      <c r="J31" s="113">
        <v>-910</v>
      </c>
    </row>
    <row r="32" spans="1:10">
      <c r="A32" s="112">
        <v>42835</v>
      </c>
      <c r="B32" s="1">
        <v>42836</v>
      </c>
      <c r="C32" s="24">
        <v>1310411543.99</v>
      </c>
      <c r="D32" s="24">
        <v>7638700</v>
      </c>
      <c r="E32" s="24">
        <v>169874688</v>
      </c>
      <c r="F32" s="1">
        <v>42835</v>
      </c>
      <c r="G32" s="1"/>
      <c r="H32" s="24"/>
      <c r="I32" s="24"/>
      <c r="J32" s="113"/>
    </row>
    <row r="33" spans="1:10">
      <c r="A33" s="112">
        <v>42839</v>
      </c>
      <c r="B33" s="1">
        <v>42840</v>
      </c>
      <c r="C33" s="24">
        <v>1971442.36</v>
      </c>
      <c r="D33" s="24"/>
      <c r="E33" s="24">
        <v>256287</v>
      </c>
      <c r="F33" s="1">
        <v>42839</v>
      </c>
      <c r="G33" s="1">
        <v>42216</v>
      </c>
      <c r="H33" s="24">
        <v>-24000</v>
      </c>
      <c r="I33" s="24"/>
      <c r="J33" s="113">
        <v>-3120</v>
      </c>
    </row>
    <row r="34" spans="1:10">
      <c r="A34" s="112">
        <v>42839</v>
      </c>
      <c r="B34" s="1"/>
      <c r="C34" s="24"/>
      <c r="D34" s="24"/>
      <c r="E34" s="24"/>
      <c r="F34" s="1">
        <v>42839</v>
      </c>
      <c r="G34" s="1">
        <v>42702</v>
      </c>
      <c r="H34" s="24">
        <v>-20000</v>
      </c>
      <c r="I34" s="24"/>
      <c r="J34" s="113">
        <v>-2600</v>
      </c>
    </row>
    <row r="35" spans="1:10">
      <c r="A35" s="112">
        <v>42839</v>
      </c>
      <c r="B35" s="1"/>
      <c r="C35" s="24"/>
      <c r="D35" s="24"/>
      <c r="E35" s="24"/>
      <c r="F35" s="1">
        <v>42839</v>
      </c>
      <c r="G35" s="1">
        <v>42716</v>
      </c>
      <c r="H35" s="24">
        <v>-10000</v>
      </c>
      <c r="I35" s="24"/>
      <c r="J35" s="113">
        <v>-1300</v>
      </c>
    </row>
    <row r="36" spans="1:10">
      <c r="A36" s="112">
        <v>42839</v>
      </c>
      <c r="B36" s="1"/>
      <c r="C36" s="24"/>
      <c r="D36" s="24"/>
      <c r="E36" s="24"/>
      <c r="F36" s="1">
        <v>42839</v>
      </c>
      <c r="G36" s="1">
        <v>42832</v>
      </c>
      <c r="H36" s="24">
        <v>-164000</v>
      </c>
      <c r="I36" s="24"/>
      <c r="J36" s="113">
        <v>-21320</v>
      </c>
    </row>
    <row r="37" spans="1:10">
      <c r="A37" s="112">
        <v>42846</v>
      </c>
      <c r="B37" s="1">
        <v>42847</v>
      </c>
      <c r="C37" s="24">
        <v>6324114.5999999996</v>
      </c>
      <c r="D37" s="24"/>
      <c r="E37" s="24">
        <v>822138</v>
      </c>
      <c r="F37" s="1">
        <v>42846</v>
      </c>
      <c r="G37" s="1">
        <v>42832</v>
      </c>
      <c r="H37" s="24">
        <v>-109000</v>
      </c>
      <c r="I37" s="24"/>
      <c r="J37" s="113">
        <v>-14170</v>
      </c>
    </row>
    <row r="38" spans="1:10">
      <c r="A38" s="112">
        <v>42846</v>
      </c>
      <c r="B38" s="1"/>
      <c r="C38" s="24"/>
      <c r="D38" s="24"/>
      <c r="E38" s="24"/>
      <c r="F38" s="1">
        <v>42846</v>
      </c>
      <c r="G38" s="1">
        <v>42839</v>
      </c>
      <c r="H38" s="24">
        <v>-55500</v>
      </c>
      <c r="I38" s="24"/>
      <c r="J38" s="113">
        <v>-7215</v>
      </c>
    </row>
    <row r="39" spans="1:10">
      <c r="A39" s="112">
        <v>42850</v>
      </c>
      <c r="B39" s="1">
        <v>42851</v>
      </c>
      <c r="C39" s="24">
        <v>10239982.59</v>
      </c>
      <c r="D39" s="24">
        <v>15300</v>
      </c>
      <c r="E39" s="24">
        <v>1330199</v>
      </c>
      <c r="F39" s="1">
        <v>42850</v>
      </c>
      <c r="G39" s="1"/>
      <c r="H39" s="24"/>
      <c r="I39" s="24"/>
      <c r="J39" s="113"/>
    </row>
    <row r="40" spans="1:10">
      <c r="A40" s="112">
        <v>42853</v>
      </c>
      <c r="B40" s="1">
        <v>42854</v>
      </c>
      <c r="C40" s="24">
        <v>820776.25</v>
      </c>
      <c r="D40" s="24"/>
      <c r="E40" s="24">
        <v>106701</v>
      </c>
      <c r="F40" s="1">
        <v>42853</v>
      </c>
      <c r="G40" s="1">
        <v>42461</v>
      </c>
      <c r="H40" s="24">
        <v>-65000</v>
      </c>
      <c r="I40" s="24"/>
      <c r="J40" s="113">
        <v>-8450</v>
      </c>
    </row>
    <row r="41" spans="1:10">
      <c r="A41" s="112">
        <v>42855</v>
      </c>
      <c r="B41" s="1"/>
      <c r="C41" s="24">
        <v>0</v>
      </c>
      <c r="D41" s="24"/>
      <c r="E41" s="24">
        <v>0</v>
      </c>
      <c r="F41" s="1">
        <v>42855</v>
      </c>
      <c r="G41" s="1">
        <v>42745</v>
      </c>
      <c r="H41" s="24">
        <v>-11450.4</v>
      </c>
      <c r="I41" s="24"/>
      <c r="J41" s="113">
        <v>-1489</v>
      </c>
    </row>
    <row r="42" spans="1:10">
      <c r="A42" s="112">
        <v>42855</v>
      </c>
      <c r="B42" s="1"/>
      <c r="C42" s="24"/>
      <c r="D42" s="24"/>
      <c r="E42" s="24"/>
      <c r="F42" s="1">
        <v>42855</v>
      </c>
      <c r="G42" s="1">
        <v>42776</v>
      </c>
      <c r="H42" s="24">
        <v>-7016.89</v>
      </c>
      <c r="I42" s="24"/>
      <c r="J42" s="113">
        <v>-911</v>
      </c>
    </row>
    <row r="43" spans="1:10">
      <c r="A43" s="112">
        <v>42855</v>
      </c>
      <c r="B43" s="1"/>
      <c r="C43" s="24"/>
      <c r="D43" s="24"/>
      <c r="E43" s="24"/>
      <c r="F43" s="1">
        <v>42855</v>
      </c>
      <c r="G43" s="1">
        <v>42804</v>
      </c>
      <c r="H43" s="24">
        <v>-18717.7</v>
      </c>
      <c r="I43" s="24"/>
      <c r="J43" s="113">
        <v>-2433</v>
      </c>
    </row>
    <row r="44" spans="1:10">
      <c r="A44" s="112">
        <v>42855</v>
      </c>
      <c r="B44" s="1"/>
      <c r="C44" s="24"/>
      <c r="D44" s="24"/>
      <c r="E44" s="24"/>
      <c r="F44" s="1">
        <v>42855</v>
      </c>
      <c r="G44" s="1">
        <v>42835</v>
      </c>
      <c r="H44" s="24">
        <v>-12644.45</v>
      </c>
      <c r="I44" s="24"/>
      <c r="J44" s="113">
        <v>-1643</v>
      </c>
    </row>
    <row r="45" spans="1:10">
      <c r="A45" s="112">
        <v>42857</v>
      </c>
      <c r="B45" s="1">
        <v>42858</v>
      </c>
      <c r="C45" s="24">
        <v>27403809.07</v>
      </c>
      <c r="D45" s="24">
        <v>170600</v>
      </c>
      <c r="E45" s="24">
        <v>3546044</v>
      </c>
      <c r="F45" s="1">
        <v>42857</v>
      </c>
      <c r="G45" s="1"/>
      <c r="H45" s="24"/>
      <c r="I45" s="24"/>
      <c r="J45" s="113"/>
    </row>
    <row r="46" spans="1:10">
      <c r="A46" s="112">
        <v>42858</v>
      </c>
      <c r="B46" s="1">
        <v>42859</v>
      </c>
      <c r="C46" s="24">
        <v>325387797.25999999</v>
      </c>
      <c r="D46" s="24">
        <v>2346800</v>
      </c>
      <c r="E46" s="24">
        <v>42059172</v>
      </c>
      <c r="F46" s="1">
        <v>42858</v>
      </c>
      <c r="G46" s="1">
        <v>42735</v>
      </c>
      <c r="H46" s="24">
        <v>0</v>
      </c>
      <c r="I46" s="24">
        <v>0</v>
      </c>
      <c r="J46" s="113">
        <v>-2184</v>
      </c>
    </row>
    <row r="47" spans="1:10">
      <c r="A47" s="112">
        <v>42859</v>
      </c>
      <c r="B47" s="1">
        <v>42860</v>
      </c>
      <c r="C47" s="24">
        <v>952756992.61000001</v>
      </c>
      <c r="D47" s="24">
        <v>4381400</v>
      </c>
      <c r="E47" s="24">
        <v>123729554</v>
      </c>
      <c r="F47" s="1">
        <v>42859</v>
      </c>
      <c r="G47" s="1"/>
      <c r="H47" s="24"/>
      <c r="I47" s="24"/>
      <c r="J47" s="113"/>
    </row>
    <row r="48" spans="1:10">
      <c r="A48" s="112">
        <v>42865</v>
      </c>
      <c r="B48" s="1">
        <v>42866</v>
      </c>
      <c r="C48" s="24">
        <v>11206283.720000001</v>
      </c>
      <c r="D48" s="24"/>
      <c r="E48" s="24">
        <v>1469217</v>
      </c>
      <c r="F48" s="1">
        <v>42865</v>
      </c>
      <c r="G48" s="1"/>
      <c r="H48" s="24"/>
      <c r="I48" s="24"/>
      <c r="J48" s="113"/>
    </row>
    <row r="49" spans="1:10">
      <c r="A49" s="112">
        <v>42874</v>
      </c>
      <c r="B49" s="1">
        <v>42875</v>
      </c>
      <c r="C49" s="24">
        <v>6141243.1699999999</v>
      </c>
      <c r="D49" s="24"/>
      <c r="E49" s="24">
        <v>798364</v>
      </c>
      <c r="F49" s="1">
        <v>42874</v>
      </c>
      <c r="G49" s="1"/>
      <c r="H49" s="24"/>
      <c r="I49" s="24"/>
      <c r="J49" s="113"/>
    </row>
    <row r="50" spans="1:10">
      <c r="A50" s="112">
        <v>42880</v>
      </c>
      <c r="B50" s="1">
        <v>42881</v>
      </c>
      <c r="C50" s="24">
        <v>11707334.43</v>
      </c>
      <c r="D50" s="24">
        <v>1400</v>
      </c>
      <c r="E50" s="24">
        <v>1522917</v>
      </c>
      <c r="F50" s="1">
        <v>42880</v>
      </c>
      <c r="G50" s="1"/>
      <c r="H50" s="24"/>
      <c r="I50" s="24"/>
      <c r="J50" s="113"/>
    </row>
    <row r="51" spans="1:10">
      <c r="A51" s="112">
        <v>42881</v>
      </c>
      <c r="B51" s="1">
        <v>42882</v>
      </c>
      <c r="C51" s="24">
        <v>2352052.9300000002</v>
      </c>
      <c r="D51" s="24"/>
      <c r="E51" s="24">
        <v>305766</v>
      </c>
      <c r="F51" s="1">
        <v>42881</v>
      </c>
      <c r="G51" s="1">
        <v>42839</v>
      </c>
      <c r="H51" s="24">
        <v>-52500</v>
      </c>
      <c r="I51" s="24"/>
      <c r="J51" s="113">
        <v>-6825</v>
      </c>
    </row>
    <row r="52" spans="1:10">
      <c r="A52" s="112">
        <v>42881</v>
      </c>
      <c r="B52" s="1"/>
      <c r="C52" s="24"/>
      <c r="D52" s="24"/>
      <c r="E52" s="24"/>
      <c r="F52" s="1">
        <v>42881</v>
      </c>
      <c r="G52" s="1">
        <v>42865</v>
      </c>
      <c r="H52" s="24">
        <v>-40000</v>
      </c>
      <c r="I52" s="24"/>
      <c r="J52" s="113">
        <v>-5200</v>
      </c>
    </row>
    <row r="53" spans="1:10">
      <c r="A53" s="112">
        <v>42886</v>
      </c>
      <c r="B53" s="1"/>
      <c r="C53" s="24"/>
      <c r="D53" s="24"/>
      <c r="E53" s="24"/>
      <c r="F53" s="1">
        <v>42886</v>
      </c>
      <c r="G53" s="1">
        <v>42745</v>
      </c>
      <c r="H53" s="24">
        <v>-20227.080000000002</v>
      </c>
      <c r="I53" s="24"/>
      <c r="J53" s="113">
        <v>-2630</v>
      </c>
    </row>
    <row r="54" spans="1:10">
      <c r="A54" s="112">
        <v>42886</v>
      </c>
      <c r="B54" s="1"/>
      <c r="C54" s="24"/>
      <c r="D54" s="24"/>
      <c r="E54" s="24"/>
      <c r="F54" s="1">
        <v>42886</v>
      </c>
      <c r="G54" s="1">
        <v>42776</v>
      </c>
      <c r="H54" s="24">
        <v>-20227.080000000002</v>
      </c>
      <c r="I54" s="24"/>
      <c r="J54" s="113">
        <v>-2629</v>
      </c>
    </row>
    <row r="55" spans="1:10">
      <c r="A55" s="112">
        <v>42886</v>
      </c>
      <c r="B55" s="1"/>
      <c r="C55" s="24"/>
      <c r="D55" s="24"/>
      <c r="E55" s="24"/>
      <c r="F55" s="1">
        <v>42886</v>
      </c>
      <c r="G55" s="1">
        <v>42804</v>
      </c>
      <c r="H55" s="24">
        <v>-25661.29</v>
      </c>
      <c r="I55" s="24"/>
      <c r="J55" s="113">
        <v>-3336</v>
      </c>
    </row>
    <row r="56" spans="1:10">
      <c r="A56" s="112">
        <v>42886</v>
      </c>
      <c r="B56" s="1"/>
      <c r="C56" s="24"/>
      <c r="D56" s="24"/>
      <c r="E56" s="24"/>
      <c r="F56" s="1">
        <v>42886</v>
      </c>
      <c r="G56" s="1">
        <v>42835</v>
      </c>
      <c r="H56" s="24">
        <v>-53496.91</v>
      </c>
      <c r="I56" s="24">
        <v>-500</v>
      </c>
      <c r="J56" s="113">
        <v>-6889</v>
      </c>
    </row>
    <row r="57" spans="1:10">
      <c r="A57" s="112">
        <v>42886</v>
      </c>
      <c r="B57" s="1"/>
      <c r="C57" s="24"/>
      <c r="D57" s="24"/>
      <c r="E57" s="24"/>
      <c r="F57" s="1">
        <v>42886</v>
      </c>
      <c r="G57" s="1">
        <v>42858</v>
      </c>
      <c r="H57" s="24">
        <v>-5440.1</v>
      </c>
      <c r="I57" s="24"/>
      <c r="J57" s="113">
        <v>-707</v>
      </c>
    </row>
    <row r="58" spans="1:10">
      <c r="A58" s="112">
        <v>42886</v>
      </c>
      <c r="B58" s="1"/>
      <c r="C58" s="24"/>
      <c r="D58" s="24"/>
      <c r="E58" s="24"/>
      <c r="F58" s="1">
        <v>42886</v>
      </c>
      <c r="G58" s="1">
        <v>42859</v>
      </c>
      <c r="H58" s="24">
        <v>-14887.7</v>
      </c>
      <c r="I58" s="24"/>
      <c r="J58" s="113">
        <v>-1935</v>
      </c>
    </row>
    <row r="59" spans="1:10">
      <c r="A59" s="112">
        <v>42888</v>
      </c>
      <c r="B59" s="1">
        <v>42889</v>
      </c>
      <c r="C59" s="24">
        <v>6281071.54</v>
      </c>
      <c r="D59" s="24"/>
      <c r="E59" s="24">
        <v>820805</v>
      </c>
      <c r="F59" s="1">
        <v>42888</v>
      </c>
      <c r="G59" s="1">
        <v>42580</v>
      </c>
      <c r="H59" s="24">
        <v>-6000</v>
      </c>
      <c r="I59" s="24"/>
      <c r="J59" s="113">
        <v>-780</v>
      </c>
    </row>
    <row r="60" spans="1:10">
      <c r="A60" s="112">
        <v>42888</v>
      </c>
      <c r="B60" s="1"/>
      <c r="C60" s="24"/>
      <c r="D60" s="24"/>
      <c r="E60" s="24"/>
      <c r="F60" s="1">
        <v>42888</v>
      </c>
      <c r="G60" s="1">
        <v>42636</v>
      </c>
      <c r="H60" s="24">
        <v>-259000</v>
      </c>
      <c r="I60" s="24"/>
      <c r="J60" s="113">
        <v>-33670</v>
      </c>
    </row>
    <row r="61" spans="1:10">
      <c r="A61" s="112">
        <v>42895</v>
      </c>
      <c r="B61" s="1">
        <v>42896</v>
      </c>
      <c r="C61" s="24">
        <v>1331407821.3199999</v>
      </c>
      <c r="D61" s="24">
        <v>7034700</v>
      </c>
      <c r="E61" s="24">
        <v>172680366</v>
      </c>
      <c r="F61" s="1">
        <v>42895</v>
      </c>
      <c r="G61" s="1"/>
      <c r="H61" s="24"/>
      <c r="I61" s="24"/>
      <c r="J61" s="113"/>
    </row>
    <row r="62" spans="1:10">
      <c r="A62" s="112">
        <v>42899</v>
      </c>
      <c r="B62" s="1">
        <v>42900</v>
      </c>
      <c r="C62" s="24">
        <v>3650589.45</v>
      </c>
      <c r="D62" s="24"/>
      <c r="E62" s="24">
        <v>474576</v>
      </c>
      <c r="F62" s="1">
        <v>42899</v>
      </c>
      <c r="G62" s="1">
        <v>42636</v>
      </c>
      <c r="H62" s="24">
        <v>-445000</v>
      </c>
      <c r="I62" s="24"/>
      <c r="J62" s="113">
        <v>-57850</v>
      </c>
    </row>
    <row r="63" spans="1:10">
      <c r="A63" s="112">
        <v>42902</v>
      </c>
      <c r="B63" s="1">
        <v>42903</v>
      </c>
      <c r="C63" s="24">
        <v>32595233.170000002</v>
      </c>
      <c r="D63" s="24"/>
      <c r="E63" s="24">
        <v>4237379</v>
      </c>
      <c r="F63" s="1">
        <v>42902</v>
      </c>
      <c r="G63" s="1">
        <v>42517</v>
      </c>
      <c r="H63" s="24">
        <v>-53500</v>
      </c>
      <c r="I63" s="24"/>
      <c r="J63" s="113">
        <v>-6955</v>
      </c>
    </row>
    <row r="64" spans="1:10">
      <c r="A64" s="112">
        <v>42907</v>
      </c>
      <c r="B64" s="1">
        <v>42908</v>
      </c>
      <c r="C64" s="24">
        <v>2342966.84</v>
      </c>
      <c r="D64" s="24"/>
      <c r="E64" s="24">
        <v>304584</v>
      </c>
      <c r="F64" s="1">
        <v>42907</v>
      </c>
      <c r="G64" s="1">
        <v>42706</v>
      </c>
      <c r="H64" s="24">
        <v>-4000</v>
      </c>
      <c r="I64" s="24"/>
      <c r="J64" s="113">
        <v>-520</v>
      </c>
    </row>
    <row r="65" spans="1:10">
      <c r="A65" s="112">
        <v>42907</v>
      </c>
      <c r="B65" s="1"/>
      <c r="C65" s="24"/>
      <c r="D65" s="24"/>
      <c r="E65" s="24"/>
      <c r="F65" s="1">
        <v>42907</v>
      </c>
      <c r="G65" s="1">
        <v>42853</v>
      </c>
      <c r="H65" s="24">
        <v>-12000</v>
      </c>
      <c r="I65" s="24"/>
      <c r="J65" s="113">
        <v>-1560</v>
      </c>
    </row>
    <row r="66" spans="1:10">
      <c r="A66" s="112">
        <v>42912</v>
      </c>
      <c r="B66" s="1">
        <v>42913</v>
      </c>
      <c r="C66" s="24">
        <v>15134289.43</v>
      </c>
      <c r="D66" s="24">
        <v>3000</v>
      </c>
      <c r="E66" s="24">
        <v>1967099</v>
      </c>
      <c r="F66" s="1">
        <v>42912</v>
      </c>
      <c r="G66" s="1"/>
      <c r="H66" s="24"/>
      <c r="I66" s="24"/>
      <c r="J66" s="113"/>
    </row>
    <row r="67" spans="1:10">
      <c r="A67" s="112">
        <v>42916</v>
      </c>
      <c r="B67" s="1">
        <v>42917</v>
      </c>
      <c r="C67" s="24">
        <v>5108827.5199999996</v>
      </c>
      <c r="D67" s="24"/>
      <c r="E67" s="24">
        <v>679266</v>
      </c>
      <c r="F67" s="1">
        <v>42916</v>
      </c>
      <c r="G67" s="1">
        <v>42745</v>
      </c>
      <c r="H67" s="24">
        <v>-15226.8</v>
      </c>
      <c r="I67" s="24"/>
      <c r="J67" s="113">
        <v>-1980</v>
      </c>
    </row>
    <row r="68" spans="1:10">
      <c r="A68" s="112">
        <v>42916</v>
      </c>
      <c r="B68" s="1"/>
      <c r="C68" s="24"/>
      <c r="D68" s="24"/>
      <c r="E68" s="24"/>
      <c r="F68" s="1">
        <v>42916</v>
      </c>
      <c r="G68" s="1">
        <v>42776</v>
      </c>
      <c r="H68" s="24">
        <v>-5931.8</v>
      </c>
      <c r="I68" s="24"/>
      <c r="J68" s="113">
        <v>-771</v>
      </c>
    </row>
    <row r="69" spans="1:10">
      <c r="A69" s="112">
        <v>42916</v>
      </c>
      <c r="B69" s="1"/>
      <c r="C69" s="24"/>
      <c r="D69" s="24"/>
      <c r="E69" s="24"/>
      <c r="F69" s="1">
        <v>42916</v>
      </c>
      <c r="G69" s="1">
        <v>42804</v>
      </c>
      <c r="H69" s="24">
        <v>-12510.42</v>
      </c>
      <c r="I69" s="24"/>
      <c r="J69" s="113">
        <v>-1627</v>
      </c>
    </row>
    <row r="70" spans="1:10">
      <c r="A70" s="112">
        <v>42916</v>
      </c>
      <c r="B70" s="1"/>
      <c r="C70" s="24"/>
      <c r="D70" s="24"/>
      <c r="E70" s="24"/>
      <c r="F70" s="1">
        <v>42916</v>
      </c>
      <c r="G70" s="1">
        <v>42835</v>
      </c>
      <c r="H70" s="24">
        <v>-25224.799999999999</v>
      </c>
      <c r="I70" s="24">
        <v>-500</v>
      </c>
      <c r="J70" s="113">
        <v>-3216</v>
      </c>
    </row>
    <row r="71" spans="1:10">
      <c r="A71" s="112">
        <v>42916</v>
      </c>
      <c r="B71" s="1"/>
      <c r="C71" s="24"/>
      <c r="D71" s="24"/>
      <c r="E71" s="24"/>
      <c r="F71" s="1">
        <v>42916</v>
      </c>
      <c r="G71" s="1">
        <v>42839</v>
      </c>
      <c r="H71" s="24">
        <v>-252000</v>
      </c>
      <c r="I71" s="24"/>
      <c r="J71" s="113">
        <v>-32760</v>
      </c>
    </row>
    <row r="72" spans="1:10">
      <c r="A72" s="112">
        <v>42916</v>
      </c>
      <c r="B72" s="1"/>
      <c r="C72" s="24"/>
      <c r="D72" s="24"/>
      <c r="E72" s="24"/>
      <c r="F72" s="1">
        <v>42916</v>
      </c>
      <c r="G72" s="1">
        <v>42858</v>
      </c>
      <c r="H72" s="24">
        <v>-9381</v>
      </c>
      <c r="I72" s="24"/>
      <c r="J72" s="113">
        <v>-1220</v>
      </c>
    </row>
    <row r="73" spans="1:10">
      <c r="A73" s="112">
        <v>42916</v>
      </c>
      <c r="B73" s="1"/>
      <c r="C73" s="24"/>
      <c r="D73" s="24"/>
      <c r="E73" s="24"/>
      <c r="F73" s="1">
        <v>42916</v>
      </c>
      <c r="G73" s="1">
        <v>42859</v>
      </c>
      <c r="H73" s="24">
        <v>-14359.21</v>
      </c>
      <c r="I73" s="24">
        <v>-500</v>
      </c>
      <c r="J73" s="113">
        <v>-1802</v>
      </c>
    </row>
    <row r="74" spans="1:10">
      <c r="A74" s="112">
        <v>42916</v>
      </c>
      <c r="B74" s="1"/>
      <c r="C74" s="24"/>
      <c r="D74" s="24"/>
      <c r="E74" s="24"/>
      <c r="F74" s="1">
        <v>42916</v>
      </c>
      <c r="G74" s="1">
        <v>42895</v>
      </c>
      <c r="H74" s="24">
        <v>-8631.41</v>
      </c>
      <c r="I74" s="24">
        <v>-500</v>
      </c>
      <c r="J74" s="113">
        <v>-1057</v>
      </c>
    </row>
    <row r="75" spans="1:10">
      <c r="A75" s="112">
        <v>42916</v>
      </c>
      <c r="B75" s="1"/>
      <c r="C75" s="24"/>
      <c r="D75" s="24"/>
      <c r="E75" s="24"/>
      <c r="F75" s="1">
        <v>42916</v>
      </c>
      <c r="G75" s="1">
        <v>42907</v>
      </c>
      <c r="H75" s="24">
        <v>-22000</v>
      </c>
      <c r="I75" s="24"/>
      <c r="J75" s="113">
        <v>-2860</v>
      </c>
    </row>
    <row r="76" spans="1:10">
      <c r="A76" s="112">
        <v>42923</v>
      </c>
      <c r="B76" s="1">
        <v>42924</v>
      </c>
      <c r="C76" s="24">
        <v>2454296.08</v>
      </c>
      <c r="D76" s="24"/>
      <c r="E76" s="24">
        <v>319061</v>
      </c>
      <c r="F76" s="1">
        <v>42923</v>
      </c>
      <c r="G76" s="1"/>
      <c r="H76" s="24"/>
      <c r="I76" s="24"/>
      <c r="J76" s="113"/>
    </row>
    <row r="77" spans="1:10">
      <c r="A77" s="112">
        <v>42926</v>
      </c>
      <c r="B77" s="1">
        <v>42927</v>
      </c>
      <c r="C77" s="24">
        <v>1021865761.8</v>
      </c>
      <c r="D77" s="24">
        <v>4435400</v>
      </c>
      <c r="E77" s="24">
        <v>132715833</v>
      </c>
      <c r="F77" s="1">
        <v>42926</v>
      </c>
      <c r="G77" s="1"/>
      <c r="H77" s="24"/>
      <c r="I77" s="24"/>
      <c r="J77" s="113"/>
    </row>
    <row r="78" spans="1:10">
      <c r="A78" s="112">
        <v>42927</v>
      </c>
      <c r="B78" s="1">
        <v>42928</v>
      </c>
      <c r="C78" s="24">
        <v>330538392.24000001</v>
      </c>
      <c r="D78" s="24">
        <v>2301100</v>
      </c>
      <c r="E78" s="24">
        <v>42736251</v>
      </c>
      <c r="F78" s="1">
        <v>42927</v>
      </c>
      <c r="G78" s="1"/>
      <c r="H78" s="24"/>
      <c r="I78" s="24"/>
      <c r="J78" s="113"/>
    </row>
    <row r="79" spans="1:10">
      <c r="A79" s="112">
        <v>42928</v>
      </c>
      <c r="B79" s="1">
        <v>42929</v>
      </c>
      <c r="C79" s="24">
        <v>2668642.09</v>
      </c>
      <c r="D79" s="24"/>
      <c r="E79" s="24">
        <v>346922</v>
      </c>
      <c r="F79" s="1">
        <v>42928</v>
      </c>
      <c r="G79" s="1"/>
      <c r="H79" s="24"/>
      <c r="I79" s="24"/>
      <c r="J79" s="113"/>
    </row>
    <row r="80" spans="1:10">
      <c r="A80" s="112">
        <v>42930</v>
      </c>
      <c r="B80" s="1">
        <v>42931</v>
      </c>
      <c r="C80" s="24">
        <v>11465316.380000001</v>
      </c>
      <c r="D80" s="24"/>
      <c r="E80" s="24">
        <v>1504519</v>
      </c>
      <c r="F80" s="1">
        <v>42930</v>
      </c>
      <c r="G80" s="1"/>
      <c r="H80" s="24"/>
      <c r="I80" s="24"/>
      <c r="J80" s="113"/>
    </row>
    <row r="81" spans="1:10">
      <c r="A81" s="112">
        <v>42937</v>
      </c>
      <c r="B81" s="1">
        <v>42938</v>
      </c>
      <c r="C81" s="24">
        <v>7660049.0300000003</v>
      </c>
      <c r="D81" s="24"/>
      <c r="E81" s="24">
        <v>995810</v>
      </c>
      <c r="F81" s="1">
        <v>42937</v>
      </c>
      <c r="G81" s="1"/>
      <c r="H81" s="24"/>
      <c r="I81" s="24"/>
      <c r="J81" s="113"/>
    </row>
    <row r="82" spans="1:10">
      <c r="A82" s="112">
        <v>42941</v>
      </c>
      <c r="B82" s="1">
        <v>42942</v>
      </c>
      <c r="C82" s="24">
        <v>12291661.35</v>
      </c>
      <c r="D82" s="24">
        <v>5400</v>
      </c>
      <c r="E82" s="24">
        <v>1597225</v>
      </c>
      <c r="F82" s="1">
        <v>42941</v>
      </c>
      <c r="G82" s="1"/>
      <c r="H82" s="24"/>
      <c r="I82" s="24"/>
      <c r="J82" s="113"/>
    </row>
    <row r="83" spans="1:10">
      <c r="A83" s="112">
        <v>42947</v>
      </c>
      <c r="B83" s="1"/>
      <c r="C83" s="24">
        <v>0</v>
      </c>
      <c r="D83" s="24"/>
      <c r="E83" s="24">
        <v>0</v>
      </c>
      <c r="F83" s="1">
        <v>42947</v>
      </c>
      <c r="G83" s="1">
        <v>42745</v>
      </c>
      <c r="H83" s="24">
        <v>-10720.5</v>
      </c>
      <c r="I83" s="24"/>
      <c r="J83" s="113">
        <v>-1393</v>
      </c>
    </row>
    <row r="84" spans="1:10">
      <c r="A84" s="112">
        <v>42947</v>
      </c>
      <c r="B84" s="1"/>
      <c r="C84" s="24"/>
      <c r="D84" s="24"/>
      <c r="E84" s="24"/>
      <c r="F84" s="1">
        <v>42947</v>
      </c>
      <c r="G84" s="1">
        <v>42776</v>
      </c>
      <c r="H84" s="24">
        <v>-1784.7</v>
      </c>
      <c r="I84" s="24"/>
      <c r="J84" s="113">
        <v>-232</v>
      </c>
    </row>
    <row r="85" spans="1:10">
      <c r="A85" s="112">
        <v>42947</v>
      </c>
      <c r="B85" s="1"/>
      <c r="C85" s="24"/>
      <c r="D85" s="24"/>
      <c r="E85" s="24"/>
      <c r="F85" s="1">
        <v>42947</v>
      </c>
      <c r="G85" s="1">
        <v>42804</v>
      </c>
      <c r="H85" s="24">
        <v>-12285</v>
      </c>
      <c r="I85" s="24"/>
      <c r="J85" s="113">
        <v>-1597</v>
      </c>
    </row>
    <row r="86" spans="1:10">
      <c r="A86" s="112">
        <v>42947</v>
      </c>
      <c r="B86" s="1"/>
      <c r="C86" s="24"/>
      <c r="D86" s="24"/>
      <c r="E86" s="24"/>
      <c r="F86" s="1">
        <v>42947</v>
      </c>
      <c r="G86" s="1">
        <v>42835</v>
      </c>
      <c r="H86" s="24">
        <v>-9291.4</v>
      </c>
      <c r="I86" s="24"/>
      <c r="J86" s="113">
        <v>-1208</v>
      </c>
    </row>
    <row r="87" spans="1:10">
      <c r="A87" s="112">
        <v>42947</v>
      </c>
      <c r="B87" s="1"/>
      <c r="C87" s="24"/>
      <c r="D87" s="24"/>
      <c r="E87" s="24"/>
      <c r="F87" s="1">
        <v>42947</v>
      </c>
      <c r="G87" s="1">
        <v>42858</v>
      </c>
      <c r="H87" s="24">
        <v>-949.5</v>
      </c>
      <c r="I87" s="24"/>
      <c r="J87" s="113">
        <v>-123</v>
      </c>
    </row>
    <row r="88" spans="1:10">
      <c r="A88" s="112">
        <v>42947</v>
      </c>
      <c r="B88" s="1"/>
      <c r="C88" s="24"/>
      <c r="D88" s="24"/>
      <c r="E88" s="24"/>
      <c r="F88" s="1">
        <v>42947</v>
      </c>
      <c r="G88" s="1">
        <v>42895</v>
      </c>
      <c r="H88" s="24">
        <v>-10948.61</v>
      </c>
      <c r="I88" s="24">
        <v>-500</v>
      </c>
      <c r="J88" s="113">
        <v>-1357</v>
      </c>
    </row>
    <row r="89" spans="1:10">
      <c r="A89" s="112">
        <v>42947</v>
      </c>
      <c r="B89" s="1"/>
      <c r="C89" s="24"/>
      <c r="D89" s="24"/>
      <c r="E89" s="24"/>
      <c r="F89" s="1">
        <v>42947</v>
      </c>
      <c r="G89" s="1">
        <v>42926</v>
      </c>
      <c r="H89" s="24">
        <v>-10236</v>
      </c>
      <c r="I89" s="24"/>
      <c r="J89" s="113">
        <v>-1331</v>
      </c>
    </row>
    <row r="90" spans="1:10">
      <c r="A90" s="112">
        <v>42947</v>
      </c>
      <c r="B90" s="1"/>
      <c r="C90" s="24"/>
      <c r="D90" s="24"/>
      <c r="E90" s="24"/>
      <c r="F90" s="1">
        <v>42947</v>
      </c>
      <c r="G90" s="1">
        <v>42927</v>
      </c>
      <c r="H90" s="24">
        <v>-9346.74</v>
      </c>
      <c r="I90" s="24"/>
      <c r="J90" s="113">
        <v>-1216</v>
      </c>
    </row>
  </sheetData>
  <mergeCells count="2">
    <mergeCell ref="A1:E1"/>
    <mergeCell ref="F1:J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>
  <sheetPr codeName="Лист15"/>
  <dimension ref="A1:I3"/>
  <sheetViews>
    <sheetView workbookViewId="0">
      <selection activeCell="G1" sqref="G1"/>
    </sheetView>
  </sheetViews>
  <sheetFormatPr defaultRowHeight="15"/>
  <cols>
    <col min="1" max="2" width="13.140625" customWidth="1"/>
    <col min="3" max="4" width="15.28515625" customWidth="1"/>
    <col min="5" max="5" width="11.42578125" customWidth="1"/>
    <col min="6" max="6" width="10.5703125" customWidth="1"/>
    <col min="7" max="7" width="20.7109375" customWidth="1"/>
    <col min="8" max="8" width="62" customWidth="1"/>
    <col min="9" max="9" width="99" customWidth="1"/>
  </cols>
  <sheetData>
    <row r="1" spans="1:9" ht="31.5">
      <c r="A1" s="136" t="s">
        <v>36</v>
      </c>
      <c r="B1" s="136" t="s">
        <v>46</v>
      </c>
      <c r="C1" s="136" t="s">
        <v>37</v>
      </c>
      <c r="D1" s="134" t="s">
        <v>38</v>
      </c>
      <c r="E1" s="134" t="s">
        <v>39</v>
      </c>
      <c r="F1" s="136" t="s">
        <v>40</v>
      </c>
      <c r="G1" s="21" t="s">
        <v>41</v>
      </c>
      <c r="H1" s="21" t="s">
        <v>42</v>
      </c>
      <c r="I1" s="21" t="s">
        <v>43</v>
      </c>
    </row>
    <row r="2" spans="1:9">
      <c r="A2" s="22" t="s">
        <v>7</v>
      </c>
      <c r="B2" s="22" t="s">
        <v>8</v>
      </c>
      <c r="C2" s="22" t="s">
        <v>9</v>
      </c>
      <c r="D2" s="22" t="s">
        <v>10</v>
      </c>
      <c r="E2" s="22" t="s">
        <v>11</v>
      </c>
      <c r="F2" s="22" t="s">
        <v>12</v>
      </c>
      <c r="G2" s="23" t="s">
        <v>13</v>
      </c>
      <c r="H2" s="23" t="s">
        <v>14</v>
      </c>
      <c r="I2" s="23" t="s">
        <v>15</v>
      </c>
    </row>
    <row r="3" spans="1:9">
      <c r="A3" s="147" t="s">
        <v>599</v>
      </c>
      <c r="B3" s="27"/>
      <c r="C3" s="27"/>
      <c r="D3" s="28"/>
      <c r="E3" s="27"/>
      <c r="F3" s="27"/>
      <c r="G3" s="24"/>
      <c r="H3" s="29"/>
      <c r="I3" s="29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>
  <sheetPr codeName="Лист14"/>
  <dimension ref="A1:R262"/>
  <sheetViews>
    <sheetView workbookViewId="0">
      <selection activeCell="G1" sqref="G1"/>
    </sheetView>
  </sheetViews>
  <sheetFormatPr defaultRowHeight="15"/>
  <cols>
    <col min="1" max="2" width="9.140625" customWidth="1"/>
    <col min="3" max="3" width="13.5703125" customWidth="1"/>
    <col min="4" max="4" width="14.28515625" customWidth="1"/>
    <col min="5" max="6" width="9.140625" customWidth="1"/>
    <col min="7" max="10" width="13.5703125" customWidth="1"/>
    <col min="11" max="11" width="6.7109375" customWidth="1"/>
    <col min="12" max="12" width="13.5703125" customWidth="1"/>
    <col min="13" max="13" width="10.42578125" customWidth="1"/>
    <col min="14" max="14" width="8" customWidth="1"/>
    <col min="15" max="15" width="13.85546875" customWidth="1"/>
    <col min="16" max="18" width="26.42578125" customWidth="1"/>
  </cols>
  <sheetData>
    <row r="1" spans="1:18" ht="31.5" customHeight="1">
      <c r="A1" s="157" t="s">
        <v>60</v>
      </c>
      <c r="B1" s="157"/>
      <c r="C1" s="157"/>
      <c r="D1" s="157"/>
      <c r="E1" s="157" t="s">
        <v>59</v>
      </c>
      <c r="F1" s="157"/>
      <c r="G1" s="157"/>
      <c r="H1" s="157"/>
      <c r="I1" s="157"/>
      <c r="J1" s="157"/>
      <c r="K1" s="179" t="s">
        <v>53</v>
      </c>
      <c r="L1" s="179" t="s">
        <v>54</v>
      </c>
      <c r="M1" s="179" t="s">
        <v>39</v>
      </c>
      <c r="N1" s="179" t="s">
        <v>55</v>
      </c>
      <c r="O1" s="157" t="s">
        <v>61</v>
      </c>
      <c r="P1" s="157"/>
      <c r="Q1" s="157"/>
      <c r="R1" s="157"/>
    </row>
    <row r="2" spans="1:18" ht="31.5">
      <c r="A2" s="136" t="s">
        <v>52</v>
      </c>
      <c r="B2" s="136" t="s">
        <v>58</v>
      </c>
      <c r="C2" s="136" t="s">
        <v>48</v>
      </c>
      <c r="D2" s="136" t="s">
        <v>62</v>
      </c>
      <c r="E2" s="136" t="s">
        <v>51</v>
      </c>
      <c r="F2" s="136" t="s">
        <v>52</v>
      </c>
      <c r="G2" s="136" t="s">
        <v>48</v>
      </c>
      <c r="H2" s="136" t="s">
        <v>62</v>
      </c>
      <c r="I2" s="136" t="s">
        <v>56</v>
      </c>
      <c r="J2" s="136" t="s">
        <v>57</v>
      </c>
      <c r="K2" s="179"/>
      <c r="L2" s="179"/>
      <c r="M2" s="179"/>
      <c r="N2" s="179"/>
      <c r="O2" s="136" t="s">
        <v>63</v>
      </c>
      <c r="P2" s="136" t="s">
        <v>64</v>
      </c>
      <c r="Q2" s="136" t="s">
        <v>65</v>
      </c>
      <c r="R2" s="136" t="s">
        <v>66</v>
      </c>
    </row>
    <row r="3" spans="1:18" ht="15" customHeight="1">
      <c r="A3" s="22" t="s">
        <v>7</v>
      </c>
      <c r="B3" s="22" t="s">
        <v>8</v>
      </c>
      <c r="C3" s="22" t="s">
        <v>9</v>
      </c>
      <c r="D3" s="22" t="s">
        <v>10</v>
      </c>
      <c r="E3" s="22" t="s">
        <v>11</v>
      </c>
      <c r="F3" s="22" t="s">
        <v>12</v>
      </c>
      <c r="G3" s="22" t="s">
        <v>13</v>
      </c>
      <c r="H3" s="22" t="s">
        <v>14</v>
      </c>
      <c r="I3" s="22" t="s">
        <v>15</v>
      </c>
      <c r="J3" s="22" t="s">
        <v>16</v>
      </c>
      <c r="K3" s="22" t="s">
        <v>17</v>
      </c>
      <c r="L3" s="22" t="s">
        <v>18</v>
      </c>
      <c r="M3" s="22" t="s">
        <v>19</v>
      </c>
      <c r="N3" s="22" t="s">
        <v>20</v>
      </c>
      <c r="O3" s="22" t="s">
        <v>21</v>
      </c>
      <c r="P3" s="22" t="s">
        <v>24</v>
      </c>
      <c r="Q3" s="22" t="s">
        <v>49</v>
      </c>
      <c r="R3" s="22" t="s">
        <v>50</v>
      </c>
    </row>
    <row r="4" spans="1:18">
      <c r="A4" s="30">
        <v>1</v>
      </c>
      <c r="B4" s="30">
        <v>1</v>
      </c>
      <c r="C4" s="1">
        <v>42755</v>
      </c>
      <c r="D4" s="27">
        <v>743355</v>
      </c>
      <c r="E4" s="30">
        <v>2016</v>
      </c>
      <c r="F4" s="30">
        <v>4</v>
      </c>
      <c r="G4" s="1">
        <v>42720</v>
      </c>
      <c r="H4" s="27">
        <v>736840</v>
      </c>
      <c r="I4" s="24">
        <v>53000</v>
      </c>
      <c r="J4" s="24">
        <v>-53000</v>
      </c>
      <c r="K4" s="30">
        <v>991</v>
      </c>
      <c r="L4" s="30">
        <v>11353</v>
      </c>
      <c r="M4" s="30">
        <v>55</v>
      </c>
      <c r="N4" s="30">
        <v>1</v>
      </c>
      <c r="O4" s="30">
        <v>194095</v>
      </c>
      <c r="P4" s="29" t="s">
        <v>385</v>
      </c>
      <c r="Q4" s="29" t="s">
        <v>386</v>
      </c>
      <c r="R4" s="29" t="s">
        <v>387</v>
      </c>
    </row>
    <row r="5" spans="1:18">
      <c r="A5" s="139">
        <v>1</v>
      </c>
      <c r="B5" s="30">
        <v>1</v>
      </c>
      <c r="C5" s="1">
        <v>42755</v>
      </c>
      <c r="D5" s="27">
        <v>743355</v>
      </c>
      <c r="E5" s="30">
        <v>2016</v>
      </c>
      <c r="F5" s="30">
        <v>4</v>
      </c>
      <c r="G5" s="1">
        <v>42720</v>
      </c>
      <c r="H5" s="27">
        <v>736840</v>
      </c>
      <c r="I5" s="24">
        <v>9392</v>
      </c>
      <c r="J5" s="24">
        <v>-6890</v>
      </c>
      <c r="K5" s="30">
        <v>991</v>
      </c>
      <c r="L5" s="30">
        <v>11353</v>
      </c>
      <c r="M5" s="30">
        <v>85</v>
      </c>
      <c r="N5" s="30">
        <v>2</v>
      </c>
      <c r="O5" s="30">
        <v>194095</v>
      </c>
      <c r="P5" s="29" t="s">
        <v>385</v>
      </c>
      <c r="Q5" s="29" t="s">
        <v>386</v>
      </c>
      <c r="R5" s="140" t="s">
        <v>387</v>
      </c>
    </row>
    <row r="6" spans="1:18">
      <c r="A6" s="139">
        <v>1</v>
      </c>
      <c r="B6" s="30">
        <v>1</v>
      </c>
      <c r="C6" s="1">
        <v>42755</v>
      </c>
      <c r="D6" s="27">
        <v>743356</v>
      </c>
      <c r="E6" s="30">
        <v>2016</v>
      </c>
      <c r="F6" s="30">
        <v>3</v>
      </c>
      <c r="G6" s="1">
        <v>42643</v>
      </c>
      <c r="H6" s="27">
        <v>722594</v>
      </c>
      <c r="I6" s="24">
        <v>82000</v>
      </c>
      <c r="J6" s="24">
        <v>-82000</v>
      </c>
      <c r="K6" s="30">
        <v>991</v>
      </c>
      <c r="L6" s="30">
        <v>6614</v>
      </c>
      <c r="M6" s="30">
        <v>55</v>
      </c>
      <c r="N6" s="30">
        <v>1</v>
      </c>
      <c r="O6" s="30">
        <v>181587</v>
      </c>
      <c r="P6" s="29" t="s">
        <v>379</v>
      </c>
      <c r="Q6" s="29" t="s">
        <v>380</v>
      </c>
      <c r="R6" s="140" t="s">
        <v>381</v>
      </c>
    </row>
    <row r="7" spans="1:18">
      <c r="A7" s="139">
        <v>1</v>
      </c>
      <c r="B7" s="30">
        <v>1</v>
      </c>
      <c r="C7" s="1">
        <v>42755</v>
      </c>
      <c r="D7" s="27">
        <v>743356</v>
      </c>
      <c r="E7" s="30">
        <v>2016</v>
      </c>
      <c r="F7" s="30">
        <v>3</v>
      </c>
      <c r="G7" s="1">
        <v>42643</v>
      </c>
      <c r="H7" s="27">
        <v>722594</v>
      </c>
      <c r="I7" s="24">
        <v>15283</v>
      </c>
      <c r="J7" s="24">
        <v>-10660</v>
      </c>
      <c r="K7" s="30">
        <v>991</v>
      </c>
      <c r="L7" s="30">
        <v>6614</v>
      </c>
      <c r="M7" s="30">
        <v>85</v>
      </c>
      <c r="N7" s="30">
        <v>2</v>
      </c>
      <c r="O7" s="30">
        <v>181587</v>
      </c>
      <c r="P7" s="29" t="s">
        <v>379</v>
      </c>
      <c r="Q7" s="29" t="s">
        <v>380</v>
      </c>
      <c r="R7" s="140" t="s">
        <v>381</v>
      </c>
    </row>
    <row r="8" spans="1:18">
      <c r="A8" s="139">
        <v>1</v>
      </c>
      <c r="B8" s="30">
        <v>1</v>
      </c>
      <c r="C8" s="1">
        <v>42755</v>
      </c>
      <c r="D8" s="27">
        <v>743354</v>
      </c>
      <c r="E8" s="30">
        <v>2016</v>
      </c>
      <c r="F8" s="30">
        <v>4</v>
      </c>
      <c r="G8" s="1">
        <v>42706</v>
      </c>
      <c r="H8" s="27">
        <v>733154</v>
      </c>
      <c r="I8" s="24">
        <v>53000</v>
      </c>
      <c r="J8" s="24">
        <v>-45000</v>
      </c>
      <c r="K8" s="30">
        <v>991</v>
      </c>
      <c r="L8" s="30">
        <v>55852</v>
      </c>
      <c r="M8" s="30">
        <v>55</v>
      </c>
      <c r="N8" s="30">
        <v>1</v>
      </c>
      <c r="O8" s="30">
        <v>970213</v>
      </c>
      <c r="P8" s="29" t="s">
        <v>382</v>
      </c>
      <c r="Q8" s="29" t="s">
        <v>383</v>
      </c>
      <c r="R8" s="140" t="s">
        <v>384</v>
      </c>
    </row>
    <row r="9" spans="1:18">
      <c r="A9" s="139">
        <v>1</v>
      </c>
      <c r="B9" s="30">
        <v>1</v>
      </c>
      <c r="C9" s="1">
        <v>42755</v>
      </c>
      <c r="D9" s="27">
        <v>743354</v>
      </c>
      <c r="E9" s="30">
        <v>2016</v>
      </c>
      <c r="F9" s="30">
        <v>4</v>
      </c>
      <c r="G9" s="1">
        <v>42706</v>
      </c>
      <c r="H9" s="27">
        <v>733154</v>
      </c>
      <c r="I9" s="24">
        <v>7799</v>
      </c>
      <c r="J9" s="24">
        <v>-5850</v>
      </c>
      <c r="K9" s="30">
        <v>991</v>
      </c>
      <c r="L9" s="30">
        <v>55852</v>
      </c>
      <c r="M9" s="30">
        <v>85</v>
      </c>
      <c r="N9" s="30">
        <v>2</v>
      </c>
      <c r="O9" s="30">
        <v>970213</v>
      </c>
      <c r="P9" s="29" t="s">
        <v>382</v>
      </c>
      <c r="Q9" s="29" t="s">
        <v>383</v>
      </c>
      <c r="R9" s="140" t="s">
        <v>384</v>
      </c>
    </row>
    <row r="10" spans="1:18">
      <c r="A10" s="139">
        <v>1</v>
      </c>
      <c r="B10" s="30">
        <v>1</v>
      </c>
      <c r="C10" s="1">
        <v>42762</v>
      </c>
      <c r="D10" s="27">
        <v>743790</v>
      </c>
      <c r="E10" s="30">
        <v>2016</v>
      </c>
      <c r="F10" s="30">
        <v>4</v>
      </c>
      <c r="G10" s="1">
        <v>42671</v>
      </c>
      <c r="H10" s="27">
        <v>727669</v>
      </c>
      <c r="I10" s="24">
        <v>72000</v>
      </c>
      <c r="J10" s="24">
        <v>-66000</v>
      </c>
      <c r="K10" s="30">
        <v>991</v>
      </c>
      <c r="L10" s="30">
        <v>56937</v>
      </c>
      <c r="M10" s="30">
        <v>55</v>
      </c>
      <c r="N10" s="30">
        <v>1</v>
      </c>
      <c r="O10" s="30">
        <v>996784</v>
      </c>
      <c r="P10" s="29" t="s">
        <v>388</v>
      </c>
      <c r="Q10" s="29" t="s">
        <v>389</v>
      </c>
      <c r="R10" s="140" t="s">
        <v>390</v>
      </c>
    </row>
    <row r="11" spans="1:18">
      <c r="A11" s="139">
        <v>1</v>
      </c>
      <c r="B11" s="30">
        <v>1</v>
      </c>
      <c r="C11" s="1">
        <v>42762</v>
      </c>
      <c r="D11" s="27">
        <v>743790</v>
      </c>
      <c r="E11" s="30">
        <v>2016</v>
      </c>
      <c r="F11" s="30">
        <v>4</v>
      </c>
      <c r="G11" s="1">
        <v>42671</v>
      </c>
      <c r="H11" s="27">
        <v>727669</v>
      </c>
      <c r="I11" s="24">
        <v>10664</v>
      </c>
      <c r="J11" s="24">
        <v>-8580</v>
      </c>
      <c r="K11" s="30">
        <v>991</v>
      </c>
      <c r="L11" s="30">
        <v>56937</v>
      </c>
      <c r="M11" s="30">
        <v>85</v>
      </c>
      <c r="N11" s="30">
        <v>2</v>
      </c>
      <c r="O11" s="30">
        <v>996784</v>
      </c>
      <c r="P11" s="29" t="s">
        <v>388</v>
      </c>
      <c r="Q11" s="29" t="s">
        <v>389</v>
      </c>
      <c r="R11" s="140" t="s">
        <v>390</v>
      </c>
    </row>
    <row r="12" spans="1:18">
      <c r="A12" s="139">
        <v>1</v>
      </c>
      <c r="B12" s="30">
        <v>1</v>
      </c>
      <c r="C12" s="1">
        <v>42762</v>
      </c>
      <c r="D12" s="27">
        <v>743775</v>
      </c>
      <c r="E12" s="30">
        <v>2016</v>
      </c>
      <c r="F12" s="30">
        <v>4</v>
      </c>
      <c r="G12" s="1">
        <v>42727</v>
      </c>
      <c r="H12" s="27">
        <v>738309</v>
      </c>
      <c r="I12" s="24">
        <v>26000</v>
      </c>
      <c r="J12" s="24">
        <v>-26000</v>
      </c>
      <c r="K12" s="30">
        <v>991</v>
      </c>
      <c r="L12" s="30">
        <v>59036</v>
      </c>
      <c r="M12" s="30">
        <v>55</v>
      </c>
      <c r="N12" s="30">
        <v>1</v>
      </c>
      <c r="O12" s="30">
        <v>999444</v>
      </c>
      <c r="P12" s="29" t="s">
        <v>391</v>
      </c>
      <c r="Q12" s="29" t="s">
        <v>392</v>
      </c>
      <c r="R12" s="140" t="s">
        <v>393</v>
      </c>
    </row>
    <row r="13" spans="1:18">
      <c r="A13" s="139">
        <v>1</v>
      </c>
      <c r="B13" s="30">
        <v>1</v>
      </c>
      <c r="C13" s="1">
        <v>42762</v>
      </c>
      <c r="D13" s="27">
        <v>743775</v>
      </c>
      <c r="E13" s="30">
        <v>2016</v>
      </c>
      <c r="F13" s="30">
        <v>4</v>
      </c>
      <c r="G13" s="1">
        <v>42727</v>
      </c>
      <c r="H13" s="27">
        <v>738309</v>
      </c>
      <c r="I13" s="24">
        <v>3817</v>
      </c>
      <c r="J13" s="24">
        <v>-3380</v>
      </c>
      <c r="K13" s="30">
        <v>991</v>
      </c>
      <c r="L13" s="30">
        <v>59036</v>
      </c>
      <c r="M13" s="30">
        <v>85</v>
      </c>
      <c r="N13" s="30">
        <v>2</v>
      </c>
      <c r="O13" s="30">
        <v>999444</v>
      </c>
      <c r="P13" s="29" t="s">
        <v>391</v>
      </c>
      <c r="Q13" s="29" t="s">
        <v>392</v>
      </c>
      <c r="R13" s="140" t="s">
        <v>393</v>
      </c>
    </row>
    <row r="14" spans="1:18">
      <c r="A14" s="139">
        <v>1</v>
      </c>
      <c r="B14" s="30">
        <v>1</v>
      </c>
      <c r="C14" s="1">
        <v>42762</v>
      </c>
      <c r="D14" s="27">
        <v>743776</v>
      </c>
      <c r="E14" s="30">
        <v>2016</v>
      </c>
      <c r="F14" s="30">
        <v>4</v>
      </c>
      <c r="G14" s="1">
        <v>42727</v>
      </c>
      <c r="H14" s="27">
        <v>738311</v>
      </c>
      <c r="I14" s="24">
        <v>23500</v>
      </c>
      <c r="J14" s="24">
        <v>-23500</v>
      </c>
      <c r="K14" s="30">
        <v>991</v>
      </c>
      <c r="L14" s="30">
        <v>61713</v>
      </c>
      <c r="M14" s="30">
        <v>55</v>
      </c>
      <c r="N14" s="30">
        <v>1</v>
      </c>
      <c r="O14" s="30">
        <v>1005499</v>
      </c>
      <c r="P14" s="29" t="s">
        <v>391</v>
      </c>
      <c r="Q14" s="29" t="s">
        <v>392</v>
      </c>
      <c r="R14" s="140" t="s">
        <v>393</v>
      </c>
    </row>
    <row r="15" spans="1:18">
      <c r="A15" s="139">
        <v>1</v>
      </c>
      <c r="B15" s="30">
        <v>1</v>
      </c>
      <c r="C15" s="1">
        <v>42762</v>
      </c>
      <c r="D15" s="27">
        <v>743776</v>
      </c>
      <c r="E15" s="30">
        <v>2016</v>
      </c>
      <c r="F15" s="30">
        <v>4</v>
      </c>
      <c r="G15" s="1">
        <v>42727</v>
      </c>
      <c r="H15" s="27">
        <v>738311</v>
      </c>
      <c r="I15" s="24">
        <v>3410</v>
      </c>
      <c r="J15" s="24">
        <v>-3055</v>
      </c>
      <c r="K15" s="30">
        <v>991</v>
      </c>
      <c r="L15" s="30">
        <v>61713</v>
      </c>
      <c r="M15" s="30">
        <v>85</v>
      </c>
      <c r="N15" s="30">
        <v>2</v>
      </c>
      <c r="O15" s="30">
        <v>1005499</v>
      </c>
      <c r="P15" s="29" t="s">
        <v>391</v>
      </c>
      <c r="Q15" s="29" t="s">
        <v>392</v>
      </c>
      <c r="R15" s="140" t="s">
        <v>393</v>
      </c>
    </row>
    <row r="16" spans="1:18">
      <c r="A16" s="139">
        <v>1</v>
      </c>
      <c r="B16" s="30">
        <v>1</v>
      </c>
      <c r="C16" s="1">
        <v>42762</v>
      </c>
      <c r="D16" s="27">
        <v>743786</v>
      </c>
      <c r="E16" s="30">
        <v>2016</v>
      </c>
      <c r="F16" s="30">
        <v>4</v>
      </c>
      <c r="G16" s="1">
        <v>42716</v>
      </c>
      <c r="H16" s="27">
        <v>735511</v>
      </c>
      <c r="I16" s="24">
        <v>71000</v>
      </c>
      <c r="J16" s="24">
        <v>-62000</v>
      </c>
      <c r="K16" s="30">
        <v>991</v>
      </c>
      <c r="L16" s="30">
        <v>40081</v>
      </c>
      <c r="M16" s="30">
        <v>55</v>
      </c>
      <c r="N16" s="30">
        <v>1</v>
      </c>
      <c r="O16" s="30">
        <v>572227</v>
      </c>
      <c r="P16" s="29" t="s">
        <v>394</v>
      </c>
      <c r="Q16" s="29" t="s">
        <v>395</v>
      </c>
      <c r="R16" s="140" t="s">
        <v>396</v>
      </c>
    </row>
    <row r="17" spans="1:18">
      <c r="A17" s="139">
        <v>1</v>
      </c>
      <c r="B17" s="30">
        <v>1</v>
      </c>
      <c r="C17" s="1">
        <v>42762</v>
      </c>
      <c r="D17" s="27">
        <v>743786</v>
      </c>
      <c r="E17" s="30">
        <v>2016</v>
      </c>
      <c r="F17" s="30">
        <v>4</v>
      </c>
      <c r="G17" s="1">
        <v>42716</v>
      </c>
      <c r="H17" s="27">
        <v>735511</v>
      </c>
      <c r="I17" s="24">
        <v>10787</v>
      </c>
      <c r="J17" s="24">
        <v>-8060</v>
      </c>
      <c r="K17" s="30">
        <v>991</v>
      </c>
      <c r="L17" s="30">
        <v>40081</v>
      </c>
      <c r="M17" s="30">
        <v>85</v>
      </c>
      <c r="N17" s="30">
        <v>2</v>
      </c>
      <c r="O17" s="30">
        <v>572227</v>
      </c>
      <c r="P17" s="29" t="s">
        <v>394</v>
      </c>
      <c r="Q17" s="29" t="s">
        <v>395</v>
      </c>
      <c r="R17" s="140" t="s">
        <v>396</v>
      </c>
    </row>
    <row r="18" spans="1:18" hidden="1">
      <c r="A18" s="139">
        <v>1</v>
      </c>
      <c r="B18" s="30">
        <v>1</v>
      </c>
      <c r="C18" s="1">
        <v>42766</v>
      </c>
      <c r="D18" s="27">
        <v>742033</v>
      </c>
      <c r="E18" s="30">
        <v>2017</v>
      </c>
      <c r="F18" s="30">
        <v>1</v>
      </c>
      <c r="G18" s="1">
        <v>42745</v>
      </c>
      <c r="H18" s="27">
        <v>740284</v>
      </c>
      <c r="I18" s="24">
        <v>6400</v>
      </c>
      <c r="J18" s="24">
        <v>-6400</v>
      </c>
      <c r="K18" s="30">
        <v>573</v>
      </c>
      <c r="L18" s="30">
        <v>259</v>
      </c>
      <c r="M18" s="30">
        <v>60</v>
      </c>
      <c r="N18" s="30">
        <v>0</v>
      </c>
      <c r="O18" s="30">
        <v>799626</v>
      </c>
      <c r="P18" s="29" t="s">
        <v>403</v>
      </c>
      <c r="Q18" s="29" t="s">
        <v>404</v>
      </c>
      <c r="R18" s="140" t="s">
        <v>405</v>
      </c>
    </row>
    <row r="19" spans="1:18" hidden="1">
      <c r="A19" s="139">
        <v>1</v>
      </c>
      <c r="B19" s="30">
        <v>1</v>
      </c>
      <c r="C19" s="1">
        <v>42766</v>
      </c>
      <c r="D19" s="27">
        <v>742033</v>
      </c>
      <c r="E19" s="30">
        <v>2017</v>
      </c>
      <c r="F19" s="30">
        <v>1</v>
      </c>
      <c r="G19" s="1">
        <v>42745</v>
      </c>
      <c r="H19" s="27">
        <v>740284</v>
      </c>
      <c r="I19" s="24">
        <v>832</v>
      </c>
      <c r="J19" s="24">
        <v>-832</v>
      </c>
      <c r="K19" s="30">
        <v>573</v>
      </c>
      <c r="L19" s="30">
        <v>259</v>
      </c>
      <c r="M19" s="30">
        <v>85</v>
      </c>
      <c r="N19" s="30">
        <v>0</v>
      </c>
      <c r="O19" s="30">
        <v>799626</v>
      </c>
      <c r="P19" s="29" t="s">
        <v>403</v>
      </c>
      <c r="Q19" s="29" t="s">
        <v>404</v>
      </c>
      <c r="R19" s="140" t="s">
        <v>405</v>
      </c>
    </row>
    <row r="20" spans="1:18" hidden="1">
      <c r="A20" s="139">
        <v>1</v>
      </c>
      <c r="B20" s="30">
        <v>1</v>
      </c>
      <c r="C20" s="1">
        <v>42766</v>
      </c>
      <c r="D20" s="27">
        <v>742033</v>
      </c>
      <c r="E20" s="30">
        <v>2017</v>
      </c>
      <c r="F20" s="30">
        <v>1</v>
      </c>
      <c r="G20" s="1">
        <v>42745</v>
      </c>
      <c r="H20" s="27">
        <v>740282</v>
      </c>
      <c r="I20" s="24">
        <v>5102.1099999999997</v>
      </c>
      <c r="J20" s="24">
        <v>-5102.1099999999997</v>
      </c>
      <c r="K20" s="30">
        <v>13</v>
      </c>
      <c r="L20" s="30">
        <v>120</v>
      </c>
      <c r="M20" s="30">
        <v>60</v>
      </c>
      <c r="N20" s="30">
        <v>0</v>
      </c>
      <c r="O20" s="30">
        <v>15410</v>
      </c>
      <c r="P20" s="29" t="s">
        <v>400</v>
      </c>
      <c r="Q20" s="29" t="s">
        <v>401</v>
      </c>
      <c r="R20" s="140" t="s">
        <v>402</v>
      </c>
    </row>
    <row r="21" spans="1:18" hidden="1">
      <c r="A21" s="139">
        <v>1</v>
      </c>
      <c r="B21" s="30">
        <v>1</v>
      </c>
      <c r="C21" s="1">
        <v>42766</v>
      </c>
      <c r="D21" s="27">
        <v>742033</v>
      </c>
      <c r="E21" s="30">
        <v>2017</v>
      </c>
      <c r="F21" s="30">
        <v>1</v>
      </c>
      <c r="G21" s="1">
        <v>42745</v>
      </c>
      <c r="H21" s="27">
        <v>740282</v>
      </c>
      <c r="I21" s="24">
        <v>663</v>
      </c>
      <c r="J21" s="24">
        <v>-663</v>
      </c>
      <c r="K21" s="30">
        <v>13</v>
      </c>
      <c r="L21" s="30">
        <v>120</v>
      </c>
      <c r="M21" s="30">
        <v>85</v>
      </c>
      <c r="N21" s="30">
        <v>0</v>
      </c>
      <c r="O21" s="30">
        <v>15410</v>
      </c>
      <c r="P21" s="29" t="s">
        <v>400</v>
      </c>
      <c r="Q21" s="29" t="s">
        <v>401</v>
      </c>
      <c r="R21" s="140" t="s">
        <v>402</v>
      </c>
    </row>
    <row r="22" spans="1:18" hidden="1">
      <c r="A22" s="139">
        <v>1</v>
      </c>
      <c r="B22" s="30">
        <v>1</v>
      </c>
      <c r="C22" s="1">
        <v>42766</v>
      </c>
      <c r="D22" s="27">
        <v>742033</v>
      </c>
      <c r="E22" s="30">
        <v>2017</v>
      </c>
      <c r="F22" s="30">
        <v>1</v>
      </c>
      <c r="G22" s="1">
        <v>42745</v>
      </c>
      <c r="H22" s="27">
        <v>740282</v>
      </c>
      <c r="I22" s="24">
        <v>4023.71</v>
      </c>
      <c r="J22" s="24">
        <v>-4023.71</v>
      </c>
      <c r="K22" s="30">
        <v>7</v>
      </c>
      <c r="L22" s="30">
        <v>2354</v>
      </c>
      <c r="M22" s="30">
        <v>60</v>
      </c>
      <c r="N22" s="30">
        <v>0</v>
      </c>
      <c r="O22" s="30">
        <v>4914</v>
      </c>
      <c r="P22" s="29" t="s">
        <v>409</v>
      </c>
      <c r="Q22" s="29" t="s">
        <v>410</v>
      </c>
      <c r="R22" s="140" t="s">
        <v>411</v>
      </c>
    </row>
    <row r="23" spans="1:18" hidden="1">
      <c r="A23" s="139">
        <v>1</v>
      </c>
      <c r="B23" s="30">
        <v>1</v>
      </c>
      <c r="C23" s="1">
        <v>42766</v>
      </c>
      <c r="D23" s="27">
        <v>742033</v>
      </c>
      <c r="E23" s="30">
        <v>2017</v>
      </c>
      <c r="F23" s="30">
        <v>1</v>
      </c>
      <c r="G23" s="1">
        <v>42745</v>
      </c>
      <c r="H23" s="27">
        <v>740282</v>
      </c>
      <c r="I23" s="24">
        <v>523</v>
      </c>
      <c r="J23" s="24">
        <v>-523</v>
      </c>
      <c r="K23" s="30">
        <v>7</v>
      </c>
      <c r="L23" s="30">
        <v>2354</v>
      </c>
      <c r="M23" s="30">
        <v>85</v>
      </c>
      <c r="N23" s="30">
        <v>0</v>
      </c>
      <c r="O23" s="30">
        <v>4914</v>
      </c>
      <c r="P23" s="29" t="s">
        <v>409</v>
      </c>
      <c r="Q23" s="29" t="s">
        <v>410</v>
      </c>
      <c r="R23" s="140" t="s">
        <v>411</v>
      </c>
    </row>
    <row r="24" spans="1:18" hidden="1">
      <c r="A24" s="139">
        <v>1</v>
      </c>
      <c r="B24" s="30">
        <v>1</v>
      </c>
      <c r="C24" s="1">
        <v>42766</v>
      </c>
      <c r="D24" s="27">
        <v>742033</v>
      </c>
      <c r="E24" s="30">
        <v>2017</v>
      </c>
      <c r="F24" s="30">
        <v>1</v>
      </c>
      <c r="G24" s="1">
        <v>42745</v>
      </c>
      <c r="H24" s="27">
        <v>740571</v>
      </c>
      <c r="I24" s="24">
        <v>5031.5</v>
      </c>
      <c r="J24" s="24">
        <v>-5031.5</v>
      </c>
      <c r="K24" s="30">
        <v>104</v>
      </c>
      <c r="L24" s="30">
        <v>1381</v>
      </c>
      <c r="M24" s="30">
        <v>60</v>
      </c>
      <c r="N24" s="30">
        <v>0</v>
      </c>
      <c r="O24" s="30">
        <v>141730</v>
      </c>
      <c r="P24" s="29" t="s">
        <v>406</v>
      </c>
      <c r="Q24" s="29" t="s">
        <v>407</v>
      </c>
      <c r="R24" s="140" t="s">
        <v>408</v>
      </c>
    </row>
    <row r="25" spans="1:18" hidden="1">
      <c r="A25" s="139">
        <v>1</v>
      </c>
      <c r="B25" s="30">
        <v>1</v>
      </c>
      <c r="C25" s="1">
        <v>42766</v>
      </c>
      <c r="D25" s="27">
        <v>742033</v>
      </c>
      <c r="E25" s="30">
        <v>2017</v>
      </c>
      <c r="F25" s="30">
        <v>1</v>
      </c>
      <c r="G25" s="1">
        <v>42745</v>
      </c>
      <c r="H25" s="27">
        <v>740571</v>
      </c>
      <c r="I25" s="24">
        <v>654</v>
      </c>
      <c r="J25" s="24">
        <v>-654</v>
      </c>
      <c r="K25" s="30">
        <v>104</v>
      </c>
      <c r="L25" s="30">
        <v>1381</v>
      </c>
      <c r="M25" s="30">
        <v>85</v>
      </c>
      <c r="N25" s="30">
        <v>0</v>
      </c>
      <c r="O25" s="30">
        <v>141730</v>
      </c>
      <c r="P25" s="29" t="s">
        <v>406</v>
      </c>
      <c r="Q25" s="29" t="s">
        <v>407</v>
      </c>
      <c r="R25" s="140" t="s">
        <v>408</v>
      </c>
    </row>
    <row r="26" spans="1:18" hidden="1">
      <c r="A26" s="139">
        <v>1</v>
      </c>
      <c r="B26" s="30">
        <v>1</v>
      </c>
      <c r="C26" s="1">
        <v>42766</v>
      </c>
      <c r="D26" s="27">
        <v>742033</v>
      </c>
      <c r="E26" s="30">
        <v>2017</v>
      </c>
      <c r="F26" s="30">
        <v>1</v>
      </c>
      <c r="G26" s="1">
        <v>42745</v>
      </c>
      <c r="H26" s="27">
        <v>740276</v>
      </c>
      <c r="I26" s="24">
        <v>6437.7</v>
      </c>
      <c r="J26" s="24">
        <v>-6437.7</v>
      </c>
      <c r="K26" s="30">
        <v>6</v>
      </c>
      <c r="L26" s="30">
        <v>2489</v>
      </c>
      <c r="M26" s="30">
        <v>60</v>
      </c>
      <c r="N26" s="30">
        <v>0</v>
      </c>
      <c r="O26" s="30">
        <v>59831</v>
      </c>
      <c r="P26" s="29" t="s">
        <v>397</v>
      </c>
      <c r="Q26" s="29" t="s">
        <v>398</v>
      </c>
      <c r="R26" s="140" t="s">
        <v>399</v>
      </c>
    </row>
    <row r="27" spans="1:18" hidden="1">
      <c r="A27" s="139">
        <v>1</v>
      </c>
      <c r="B27" s="30">
        <v>1</v>
      </c>
      <c r="C27" s="1">
        <v>42766</v>
      </c>
      <c r="D27" s="27">
        <v>742033</v>
      </c>
      <c r="E27" s="30">
        <v>2017</v>
      </c>
      <c r="F27" s="30">
        <v>1</v>
      </c>
      <c r="G27" s="1">
        <v>42745</v>
      </c>
      <c r="H27" s="27">
        <v>740276</v>
      </c>
      <c r="I27" s="24">
        <v>772</v>
      </c>
      <c r="J27" s="24">
        <v>-772</v>
      </c>
      <c r="K27" s="30">
        <v>6</v>
      </c>
      <c r="L27" s="30">
        <v>2489</v>
      </c>
      <c r="M27" s="30">
        <v>85</v>
      </c>
      <c r="N27" s="30">
        <v>0</v>
      </c>
      <c r="O27" s="30">
        <v>59831</v>
      </c>
      <c r="P27" s="29" t="s">
        <v>397</v>
      </c>
      <c r="Q27" s="29" t="s">
        <v>398</v>
      </c>
      <c r="R27" s="140" t="s">
        <v>399</v>
      </c>
    </row>
    <row r="28" spans="1:18" hidden="1">
      <c r="A28" s="139">
        <v>1</v>
      </c>
      <c r="B28" s="30">
        <v>1</v>
      </c>
      <c r="C28" s="1">
        <v>42766</v>
      </c>
      <c r="D28" s="27">
        <v>742033</v>
      </c>
      <c r="E28" s="30">
        <v>2017</v>
      </c>
      <c r="F28" s="30">
        <v>1</v>
      </c>
      <c r="G28" s="1">
        <v>42745</v>
      </c>
      <c r="H28" s="27">
        <v>740276</v>
      </c>
      <c r="I28" s="24">
        <v>500</v>
      </c>
      <c r="J28" s="24">
        <v>-500</v>
      </c>
      <c r="K28" s="30">
        <v>6</v>
      </c>
      <c r="L28" s="30">
        <v>2489</v>
      </c>
      <c r="M28" s="30">
        <v>1025</v>
      </c>
      <c r="N28" s="30">
        <v>0</v>
      </c>
      <c r="O28" s="30">
        <v>59831</v>
      </c>
      <c r="P28" s="29" t="s">
        <v>397</v>
      </c>
      <c r="Q28" s="29" t="s">
        <v>398</v>
      </c>
      <c r="R28" s="140" t="s">
        <v>399</v>
      </c>
    </row>
    <row r="29" spans="1:18">
      <c r="A29" s="139">
        <v>1</v>
      </c>
      <c r="B29" s="30">
        <v>2</v>
      </c>
      <c r="C29" s="1">
        <v>42769</v>
      </c>
      <c r="D29" s="27">
        <v>744291</v>
      </c>
      <c r="E29" s="30">
        <v>2016</v>
      </c>
      <c r="F29" s="30">
        <v>4</v>
      </c>
      <c r="G29" s="1">
        <v>42731</v>
      </c>
      <c r="H29" s="27">
        <v>738786</v>
      </c>
      <c r="I29" s="24">
        <v>222000</v>
      </c>
      <c r="J29" s="24">
        <v>-210000</v>
      </c>
      <c r="K29" s="30">
        <v>991</v>
      </c>
      <c r="L29" s="30">
        <v>7843</v>
      </c>
      <c r="M29" s="30">
        <v>55</v>
      </c>
      <c r="N29" s="30">
        <v>1</v>
      </c>
      <c r="O29" s="30">
        <v>185549</v>
      </c>
      <c r="P29" s="29" t="s">
        <v>412</v>
      </c>
      <c r="Q29" s="29" t="s">
        <v>413</v>
      </c>
      <c r="R29" s="140" t="s">
        <v>414</v>
      </c>
    </row>
    <row r="30" spans="1:18">
      <c r="A30" s="139">
        <v>1</v>
      </c>
      <c r="B30" s="30">
        <v>2</v>
      </c>
      <c r="C30" s="1">
        <v>42769</v>
      </c>
      <c r="D30" s="27">
        <v>744291</v>
      </c>
      <c r="E30" s="30">
        <v>2016</v>
      </c>
      <c r="F30" s="30">
        <v>4</v>
      </c>
      <c r="G30" s="1">
        <v>42731</v>
      </c>
      <c r="H30" s="27">
        <v>738786</v>
      </c>
      <c r="I30" s="24">
        <v>44937</v>
      </c>
      <c r="J30" s="24">
        <v>-27300</v>
      </c>
      <c r="K30" s="30">
        <v>991</v>
      </c>
      <c r="L30" s="30">
        <v>7843</v>
      </c>
      <c r="M30" s="30">
        <v>85</v>
      </c>
      <c r="N30" s="30">
        <v>2</v>
      </c>
      <c r="O30" s="30">
        <v>185549</v>
      </c>
      <c r="P30" s="29" t="s">
        <v>412</v>
      </c>
      <c r="Q30" s="29" t="s">
        <v>413</v>
      </c>
      <c r="R30" s="140" t="s">
        <v>414</v>
      </c>
    </row>
    <row r="31" spans="1:18" hidden="1">
      <c r="A31" s="139">
        <v>1</v>
      </c>
      <c r="B31" s="30">
        <v>2</v>
      </c>
      <c r="C31" s="1">
        <v>42776</v>
      </c>
      <c r="D31" s="27">
        <v>744371</v>
      </c>
      <c r="E31" s="30">
        <v>2017</v>
      </c>
      <c r="F31" s="30">
        <v>1</v>
      </c>
      <c r="G31" s="1">
        <v>42745</v>
      </c>
      <c r="H31" s="27">
        <v>740276</v>
      </c>
      <c r="I31" s="24">
        <v>3504</v>
      </c>
      <c r="J31" s="24">
        <v>-3504</v>
      </c>
      <c r="K31" s="30">
        <v>164</v>
      </c>
      <c r="L31" s="30">
        <v>189</v>
      </c>
      <c r="M31" s="30">
        <v>85</v>
      </c>
      <c r="N31" s="30">
        <v>1</v>
      </c>
      <c r="O31" s="30">
        <v>492265</v>
      </c>
      <c r="P31" s="29" t="s">
        <v>415</v>
      </c>
      <c r="Q31" s="29" t="s">
        <v>380</v>
      </c>
      <c r="R31" s="140" t="s">
        <v>405</v>
      </c>
    </row>
    <row r="32" spans="1:18">
      <c r="A32" s="139">
        <v>1</v>
      </c>
      <c r="B32" s="30">
        <v>2</v>
      </c>
      <c r="C32" s="1">
        <v>42779</v>
      </c>
      <c r="D32" s="27">
        <v>746294</v>
      </c>
      <c r="E32" s="30">
        <v>2016</v>
      </c>
      <c r="F32" s="30">
        <v>4</v>
      </c>
      <c r="G32" s="1">
        <v>42727</v>
      </c>
      <c r="H32" s="27">
        <v>738307</v>
      </c>
      <c r="I32" s="24">
        <v>28500</v>
      </c>
      <c r="J32" s="24">
        <v>-28500</v>
      </c>
      <c r="K32" s="30">
        <v>991</v>
      </c>
      <c r="L32" s="30">
        <v>42506</v>
      </c>
      <c r="M32" s="30">
        <v>55</v>
      </c>
      <c r="N32" s="30">
        <v>1</v>
      </c>
      <c r="O32" s="30">
        <v>578713</v>
      </c>
      <c r="P32" s="29" t="s">
        <v>416</v>
      </c>
      <c r="Q32" s="29" t="s">
        <v>417</v>
      </c>
      <c r="R32" s="140" t="s">
        <v>418</v>
      </c>
    </row>
    <row r="33" spans="1:18">
      <c r="A33" s="139">
        <v>1</v>
      </c>
      <c r="B33" s="30">
        <v>2</v>
      </c>
      <c r="C33" s="1">
        <v>42779</v>
      </c>
      <c r="D33" s="27">
        <v>746294</v>
      </c>
      <c r="E33" s="30">
        <v>2016</v>
      </c>
      <c r="F33" s="30">
        <v>4</v>
      </c>
      <c r="G33" s="1">
        <v>42727</v>
      </c>
      <c r="H33" s="27">
        <v>738307</v>
      </c>
      <c r="I33" s="24">
        <v>4449</v>
      </c>
      <c r="J33" s="24">
        <v>-3705</v>
      </c>
      <c r="K33" s="30">
        <v>991</v>
      </c>
      <c r="L33" s="30">
        <v>42506</v>
      </c>
      <c r="M33" s="30">
        <v>85</v>
      </c>
      <c r="N33" s="30">
        <v>2</v>
      </c>
      <c r="O33" s="30">
        <v>578713</v>
      </c>
      <c r="P33" s="29" t="s">
        <v>416</v>
      </c>
      <c r="Q33" s="29" t="s">
        <v>417</v>
      </c>
      <c r="R33" s="140" t="s">
        <v>418</v>
      </c>
    </row>
    <row r="34" spans="1:18">
      <c r="A34" s="139">
        <v>1</v>
      </c>
      <c r="B34" s="30">
        <v>2</v>
      </c>
      <c r="C34" s="1">
        <v>42779</v>
      </c>
      <c r="D34" s="27">
        <v>746355</v>
      </c>
      <c r="E34" s="30">
        <v>2016</v>
      </c>
      <c r="F34" s="30">
        <v>4</v>
      </c>
      <c r="G34" s="1">
        <v>42692</v>
      </c>
      <c r="H34" s="27">
        <v>732167</v>
      </c>
      <c r="I34" s="24">
        <v>40000</v>
      </c>
      <c r="J34" s="24">
        <v>-40000</v>
      </c>
      <c r="K34" s="30">
        <v>991</v>
      </c>
      <c r="L34" s="30">
        <v>49332</v>
      </c>
      <c r="M34" s="30">
        <v>55</v>
      </c>
      <c r="N34" s="30">
        <v>1</v>
      </c>
      <c r="O34" s="30">
        <v>790010</v>
      </c>
      <c r="P34" s="29" t="s">
        <v>419</v>
      </c>
      <c r="Q34" s="29" t="s">
        <v>420</v>
      </c>
      <c r="R34" s="140" t="s">
        <v>421</v>
      </c>
    </row>
    <row r="35" spans="1:18">
      <c r="A35" s="139">
        <v>1</v>
      </c>
      <c r="B35" s="30">
        <v>2</v>
      </c>
      <c r="C35" s="1">
        <v>42779</v>
      </c>
      <c r="D35" s="27">
        <v>746355</v>
      </c>
      <c r="E35" s="30">
        <v>2016</v>
      </c>
      <c r="F35" s="30">
        <v>4</v>
      </c>
      <c r="G35" s="1">
        <v>42692</v>
      </c>
      <c r="H35" s="27">
        <v>732167</v>
      </c>
      <c r="I35" s="24">
        <v>6354</v>
      </c>
      <c r="J35" s="24">
        <v>-5200</v>
      </c>
      <c r="K35" s="30">
        <v>991</v>
      </c>
      <c r="L35" s="30">
        <v>49332</v>
      </c>
      <c r="M35" s="30">
        <v>85</v>
      </c>
      <c r="N35" s="30">
        <v>2</v>
      </c>
      <c r="O35" s="30">
        <v>790010</v>
      </c>
      <c r="P35" s="29" t="s">
        <v>419</v>
      </c>
      <c r="Q35" s="29" t="s">
        <v>420</v>
      </c>
      <c r="R35" s="140" t="s">
        <v>421</v>
      </c>
    </row>
    <row r="36" spans="1:18">
      <c r="A36" s="139">
        <v>1</v>
      </c>
      <c r="B36" s="30">
        <v>2</v>
      </c>
      <c r="C36" s="1">
        <v>42779</v>
      </c>
      <c r="D36" s="27">
        <v>746339</v>
      </c>
      <c r="E36" s="30">
        <v>2016</v>
      </c>
      <c r="F36" s="30">
        <v>4</v>
      </c>
      <c r="G36" s="1">
        <v>42702</v>
      </c>
      <c r="H36" s="27">
        <v>732739</v>
      </c>
      <c r="I36" s="24">
        <v>118000</v>
      </c>
      <c r="J36" s="24">
        <v>-104000</v>
      </c>
      <c r="K36" s="30">
        <v>991</v>
      </c>
      <c r="L36" s="30">
        <v>47788</v>
      </c>
      <c r="M36" s="30">
        <v>55</v>
      </c>
      <c r="N36" s="30">
        <v>1</v>
      </c>
      <c r="O36" s="30">
        <v>786686</v>
      </c>
      <c r="P36" s="29" t="s">
        <v>422</v>
      </c>
      <c r="Q36" s="29" t="s">
        <v>380</v>
      </c>
      <c r="R36" s="140" t="s">
        <v>423</v>
      </c>
    </row>
    <row r="37" spans="1:18">
      <c r="A37" s="139">
        <v>1</v>
      </c>
      <c r="B37" s="30">
        <v>2</v>
      </c>
      <c r="C37" s="1">
        <v>42779</v>
      </c>
      <c r="D37" s="27">
        <v>746339</v>
      </c>
      <c r="E37" s="30">
        <v>2016</v>
      </c>
      <c r="F37" s="30">
        <v>4</v>
      </c>
      <c r="G37" s="1">
        <v>42702</v>
      </c>
      <c r="H37" s="27">
        <v>732739</v>
      </c>
      <c r="I37" s="24">
        <v>17686</v>
      </c>
      <c r="J37" s="24">
        <v>-13520</v>
      </c>
      <c r="K37" s="30">
        <v>991</v>
      </c>
      <c r="L37" s="30">
        <v>47788</v>
      </c>
      <c r="M37" s="30">
        <v>85</v>
      </c>
      <c r="N37" s="30">
        <v>2</v>
      </c>
      <c r="O37" s="30">
        <v>786686</v>
      </c>
      <c r="P37" s="29" t="s">
        <v>422</v>
      </c>
      <c r="Q37" s="29" t="s">
        <v>380</v>
      </c>
      <c r="R37" s="140" t="s">
        <v>423</v>
      </c>
    </row>
    <row r="38" spans="1:18">
      <c r="A38" s="139">
        <v>1</v>
      </c>
      <c r="B38" s="30">
        <v>2</v>
      </c>
      <c r="C38" s="1">
        <v>42779</v>
      </c>
      <c r="D38" s="27">
        <v>746338</v>
      </c>
      <c r="E38" s="30">
        <v>2016</v>
      </c>
      <c r="F38" s="30">
        <v>4</v>
      </c>
      <c r="G38" s="1">
        <v>42657</v>
      </c>
      <c r="H38" s="27">
        <v>725690</v>
      </c>
      <c r="I38" s="24">
        <v>10000</v>
      </c>
      <c r="J38" s="24">
        <v>-10000</v>
      </c>
      <c r="K38" s="30">
        <v>991</v>
      </c>
      <c r="L38" s="30">
        <v>49426</v>
      </c>
      <c r="M38" s="30">
        <v>55</v>
      </c>
      <c r="N38" s="30">
        <v>1</v>
      </c>
      <c r="O38" s="30">
        <v>790165</v>
      </c>
      <c r="P38" s="29" t="s">
        <v>424</v>
      </c>
      <c r="Q38" s="29" t="s">
        <v>425</v>
      </c>
      <c r="R38" s="140" t="s">
        <v>426</v>
      </c>
    </row>
    <row r="39" spans="1:18">
      <c r="A39" s="139">
        <v>1</v>
      </c>
      <c r="B39" s="30">
        <v>2</v>
      </c>
      <c r="C39" s="1">
        <v>42779</v>
      </c>
      <c r="D39" s="27">
        <v>746338</v>
      </c>
      <c r="E39" s="30">
        <v>2016</v>
      </c>
      <c r="F39" s="30">
        <v>4</v>
      </c>
      <c r="G39" s="1">
        <v>42657</v>
      </c>
      <c r="H39" s="27">
        <v>725690</v>
      </c>
      <c r="I39" s="24">
        <v>1642</v>
      </c>
      <c r="J39" s="24">
        <v>-1300</v>
      </c>
      <c r="K39" s="30">
        <v>991</v>
      </c>
      <c r="L39" s="30">
        <v>49426</v>
      </c>
      <c r="M39" s="30">
        <v>85</v>
      </c>
      <c r="N39" s="30">
        <v>2</v>
      </c>
      <c r="O39" s="30">
        <v>790165</v>
      </c>
      <c r="P39" s="29" t="s">
        <v>424</v>
      </c>
      <c r="Q39" s="29" t="s">
        <v>425</v>
      </c>
      <c r="R39" s="140" t="s">
        <v>426</v>
      </c>
    </row>
    <row r="40" spans="1:18" hidden="1">
      <c r="A40" s="139">
        <v>1</v>
      </c>
      <c r="B40" s="30">
        <v>2</v>
      </c>
      <c r="C40" s="1">
        <v>42794</v>
      </c>
      <c r="D40" s="27">
        <v>744371</v>
      </c>
      <c r="E40" s="30">
        <v>2017</v>
      </c>
      <c r="F40" s="30">
        <v>1</v>
      </c>
      <c r="G40" s="1">
        <v>42745</v>
      </c>
      <c r="H40" s="27">
        <v>740276</v>
      </c>
      <c r="I40" s="24">
        <v>7233.1</v>
      </c>
      <c r="J40" s="24">
        <v>-7233.1</v>
      </c>
      <c r="K40" s="30">
        <v>12</v>
      </c>
      <c r="L40" s="30">
        <v>15187</v>
      </c>
      <c r="M40" s="30">
        <v>60</v>
      </c>
      <c r="N40" s="30">
        <v>0</v>
      </c>
      <c r="O40" s="30">
        <v>234020</v>
      </c>
      <c r="P40" s="29" t="s">
        <v>427</v>
      </c>
      <c r="Q40" s="29" t="s">
        <v>428</v>
      </c>
      <c r="R40" s="140" t="s">
        <v>429</v>
      </c>
    </row>
    <row r="41" spans="1:18" hidden="1">
      <c r="A41" s="139">
        <v>1</v>
      </c>
      <c r="B41" s="30">
        <v>2</v>
      </c>
      <c r="C41" s="1">
        <v>42794</v>
      </c>
      <c r="D41" s="27">
        <v>744371</v>
      </c>
      <c r="E41" s="30">
        <v>2017</v>
      </c>
      <c r="F41" s="30">
        <v>1</v>
      </c>
      <c r="G41" s="1">
        <v>42745</v>
      </c>
      <c r="H41" s="27">
        <v>740276</v>
      </c>
      <c r="I41" s="24">
        <v>940</v>
      </c>
      <c r="J41" s="24">
        <v>-940</v>
      </c>
      <c r="K41" s="30">
        <v>12</v>
      </c>
      <c r="L41" s="30">
        <v>15187</v>
      </c>
      <c r="M41" s="30">
        <v>85</v>
      </c>
      <c r="N41" s="30">
        <v>0</v>
      </c>
      <c r="O41" s="30">
        <v>234020</v>
      </c>
      <c r="P41" s="29" t="s">
        <v>427</v>
      </c>
      <c r="Q41" s="29" t="s">
        <v>428</v>
      </c>
      <c r="R41" s="140" t="s">
        <v>429</v>
      </c>
    </row>
    <row r="42" spans="1:18" hidden="1">
      <c r="A42" s="139">
        <v>1</v>
      </c>
      <c r="B42" s="30">
        <v>2</v>
      </c>
      <c r="C42" s="1">
        <v>42794</v>
      </c>
      <c r="D42" s="27">
        <v>744371</v>
      </c>
      <c r="E42" s="30">
        <v>2017</v>
      </c>
      <c r="F42" s="30">
        <v>1</v>
      </c>
      <c r="G42" s="1">
        <v>42745</v>
      </c>
      <c r="H42" s="27">
        <v>740276</v>
      </c>
      <c r="I42" s="24">
        <v>2331.2800000000002</v>
      </c>
      <c r="J42" s="24">
        <v>-2331.2800000000002</v>
      </c>
      <c r="K42" s="30">
        <v>12</v>
      </c>
      <c r="L42" s="30">
        <v>2119</v>
      </c>
      <c r="M42" s="30">
        <v>60</v>
      </c>
      <c r="N42" s="30">
        <v>0</v>
      </c>
      <c r="O42" s="30">
        <v>22688</v>
      </c>
      <c r="P42" s="29" t="s">
        <v>430</v>
      </c>
      <c r="Q42" s="29" t="s">
        <v>431</v>
      </c>
      <c r="R42" s="140" t="s">
        <v>432</v>
      </c>
    </row>
    <row r="43" spans="1:18" hidden="1">
      <c r="A43" s="139">
        <v>1</v>
      </c>
      <c r="B43" s="30">
        <v>2</v>
      </c>
      <c r="C43" s="1">
        <v>42794</v>
      </c>
      <c r="D43" s="27">
        <v>744371</v>
      </c>
      <c r="E43" s="30">
        <v>2017</v>
      </c>
      <c r="F43" s="30">
        <v>1</v>
      </c>
      <c r="G43" s="1">
        <v>42745</v>
      </c>
      <c r="H43" s="27">
        <v>740276</v>
      </c>
      <c r="I43" s="24">
        <v>303</v>
      </c>
      <c r="J43" s="24">
        <v>-303</v>
      </c>
      <c r="K43" s="30">
        <v>12</v>
      </c>
      <c r="L43" s="30">
        <v>2119</v>
      </c>
      <c r="M43" s="30">
        <v>85</v>
      </c>
      <c r="N43" s="30">
        <v>0</v>
      </c>
      <c r="O43" s="30">
        <v>22688</v>
      </c>
      <c r="P43" s="29" t="s">
        <v>430</v>
      </c>
      <c r="Q43" s="29" t="s">
        <v>431</v>
      </c>
      <c r="R43" s="140" t="s">
        <v>432</v>
      </c>
    </row>
    <row r="44" spans="1:18" hidden="1">
      <c r="A44" s="139">
        <v>1</v>
      </c>
      <c r="B44" s="30">
        <v>2</v>
      </c>
      <c r="C44" s="1">
        <v>42794</v>
      </c>
      <c r="D44" s="27">
        <v>744371</v>
      </c>
      <c r="E44" s="30">
        <v>2017</v>
      </c>
      <c r="F44" s="30">
        <v>1</v>
      </c>
      <c r="G44" s="1">
        <v>42776</v>
      </c>
      <c r="H44" s="27">
        <v>744978</v>
      </c>
      <c r="I44" s="24">
        <v>2687.8</v>
      </c>
      <c r="J44" s="24">
        <v>-2687.8</v>
      </c>
      <c r="K44" s="30">
        <v>9</v>
      </c>
      <c r="L44" s="30">
        <v>4818</v>
      </c>
      <c r="M44" s="30">
        <v>60</v>
      </c>
      <c r="N44" s="30">
        <v>0</v>
      </c>
      <c r="O44" s="30">
        <v>132656</v>
      </c>
      <c r="P44" s="29" t="s">
        <v>439</v>
      </c>
      <c r="Q44" s="29" t="s">
        <v>440</v>
      </c>
      <c r="R44" s="140" t="s">
        <v>421</v>
      </c>
    </row>
    <row r="45" spans="1:18" hidden="1">
      <c r="A45" s="139">
        <v>1</v>
      </c>
      <c r="B45" s="30">
        <v>2</v>
      </c>
      <c r="C45" s="1">
        <v>42794</v>
      </c>
      <c r="D45" s="27">
        <v>744371</v>
      </c>
      <c r="E45" s="30">
        <v>2017</v>
      </c>
      <c r="F45" s="30">
        <v>1</v>
      </c>
      <c r="G45" s="1">
        <v>42776</v>
      </c>
      <c r="H45" s="27">
        <v>744978</v>
      </c>
      <c r="I45" s="24">
        <v>350</v>
      </c>
      <c r="J45" s="24">
        <v>-350</v>
      </c>
      <c r="K45" s="30">
        <v>9</v>
      </c>
      <c r="L45" s="30">
        <v>4818</v>
      </c>
      <c r="M45" s="30">
        <v>85</v>
      </c>
      <c r="N45" s="30">
        <v>0</v>
      </c>
      <c r="O45" s="30">
        <v>132656</v>
      </c>
      <c r="P45" s="29" t="s">
        <v>439</v>
      </c>
      <c r="Q45" s="29" t="s">
        <v>440</v>
      </c>
      <c r="R45" s="140" t="s">
        <v>421</v>
      </c>
    </row>
    <row r="46" spans="1:18" hidden="1">
      <c r="A46" s="139">
        <v>1</v>
      </c>
      <c r="B46" s="30">
        <v>2</v>
      </c>
      <c r="C46" s="1">
        <v>42794</v>
      </c>
      <c r="D46" s="27">
        <v>744371</v>
      </c>
      <c r="E46" s="30">
        <v>2017</v>
      </c>
      <c r="F46" s="30">
        <v>1</v>
      </c>
      <c r="G46" s="1">
        <v>42776</v>
      </c>
      <c r="H46" s="27">
        <v>744978</v>
      </c>
      <c r="I46" s="24">
        <v>6247.25</v>
      </c>
      <c r="J46" s="24">
        <v>-6247.25</v>
      </c>
      <c r="K46" s="30">
        <v>37</v>
      </c>
      <c r="L46" s="30">
        <v>16</v>
      </c>
      <c r="M46" s="30">
        <v>60</v>
      </c>
      <c r="N46" s="30">
        <v>0</v>
      </c>
      <c r="O46" s="30">
        <v>32799</v>
      </c>
      <c r="P46" s="29" t="s">
        <v>436</v>
      </c>
      <c r="Q46" s="29" t="s">
        <v>437</v>
      </c>
      <c r="R46" s="140" t="s">
        <v>438</v>
      </c>
    </row>
    <row r="47" spans="1:18" hidden="1">
      <c r="A47" s="139">
        <v>1</v>
      </c>
      <c r="B47" s="30">
        <v>2</v>
      </c>
      <c r="C47" s="1">
        <v>42794</v>
      </c>
      <c r="D47" s="27">
        <v>744371</v>
      </c>
      <c r="E47" s="30">
        <v>2017</v>
      </c>
      <c r="F47" s="30">
        <v>1</v>
      </c>
      <c r="G47" s="1">
        <v>42776</v>
      </c>
      <c r="H47" s="27">
        <v>744978</v>
      </c>
      <c r="I47" s="24">
        <v>812</v>
      </c>
      <c r="J47" s="24">
        <v>-812</v>
      </c>
      <c r="K47" s="30">
        <v>37</v>
      </c>
      <c r="L47" s="30">
        <v>16</v>
      </c>
      <c r="M47" s="30">
        <v>85</v>
      </c>
      <c r="N47" s="30">
        <v>0</v>
      </c>
      <c r="O47" s="30">
        <v>32799</v>
      </c>
      <c r="P47" s="29" t="s">
        <v>436</v>
      </c>
      <c r="Q47" s="29" t="s">
        <v>437</v>
      </c>
      <c r="R47" s="140" t="s">
        <v>438</v>
      </c>
    </row>
    <row r="48" spans="1:18" hidden="1">
      <c r="A48" s="139">
        <v>1</v>
      </c>
      <c r="B48" s="30">
        <v>2</v>
      </c>
      <c r="C48" s="1">
        <v>42794</v>
      </c>
      <c r="D48" s="27">
        <v>744371</v>
      </c>
      <c r="E48" s="30">
        <v>2017</v>
      </c>
      <c r="F48" s="30">
        <v>1</v>
      </c>
      <c r="G48" s="1">
        <v>42745</v>
      </c>
      <c r="H48" s="27">
        <v>740276</v>
      </c>
      <c r="I48" s="24">
        <v>5548.3</v>
      </c>
      <c r="J48" s="24">
        <v>-5548.3</v>
      </c>
      <c r="K48" s="30">
        <v>22</v>
      </c>
      <c r="L48" s="30">
        <v>1106</v>
      </c>
      <c r="M48" s="30">
        <v>60</v>
      </c>
      <c r="N48" s="30">
        <v>0</v>
      </c>
      <c r="O48" s="30">
        <v>49235</v>
      </c>
      <c r="P48" s="29" t="s">
        <v>433</v>
      </c>
      <c r="Q48" s="29" t="s">
        <v>434</v>
      </c>
      <c r="R48" s="140" t="s">
        <v>435</v>
      </c>
    </row>
    <row r="49" spans="1:18" hidden="1">
      <c r="A49" s="139">
        <v>1</v>
      </c>
      <c r="B49" s="30">
        <v>2</v>
      </c>
      <c r="C49" s="1">
        <v>42794</v>
      </c>
      <c r="D49" s="27">
        <v>744371</v>
      </c>
      <c r="E49" s="30">
        <v>2017</v>
      </c>
      <c r="F49" s="30">
        <v>1</v>
      </c>
      <c r="G49" s="1">
        <v>42745</v>
      </c>
      <c r="H49" s="27">
        <v>740276</v>
      </c>
      <c r="I49" s="24">
        <v>656</v>
      </c>
      <c r="J49" s="24">
        <v>-656</v>
      </c>
      <c r="K49" s="30">
        <v>22</v>
      </c>
      <c r="L49" s="30">
        <v>1106</v>
      </c>
      <c r="M49" s="30">
        <v>85</v>
      </c>
      <c r="N49" s="30">
        <v>0</v>
      </c>
      <c r="O49" s="30">
        <v>49235</v>
      </c>
      <c r="P49" s="29" t="s">
        <v>433</v>
      </c>
      <c r="Q49" s="29" t="s">
        <v>434</v>
      </c>
      <c r="R49" s="140" t="s">
        <v>435</v>
      </c>
    </row>
    <row r="50" spans="1:18" hidden="1">
      <c r="A50" s="139">
        <v>1</v>
      </c>
      <c r="B50" s="30">
        <v>2</v>
      </c>
      <c r="C50" s="1">
        <v>42794</v>
      </c>
      <c r="D50" s="27">
        <v>744371</v>
      </c>
      <c r="E50" s="30">
        <v>2017</v>
      </c>
      <c r="F50" s="30">
        <v>1</v>
      </c>
      <c r="G50" s="1">
        <v>42745</v>
      </c>
      <c r="H50" s="27">
        <v>740276</v>
      </c>
      <c r="I50" s="24">
        <v>500</v>
      </c>
      <c r="J50" s="24">
        <v>-500</v>
      </c>
      <c r="K50" s="30">
        <v>22</v>
      </c>
      <c r="L50" s="30">
        <v>1106</v>
      </c>
      <c r="M50" s="30">
        <v>1025</v>
      </c>
      <c r="N50" s="30">
        <v>0</v>
      </c>
      <c r="O50" s="30">
        <v>49235</v>
      </c>
      <c r="P50" s="29" t="s">
        <v>433</v>
      </c>
      <c r="Q50" s="29" t="s">
        <v>434</v>
      </c>
      <c r="R50" s="140" t="s">
        <v>435</v>
      </c>
    </row>
    <row r="51" spans="1:18">
      <c r="A51" s="139">
        <v>1</v>
      </c>
      <c r="B51" s="30">
        <v>3</v>
      </c>
      <c r="C51" s="1">
        <v>42811</v>
      </c>
      <c r="D51" s="27">
        <v>752697</v>
      </c>
      <c r="E51" s="30">
        <v>2016</v>
      </c>
      <c r="F51" s="30">
        <v>3</v>
      </c>
      <c r="G51" s="1">
        <v>42587</v>
      </c>
      <c r="H51" s="27">
        <v>712731</v>
      </c>
      <c r="I51" s="24">
        <v>50000</v>
      </c>
      <c r="J51" s="24">
        <v>-50000</v>
      </c>
      <c r="K51" s="30">
        <v>991</v>
      </c>
      <c r="L51" s="30">
        <v>13164</v>
      </c>
      <c r="M51" s="30">
        <v>55</v>
      </c>
      <c r="N51" s="30">
        <v>1</v>
      </c>
      <c r="O51" s="30">
        <v>218213</v>
      </c>
      <c r="P51" s="29" t="s">
        <v>441</v>
      </c>
      <c r="Q51" s="29" t="s">
        <v>425</v>
      </c>
      <c r="R51" s="140" t="s">
        <v>442</v>
      </c>
    </row>
    <row r="52" spans="1:18">
      <c r="A52" s="139">
        <v>1</v>
      </c>
      <c r="B52" s="30">
        <v>3</v>
      </c>
      <c r="C52" s="1">
        <v>42811</v>
      </c>
      <c r="D52" s="27">
        <v>752697</v>
      </c>
      <c r="E52" s="30">
        <v>2016</v>
      </c>
      <c r="F52" s="30">
        <v>3</v>
      </c>
      <c r="G52" s="1">
        <v>42587</v>
      </c>
      <c r="H52" s="27">
        <v>712731</v>
      </c>
      <c r="I52" s="24">
        <v>10155</v>
      </c>
      <c r="J52" s="24">
        <v>-6500</v>
      </c>
      <c r="K52" s="30">
        <v>991</v>
      </c>
      <c r="L52" s="30">
        <v>13164</v>
      </c>
      <c r="M52" s="30">
        <v>85</v>
      </c>
      <c r="N52" s="30">
        <v>2</v>
      </c>
      <c r="O52" s="30">
        <v>218213</v>
      </c>
      <c r="P52" s="29" t="s">
        <v>441</v>
      </c>
      <c r="Q52" s="29" t="s">
        <v>425</v>
      </c>
      <c r="R52" s="140" t="s">
        <v>442</v>
      </c>
    </row>
    <row r="53" spans="1:18">
      <c r="A53" s="139">
        <v>1</v>
      </c>
      <c r="B53" s="30">
        <v>3</v>
      </c>
      <c r="C53" s="1">
        <v>42821</v>
      </c>
      <c r="D53" s="27">
        <v>753656</v>
      </c>
      <c r="E53" s="30">
        <v>2016</v>
      </c>
      <c r="F53" s="30">
        <v>4</v>
      </c>
      <c r="G53" s="1">
        <v>42650</v>
      </c>
      <c r="H53" s="27">
        <v>723414</v>
      </c>
      <c r="I53" s="24">
        <v>35000</v>
      </c>
      <c r="J53" s="24">
        <v>-35000</v>
      </c>
      <c r="K53" s="30">
        <v>991</v>
      </c>
      <c r="L53" s="30">
        <v>37891</v>
      </c>
      <c r="M53" s="30">
        <v>55</v>
      </c>
      <c r="N53" s="30">
        <v>1</v>
      </c>
      <c r="O53" s="30">
        <v>568201</v>
      </c>
      <c r="P53" s="29" t="s">
        <v>443</v>
      </c>
      <c r="Q53" s="29" t="s">
        <v>434</v>
      </c>
      <c r="R53" s="140" t="s">
        <v>444</v>
      </c>
    </row>
    <row r="54" spans="1:18">
      <c r="A54" s="139">
        <v>1</v>
      </c>
      <c r="B54" s="30">
        <v>3</v>
      </c>
      <c r="C54" s="1">
        <v>42821</v>
      </c>
      <c r="D54" s="27">
        <v>753656</v>
      </c>
      <c r="E54" s="30">
        <v>2016</v>
      </c>
      <c r="F54" s="30">
        <v>4</v>
      </c>
      <c r="G54" s="1">
        <v>42650</v>
      </c>
      <c r="H54" s="27">
        <v>723414</v>
      </c>
      <c r="I54" s="24">
        <v>5382</v>
      </c>
      <c r="J54" s="24">
        <v>-4550</v>
      </c>
      <c r="K54" s="30">
        <v>991</v>
      </c>
      <c r="L54" s="30">
        <v>37891</v>
      </c>
      <c r="M54" s="30">
        <v>85</v>
      </c>
      <c r="N54" s="30">
        <v>2</v>
      </c>
      <c r="O54" s="30">
        <v>568201</v>
      </c>
      <c r="P54" s="29" t="s">
        <v>443</v>
      </c>
      <c r="Q54" s="29" t="s">
        <v>434</v>
      </c>
      <c r="R54" s="140" t="s">
        <v>444</v>
      </c>
    </row>
    <row r="55" spans="1:18" hidden="1">
      <c r="A55" s="139">
        <v>1</v>
      </c>
      <c r="B55" s="30">
        <v>3</v>
      </c>
      <c r="C55" s="1">
        <v>42825</v>
      </c>
      <c r="D55" s="27">
        <v>748988</v>
      </c>
      <c r="E55" s="30">
        <v>2017</v>
      </c>
      <c r="F55" s="30">
        <v>1</v>
      </c>
      <c r="G55" s="1">
        <v>42745</v>
      </c>
      <c r="H55" s="27">
        <v>740276</v>
      </c>
      <c r="I55" s="24">
        <v>2092.92</v>
      </c>
      <c r="J55" s="24">
        <v>-2092.92</v>
      </c>
      <c r="K55" s="30">
        <v>15</v>
      </c>
      <c r="L55" s="30">
        <v>2836</v>
      </c>
      <c r="M55" s="30">
        <v>60</v>
      </c>
      <c r="N55" s="30">
        <v>0</v>
      </c>
      <c r="O55" s="30">
        <v>36710</v>
      </c>
      <c r="P55" s="29" t="s">
        <v>445</v>
      </c>
      <c r="Q55" s="29" t="s">
        <v>446</v>
      </c>
      <c r="R55" s="140" t="s">
        <v>447</v>
      </c>
    </row>
    <row r="56" spans="1:18" hidden="1">
      <c r="A56" s="139">
        <v>1</v>
      </c>
      <c r="B56" s="30">
        <v>3</v>
      </c>
      <c r="C56" s="1">
        <v>42825</v>
      </c>
      <c r="D56" s="27">
        <v>748988</v>
      </c>
      <c r="E56" s="30">
        <v>2017</v>
      </c>
      <c r="F56" s="30">
        <v>1</v>
      </c>
      <c r="G56" s="1">
        <v>42745</v>
      </c>
      <c r="H56" s="27">
        <v>740276</v>
      </c>
      <c r="I56" s="24">
        <v>272</v>
      </c>
      <c r="J56" s="24">
        <v>-272</v>
      </c>
      <c r="K56" s="30">
        <v>15</v>
      </c>
      <c r="L56" s="30">
        <v>2836</v>
      </c>
      <c r="M56" s="30">
        <v>85</v>
      </c>
      <c r="N56" s="30">
        <v>0</v>
      </c>
      <c r="O56" s="30">
        <v>36710</v>
      </c>
      <c r="P56" s="29" t="s">
        <v>445</v>
      </c>
      <c r="Q56" s="29" t="s">
        <v>446</v>
      </c>
      <c r="R56" s="140" t="s">
        <v>447</v>
      </c>
    </row>
    <row r="57" spans="1:18" hidden="1">
      <c r="A57" s="139">
        <v>1</v>
      </c>
      <c r="B57" s="30">
        <v>3</v>
      </c>
      <c r="C57" s="1">
        <v>42825</v>
      </c>
      <c r="D57" s="27">
        <v>748988</v>
      </c>
      <c r="E57" s="30">
        <v>2017</v>
      </c>
      <c r="F57" s="30">
        <v>1</v>
      </c>
      <c r="G57" s="1">
        <v>42776</v>
      </c>
      <c r="H57" s="27">
        <v>744978</v>
      </c>
      <c r="I57" s="24">
        <v>2093.3000000000002</v>
      </c>
      <c r="J57" s="24">
        <v>-2093.3000000000002</v>
      </c>
      <c r="K57" s="30">
        <v>16</v>
      </c>
      <c r="L57" s="30">
        <v>514</v>
      </c>
      <c r="M57" s="30">
        <v>60</v>
      </c>
      <c r="N57" s="30">
        <v>0</v>
      </c>
      <c r="O57" s="30">
        <v>38140</v>
      </c>
      <c r="P57" s="29" t="s">
        <v>464</v>
      </c>
      <c r="Q57" s="29" t="s">
        <v>465</v>
      </c>
      <c r="R57" s="140" t="s">
        <v>466</v>
      </c>
    </row>
    <row r="58" spans="1:18" hidden="1">
      <c r="A58" s="139">
        <v>1</v>
      </c>
      <c r="B58" s="30">
        <v>3</v>
      </c>
      <c r="C58" s="1">
        <v>42825</v>
      </c>
      <c r="D58" s="27">
        <v>748988</v>
      </c>
      <c r="E58" s="30">
        <v>2017</v>
      </c>
      <c r="F58" s="30">
        <v>1</v>
      </c>
      <c r="G58" s="1">
        <v>42776</v>
      </c>
      <c r="H58" s="27">
        <v>744978</v>
      </c>
      <c r="I58" s="24">
        <v>272</v>
      </c>
      <c r="J58" s="24">
        <v>-272</v>
      </c>
      <c r="K58" s="30">
        <v>16</v>
      </c>
      <c r="L58" s="30">
        <v>514</v>
      </c>
      <c r="M58" s="30">
        <v>85</v>
      </c>
      <c r="N58" s="30">
        <v>0</v>
      </c>
      <c r="O58" s="30">
        <v>38140</v>
      </c>
      <c r="P58" s="29" t="s">
        <v>464</v>
      </c>
      <c r="Q58" s="29" t="s">
        <v>465</v>
      </c>
      <c r="R58" s="140" t="s">
        <v>466</v>
      </c>
    </row>
    <row r="59" spans="1:18" hidden="1">
      <c r="A59" s="139">
        <v>1</v>
      </c>
      <c r="B59" s="30">
        <v>3</v>
      </c>
      <c r="C59" s="1">
        <v>42825</v>
      </c>
      <c r="D59" s="27">
        <v>748988</v>
      </c>
      <c r="E59" s="30">
        <v>2017</v>
      </c>
      <c r="F59" s="30">
        <v>1</v>
      </c>
      <c r="G59" s="1">
        <v>42804</v>
      </c>
      <c r="H59" s="27">
        <v>749816</v>
      </c>
      <c r="I59" s="24">
        <v>3738.4</v>
      </c>
      <c r="J59" s="24">
        <v>-3738.4</v>
      </c>
      <c r="K59" s="30">
        <v>12</v>
      </c>
      <c r="L59" s="30">
        <v>5516</v>
      </c>
      <c r="M59" s="30">
        <v>60</v>
      </c>
      <c r="N59" s="30">
        <v>0</v>
      </c>
      <c r="O59" s="30">
        <v>57277</v>
      </c>
      <c r="P59" s="29" t="s">
        <v>449</v>
      </c>
      <c r="Q59" s="29" t="s">
        <v>401</v>
      </c>
      <c r="R59" s="140" t="s">
        <v>450</v>
      </c>
    </row>
    <row r="60" spans="1:18" hidden="1">
      <c r="A60" s="139">
        <v>1</v>
      </c>
      <c r="B60" s="30">
        <v>3</v>
      </c>
      <c r="C60" s="1">
        <v>42825</v>
      </c>
      <c r="D60" s="27">
        <v>748988</v>
      </c>
      <c r="E60" s="30">
        <v>2017</v>
      </c>
      <c r="F60" s="30">
        <v>1</v>
      </c>
      <c r="G60" s="1">
        <v>42804</v>
      </c>
      <c r="H60" s="27">
        <v>749816</v>
      </c>
      <c r="I60" s="24">
        <v>486</v>
      </c>
      <c r="J60" s="24">
        <v>-486</v>
      </c>
      <c r="K60" s="30">
        <v>12</v>
      </c>
      <c r="L60" s="30">
        <v>5516</v>
      </c>
      <c r="M60" s="30">
        <v>85</v>
      </c>
      <c r="N60" s="30">
        <v>0</v>
      </c>
      <c r="O60" s="30">
        <v>57277</v>
      </c>
      <c r="P60" s="29" t="s">
        <v>449</v>
      </c>
      <c r="Q60" s="29" t="s">
        <v>401</v>
      </c>
      <c r="R60" s="140" t="s">
        <v>450</v>
      </c>
    </row>
    <row r="61" spans="1:18" hidden="1">
      <c r="A61" s="139">
        <v>1</v>
      </c>
      <c r="B61" s="30">
        <v>3</v>
      </c>
      <c r="C61" s="1">
        <v>42825</v>
      </c>
      <c r="D61" s="27">
        <v>748988</v>
      </c>
      <c r="E61" s="30">
        <v>2017</v>
      </c>
      <c r="F61" s="30">
        <v>1</v>
      </c>
      <c r="G61" s="1">
        <v>42776</v>
      </c>
      <c r="H61" s="27">
        <v>744984</v>
      </c>
      <c r="I61" s="24">
        <v>2534.9699999999998</v>
      </c>
      <c r="J61" s="24">
        <v>-2534.9699999999998</v>
      </c>
      <c r="K61" s="30">
        <v>57</v>
      </c>
      <c r="L61" s="30">
        <v>246</v>
      </c>
      <c r="M61" s="30">
        <v>60</v>
      </c>
      <c r="N61" s="30">
        <v>0</v>
      </c>
      <c r="O61" s="30">
        <v>40981</v>
      </c>
      <c r="P61" s="29" t="s">
        <v>467</v>
      </c>
      <c r="Q61" s="29" t="s">
        <v>468</v>
      </c>
      <c r="R61" s="140" t="s">
        <v>469</v>
      </c>
    </row>
    <row r="62" spans="1:18" hidden="1">
      <c r="A62" s="139">
        <v>1</v>
      </c>
      <c r="B62" s="30">
        <v>3</v>
      </c>
      <c r="C62" s="1">
        <v>42825</v>
      </c>
      <c r="D62" s="27">
        <v>748988</v>
      </c>
      <c r="E62" s="30">
        <v>2017</v>
      </c>
      <c r="F62" s="30">
        <v>1</v>
      </c>
      <c r="G62" s="1">
        <v>42776</v>
      </c>
      <c r="H62" s="27">
        <v>744984</v>
      </c>
      <c r="I62" s="24">
        <v>329</v>
      </c>
      <c r="J62" s="24">
        <v>-329</v>
      </c>
      <c r="K62" s="30">
        <v>57</v>
      </c>
      <c r="L62" s="30">
        <v>246</v>
      </c>
      <c r="M62" s="30">
        <v>85</v>
      </c>
      <c r="N62" s="30">
        <v>0</v>
      </c>
      <c r="O62" s="30">
        <v>40981</v>
      </c>
      <c r="P62" s="29" t="s">
        <v>467</v>
      </c>
      <c r="Q62" s="29" t="s">
        <v>468</v>
      </c>
      <c r="R62" s="140" t="s">
        <v>469</v>
      </c>
    </row>
    <row r="63" spans="1:18" hidden="1">
      <c r="A63" s="139">
        <v>1</v>
      </c>
      <c r="B63" s="30">
        <v>3</v>
      </c>
      <c r="C63" s="1">
        <v>42825</v>
      </c>
      <c r="D63" s="27">
        <v>748988</v>
      </c>
      <c r="E63" s="30">
        <v>2017</v>
      </c>
      <c r="F63" s="30">
        <v>1</v>
      </c>
      <c r="G63" s="1">
        <v>42776</v>
      </c>
      <c r="H63" s="27">
        <v>744984</v>
      </c>
      <c r="I63" s="24">
        <v>4436.5</v>
      </c>
      <c r="J63" s="24">
        <v>-4436.5</v>
      </c>
      <c r="K63" s="30">
        <v>5</v>
      </c>
      <c r="L63" s="30">
        <v>199</v>
      </c>
      <c r="M63" s="30">
        <v>60</v>
      </c>
      <c r="N63" s="30">
        <v>0</v>
      </c>
      <c r="O63" s="30">
        <v>6471</v>
      </c>
      <c r="P63" s="29" t="s">
        <v>461</v>
      </c>
      <c r="Q63" s="29" t="s">
        <v>462</v>
      </c>
      <c r="R63" s="140" t="s">
        <v>463</v>
      </c>
    </row>
    <row r="64" spans="1:18" hidden="1">
      <c r="A64" s="139">
        <v>1</v>
      </c>
      <c r="B64" s="30">
        <v>3</v>
      </c>
      <c r="C64" s="1">
        <v>42825</v>
      </c>
      <c r="D64" s="27">
        <v>748988</v>
      </c>
      <c r="E64" s="30">
        <v>2017</v>
      </c>
      <c r="F64" s="30">
        <v>1</v>
      </c>
      <c r="G64" s="1">
        <v>42776</v>
      </c>
      <c r="H64" s="27">
        <v>744984</v>
      </c>
      <c r="I64" s="24">
        <v>576</v>
      </c>
      <c r="J64" s="24">
        <v>-576</v>
      </c>
      <c r="K64" s="30">
        <v>5</v>
      </c>
      <c r="L64" s="30">
        <v>199</v>
      </c>
      <c r="M64" s="30">
        <v>85</v>
      </c>
      <c r="N64" s="30">
        <v>0</v>
      </c>
      <c r="O64" s="30">
        <v>6471</v>
      </c>
      <c r="P64" s="29" t="s">
        <v>461</v>
      </c>
      <c r="Q64" s="29" t="s">
        <v>462</v>
      </c>
      <c r="R64" s="140" t="s">
        <v>463</v>
      </c>
    </row>
    <row r="65" spans="1:18" hidden="1">
      <c r="A65" s="139">
        <v>1</v>
      </c>
      <c r="B65" s="30">
        <v>3</v>
      </c>
      <c r="C65" s="1">
        <v>42825</v>
      </c>
      <c r="D65" s="27">
        <v>748988</v>
      </c>
      <c r="E65" s="30">
        <v>2017</v>
      </c>
      <c r="F65" s="30">
        <v>1</v>
      </c>
      <c r="G65" s="1">
        <v>42745</v>
      </c>
      <c r="H65" s="27">
        <v>740276</v>
      </c>
      <c r="I65" s="24">
        <v>2097.86</v>
      </c>
      <c r="J65" s="24">
        <v>-2097.86</v>
      </c>
      <c r="K65" s="30">
        <v>63</v>
      </c>
      <c r="L65" s="30">
        <v>6</v>
      </c>
      <c r="M65" s="30">
        <v>60</v>
      </c>
      <c r="N65" s="30">
        <v>0</v>
      </c>
      <c r="O65" s="30">
        <v>41976</v>
      </c>
      <c r="P65" s="29" t="s">
        <v>456</v>
      </c>
      <c r="Q65" s="29" t="s">
        <v>457</v>
      </c>
      <c r="R65" s="140" t="s">
        <v>458</v>
      </c>
    </row>
    <row r="66" spans="1:18" hidden="1">
      <c r="A66" s="139">
        <v>1</v>
      </c>
      <c r="B66" s="30">
        <v>3</v>
      </c>
      <c r="C66" s="1">
        <v>42825</v>
      </c>
      <c r="D66" s="27">
        <v>748988</v>
      </c>
      <c r="E66" s="30">
        <v>2017</v>
      </c>
      <c r="F66" s="30">
        <v>1</v>
      </c>
      <c r="G66" s="1">
        <v>42745</v>
      </c>
      <c r="H66" s="27">
        <v>740276</v>
      </c>
      <c r="I66" s="24">
        <v>208</v>
      </c>
      <c r="J66" s="24">
        <v>-208</v>
      </c>
      <c r="K66" s="30">
        <v>63</v>
      </c>
      <c r="L66" s="30">
        <v>6</v>
      </c>
      <c r="M66" s="30">
        <v>85</v>
      </c>
      <c r="N66" s="30">
        <v>0</v>
      </c>
      <c r="O66" s="30">
        <v>41976</v>
      </c>
      <c r="P66" s="29" t="s">
        <v>456</v>
      </c>
      <c r="Q66" s="29" t="s">
        <v>457</v>
      </c>
      <c r="R66" s="140" t="s">
        <v>458</v>
      </c>
    </row>
    <row r="67" spans="1:18" hidden="1">
      <c r="A67" s="139">
        <v>1</v>
      </c>
      <c r="B67" s="30">
        <v>3</v>
      </c>
      <c r="C67" s="1">
        <v>42825</v>
      </c>
      <c r="D67" s="27">
        <v>748988</v>
      </c>
      <c r="E67" s="30">
        <v>2017</v>
      </c>
      <c r="F67" s="30">
        <v>1</v>
      </c>
      <c r="G67" s="1">
        <v>42745</v>
      </c>
      <c r="H67" s="27">
        <v>740276</v>
      </c>
      <c r="I67" s="24">
        <v>500</v>
      </c>
      <c r="J67" s="24">
        <v>-500</v>
      </c>
      <c r="K67" s="30">
        <v>63</v>
      </c>
      <c r="L67" s="30">
        <v>6</v>
      </c>
      <c r="M67" s="30">
        <v>1025</v>
      </c>
      <c r="N67" s="30">
        <v>0</v>
      </c>
      <c r="O67" s="30">
        <v>41976</v>
      </c>
      <c r="P67" s="29" t="s">
        <v>456</v>
      </c>
      <c r="Q67" s="29" t="s">
        <v>457</v>
      </c>
      <c r="R67" s="140" t="s">
        <v>458</v>
      </c>
    </row>
    <row r="68" spans="1:18" hidden="1">
      <c r="A68" s="139">
        <v>1</v>
      </c>
      <c r="B68" s="30">
        <v>3</v>
      </c>
      <c r="C68" s="1">
        <v>42825</v>
      </c>
      <c r="D68" s="27">
        <v>748988</v>
      </c>
      <c r="E68" s="30">
        <v>2017</v>
      </c>
      <c r="F68" s="30">
        <v>1</v>
      </c>
      <c r="G68" s="1">
        <v>42776</v>
      </c>
      <c r="H68" s="27">
        <v>744978</v>
      </c>
      <c r="I68" s="24">
        <v>2097.86</v>
      </c>
      <c r="J68" s="24">
        <v>-2097.86</v>
      </c>
      <c r="K68" s="30">
        <v>63</v>
      </c>
      <c r="L68" s="30">
        <v>6</v>
      </c>
      <c r="M68" s="30">
        <v>60</v>
      </c>
      <c r="N68" s="30">
        <v>0</v>
      </c>
      <c r="O68" s="30">
        <v>41976</v>
      </c>
      <c r="P68" s="29" t="s">
        <v>456</v>
      </c>
      <c r="Q68" s="29" t="s">
        <v>457</v>
      </c>
      <c r="R68" s="140" t="s">
        <v>458</v>
      </c>
    </row>
    <row r="69" spans="1:18" hidden="1">
      <c r="A69" s="139">
        <v>1</v>
      </c>
      <c r="B69" s="30">
        <v>3</v>
      </c>
      <c r="C69" s="1">
        <v>42825</v>
      </c>
      <c r="D69" s="27">
        <v>748988</v>
      </c>
      <c r="E69" s="30">
        <v>2017</v>
      </c>
      <c r="F69" s="30">
        <v>1</v>
      </c>
      <c r="G69" s="1">
        <v>42776</v>
      </c>
      <c r="H69" s="27">
        <v>744978</v>
      </c>
      <c r="I69" s="24">
        <v>207</v>
      </c>
      <c r="J69" s="24">
        <v>-207</v>
      </c>
      <c r="K69" s="30">
        <v>63</v>
      </c>
      <c r="L69" s="30">
        <v>6</v>
      </c>
      <c r="M69" s="30">
        <v>85</v>
      </c>
      <c r="N69" s="30">
        <v>0</v>
      </c>
      <c r="O69" s="30">
        <v>41976</v>
      </c>
      <c r="P69" s="29" t="s">
        <v>456</v>
      </c>
      <c r="Q69" s="29" t="s">
        <v>457</v>
      </c>
      <c r="R69" s="140" t="s">
        <v>458</v>
      </c>
    </row>
    <row r="70" spans="1:18" hidden="1">
      <c r="A70" s="139">
        <v>1</v>
      </c>
      <c r="B70" s="30">
        <v>3</v>
      </c>
      <c r="C70" s="1">
        <v>42825</v>
      </c>
      <c r="D70" s="27">
        <v>748988</v>
      </c>
      <c r="E70" s="30">
        <v>2017</v>
      </c>
      <c r="F70" s="30">
        <v>1</v>
      </c>
      <c r="G70" s="1">
        <v>42776</v>
      </c>
      <c r="H70" s="27">
        <v>744978</v>
      </c>
      <c r="I70" s="24">
        <v>500</v>
      </c>
      <c r="J70" s="24">
        <v>-500</v>
      </c>
      <c r="K70" s="30">
        <v>63</v>
      </c>
      <c r="L70" s="30">
        <v>6</v>
      </c>
      <c r="M70" s="30">
        <v>1025</v>
      </c>
      <c r="N70" s="30">
        <v>0</v>
      </c>
      <c r="O70" s="30">
        <v>41976</v>
      </c>
      <c r="P70" s="29" t="s">
        <v>456</v>
      </c>
      <c r="Q70" s="29" t="s">
        <v>457</v>
      </c>
      <c r="R70" s="140" t="s">
        <v>458</v>
      </c>
    </row>
    <row r="71" spans="1:18" hidden="1">
      <c r="A71" s="139">
        <v>1</v>
      </c>
      <c r="B71" s="30">
        <v>3</v>
      </c>
      <c r="C71" s="1">
        <v>42825</v>
      </c>
      <c r="D71" s="27">
        <v>748988</v>
      </c>
      <c r="E71" s="30">
        <v>2017</v>
      </c>
      <c r="F71" s="30">
        <v>1</v>
      </c>
      <c r="G71" s="1">
        <v>42776</v>
      </c>
      <c r="H71" s="27">
        <v>744984</v>
      </c>
      <c r="I71" s="24">
        <v>12889.2</v>
      </c>
      <c r="J71" s="24">
        <v>-12889.2</v>
      </c>
      <c r="K71" s="30">
        <v>6</v>
      </c>
      <c r="L71" s="30">
        <v>2557</v>
      </c>
      <c r="M71" s="30">
        <v>60</v>
      </c>
      <c r="N71" s="30">
        <v>0</v>
      </c>
      <c r="O71" s="30">
        <v>65652</v>
      </c>
      <c r="P71" s="29" t="s">
        <v>448</v>
      </c>
      <c r="Q71" s="29" t="s">
        <v>386</v>
      </c>
      <c r="R71" s="140" t="s">
        <v>429</v>
      </c>
    </row>
    <row r="72" spans="1:18" hidden="1">
      <c r="A72" s="139">
        <v>1</v>
      </c>
      <c r="B72" s="30">
        <v>3</v>
      </c>
      <c r="C72" s="1">
        <v>42825</v>
      </c>
      <c r="D72" s="27">
        <v>748988</v>
      </c>
      <c r="E72" s="30">
        <v>2017</v>
      </c>
      <c r="F72" s="30">
        <v>1</v>
      </c>
      <c r="G72" s="1">
        <v>42776</v>
      </c>
      <c r="H72" s="27">
        <v>744984</v>
      </c>
      <c r="I72" s="24">
        <v>1610</v>
      </c>
      <c r="J72" s="24">
        <v>-1610</v>
      </c>
      <c r="K72" s="30">
        <v>6</v>
      </c>
      <c r="L72" s="30">
        <v>2557</v>
      </c>
      <c r="M72" s="30">
        <v>85</v>
      </c>
      <c r="N72" s="30">
        <v>0</v>
      </c>
      <c r="O72" s="30">
        <v>65652</v>
      </c>
      <c r="P72" s="29" t="s">
        <v>448</v>
      </c>
      <c r="Q72" s="29" t="s">
        <v>386</v>
      </c>
      <c r="R72" s="140" t="s">
        <v>429</v>
      </c>
    </row>
    <row r="73" spans="1:18" hidden="1">
      <c r="A73" s="139">
        <v>1</v>
      </c>
      <c r="B73" s="30">
        <v>3</v>
      </c>
      <c r="C73" s="1">
        <v>42825</v>
      </c>
      <c r="D73" s="27">
        <v>748988</v>
      </c>
      <c r="E73" s="30">
        <v>2017</v>
      </c>
      <c r="F73" s="30">
        <v>1</v>
      </c>
      <c r="G73" s="1">
        <v>42776</v>
      </c>
      <c r="H73" s="27">
        <v>744984</v>
      </c>
      <c r="I73" s="24">
        <v>500</v>
      </c>
      <c r="J73" s="24">
        <v>-500</v>
      </c>
      <c r="K73" s="30">
        <v>6</v>
      </c>
      <c r="L73" s="30">
        <v>2557</v>
      </c>
      <c r="M73" s="30">
        <v>1025</v>
      </c>
      <c r="N73" s="30">
        <v>0</v>
      </c>
      <c r="O73" s="30">
        <v>65652</v>
      </c>
      <c r="P73" s="29" t="s">
        <v>448</v>
      </c>
      <c r="Q73" s="29" t="s">
        <v>386</v>
      </c>
      <c r="R73" s="140" t="s">
        <v>429</v>
      </c>
    </row>
    <row r="74" spans="1:18" hidden="1">
      <c r="A74" s="139">
        <v>1</v>
      </c>
      <c r="B74" s="30">
        <v>3</v>
      </c>
      <c r="C74" s="1">
        <v>42825</v>
      </c>
      <c r="D74" s="27">
        <v>748988</v>
      </c>
      <c r="E74" s="30">
        <v>2017</v>
      </c>
      <c r="F74" s="30">
        <v>1</v>
      </c>
      <c r="G74" s="1">
        <v>42745</v>
      </c>
      <c r="H74" s="27">
        <v>740276</v>
      </c>
      <c r="I74" s="24">
        <v>5900.21</v>
      </c>
      <c r="J74" s="24">
        <v>-5900.21</v>
      </c>
      <c r="K74" s="30">
        <v>12</v>
      </c>
      <c r="L74" s="30">
        <v>2925</v>
      </c>
      <c r="M74" s="30">
        <v>60</v>
      </c>
      <c r="N74" s="30">
        <v>0</v>
      </c>
      <c r="O74" s="30">
        <v>23494</v>
      </c>
      <c r="P74" s="29" t="s">
        <v>451</v>
      </c>
      <c r="Q74" s="29" t="s">
        <v>413</v>
      </c>
      <c r="R74" s="140" t="s">
        <v>452</v>
      </c>
    </row>
    <row r="75" spans="1:18" hidden="1">
      <c r="A75" s="139">
        <v>1</v>
      </c>
      <c r="B75" s="30">
        <v>3</v>
      </c>
      <c r="C75" s="1">
        <v>42825</v>
      </c>
      <c r="D75" s="27">
        <v>748988</v>
      </c>
      <c r="E75" s="30">
        <v>2017</v>
      </c>
      <c r="F75" s="30">
        <v>1</v>
      </c>
      <c r="G75" s="1">
        <v>42745</v>
      </c>
      <c r="H75" s="27">
        <v>740276</v>
      </c>
      <c r="I75" s="24">
        <v>767</v>
      </c>
      <c r="J75" s="24">
        <v>-767</v>
      </c>
      <c r="K75" s="30">
        <v>12</v>
      </c>
      <c r="L75" s="30">
        <v>2925</v>
      </c>
      <c r="M75" s="30">
        <v>85</v>
      </c>
      <c r="N75" s="30">
        <v>0</v>
      </c>
      <c r="O75" s="30">
        <v>23494</v>
      </c>
      <c r="P75" s="29" t="s">
        <v>451</v>
      </c>
      <c r="Q75" s="29" t="s">
        <v>413</v>
      </c>
      <c r="R75" s="140" t="s">
        <v>452</v>
      </c>
    </row>
    <row r="76" spans="1:18" hidden="1">
      <c r="A76" s="139">
        <v>1</v>
      </c>
      <c r="B76" s="30">
        <v>3</v>
      </c>
      <c r="C76" s="1">
        <v>42825</v>
      </c>
      <c r="D76" s="27">
        <v>748988</v>
      </c>
      <c r="E76" s="30">
        <v>2017</v>
      </c>
      <c r="F76" s="30">
        <v>1</v>
      </c>
      <c r="G76" s="1">
        <v>42776</v>
      </c>
      <c r="H76" s="27">
        <v>744978</v>
      </c>
      <c r="I76" s="24">
        <v>5900.21</v>
      </c>
      <c r="J76" s="24">
        <v>-5900.21</v>
      </c>
      <c r="K76" s="30">
        <v>12</v>
      </c>
      <c r="L76" s="30">
        <v>2925</v>
      </c>
      <c r="M76" s="30">
        <v>60</v>
      </c>
      <c r="N76" s="30">
        <v>0</v>
      </c>
      <c r="O76" s="30">
        <v>23494</v>
      </c>
      <c r="P76" s="29" t="s">
        <v>451</v>
      </c>
      <c r="Q76" s="29" t="s">
        <v>413</v>
      </c>
      <c r="R76" s="140" t="s">
        <v>452</v>
      </c>
    </row>
    <row r="77" spans="1:18" hidden="1">
      <c r="A77" s="139">
        <v>1</v>
      </c>
      <c r="B77" s="30">
        <v>3</v>
      </c>
      <c r="C77" s="1">
        <v>42825</v>
      </c>
      <c r="D77" s="27">
        <v>748988</v>
      </c>
      <c r="E77" s="30">
        <v>2017</v>
      </c>
      <c r="F77" s="30">
        <v>1</v>
      </c>
      <c r="G77" s="1">
        <v>42776</v>
      </c>
      <c r="H77" s="27">
        <v>744978</v>
      </c>
      <c r="I77" s="24">
        <v>767</v>
      </c>
      <c r="J77" s="24">
        <v>-767</v>
      </c>
      <c r="K77" s="30">
        <v>12</v>
      </c>
      <c r="L77" s="30">
        <v>2925</v>
      </c>
      <c r="M77" s="30">
        <v>85</v>
      </c>
      <c r="N77" s="30">
        <v>0</v>
      </c>
      <c r="O77" s="30">
        <v>23494</v>
      </c>
      <c r="P77" s="29" t="s">
        <v>451</v>
      </c>
      <c r="Q77" s="29" t="s">
        <v>413</v>
      </c>
      <c r="R77" s="140" t="s">
        <v>452</v>
      </c>
    </row>
    <row r="78" spans="1:18" hidden="1">
      <c r="A78" s="139">
        <v>1</v>
      </c>
      <c r="B78" s="30">
        <v>3</v>
      </c>
      <c r="C78" s="1">
        <v>42825</v>
      </c>
      <c r="D78" s="27">
        <v>748988</v>
      </c>
      <c r="E78" s="30">
        <v>2017</v>
      </c>
      <c r="F78" s="30">
        <v>1</v>
      </c>
      <c r="G78" s="1">
        <v>42776</v>
      </c>
      <c r="H78" s="27">
        <v>744984</v>
      </c>
      <c r="I78" s="24">
        <v>2088.8000000000002</v>
      </c>
      <c r="J78" s="24">
        <v>-2088.8000000000002</v>
      </c>
      <c r="K78" s="30">
        <v>37</v>
      </c>
      <c r="L78" s="30">
        <v>163</v>
      </c>
      <c r="M78" s="30">
        <v>60</v>
      </c>
      <c r="N78" s="30">
        <v>0</v>
      </c>
      <c r="O78" s="30">
        <v>50771</v>
      </c>
      <c r="P78" s="29" t="s">
        <v>453</v>
      </c>
      <c r="Q78" s="29" t="s">
        <v>454</v>
      </c>
      <c r="R78" s="140" t="s">
        <v>455</v>
      </c>
    </row>
    <row r="79" spans="1:18" hidden="1">
      <c r="A79" s="139">
        <v>1</v>
      </c>
      <c r="B79" s="30">
        <v>3</v>
      </c>
      <c r="C79" s="1">
        <v>42825</v>
      </c>
      <c r="D79" s="27">
        <v>748988</v>
      </c>
      <c r="E79" s="30">
        <v>2017</v>
      </c>
      <c r="F79" s="30">
        <v>1</v>
      </c>
      <c r="G79" s="1">
        <v>42776</v>
      </c>
      <c r="H79" s="27">
        <v>744984</v>
      </c>
      <c r="I79" s="24">
        <v>271</v>
      </c>
      <c r="J79" s="24">
        <v>-271</v>
      </c>
      <c r="K79" s="30">
        <v>37</v>
      </c>
      <c r="L79" s="30">
        <v>163</v>
      </c>
      <c r="M79" s="30">
        <v>85</v>
      </c>
      <c r="N79" s="30">
        <v>0</v>
      </c>
      <c r="O79" s="30">
        <v>50771</v>
      </c>
      <c r="P79" s="29" t="s">
        <v>453</v>
      </c>
      <c r="Q79" s="29" t="s">
        <v>454</v>
      </c>
      <c r="R79" s="140" t="s">
        <v>455</v>
      </c>
    </row>
    <row r="80" spans="1:18" hidden="1">
      <c r="A80" s="139">
        <v>1</v>
      </c>
      <c r="B80" s="30">
        <v>3</v>
      </c>
      <c r="C80" s="1">
        <v>42825</v>
      </c>
      <c r="D80" s="27">
        <v>748988</v>
      </c>
      <c r="E80" s="30">
        <v>2017</v>
      </c>
      <c r="F80" s="30">
        <v>1</v>
      </c>
      <c r="G80" s="1">
        <v>42776</v>
      </c>
      <c r="H80" s="27">
        <v>744978</v>
      </c>
      <c r="I80" s="24">
        <v>2097.9699999999998</v>
      </c>
      <c r="J80" s="24">
        <v>-2097.9699999999998</v>
      </c>
      <c r="K80" s="30">
        <v>12</v>
      </c>
      <c r="L80" s="30">
        <v>1201</v>
      </c>
      <c r="M80" s="30">
        <v>60</v>
      </c>
      <c r="N80" s="30">
        <v>0</v>
      </c>
      <c r="O80" s="30">
        <v>14574</v>
      </c>
      <c r="P80" s="29" t="s">
        <v>459</v>
      </c>
      <c r="Q80" s="29" t="s">
        <v>404</v>
      </c>
      <c r="R80" s="140" t="s">
        <v>460</v>
      </c>
    </row>
    <row r="81" spans="1:18" hidden="1">
      <c r="A81" s="139">
        <v>1</v>
      </c>
      <c r="B81" s="30">
        <v>3</v>
      </c>
      <c r="C81" s="1">
        <v>42825</v>
      </c>
      <c r="D81" s="27">
        <v>748988</v>
      </c>
      <c r="E81" s="30">
        <v>2017</v>
      </c>
      <c r="F81" s="30">
        <v>1</v>
      </c>
      <c r="G81" s="1">
        <v>42776</v>
      </c>
      <c r="H81" s="27">
        <v>744978</v>
      </c>
      <c r="I81" s="24">
        <v>272</v>
      </c>
      <c r="J81" s="24">
        <v>-272</v>
      </c>
      <c r="K81" s="30">
        <v>12</v>
      </c>
      <c r="L81" s="30">
        <v>1201</v>
      </c>
      <c r="M81" s="30">
        <v>85</v>
      </c>
      <c r="N81" s="30">
        <v>0</v>
      </c>
      <c r="O81" s="30">
        <v>14574</v>
      </c>
      <c r="P81" s="29" t="s">
        <v>459</v>
      </c>
      <c r="Q81" s="29" t="s">
        <v>404</v>
      </c>
      <c r="R81" s="140" t="s">
        <v>460</v>
      </c>
    </row>
    <row r="82" spans="1:18">
      <c r="A82" s="139">
        <v>2</v>
      </c>
      <c r="B82" s="30">
        <v>4</v>
      </c>
      <c r="C82" s="1">
        <v>42832</v>
      </c>
      <c r="D82" s="27">
        <v>755072</v>
      </c>
      <c r="E82" s="30">
        <v>2016</v>
      </c>
      <c r="F82" s="30">
        <v>4</v>
      </c>
      <c r="G82" s="1">
        <v>42727</v>
      </c>
      <c r="H82" s="27">
        <v>738354</v>
      </c>
      <c r="I82" s="24">
        <v>7000</v>
      </c>
      <c r="J82" s="24">
        <v>-7000</v>
      </c>
      <c r="K82" s="30">
        <v>991</v>
      </c>
      <c r="L82" s="30">
        <v>72333</v>
      </c>
      <c r="M82" s="30">
        <v>55</v>
      </c>
      <c r="N82" s="30">
        <v>1</v>
      </c>
      <c r="O82" s="30">
        <v>1196704</v>
      </c>
      <c r="P82" s="29" t="s">
        <v>470</v>
      </c>
      <c r="Q82" s="29" t="s">
        <v>431</v>
      </c>
      <c r="R82" s="140" t="s">
        <v>471</v>
      </c>
    </row>
    <row r="83" spans="1:18">
      <c r="A83" s="139">
        <v>2</v>
      </c>
      <c r="B83" s="30">
        <v>4</v>
      </c>
      <c r="C83" s="1">
        <v>42832</v>
      </c>
      <c r="D83" s="27">
        <v>755072</v>
      </c>
      <c r="E83" s="30">
        <v>2016</v>
      </c>
      <c r="F83" s="30">
        <v>4</v>
      </c>
      <c r="G83" s="1">
        <v>42727</v>
      </c>
      <c r="H83" s="27">
        <v>738354</v>
      </c>
      <c r="I83" s="24">
        <v>987</v>
      </c>
      <c r="J83" s="24">
        <v>-910</v>
      </c>
      <c r="K83" s="30">
        <v>991</v>
      </c>
      <c r="L83" s="30">
        <v>72333</v>
      </c>
      <c r="M83" s="30">
        <v>85</v>
      </c>
      <c r="N83" s="30">
        <v>2</v>
      </c>
      <c r="O83" s="30">
        <v>1196704</v>
      </c>
      <c r="P83" s="29" t="s">
        <v>470</v>
      </c>
      <c r="Q83" s="29" t="s">
        <v>431</v>
      </c>
      <c r="R83" s="140" t="s">
        <v>471</v>
      </c>
    </row>
    <row r="84" spans="1:18" hidden="1">
      <c r="A84" s="139">
        <v>2</v>
      </c>
      <c r="B84" s="30">
        <v>4</v>
      </c>
      <c r="C84" s="1">
        <v>42839</v>
      </c>
      <c r="D84" s="27">
        <v>757568</v>
      </c>
      <c r="E84" s="30">
        <v>2017</v>
      </c>
      <c r="F84" s="30">
        <v>2</v>
      </c>
      <c r="G84" s="1">
        <v>42832</v>
      </c>
      <c r="H84" s="27">
        <v>755063</v>
      </c>
      <c r="I84" s="24">
        <v>50000</v>
      </c>
      <c r="J84" s="24">
        <v>-50000</v>
      </c>
      <c r="K84" s="30">
        <v>991</v>
      </c>
      <c r="L84" s="30">
        <v>24739</v>
      </c>
      <c r="M84" s="30">
        <v>55</v>
      </c>
      <c r="N84" s="30">
        <v>1</v>
      </c>
      <c r="O84" s="30">
        <v>304842</v>
      </c>
      <c r="P84" s="29" t="s">
        <v>483</v>
      </c>
      <c r="Q84" s="29" t="s">
        <v>457</v>
      </c>
      <c r="R84" s="140" t="s">
        <v>384</v>
      </c>
    </row>
    <row r="85" spans="1:18" hidden="1">
      <c r="A85" s="139">
        <v>2</v>
      </c>
      <c r="B85" s="30">
        <v>4</v>
      </c>
      <c r="C85" s="1">
        <v>42839</v>
      </c>
      <c r="D85" s="27">
        <v>757568</v>
      </c>
      <c r="E85" s="30">
        <v>2017</v>
      </c>
      <c r="F85" s="30">
        <v>2</v>
      </c>
      <c r="G85" s="1">
        <v>42832</v>
      </c>
      <c r="H85" s="27">
        <v>755063</v>
      </c>
      <c r="I85" s="24">
        <v>9086</v>
      </c>
      <c r="J85" s="24">
        <v>-6500</v>
      </c>
      <c r="K85" s="30">
        <v>991</v>
      </c>
      <c r="L85" s="30">
        <v>24739</v>
      </c>
      <c r="M85" s="30">
        <v>85</v>
      </c>
      <c r="N85" s="30">
        <v>2</v>
      </c>
      <c r="O85" s="30">
        <v>304842</v>
      </c>
      <c r="P85" s="29" t="s">
        <v>483</v>
      </c>
      <c r="Q85" s="29" t="s">
        <v>457</v>
      </c>
      <c r="R85" s="140" t="s">
        <v>384</v>
      </c>
    </row>
    <row r="86" spans="1:18">
      <c r="A86" s="139">
        <v>2</v>
      </c>
      <c r="B86" s="30">
        <v>4</v>
      </c>
      <c r="C86" s="1">
        <v>42839</v>
      </c>
      <c r="D86" s="27">
        <v>757558</v>
      </c>
      <c r="E86" s="30">
        <v>2016</v>
      </c>
      <c r="F86" s="30">
        <v>4</v>
      </c>
      <c r="G86" s="1">
        <v>42702</v>
      </c>
      <c r="H86" s="27">
        <v>732729</v>
      </c>
      <c r="I86" s="24">
        <v>20000</v>
      </c>
      <c r="J86" s="24">
        <v>-20000</v>
      </c>
      <c r="K86" s="30">
        <v>991</v>
      </c>
      <c r="L86" s="30">
        <v>36197</v>
      </c>
      <c r="M86" s="30">
        <v>55</v>
      </c>
      <c r="N86" s="30">
        <v>1</v>
      </c>
      <c r="O86" s="30">
        <v>560223</v>
      </c>
      <c r="P86" s="29" t="s">
        <v>472</v>
      </c>
      <c r="Q86" s="29" t="s">
        <v>473</v>
      </c>
      <c r="R86" s="140" t="s">
        <v>474</v>
      </c>
    </row>
    <row r="87" spans="1:18">
      <c r="A87" s="139">
        <v>2</v>
      </c>
      <c r="B87" s="30">
        <v>4</v>
      </c>
      <c r="C87" s="1">
        <v>42839</v>
      </c>
      <c r="D87" s="27">
        <v>757558</v>
      </c>
      <c r="E87" s="30">
        <v>2016</v>
      </c>
      <c r="F87" s="30">
        <v>4</v>
      </c>
      <c r="G87" s="1">
        <v>42702</v>
      </c>
      <c r="H87" s="27">
        <v>732729</v>
      </c>
      <c r="I87" s="24">
        <v>6397</v>
      </c>
      <c r="J87" s="24">
        <v>-2600</v>
      </c>
      <c r="K87" s="30">
        <v>991</v>
      </c>
      <c r="L87" s="30">
        <v>36197</v>
      </c>
      <c r="M87" s="30">
        <v>85</v>
      </c>
      <c r="N87" s="30">
        <v>2</v>
      </c>
      <c r="O87" s="30">
        <v>560223</v>
      </c>
      <c r="P87" s="29" t="s">
        <v>472</v>
      </c>
      <c r="Q87" s="29" t="s">
        <v>473</v>
      </c>
      <c r="R87" s="140" t="s">
        <v>474</v>
      </c>
    </row>
    <row r="88" spans="1:18">
      <c r="A88" s="139">
        <v>2</v>
      </c>
      <c r="B88" s="30">
        <v>4</v>
      </c>
      <c r="C88" s="1">
        <v>42839</v>
      </c>
      <c r="D88" s="27">
        <v>757559</v>
      </c>
      <c r="E88" s="30">
        <v>2016</v>
      </c>
      <c r="F88" s="30">
        <v>4</v>
      </c>
      <c r="G88" s="1">
        <v>42716</v>
      </c>
      <c r="H88" s="27">
        <v>735484</v>
      </c>
      <c r="I88" s="24">
        <v>10000</v>
      </c>
      <c r="J88" s="24">
        <v>-10000</v>
      </c>
      <c r="K88" s="30">
        <v>991</v>
      </c>
      <c r="L88" s="30">
        <v>36195</v>
      </c>
      <c r="M88" s="30">
        <v>55</v>
      </c>
      <c r="N88" s="30">
        <v>1</v>
      </c>
      <c r="O88" s="30">
        <v>560224</v>
      </c>
      <c r="P88" s="29" t="s">
        <v>472</v>
      </c>
      <c r="Q88" s="29" t="s">
        <v>475</v>
      </c>
      <c r="R88" s="140" t="s">
        <v>396</v>
      </c>
    </row>
    <row r="89" spans="1:18">
      <c r="A89" s="139">
        <v>2</v>
      </c>
      <c r="B89" s="30">
        <v>4</v>
      </c>
      <c r="C89" s="1">
        <v>42839</v>
      </c>
      <c r="D89" s="27">
        <v>757559</v>
      </c>
      <c r="E89" s="30">
        <v>2016</v>
      </c>
      <c r="F89" s="30">
        <v>4</v>
      </c>
      <c r="G89" s="1">
        <v>42716</v>
      </c>
      <c r="H89" s="27">
        <v>735484</v>
      </c>
      <c r="I89" s="24">
        <v>3281</v>
      </c>
      <c r="J89" s="24">
        <v>-1300</v>
      </c>
      <c r="K89" s="30">
        <v>991</v>
      </c>
      <c r="L89" s="30">
        <v>36195</v>
      </c>
      <c r="M89" s="30">
        <v>85</v>
      </c>
      <c r="N89" s="30">
        <v>2</v>
      </c>
      <c r="O89" s="30">
        <v>560224</v>
      </c>
      <c r="P89" s="29" t="s">
        <v>472</v>
      </c>
      <c r="Q89" s="29" t="s">
        <v>475</v>
      </c>
      <c r="R89" s="140" t="s">
        <v>396</v>
      </c>
    </row>
    <row r="90" spans="1:18" hidden="1">
      <c r="A90" s="139">
        <v>2</v>
      </c>
      <c r="B90" s="30">
        <v>4</v>
      </c>
      <c r="C90" s="1">
        <v>42839</v>
      </c>
      <c r="D90" s="27">
        <v>757562</v>
      </c>
      <c r="E90" s="30">
        <v>2017</v>
      </c>
      <c r="F90" s="30">
        <v>2</v>
      </c>
      <c r="G90" s="1">
        <v>42832</v>
      </c>
      <c r="H90" s="27">
        <v>755034</v>
      </c>
      <c r="I90" s="24">
        <v>51000</v>
      </c>
      <c r="J90" s="24">
        <v>-51000</v>
      </c>
      <c r="K90" s="30">
        <v>991</v>
      </c>
      <c r="L90" s="30">
        <v>23578</v>
      </c>
      <c r="M90" s="30">
        <v>55</v>
      </c>
      <c r="N90" s="30">
        <v>1</v>
      </c>
      <c r="O90" s="30">
        <v>300685</v>
      </c>
      <c r="P90" s="29" t="s">
        <v>476</v>
      </c>
      <c r="Q90" s="29" t="s">
        <v>477</v>
      </c>
      <c r="R90" s="140" t="s">
        <v>387</v>
      </c>
    </row>
    <row r="91" spans="1:18" hidden="1">
      <c r="A91" s="139">
        <v>2</v>
      </c>
      <c r="B91" s="30">
        <v>4</v>
      </c>
      <c r="C91" s="1">
        <v>42839</v>
      </c>
      <c r="D91" s="27">
        <v>757562</v>
      </c>
      <c r="E91" s="30">
        <v>2017</v>
      </c>
      <c r="F91" s="30">
        <v>2</v>
      </c>
      <c r="G91" s="1">
        <v>42832</v>
      </c>
      <c r="H91" s="27">
        <v>755034</v>
      </c>
      <c r="I91" s="24">
        <v>9348</v>
      </c>
      <c r="J91" s="24">
        <v>-6630</v>
      </c>
      <c r="K91" s="30">
        <v>991</v>
      </c>
      <c r="L91" s="30">
        <v>23578</v>
      </c>
      <c r="M91" s="30">
        <v>85</v>
      </c>
      <c r="N91" s="30">
        <v>2</v>
      </c>
      <c r="O91" s="30">
        <v>300685</v>
      </c>
      <c r="P91" s="29" t="s">
        <v>476</v>
      </c>
      <c r="Q91" s="29" t="s">
        <v>477</v>
      </c>
      <c r="R91" s="140" t="s">
        <v>387</v>
      </c>
    </row>
    <row r="92" spans="1:18" hidden="1">
      <c r="A92" s="139">
        <v>2</v>
      </c>
      <c r="B92" s="30">
        <v>4</v>
      </c>
      <c r="C92" s="1">
        <v>42839</v>
      </c>
      <c r="D92" s="27">
        <v>757567</v>
      </c>
      <c r="E92" s="30">
        <v>2015</v>
      </c>
      <c r="F92" s="30">
        <v>3</v>
      </c>
      <c r="G92" s="1">
        <v>42216</v>
      </c>
      <c r="H92" s="27">
        <v>640071</v>
      </c>
      <c r="I92" s="24">
        <v>24000</v>
      </c>
      <c r="J92" s="24">
        <v>-24000</v>
      </c>
      <c r="K92" s="30">
        <v>991</v>
      </c>
      <c r="L92" s="30">
        <v>50993</v>
      </c>
      <c r="M92" s="30">
        <v>55</v>
      </c>
      <c r="N92" s="30">
        <v>1</v>
      </c>
      <c r="O92" s="30">
        <v>797736</v>
      </c>
      <c r="P92" s="29" t="s">
        <v>484</v>
      </c>
      <c r="Q92" s="29" t="s">
        <v>431</v>
      </c>
      <c r="R92" s="140" t="s">
        <v>485</v>
      </c>
    </row>
    <row r="93" spans="1:18" hidden="1">
      <c r="A93" s="139">
        <v>2</v>
      </c>
      <c r="B93" s="30">
        <v>4</v>
      </c>
      <c r="C93" s="1">
        <v>42839</v>
      </c>
      <c r="D93" s="27">
        <v>757567</v>
      </c>
      <c r="E93" s="30">
        <v>2015</v>
      </c>
      <c r="F93" s="30">
        <v>3</v>
      </c>
      <c r="G93" s="1">
        <v>42216</v>
      </c>
      <c r="H93" s="27">
        <v>640071</v>
      </c>
      <c r="I93" s="24">
        <v>3319</v>
      </c>
      <c r="J93" s="24">
        <v>-3120</v>
      </c>
      <c r="K93" s="30">
        <v>991</v>
      </c>
      <c r="L93" s="30">
        <v>50993</v>
      </c>
      <c r="M93" s="30">
        <v>85</v>
      </c>
      <c r="N93" s="30">
        <v>2</v>
      </c>
      <c r="O93" s="30">
        <v>797736</v>
      </c>
      <c r="P93" s="29" t="s">
        <v>484</v>
      </c>
      <c r="Q93" s="29" t="s">
        <v>431</v>
      </c>
      <c r="R93" s="140" t="s">
        <v>485</v>
      </c>
    </row>
    <row r="94" spans="1:18" hidden="1">
      <c r="A94" s="139">
        <v>2</v>
      </c>
      <c r="B94" s="30">
        <v>4</v>
      </c>
      <c r="C94" s="1">
        <v>42839</v>
      </c>
      <c r="D94" s="27">
        <v>757560</v>
      </c>
      <c r="E94" s="30">
        <v>2017</v>
      </c>
      <c r="F94" s="30">
        <v>2</v>
      </c>
      <c r="G94" s="1">
        <v>42832</v>
      </c>
      <c r="H94" s="27">
        <v>755031</v>
      </c>
      <c r="I94" s="24">
        <v>51000</v>
      </c>
      <c r="J94" s="24">
        <v>-51000</v>
      </c>
      <c r="K94" s="30">
        <v>991</v>
      </c>
      <c r="L94" s="30">
        <v>7462</v>
      </c>
      <c r="M94" s="30">
        <v>55</v>
      </c>
      <c r="N94" s="30">
        <v>1</v>
      </c>
      <c r="O94" s="30">
        <v>185082</v>
      </c>
      <c r="P94" s="29" t="s">
        <v>478</v>
      </c>
      <c r="Q94" s="29" t="s">
        <v>475</v>
      </c>
      <c r="R94" s="140" t="s">
        <v>479</v>
      </c>
    </row>
    <row r="95" spans="1:18" hidden="1">
      <c r="A95" s="139">
        <v>2</v>
      </c>
      <c r="B95" s="30">
        <v>4</v>
      </c>
      <c r="C95" s="1">
        <v>42839</v>
      </c>
      <c r="D95" s="27">
        <v>757560</v>
      </c>
      <c r="E95" s="30">
        <v>2017</v>
      </c>
      <c r="F95" s="30">
        <v>2</v>
      </c>
      <c r="G95" s="1">
        <v>42832</v>
      </c>
      <c r="H95" s="27">
        <v>755031</v>
      </c>
      <c r="I95" s="24">
        <v>10727</v>
      </c>
      <c r="J95" s="24">
        <v>-6630</v>
      </c>
      <c r="K95" s="30">
        <v>991</v>
      </c>
      <c r="L95" s="30">
        <v>7462</v>
      </c>
      <c r="M95" s="30">
        <v>85</v>
      </c>
      <c r="N95" s="30">
        <v>2</v>
      </c>
      <c r="O95" s="30">
        <v>185082</v>
      </c>
      <c r="P95" s="29" t="s">
        <v>478</v>
      </c>
      <c r="Q95" s="29" t="s">
        <v>475</v>
      </c>
      <c r="R95" s="140" t="s">
        <v>479</v>
      </c>
    </row>
    <row r="96" spans="1:18" hidden="1">
      <c r="A96" s="139">
        <v>2</v>
      </c>
      <c r="B96" s="30">
        <v>4</v>
      </c>
      <c r="C96" s="1">
        <v>42839</v>
      </c>
      <c r="D96" s="27">
        <v>757579</v>
      </c>
      <c r="E96" s="30">
        <v>2017</v>
      </c>
      <c r="F96" s="30">
        <v>2</v>
      </c>
      <c r="G96" s="1">
        <v>42832</v>
      </c>
      <c r="H96" s="27">
        <v>755079</v>
      </c>
      <c r="I96" s="24">
        <v>5500</v>
      </c>
      <c r="J96" s="24">
        <v>-5500</v>
      </c>
      <c r="K96" s="30">
        <v>991</v>
      </c>
      <c r="L96" s="30">
        <v>60575</v>
      </c>
      <c r="M96" s="30">
        <v>55</v>
      </c>
      <c r="N96" s="30">
        <v>1</v>
      </c>
      <c r="O96" s="30">
        <v>1003384</v>
      </c>
      <c r="P96" s="29" t="s">
        <v>480</v>
      </c>
      <c r="Q96" s="29" t="s">
        <v>481</v>
      </c>
      <c r="R96" s="140" t="s">
        <v>482</v>
      </c>
    </row>
    <row r="97" spans="1:18" hidden="1">
      <c r="A97" s="139">
        <v>2</v>
      </c>
      <c r="B97" s="30">
        <v>4</v>
      </c>
      <c r="C97" s="1">
        <v>42839</v>
      </c>
      <c r="D97" s="27">
        <v>757579</v>
      </c>
      <c r="E97" s="30">
        <v>2017</v>
      </c>
      <c r="F97" s="30">
        <v>2</v>
      </c>
      <c r="G97" s="1">
        <v>42832</v>
      </c>
      <c r="H97" s="27">
        <v>755079</v>
      </c>
      <c r="I97" s="24">
        <v>979</v>
      </c>
      <c r="J97" s="24">
        <v>-715</v>
      </c>
      <c r="K97" s="30">
        <v>991</v>
      </c>
      <c r="L97" s="30">
        <v>60575</v>
      </c>
      <c r="M97" s="30">
        <v>85</v>
      </c>
      <c r="N97" s="30">
        <v>2</v>
      </c>
      <c r="O97" s="30">
        <v>1003384</v>
      </c>
      <c r="P97" s="29" t="s">
        <v>480</v>
      </c>
      <c r="Q97" s="29" t="s">
        <v>481</v>
      </c>
      <c r="R97" s="140" t="s">
        <v>482</v>
      </c>
    </row>
    <row r="98" spans="1:18" hidden="1">
      <c r="A98" s="139">
        <v>2</v>
      </c>
      <c r="B98" s="30">
        <v>4</v>
      </c>
      <c r="C98" s="1">
        <v>42839</v>
      </c>
      <c r="D98" s="27">
        <v>757580</v>
      </c>
      <c r="E98" s="30">
        <v>2017</v>
      </c>
      <c r="F98" s="30">
        <v>2</v>
      </c>
      <c r="G98" s="1">
        <v>42832</v>
      </c>
      <c r="H98" s="27">
        <v>755080</v>
      </c>
      <c r="I98" s="24">
        <v>6500</v>
      </c>
      <c r="J98" s="24">
        <v>-6500</v>
      </c>
      <c r="K98" s="30">
        <v>991</v>
      </c>
      <c r="L98" s="30">
        <v>62444</v>
      </c>
      <c r="M98" s="30">
        <v>55</v>
      </c>
      <c r="N98" s="30">
        <v>1</v>
      </c>
      <c r="O98" s="30">
        <v>1006423</v>
      </c>
      <c r="P98" s="29" t="s">
        <v>480</v>
      </c>
      <c r="Q98" s="29" t="s">
        <v>481</v>
      </c>
      <c r="R98" s="140" t="s">
        <v>482</v>
      </c>
    </row>
    <row r="99" spans="1:18" hidden="1">
      <c r="A99" s="139">
        <v>2</v>
      </c>
      <c r="B99" s="30">
        <v>4</v>
      </c>
      <c r="C99" s="1">
        <v>42839</v>
      </c>
      <c r="D99" s="27">
        <v>757580</v>
      </c>
      <c r="E99" s="30">
        <v>2017</v>
      </c>
      <c r="F99" s="30">
        <v>2</v>
      </c>
      <c r="G99" s="1">
        <v>42832</v>
      </c>
      <c r="H99" s="27">
        <v>755080</v>
      </c>
      <c r="I99" s="24">
        <v>1131</v>
      </c>
      <c r="J99" s="24">
        <v>-845</v>
      </c>
      <c r="K99" s="30">
        <v>991</v>
      </c>
      <c r="L99" s="30">
        <v>62444</v>
      </c>
      <c r="M99" s="30">
        <v>85</v>
      </c>
      <c r="N99" s="30">
        <v>2</v>
      </c>
      <c r="O99" s="30">
        <v>1006423</v>
      </c>
      <c r="P99" s="29" t="s">
        <v>480</v>
      </c>
      <c r="Q99" s="29" t="s">
        <v>481</v>
      </c>
      <c r="R99" s="140" t="s">
        <v>482</v>
      </c>
    </row>
    <row r="100" spans="1:18" hidden="1">
      <c r="A100" s="139">
        <v>2</v>
      </c>
      <c r="B100" s="30">
        <v>4</v>
      </c>
      <c r="C100" s="1">
        <v>42846</v>
      </c>
      <c r="D100" s="27">
        <v>759158</v>
      </c>
      <c r="E100" s="30">
        <v>2017</v>
      </c>
      <c r="F100" s="30">
        <v>2</v>
      </c>
      <c r="G100" s="1">
        <v>42839</v>
      </c>
      <c r="H100" s="27">
        <v>757549</v>
      </c>
      <c r="I100" s="24">
        <v>26000</v>
      </c>
      <c r="J100" s="24">
        <v>-25500</v>
      </c>
      <c r="K100" s="30">
        <v>991</v>
      </c>
      <c r="L100" s="30">
        <v>49876</v>
      </c>
      <c r="M100" s="30">
        <v>55</v>
      </c>
      <c r="N100" s="30">
        <v>1</v>
      </c>
      <c r="O100" s="30">
        <v>793618</v>
      </c>
      <c r="P100" s="29" t="s">
        <v>486</v>
      </c>
      <c r="Q100" s="29" t="s">
        <v>487</v>
      </c>
      <c r="R100" s="140" t="s">
        <v>471</v>
      </c>
    </row>
    <row r="101" spans="1:18" hidden="1">
      <c r="A101" s="139">
        <v>2</v>
      </c>
      <c r="B101" s="30">
        <v>4</v>
      </c>
      <c r="C101" s="1">
        <v>42846</v>
      </c>
      <c r="D101" s="27">
        <v>759158</v>
      </c>
      <c r="E101" s="30">
        <v>2017</v>
      </c>
      <c r="F101" s="30">
        <v>2</v>
      </c>
      <c r="G101" s="1">
        <v>42839</v>
      </c>
      <c r="H101" s="27">
        <v>757549</v>
      </c>
      <c r="I101" s="24">
        <v>4436</v>
      </c>
      <c r="J101" s="24">
        <v>-3315</v>
      </c>
      <c r="K101" s="30">
        <v>991</v>
      </c>
      <c r="L101" s="30">
        <v>49876</v>
      </c>
      <c r="M101" s="30">
        <v>85</v>
      </c>
      <c r="N101" s="30">
        <v>2</v>
      </c>
      <c r="O101" s="30">
        <v>793618</v>
      </c>
      <c r="P101" s="29" t="s">
        <v>486</v>
      </c>
      <c r="Q101" s="29" t="s">
        <v>487</v>
      </c>
      <c r="R101" s="140" t="s">
        <v>471</v>
      </c>
    </row>
    <row r="102" spans="1:18" hidden="1">
      <c r="A102" s="139">
        <v>2</v>
      </c>
      <c r="B102" s="30">
        <v>4</v>
      </c>
      <c r="C102" s="1">
        <v>42846</v>
      </c>
      <c r="D102" s="27">
        <v>759159</v>
      </c>
      <c r="E102" s="30">
        <v>2017</v>
      </c>
      <c r="F102" s="30">
        <v>2</v>
      </c>
      <c r="G102" s="1">
        <v>42839</v>
      </c>
      <c r="H102" s="27">
        <v>757550</v>
      </c>
      <c r="I102" s="24">
        <v>30500</v>
      </c>
      <c r="J102" s="24">
        <v>-30000</v>
      </c>
      <c r="K102" s="30">
        <v>991</v>
      </c>
      <c r="L102" s="30">
        <v>49875</v>
      </c>
      <c r="M102" s="30">
        <v>55</v>
      </c>
      <c r="N102" s="30">
        <v>1</v>
      </c>
      <c r="O102" s="30">
        <v>793630</v>
      </c>
      <c r="P102" s="29" t="s">
        <v>488</v>
      </c>
      <c r="Q102" s="29" t="s">
        <v>383</v>
      </c>
      <c r="R102" s="140" t="s">
        <v>489</v>
      </c>
    </row>
    <row r="103" spans="1:18" hidden="1">
      <c r="A103" s="139">
        <v>2</v>
      </c>
      <c r="B103" s="30">
        <v>4</v>
      </c>
      <c r="C103" s="1">
        <v>42846</v>
      </c>
      <c r="D103" s="27">
        <v>759159</v>
      </c>
      <c r="E103" s="30">
        <v>2017</v>
      </c>
      <c r="F103" s="30">
        <v>2</v>
      </c>
      <c r="G103" s="1">
        <v>42839</v>
      </c>
      <c r="H103" s="27">
        <v>757550</v>
      </c>
      <c r="I103" s="24">
        <v>5021</v>
      </c>
      <c r="J103" s="24">
        <v>-3900</v>
      </c>
      <c r="K103" s="30">
        <v>991</v>
      </c>
      <c r="L103" s="30">
        <v>49875</v>
      </c>
      <c r="M103" s="30">
        <v>85</v>
      </c>
      <c r="N103" s="30">
        <v>2</v>
      </c>
      <c r="O103" s="30">
        <v>793630</v>
      </c>
      <c r="P103" s="29" t="s">
        <v>488</v>
      </c>
      <c r="Q103" s="29" t="s">
        <v>383</v>
      </c>
      <c r="R103" s="140" t="s">
        <v>489</v>
      </c>
    </row>
    <row r="104" spans="1:18" hidden="1">
      <c r="A104" s="139">
        <v>2</v>
      </c>
      <c r="B104" s="30">
        <v>4</v>
      </c>
      <c r="C104" s="1">
        <v>42846</v>
      </c>
      <c r="D104" s="27">
        <v>759161</v>
      </c>
      <c r="E104" s="30">
        <v>2017</v>
      </c>
      <c r="F104" s="30">
        <v>2</v>
      </c>
      <c r="G104" s="1">
        <v>42832</v>
      </c>
      <c r="H104" s="27">
        <v>755029</v>
      </c>
      <c r="I104" s="24">
        <v>121000</v>
      </c>
      <c r="J104" s="24">
        <v>-109000</v>
      </c>
      <c r="K104" s="30">
        <v>991</v>
      </c>
      <c r="L104" s="30">
        <v>2365</v>
      </c>
      <c r="M104" s="30">
        <v>55</v>
      </c>
      <c r="N104" s="30">
        <v>1</v>
      </c>
      <c r="O104" s="30">
        <v>140245</v>
      </c>
      <c r="P104" s="29" t="s">
        <v>490</v>
      </c>
      <c r="Q104" s="29" t="s">
        <v>462</v>
      </c>
      <c r="R104" s="140" t="s">
        <v>491</v>
      </c>
    </row>
    <row r="105" spans="1:18" hidden="1">
      <c r="A105" s="139">
        <v>2</v>
      </c>
      <c r="B105" s="30">
        <v>4</v>
      </c>
      <c r="C105" s="1">
        <v>42846</v>
      </c>
      <c r="D105" s="27">
        <v>759161</v>
      </c>
      <c r="E105" s="30">
        <v>2017</v>
      </c>
      <c r="F105" s="30">
        <v>2</v>
      </c>
      <c r="G105" s="1">
        <v>42832</v>
      </c>
      <c r="H105" s="27">
        <v>755029</v>
      </c>
      <c r="I105" s="24">
        <v>26711</v>
      </c>
      <c r="J105" s="24">
        <v>-14170</v>
      </c>
      <c r="K105" s="30">
        <v>991</v>
      </c>
      <c r="L105" s="30">
        <v>2365</v>
      </c>
      <c r="M105" s="30">
        <v>85</v>
      </c>
      <c r="N105" s="30">
        <v>2</v>
      </c>
      <c r="O105" s="30">
        <v>140245</v>
      </c>
      <c r="P105" s="29" t="s">
        <v>490</v>
      </c>
      <c r="Q105" s="29" t="s">
        <v>462</v>
      </c>
      <c r="R105" s="140" t="s">
        <v>491</v>
      </c>
    </row>
    <row r="106" spans="1:18">
      <c r="A106" s="139">
        <v>2</v>
      </c>
      <c r="B106" s="30">
        <v>4</v>
      </c>
      <c r="C106" s="1">
        <v>42853</v>
      </c>
      <c r="D106" s="27">
        <v>759641</v>
      </c>
      <c r="E106" s="30">
        <v>2016</v>
      </c>
      <c r="F106" s="30">
        <v>2</v>
      </c>
      <c r="G106" s="1">
        <v>42461</v>
      </c>
      <c r="H106" s="27">
        <v>687830</v>
      </c>
      <c r="I106" s="24">
        <v>65000</v>
      </c>
      <c r="J106" s="24">
        <v>-65000</v>
      </c>
      <c r="K106" s="30">
        <v>991</v>
      </c>
      <c r="L106" s="30">
        <v>34191</v>
      </c>
      <c r="M106" s="30">
        <v>55</v>
      </c>
      <c r="N106" s="30">
        <v>1</v>
      </c>
      <c r="O106" s="30">
        <v>500951</v>
      </c>
      <c r="P106" s="29" t="s">
        <v>492</v>
      </c>
      <c r="Q106" s="29" t="s">
        <v>493</v>
      </c>
      <c r="R106" s="140" t="s">
        <v>471</v>
      </c>
    </row>
    <row r="107" spans="1:18">
      <c r="A107" s="139">
        <v>2</v>
      </c>
      <c r="B107" s="30">
        <v>4</v>
      </c>
      <c r="C107" s="1">
        <v>42853</v>
      </c>
      <c r="D107" s="27">
        <v>759641</v>
      </c>
      <c r="E107" s="30">
        <v>2016</v>
      </c>
      <c r="F107" s="30">
        <v>2</v>
      </c>
      <c r="G107" s="1">
        <v>42461</v>
      </c>
      <c r="H107" s="27">
        <v>687830</v>
      </c>
      <c r="I107" s="24">
        <v>10443</v>
      </c>
      <c r="J107" s="24">
        <v>-8450</v>
      </c>
      <c r="K107" s="30">
        <v>991</v>
      </c>
      <c r="L107" s="30">
        <v>34191</v>
      </c>
      <c r="M107" s="30">
        <v>85</v>
      </c>
      <c r="N107" s="30">
        <v>2</v>
      </c>
      <c r="O107" s="30">
        <v>500951</v>
      </c>
      <c r="P107" s="29" t="s">
        <v>492</v>
      </c>
      <c r="Q107" s="29" t="s">
        <v>493</v>
      </c>
      <c r="R107" s="140" t="s">
        <v>471</v>
      </c>
    </row>
    <row r="108" spans="1:18" hidden="1">
      <c r="A108" s="139">
        <v>2</v>
      </c>
      <c r="B108" s="30">
        <v>4</v>
      </c>
      <c r="C108" s="1">
        <v>42855</v>
      </c>
      <c r="D108" s="27">
        <v>754786</v>
      </c>
      <c r="E108" s="30">
        <v>2017</v>
      </c>
      <c r="F108" s="30">
        <v>1</v>
      </c>
      <c r="G108" s="1">
        <v>42776</v>
      </c>
      <c r="H108" s="27">
        <v>744978</v>
      </c>
      <c r="I108" s="24">
        <v>2557.89</v>
      </c>
      <c r="J108" s="24">
        <v>-2557.89</v>
      </c>
      <c r="K108" s="30">
        <v>65</v>
      </c>
      <c r="L108" s="30">
        <v>1104</v>
      </c>
      <c r="M108" s="30">
        <v>60</v>
      </c>
      <c r="N108" s="30">
        <v>0</v>
      </c>
      <c r="O108" s="30">
        <v>39923</v>
      </c>
      <c r="P108" s="29" t="s">
        <v>500</v>
      </c>
      <c r="Q108" s="29" t="s">
        <v>501</v>
      </c>
      <c r="R108" s="140" t="s">
        <v>502</v>
      </c>
    </row>
    <row r="109" spans="1:18" hidden="1">
      <c r="A109" s="139">
        <v>2</v>
      </c>
      <c r="B109" s="30">
        <v>4</v>
      </c>
      <c r="C109" s="1">
        <v>42855</v>
      </c>
      <c r="D109" s="27">
        <v>754786</v>
      </c>
      <c r="E109" s="30">
        <v>2017</v>
      </c>
      <c r="F109" s="30">
        <v>1</v>
      </c>
      <c r="G109" s="1">
        <v>42776</v>
      </c>
      <c r="H109" s="27">
        <v>744978</v>
      </c>
      <c r="I109" s="24">
        <v>332</v>
      </c>
      <c r="J109" s="24">
        <v>-332</v>
      </c>
      <c r="K109" s="30">
        <v>65</v>
      </c>
      <c r="L109" s="30">
        <v>1104</v>
      </c>
      <c r="M109" s="30">
        <v>85</v>
      </c>
      <c r="N109" s="30">
        <v>0</v>
      </c>
      <c r="O109" s="30">
        <v>39923</v>
      </c>
      <c r="P109" s="29" t="s">
        <v>500</v>
      </c>
      <c r="Q109" s="29" t="s">
        <v>501</v>
      </c>
      <c r="R109" s="140" t="s">
        <v>502</v>
      </c>
    </row>
    <row r="110" spans="1:18" hidden="1">
      <c r="A110" s="139">
        <v>2</v>
      </c>
      <c r="B110" s="30">
        <v>4</v>
      </c>
      <c r="C110" s="1">
        <v>42855</v>
      </c>
      <c r="D110" s="27">
        <v>754786</v>
      </c>
      <c r="E110" s="30">
        <v>2017</v>
      </c>
      <c r="F110" s="30">
        <v>1</v>
      </c>
      <c r="G110" s="1">
        <v>42804</v>
      </c>
      <c r="H110" s="27">
        <v>749816</v>
      </c>
      <c r="I110" s="24">
        <v>3244.3</v>
      </c>
      <c r="J110" s="24">
        <v>-3244.3</v>
      </c>
      <c r="K110" s="30">
        <v>101</v>
      </c>
      <c r="L110" s="30">
        <v>506</v>
      </c>
      <c r="M110" s="30">
        <v>60</v>
      </c>
      <c r="N110" s="30">
        <v>0</v>
      </c>
      <c r="O110" s="30">
        <v>152024</v>
      </c>
      <c r="P110" s="29" t="s">
        <v>503</v>
      </c>
      <c r="Q110" s="29" t="s">
        <v>413</v>
      </c>
      <c r="R110" s="140" t="s">
        <v>504</v>
      </c>
    </row>
    <row r="111" spans="1:18" hidden="1">
      <c r="A111" s="139">
        <v>2</v>
      </c>
      <c r="B111" s="30">
        <v>4</v>
      </c>
      <c r="C111" s="1">
        <v>42855</v>
      </c>
      <c r="D111" s="27">
        <v>754786</v>
      </c>
      <c r="E111" s="30">
        <v>2017</v>
      </c>
      <c r="F111" s="30">
        <v>1</v>
      </c>
      <c r="G111" s="1">
        <v>42804</v>
      </c>
      <c r="H111" s="27">
        <v>749816</v>
      </c>
      <c r="I111" s="24">
        <v>421</v>
      </c>
      <c r="J111" s="24">
        <v>-421</v>
      </c>
      <c r="K111" s="30">
        <v>101</v>
      </c>
      <c r="L111" s="30">
        <v>506</v>
      </c>
      <c r="M111" s="30">
        <v>85</v>
      </c>
      <c r="N111" s="30">
        <v>0</v>
      </c>
      <c r="O111" s="30">
        <v>152024</v>
      </c>
      <c r="P111" s="29" t="s">
        <v>503</v>
      </c>
      <c r="Q111" s="29" t="s">
        <v>413</v>
      </c>
      <c r="R111" s="140" t="s">
        <v>504</v>
      </c>
    </row>
    <row r="112" spans="1:18" hidden="1">
      <c r="A112" s="139">
        <v>2</v>
      </c>
      <c r="B112" s="30">
        <v>4</v>
      </c>
      <c r="C112" s="1">
        <v>42855</v>
      </c>
      <c r="D112" s="27">
        <v>754786</v>
      </c>
      <c r="E112" s="30">
        <v>2017</v>
      </c>
      <c r="F112" s="30">
        <v>1</v>
      </c>
      <c r="G112" s="1">
        <v>42804</v>
      </c>
      <c r="H112" s="27">
        <v>749816</v>
      </c>
      <c r="I112" s="24">
        <v>5490.89</v>
      </c>
      <c r="J112" s="24">
        <v>-5490.89</v>
      </c>
      <c r="K112" s="30">
        <v>12</v>
      </c>
      <c r="L112" s="30">
        <v>4067</v>
      </c>
      <c r="M112" s="30">
        <v>60</v>
      </c>
      <c r="N112" s="30">
        <v>0</v>
      </c>
      <c r="O112" s="30">
        <v>41385</v>
      </c>
      <c r="P112" s="29" t="s">
        <v>494</v>
      </c>
      <c r="Q112" s="29" t="s">
        <v>446</v>
      </c>
      <c r="R112" s="140" t="s">
        <v>426</v>
      </c>
    </row>
    <row r="113" spans="1:18" hidden="1">
      <c r="A113" s="139">
        <v>2</v>
      </c>
      <c r="B113" s="30">
        <v>4</v>
      </c>
      <c r="C113" s="1">
        <v>42855</v>
      </c>
      <c r="D113" s="27">
        <v>754786</v>
      </c>
      <c r="E113" s="30">
        <v>2017</v>
      </c>
      <c r="F113" s="30">
        <v>1</v>
      </c>
      <c r="G113" s="1">
        <v>42804</v>
      </c>
      <c r="H113" s="27">
        <v>749816</v>
      </c>
      <c r="I113" s="24">
        <v>713</v>
      </c>
      <c r="J113" s="24">
        <v>-713</v>
      </c>
      <c r="K113" s="30">
        <v>12</v>
      </c>
      <c r="L113" s="30">
        <v>4067</v>
      </c>
      <c r="M113" s="30">
        <v>85</v>
      </c>
      <c r="N113" s="30">
        <v>0</v>
      </c>
      <c r="O113" s="30">
        <v>41385</v>
      </c>
      <c r="P113" s="29" t="s">
        <v>494</v>
      </c>
      <c r="Q113" s="29" t="s">
        <v>446</v>
      </c>
      <c r="R113" s="140" t="s">
        <v>426</v>
      </c>
    </row>
    <row r="114" spans="1:18" hidden="1">
      <c r="A114" s="139">
        <v>2</v>
      </c>
      <c r="B114" s="30">
        <v>4</v>
      </c>
      <c r="C114" s="1">
        <v>42855</v>
      </c>
      <c r="D114" s="27">
        <v>754786</v>
      </c>
      <c r="E114" s="30">
        <v>2017</v>
      </c>
      <c r="F114" s="30">
        <v>1</v>
      </c>
      <c r="G114" s="1">
        <v>42804</v>
      </c>
      <c r="H114" s="27">
        <v>750081</v>
      </c>
      <c r="I114" s="24">
        <v>6650.01</v>
      </c>
      <c r="J114" s="24">
        <v>-6650.01</v>
      </c>
      <c r="K114" s="30">
        <v>9</v>
      </c>
      <c r="L114" s="30">
        <v>33</v>
      </c>
      <c r="M114" s="30">
        <v>60</v>
      </c>
      <c r="N114" s="30">
        <v>0</v>
      </c>
      <c r="O114" s="30">
        <v>7372</v>
      </c>
      <c r="P114" s="29" t="s">
        <v>512</v>
      </c>
      <c r="Q114" s="29" t="s">
        <v>513</v>
      </c>
      <c r="R114" s="140" t="s">
        <v>514</v>
      </c>
    </row>
    <row r="115" spans="1:18" hidden="1">
      <c r="A115" s="139">
        <v>2</v>
      </c>
      <c r="B115" s="30">
        <v>4</v>
      </c>
      <c r="C115" s="1">
        <v>42855</v>
      </c>
      <c r="D115" s="27">
        <v>754786</v>
      </c>
      <c r="E115" s="30">
        <v>2017</v>
      </c>
      <c r="F115" s="30">
        <v>1</v>
      </c>
      <c r="G115" s="1">
        <v>42804</v>
      </c>
      <c r="H115" s="27">
        <v>750081</v>
      </c>
      <c r="I115" s="24">
        <v>865</v>
      </c>
      <c r="J115" s="24">
        <v>-865</v>
      </c>
      <c r="K115" s="30">
        <v>9</v>
      </c>
      <c r="L115" s="30">
        <v>33</v>
      </c>
      <c r="M115" s="30">
        <v>85</v>
      </c>
      <c r="N115" s="30">
        <v>0</v>
      </c>
      <c r="O115" s="30">
        <v>7372</v>
      </c>
      <c r="P115" s="29" t="s">
        <v>512</v>
      </c>
      <c r="Q115" s="29" t="s">
        <v>513</v>
      </c>
      <c r="R115" s="140" t="s">
        <v>514</v>
      </c>
    </row>
    <row r="116" spans="1:18" hidden="1">
      <c r="A116" s="139">
        <v>2</v>
      </c>
      <c r="B116" s="30">
        <v>4</v>
      </c>
      <c r="C116" s="1">
        <v>42855</v>
      </c>
      <c r="D116" s="27">
        <v>754786</v>
      </c>
      <c r="E116" s="30">
        <v>2017</v>
      </c>
      <c r="F116" s="30">
        <v>1</v>
      </c>
      <c r="G116" s="1">
        <v>42745</v>
      </c>
      <c r="H116" s="27">
        <v>740276</v>
      </c>
      <c r="I116" s="24">
        <v>11450.4</v>
      </c>
      <c r="J116" s="24">
        <v>-11450.4</v>
      </c>
      <c r="K116" s="30">
        <v>13</v>
      </c>
      <c r="L116" s="30">
        <v>6272</v>
      </c>
      <c r="M116" s="30">
        <v>60</v>
      </c>
      <c r="N116" s="30">
        <v>0</v>
      </c>
      <c r="O116" s="30">
        <v>316403</v>
      </c>
      <c r="P116" s="29" t="s">
        <v>515</v>
      </c>
      <c r="Q116" s="29" t="s">
        <v>513</v>
      </c>
      <c r="R116" s="140" t="s">
        <v>516</v>
      </c>
    </row>
    <row r="117" spans="1:18" hidden="1">
      <c r="A117" s="139">
        <v>2</v>
      </c>
      <c r="B117" s="30">
        <v>4</v>
      </c>
      <c r="C117" s="1">
        <v>42855</v>
      </c>
      <c r="D117" s="27">
        <v>754786</v>
      </c>
      <c r="E117" s="30">
        <v>2017</v>
      </c>
      <c r="F117" s="30">
        <v>1</v>
      </c>
      <c r="G117" s="1">
        <v>42745</v>
      </c>
      <c r="H117" s="27">
        <v>740276</v>
      </c>
      <c r="I117" s="24">
        <v>1489</v>
      </c>
      <c r="J117" s="24">
        <v>-1489</v>
      </c>
      <c r="K117" s="30">
        <v>13</v>
      </c>
      <c r="L117" s="30">
        <v>6272</v>
      </c>
      <c r="M117" s="30">
        <v>85</v>
      </c>
      <c r="N117" s="30">
        <v>0</v>
      </c>
      <c r="O117" s="30">
        <v>316403</v>
      </c>
      <c r="P117" s="29" t="s">
        <v>515</v>
      </c>
      <c r="Q117" s="29" t="s">
        <v>513</v>
      </c>
      <c r="R117" s="140" t="s">
        <v>516</v>
      </c>
    </row>
    <row r="118" spans="1:18" hidden="1">
      <c r="A118" s="139">
        <v>2</v>
      </c>
      <c r="B118" s="30">
        <v>4</v>
      </c>
      <c r="C118" s="1">
        <v>42855</v>
      </c>
      <c r="D118" s="27">
        <v>754786</v>
      </c>
      <c r="E118" s="30">
        <v>2017</v>
      </c>
      <c r="F118" s="30">
        <v>1</v>
      </c>
      <c r="G118" s="1">
        <v>42804</v>
      </c>
      <c r="H118" s="27">
        <v>749816</v>
      </c>
      <c r="I118" s="24">
        <v>1255.5</v>
      </c>
      <c r="J118" s="24">
        <v>-1255.5</v>
      </c>
      <c r="K118" s="30">
        <v>161</v>
      </c>
      <c r="L118" s="30">
        <v>28</v>
      </c>
      <c r="M118" s="30">
        <v>60</v>
      </c>
      <c r="N118" s="30">
        <v>0</v>
      </c>
      <c r="O118" s="30">
        <v>78981</v>
      </c>
      <c r="P118" s="29" t="s">
        <v>510</v>
      </c>
      <c r="Q118" s="29" t="s">
        <v>511</v>
      </c>
      <c r="R118" s="140" t="s">
        <v>381</v>
      </c>
    </row>
    <row r="119" spans="1:18" hidden="1">
      <c r="A119" s="139">
        <v>2</v>
      </c>
      <c r="B119" s="30">
        <v>4</v>
      </c>
      <c r="C119" s="1">
        <v>42855</v>
      </c>
      <c r="D119" s="27">
        <v>754786</v>
      </c>
      <c r="E119" s="30">
        <v>2017</v>
      </c>
      <c r="F119" s="30">
        <v>1</v>
      </c>
      <c r="G119" s="1">
        <v>42804</v>
      </c>
      <c r="H119" s="27">
        <v>749816</v>
      </c>
      <c r="I119" s="24">
        <v>164</v>
      </c>
      <c r="J119" s="24">
        <v>-164</v>
      </c>
      <c r="K119" s="30">
        <v>161</v>
      </c>
      <c r="L119" s="30">
        <v>28</v>
      </c>
      <c r="M119" s="30">
        <v>85</v>
      </c>
      <c r="N119" s="30">
        <v>0</v>
      </c>
      <c r="O119" s="30">
        <v>78981</v>
      </c>
      <c r="P119" s="29" t="s">
        <v>510</v>
      </c>
      <c r="Q119" s="29" t="s">
        <v>511</v>
      </c>
      <c r="R119" s="140" t="s">
        <v>381</v>
      </c>
    </row>
    <row r="120" spans="1:18" hidden="1">
      <c r="A120" s="139">
        <v>2</v>
      </c>
      <c r="B120" s="30">
        <v>4</v>
      </c>
      <c r="C120" s="1">
        <v>42855</v>
      </c>
      <c r="D120" s="27">
        <v>754786</v>
      </c>
      <c r="E120" s="30">
        <v>2017</v>
      </c>
      <c r="F120" s="30">
        <v>1</v>
      </c>
      <c r="G120" s="1">
        <v>42804</v>
      </c>
      <c r="H120" s="27">
        <v>749823</v>
      </c>
      <c r="I120" s="24">
        <v>2077</v>
      </c>
      <c r="J120" s="24">
        <v>-2077</v>
      </c>
      <c r="K120" s="30">
        <v>427</v>
      </c>
      <c r="L120" s="30">
        <v>563</v>
      </c>
      <c r="M120" s="30">
        <v>60</v>
      </c>
      <c r="N120" s="30">
        <v>0</v>
      </c>
      <c r="O120" s="30">
        <v>1191670</v>
      </c>
      <c r="P120" s="29" t="s">
        <v>508</v>
      </c>
      <c r="Q120" s="29" t="s">
        <v>386</v>
      </c>
      <c r="R120" s="140" t="s">
        <v>509</v>
      </c>
    </row>
    <row r="121" spans="1:18" hidden="1">
      <c r="A121" s="139">
        <v>2</v>
      </c>
      <c r="B121" s="30">
        <v>4</v>
      </c>
      <c r="C121" s="1">
        <v>42855</v>
      </c>
      <c r="D121" s="27">
        <v>754786</v>
      </c>
      <c r="E121" s="30">
        <v>2017</v>
      </c>
      <c r="F121" s="30">
        <v>1</v>
      </c>
      <c r="G121" s="1">
        <v>42804</v>
      </c>
      <c r="H121" s="27">
        <v>749823</v>
      </c>
      <c r="I121" s="24">
        <v>270</v>
      </c>
      <c r="J121" s="24">
        <v>-270</v>
      </c>
      <c r="K121" s="30">
        <v>427</v>
      </c>
      <c r="L121" s="30">
        <v>563</v>
      </c>
      <c r="M121" s="30">
        <v>85</v>
      </c>
      <c r="N121" s="30">
        <v>0</v>
      </c>
      <c r="O121" s="30">
        <v>1191670</v>
      </c>
      <c r="P121" s="29" t="s">
        <v>508</v>
      </c>
      <c r="Q121" s="29" t="s">
        <v>386</v>
      </c>
      <c r="R121" s="140" t="s">
        <v>509</v>
      </c>
    </row>
    <row r="122" spans="1:18" hidden="1">
      <c r="A122" s="139">
        <v>2</v>
      </c>
      <c r="B122" s="30">
        <v>4</v>
      </c>
      <c r="C122" s="1">
        <v>42855</v>
      </c>
      <c r="D122" s="27">
        <v>754786</v>
      </c>
      <c r="E122" s="30">
        <v>2017</v>
      </c>
      <c r="F122" s="30">
        <v>2</v>
      </c>
      <c r="G122" s="1">
        <v>42835</v>
      </c>
      <c r="H122" s="27">
        <v>755297</v>
      </c>
      <c r="I122" s="24">
        <v>8294.48</v>
      </c>
      <c r="J122" s="24">
        <v>-8294.48</v>
      </c>
      <c r="K122" s="30">
        <v>7</v>
      </c>
      <c r="L122" s="30">
        <v>857</v>
      </c>
      <c r="M122" s="30">
        <v>60</v>
      </c>
      <c r="N122" s="30">
        <v>0</v>
      </c>
      <c r="O122" s="30">
        <v>3417</v>
      </c>
      <c r="P122" s="29" t="s">
        <v>498</v>
      </c>
      <c r="Q122" s="29" t="s">
        <v>401</v>
      </c>
      <c r="R122" s="140" t="s">
        <v>499</v>
      </c>
    </row>
    <row r="123" spans="1:18" hidden="1">
      <c r="A123" s="139">
        <v>2</v>
      </c>
      <c r="B123" s="30">
        <v>4</v>
      </c>
      <c r="C123" s="1">
        <v>42855</v>
      </c>
      <c r="D123" s="27">
        <v>754786</v>
      </c>
      <c r="E123" s="30">
        <v>2017</v>
      </c>
      <c r="F123" s="30">
        <v>2</v>
      </c>
      <c r="G123" s="1">
        <v>42835</v>
      </c>
      <c r="H123" s="27">
        <v>755297</v>
      </c>
      <c r="I123" s="24">
        <v>1078</v>
      </c>
      <c r="J123" s="24">
        <v>-1078</v>
      </c>
      <c r="K123" s="30">
        <v>7</v>
      </c>
      <c r="L123" s="30">
        <v>857</v>
      </c>
      <c r="M123" s="30">
        <v>85</v>
      </c>
      <c r="N123" s="30">
        <v>0</v>
      </c>
      <c r="O123" s="30">
        <v>3417</v>
      </c>
      <c r="P123" s="29" t="s">
        <v>498</v>
      </c>
      <c r="Q123" s="29" t="s">
        <v>401</v>
      </c>
      <c r="R123" s="140" t="s">
        <v>499</v>
      </c>
    </row>
    <row r="124" spans="1:18" hidden="1">
      <c r="A124" s="139">
        <v>2</v>
      </c>
      <c r="B124" s="30">
        <v>4</v>
      </c>
      <c r="C124" s="1">
        <v>42855</v>
      </c>
      <c r="D124" s="27">
        <v>754786</v>
      </c>
      <c r="E124" s="30">
        <v>2017</v>
      </c>
      <c r="F124" s="30">
        <v>2</v>
      </c>
      <c r="G124" s="1">
        <v>42835</v>
      </c>
      <c r="H124" s="27">
        <v>755291</v>
      </c>
      <c r="I124" s="24">
        <v>4308.3999999999996</v>
      </c>
      <c r="J124" s="24">
        <v>-4308.3999999999996</v>
      </c>
      <c r="K124" s="30">
        <v>75</v>
      </c>
      <c r="L124" s="30">
        <v>2945</v>
      </c>
      <c r="M124" s="30">
        <v>60</v>
      </c>
      <c r="N124" s="30">
        <v>0</v>
      </c>
      <c r="O124" s="30">
        <v>97249</v>
      </c>
      <c r="P124" s="29" t="s">
        <v>495</v>
      </c>
      <c r="Q124" s="29" t="s">
        <v>496</v>
      </c>
      <c r="R124" s="140" t="s">
        <v>497</v>
      </c>
    </row>
    <row r="125" spans="1:18" hidden="1">
      <c r="A125" s="139">
        <v>2</v>
      </c>
      <c r="B125" s="30">
        <v>4</v>
      </c>
      <c r="C125" s="1">
        <v>42855</v>
      </c>
      <c r="D125" s="27">
        <v>754786</v>
      </c>
      <c r="E125" s="30">
        <v>2017</v>
      </c>
      <c r="F125" s="30">
        <v>2</v>
      </c>
      <c r="G125" s="1">
        <v>42835</v>
      </c>
      <c r="H125" s="27">
        <v>755291</v>
      </c>
      <c r="I125" s="24">
        <v>560</v>
      </c>
      <c r="J125" s="24">
        <v>-560</v>
      </c>
      <c r="K125" s="30">
        <v>75</v>
      </c>
      <c r="L125" s="30">
        <v>2945</v>
      </c>
      <c r="M125" s="30">
        <v>85</v>
      </c>
      <c r="N125" s="30">
        <v>0</v>
      </c>
      <c r="O125" s="30">
        <v>97249</v>
      </c>
      <c r="P125" s="29" t="s">
        <v>495</v>
      </c>
      <c r="Q125" s="29" t="s">
        <v>496</v>
      </c>
      <c r="R125" s="140" t="s">
        <v>497</v>
      </c>
    </row>
    <row r="126" spans="1:18" hidden="1">
      <c r="A126" s="139">
        <v>2</v>
      </c>
      <c r="B126" s="30">
        <v>4</v>
      </c>
      <c r="C126" s="1">
        <v>42855</v>
      </c>
      <c r="D126" s="27">
        <v>754786</v>
      </c>
      <c r="E126" s="30">
        <v>2017</v>
      </c>
      <c r="F126" s="30">
        <v>2</v>
      </c>
      <c r="G126" s="1">
        <v>42835</v>
      </c>
      <c r="H126" s="27">
        <v>755293</v>
      </c>
      <c r="I126" s="24">
        <v>41.57</v>
      </c>
      <c r="J126" s="24">
        <v>-41.57</v>
      </c>
      <c r="K126" s="30">
        <v>61</v>
      </c>
      <c r="L126" s="30">
        <v>91</v>
      </c>
      <c r="M126" s="30">
        <v>60</v>
      </c>
      <c r="N126" s="30">
        <v>0</v>
      </c>
      <c r="O126" s="30">
        <v>189442</v>
      </c>
      <c r="P126" s="29" t="s">
        <v>505</v>
      </c>
      <c r="Q126" s="29" t="s">
        <v>506</v>
      </c>
      <c r="R126" s="140" t="s">
        <v>507</v>
      </c>
    </row>
    <row r="127" spans="1:18" hidden="1">
      <c r="A127" s="139">
        <v>2</v>
      </c>
      <c r="B127" s="30">
        <v>4</v>
      </c>
      <c r="C127" s="1">
        <v>42855</v>
      </c>
      <c r="D127" s="27">
        <v>754786</v>
      </c>
      <c r="E127" s="30">
        <v>2017</v>
      </c>
      <c r="F127" s="30">
        <v>2</v>
      </c>
      <c r="G127" s="1">
        <v>42835</v>
      </c>
      <c r="H127" s="27">
        <v>755293</v>
      </c>
      <c r="I127" s="24">
        <v>5</v>
      </c>
      <c r="J127" s="24">
        <v>-5</v>
      </c>
      <c r="K127" s="30">
        <v>61</v>
      </c>
      <c r="L127" s="30">
        <v>91</v>
      </c>
      <c r="M127" s="30">
        <v>85</v>
      </c>
      <c r="N127" s="30">
        <v>0</v>
      </c>
      <c r="O127" s="30">
        <v>189442</v>
      </c>
      <c r="P127" s="29" t="s">
        <v>505</v>
      </c>
      <c r="Q127" s="29" t="s">
        <v>506</v>
      </c>
      <c r="R127" s="140" t="s">
        <v>507</v>
      </c>
    </row>
    <row r="128" spans="1:18" hidden="1">
      <c r="A128" s="139">
        <v>2</v>
      </c>
      <c r="B128" s="30">
        <v>4</v>
      </c>
      <c r="C128" s="1">
        <v>42855</v>
      </c>
      <c r="D128" s="27">
        <v>754786</v>
      </c>
      <c r="E128" s="30">
        <v>2017</v>
      </c>
      <c r="F128" s="30">
        <v>1</v>
      </c>
      <c r="G128" s="1">
        <v>42776</v>
      </c>
      <c r="H128" s="27">
        <v>744978</v>
      </c>
      <c r="I128" s="24">
        <v>4459</v>
      </c>
      <c r="J128" s="24">
        <v>-4459</v>
      </c>
      <c r="K128" s="30">
        <v>22</v>
      </c>
      <c r="L128" s="30">
        <v>2787</v>
      </c>
      <c r="M128" s="30">
        <v>60</v>
      </c>
      <c r="N128" s="30">
        <v>0</v>
      </c>
      <c r="O128" s="30">
        <v>103997</v>
      </c>
      <c r="P128" s="29" t="s">
        <v>517</v>
      </c>
      <c r="Q128" s="29" t="s">
        <v>518</v>
      </c>
      <c r="R128" s="140" t="s">
        <v>509</v>
      </c>
    </row>
    <row r="129" spans="1:18" hidden="1">
      <c r="A129" s="139">
        <v>2</v>
      </c>
      <c r="B129" s="30">
        <v>4</v>
      </c>
      <c r="C129" s="1">
        <v>42855</v>
      </c>
      <c r="D129" s="27">
        <v>754786</v>
      </c>
      <c r="E129" s="30">
        <v>2017</v>
      </c>
      <c r="F129" s="30">
        <v>1</v>
      </c>
      <c r="G129" s="1">
        <v>42776</v>
      </c>
      <c r="H129" s="27">
        <v>744978</v>
      </c>
      <c r="I129" s="24">
        <v>579</v>
      </c>
      <c r="J129" s="24">
        <v>-579</v>
      </c>
      <c r="K129" s="30">
        <v>22</v>
      </c>
      <c r="L129" s="30">
        <v>2787</v>
      </c>
      <c r="M129" s="30">
        <v>85</v>
      </c>
      <c r="N129" s="30">
        <v>0</v>
      </c>
      <c r="O129" s="30">
        <v>103997</v>
      </c>
      <c r="P129" s="29" t="s">
        <v>517</v>
      </c>
      <c r="Q129" s="29" t="s">
        <v>518</v>
      </c>
      <c r="R129" s="140" t="s">
        <v>509</v>
      </c>
    </row>
    <row r="130" spans="1:18">
      <c r="A130" s="139">
        <v>2</v>
      </c>
      <c r="B130" s="30">
        <v>5</v>
      </c>
      <c r="C130" s="1">
        <v>42858</v>
      </c>
      <c r="D130" s="27">
        <v>391832</v>
      </c>
      <c r="E130" s="30">
        <v>2016</v>
      </c>
      <c r="F130" s="30">
        <v>4</v>
      </c>
      <c r="G130" s="1">
        <v>42735</v>
      </c>
      <c r="H130" s="27">
        <v>736258</v>
      </c>
      <c r="I130" s="24">
        <v>0</v>
      </c>
      <c r="J130" s="24">
        <v>-2184</v>
      </c>
      <c r="K130" s="30">
        <v>37</v>
      </c>
      <c r="L130" s="30">
        <v>2120</v>
      </c>
      <c r="M130" s="30">
        <v>85</v>
      </c>
      <c r="N130" s="30">
        <v>0</v>
      </c>
      <c r="O130" s="30">
        <v>1191424</v>
      </c>
      <c r="P130" s="29" t="s">
        <v>519</v>
      </c>
      <c r="Q130" s="29" t="s">
        <v>520</v>
      </c>
      <c r="R130" s="140" t="s">
        <v>521</v>
      </c>
    </row>
    <row r="131" spans="1:18">
      <c r="A131" s="139">
        <v>2</v>
      </c>
      <c r="B131" s="30">
        <v>5</v>
      </c>
      <c r="C131" s="1">
        <v>42858</v>
      </c>
      <c r="D131" s="27">
        <v>391832</v>
      </c>
      <c r="E131" s="30">
        <v>2016</v>
      </c>
      <c r="F131" s="30">
        <v>4</v>
      </c>
      <c r="G131" s="1">
        <v>42735</v>
      </c>
      <c r="H131" s="27">
        <v>736258</v>
      </c>
      <c r="I131" s="24">
        <v>16800</v>
      </c>
      <c r="J131" s="24">
        <v>0</v>
      </c>
      <c r="K131" s="30">
        <v>37</v>
      </c>
      <c r="L131" s="30">
        <v>2120</v>
      </c>
      <c r="M131" s="30">
        <v>1021</v>
      </c>
      <c r="N131" s="30">
        <v>0</v>
      </c>
      <c r="O131" s="30">
        <v>1191424</v>
      </c>
      <c r="P131" s="29" t="s">
        <v>519</v>
      </c>
      <c r="Q131" s="29" t="s">
        <v>520</v>
      </c>
      <c r="R131" s="140" t="s">
        <v>521</v>
      </c>
    </row>
    <row r="132" spans="1:18" hidden="1">
      <c r="A132" s="139">
        <v>2</v>
      </c>
      <c r="B132" s="30">
        <v>5</v>
      </c>
      <c r="C132" s="1">
        <v>42881</v>
      </c>
      <c r="D132" s="27">
        <v>764462</v>
      </c>
      <c r="E132" s="30">
        <v>2017</v>
      </c>
      <c r="F132" s="30">
        <v>2</v>
      </c>
      <c r="G132" s="1">
        <v>42865</v>
      </c>
      <c r="H132" s="27">
        <v>761405</v>
      </c>
      <c r="I132" s="24">
        <v>40500</v>
      </c>
      <c r="J132" s="24">
        <v>-40000</v>
      </c>
      <c r="K132" s="30">
        <v>991</v>
      </c>
      <c r="L132" s="30">
        <v>35615</v>
      </c>
      <c r="M132" s="30">
        <v>55</v>
      </c>
      <c r="N132" s="30">
        <v>1</v>
      </c>
      <c r="O132" s="30">
        <v>552268</v>
      </c>
      <c r="P132" s="29" t="s">
        <v>522</v>
      </c>
      <c r="Q132" s="29" t="s">
        <v>475</v>
      </c>
      <c r="R132" s="140" t="s">
        <v>523</v>
      </c>
    </row>
    <row r="133" spans="1:18" hidden="1">
      <c r="A133" s="139">
        <v>2</v>
      </c>
      <c r="B133" s="30">
        <v>5</v>
      </c>
      <c r="C133" s="1">
        <v>42881</v>
      </c>
      <c r="D133" s="27">
        <v>764462</v>
      </c>
      <c r="E133" s="30">
        <v>2017</v>
      </c>
      <c r="F133" s="30">
        <v>2</v>
      </c>
      <c r="G133" s="1">
        <v>42865</v>
      </c>
      <c r="H133" s="27">
        <v>761405</v>
      </c>
      <c r="I133" s="24">
        <v>6877</v>
      </c>
      <c r="J133" s="24">
        <v>-5200</v>
      </c>
      <c r="K133" s="30">
        <v>991</v>
      </c>
      <c r="L133" s="30">
        <v>35615</v>
      </c>
      <c r="M133" s="30">
        <v>85</v>
      </c>
      <c r="N133" s="30">
        <v>2</v>
      </c>
      <c r="O133" s="30">
        <v>552268</v>
      </c>
      <c r="P133" s="29" t="s">
        <v>522</v>
      </c>
      <c r="Q133" s="29" t="s">
        <v>475</v>
      </c>
      <c r="R133" s="140" t="s">
        <v>523</v>
      </c>
    </row>
    <row r="134" spans="1:18" hidden="1">
      <c r="A134" s="139">
        <v>2</v>
      </c>
      <c r="B134" s="30">
        <v>5</v>
      </c>
      <c r="C134" s="1">
        <v>42881</v>
      </c>
      <c r="D134" s="27">
        <v>764463</v>
      </c>
      <c r="E134" s="30">
        <v>2017</v>
      </c>
      <c r="F134" s="30">
        <v>2</v>
      </c>
      <c r="G134" s="1">
        <v>42839</v>
      </c>
      <c r="H134" s="27">
        <v>757569</v>
      </c>
      <c r="I134" s="24">
        <v>56500</v>
      </c>
      <c r="J134" s="24">
        <v>-52500</v>
      </c>
      <c r="K134" s="30">
        <v>991</v>
      </c>
      <c r="L134" s="30">
        <v>2645</v>
      </c>
      <c r="M134" s="30">
        <v>55</v>
      </c>
      <c r="N134" s="30">
        <v>1</v>
      </c>
      <c r="O134" s="30">
        <v>140532</v>
      </c>
      <c r="P134" s="29" t="s">
        <v>524</v>
      </c>
      <c r="Q134" s="29" t="s">
        <v>525</v>
      </c>
      <c r="R134" s="140" t="s">
        <v>482</v>
      </c>
    </row>
    <row r="135" spans="1:18" hidden="1">
      <c r="A135" s="139">
        <v>2</v>
      </c>
      <c r="B135" s="30">
        <v>5</v>
      </c>
      <c r="C135" s="1">
        <v>42881</v>
      </c>
      <c r="D135" s="27">
        <v>764463</v>
      </c>
      <c r="E135" s="30">
        <v>2017</v>
      </c>
      <c r="F135" s="30">
        <v>2</v>
      </c>
      <c r="G135" s="1">
        <v>42839</v>
      </c>
      <c r="H135" s="27">
        <v>757569</v>
      </c>
      <c r="I135" s="24">
        <v>12645</v>
      </c>
      <c r="J135" s="24">
        <v>-6825</v>
      </c>
      <c r="K135" s="30">
        <v>991</v>
      </c>
      <c r="L135" s="30">
        <v>2645</v>
      </c>
      <c r="M135" s="30">
        <v>85</v>
      </c>
      <c r="N135" s="30">
        <v>2</v>
      </c>
      <c r="O135" s="30">
        <v>140532</v>
      </c>
      <c r="P135" s="29" t="s">
        <v>524</v>
      </c>
      <c r="Q135" s="29" t="s">
        <v>525</v>
      </c>
      <c r="R135" s="140" t="s">
        <v>482</v>
      </c>
    </row>
    <row r="136" spans="1:18" hidden="1">
      <c r="A136" s="139">
        <v>2</v>
      </c>
      <c r="B136" s="30">
        <v>5</v>
      </c>
      <c r="C136" s="1">
        <v>42886</v>
      </c>
      <c r="D136" s="27">
        <v>761448</v>
      </c>
      <c r="E136" s="30">
        <v>2017</v>
      </c>
      <c r="F136" s="30">
        <v>1</v>
      </c>
      <c r="G136" s="1">
        <v>42804</v>
      </c>
      <c r="H136" s="27">
        <v>749816</v>
      </c>
      <c r="I136" s="24">
        <v>9154.4</v>
      </c>
      <c r="J136" s="24">
        <v>-9154.4</v>
      </c>
      <c r="K136" s="30">
        <v>343</v>
      </c>
      <c r="L136" s="30">
        <v>669</v>
      </c>
      <c r="M136" s="30">
        <v>60</v>
      </c>
      <c r="N136" s="30">
        <v>0</v>
      </c>
      <c r="O136" s="30">
        <v>67615</v>
      </c>
      <c r="P136" s="29" t="s">
        <v>546</v>
      </c>
      <c r="Q136" s="29" t="s">
        <v>410</v>
      </c>
      <c r="R136" s="140" t="s">
        <v>411</v>
      </c>
    </row>
    <row r="137" spans="1:18" hidden="1">
      <c r="A137" s="139">
        <v>2</v>
      </c>
      <c r="B137" s="30">
        <v>5</v>
      </c>
      <c r="C137" s="1">
        <v>42886</v>
      </c>
      <c r="D137" s="27">
        <v>761448</v>
      </c>
      <c r="E137" s="30">
        <v>2017</v>
      </c>
      <c r="F137" s="30">
        <v>1</v>
      </c>
      <c r="G137" s="1">
        <v>42804</v>
      </c>
      <c r="H137" s="27">
        <v>749816</v>
      </c>
      <c r="I137" s="24">
        <v>1190</v>
      </c>
      <c r="J137" s="24">
        <v>-1190</v>
      </c>
      <c r="K137" s="30">
        <v>343</v>
      </c>
      <c r="L137" s="30">
        <v>669</v>
      </c>
      <c r="M137" s="30">
        <v>85</v>
      </c>
      <c r="N137" s="30">
        <v>0</v>
      </c>
      <c r="O137" s="30">
        <v>67615</v>
      </c>
      <c r="P137" s="29" t="s">
        <v>546</v>
      </c>
      <c r="Q137" s="29" t="s">
        <v>410</v>
      </c>
      <c r="R137" s="140" t="s">
        <v>411</v>
      </c>
    </row>
    <row r="138" spans="1:18" hidden="1">
      <c r="A138" s="139">
        <v>2</v>
      </c>
      <c r="B138" s="30">
        <v>5</v>
      </c>
      <c r="C138" s="1">
        <v>42886</v>
      </c>
      <c r="D138" s="27">
        <v>761448</v>
      </c>
      <c r="E138" s="30">
        <v>2017</v>
      </c>
      <c r="F138" s="30">
        <v>1</v>
      </c>
      <c r="G138" s="1">
        <v>42745</v>
      </c>
      <c r="H138" s="27">
        <v>740276</v>
      </c>
      <c r="I138" s="24">
        <v>2596.39</v>
      </c>
      <c r="J138" s="24">
        <v>-2596.39</v>
      </c>
      <c r="K138" s="30">
        <v>13</v>
      </c>
      <c r="L138" s="30">
        <v>1688</v>
      </c>
      <c r="M138" s="30">
        <v>60</v>
      </c>
      <c r="N138" s="30">
        <v>0</v>
      </c>
      <c r="O138" s="30">
        <v>33710</v>
      </c>
      <c r="P138" s="29" t="s">
        <v>527</v>
      </c>
      <c r="Q138" s="29" t="s">
        <v>383</v>
      </c>
      <c r="R138" s="140" t="s">
        <v>528</v>
      </c>
    </row>
    <row r="139" spans="1:18" hidden="1">
      <c r="A139" s="139">
        <v>2</v>
      </c>
      <c r="B139" s="30">
        <v>5</v>
      </c>
      <c r="C139" s="1">
        <v>42886</v>
      </c>
      <c r="D139" s="27">
        <v>761448</v>
      </c>
      <c r="E139" s="30">
        <v>2017</v>
      </c>
      <c r="F139" s="30">
        <v>1</v>
      </c>
      <c r="G139" s="1">
        <v>42745</v>
      </c>
      <c r="H139" s="27">
        <v>740276</v>
      </c>
      <c r="I139" s="24">
        <v>338</v>
      </c>
      <c r="J139" s="24">
        <v>-338</v>
      </c>
      <c r="K139" s="30">
        <v>13</v>
      </c>
      <c r="L139" s="30">
        <v>1688</v>
      </c>
      <c r="M139" s="30">
        <v>85</v>
      </c>
      <c r="N139" s="30">
        <v>0</v>
      </c>
      <c r="O139" s="30">
        <v>33710</v>
      </c>
      <c r="P139" s="29" t="s">
        <v>527</v>
      </c>
      <c r="Q139" s="29" t="s">
        <v>383</v>
      </c>
      <c r="R139" s="140" t="s">
        <v>528</v>
      </c>
    </row>
    <row r="140" spans="1:18" hidden="1">
      <c r="A140" s="139">
        <v>2</v>
      </c>
      <c r="B140" s="30">
        <v>5</v>
      </c>
      <c r="C140" s="1">
        <v>42886</v>
      </c>
      <c r="D140" s="27">
        <v>761448</v>
      </c>
      <c r="E140" s="30">
        <v>2017</v>
      </c>
      <c r="F140" s="30">
        <v>1</v>
      </c>
      <c r="G140" s="1">
        <v>42776</v>
      </c>
      <c r="H140" s="27">
        <v>744978</v>
      </c>
      <c r="I140" s="24">
        <v>2596.39</v>
      </c>
      <c r="J140" s="24">
        <v>-2596.39</v>
      </c>
      <c r="K140" s="30">
        <v>13</v>
      </c>
      <c r="L140" s="30">
        <v>1688</v>
      </c>
      <c r="M140" s="30">
        <v>60</v>
      </c>
      <c r="N140" s="30">
        <v>0</v>
      </c>
      <c r="O140" s="30">
        <v>33710</v>
      </c>
      <c r="P140" s="29" t="s">
        <v>527</v>
      </c>
      <c r="Q140" s="29" t="s">
        <v>383</v>
      </c>
      <c r="R140" s="140" t="s">
        <v>528</v>
      </c>
    </row>
    <row r="141" spans="1:18" hidden="1">
      <c r="A141" s="139">
        <v>2</v>
      </c>
      <c r="B141" s="30">
        <v>5</v>
      </c>
      <c r="C141" s="1">
        <v>42886</v>
      </c>
      <c r="D141" s="27">
        <v>761448</v>
      </c>
      <c r="E141" s="30">
        <v>2017</v>
      </c>
      <c r="F141" s="30">
        <v>1</v>
      </c>
      <c r="G141" s="1">
        <v>42776</v>
      </c>
      <c r="H141" s="27">
        <v>744978</v>
      </c>
      <c r="I141" s="24">
        <v>337</v>
      </c>
      <c r="J141" s="24">
        <v>-337</v>
      </c>
      <c r="K141" s="30">
        <v>13</v>
      </c>
      <c r="L141" s="30">
        <v>1688</v>
      </c>
      <c r="M141" s="30">
        <v>85</v>
      </c>
      <c r="N141" s="30">
        <v>0</v>
      </c>
      <c r="O141" s="30">
        <v>33710</v>
      </c>
      <c r="P141" s="29" t="s">
        <v>527</v>
      </c>
      <c r="Q141" s="29" t="s">
        <v>383</v>
      </c>
      <c r="R141" s="140" t="s">
        <v>528</v>
      </c>
    </row>
    <row r="142" spans="1:18" hidden="1">
      <c r="A142" s="139">
        <v>2</v>
      </c>
      <c r="B142" s="30">
        <v>5</v>
      </c>
      <c r="C142" s="1">
        <v>42886</v>
      </c>
      <c r="D142" s="27">
        <v>761448</v>
      </c>
      <c r="E142" s="30">
        <v>2017</v>
      </c>
      <c r="F142" s="30">
        <v>1</v>
      </c>
      <c r="G142" s="1">
        <v>42804</v>
      </c>
      <c r="H142" s="27">
        <v>749816</v>
      </c>
      <c r="I142" s="24">
        <v>2596.39</v>
      </c>
      <c r="J142" s="24">
        <v>-2596.39</v>
      </c>
      <c r="K142" s="30">
        <v>13</v>
      </c>
      <c r="L142" s="30">
        <v>1688</v>
      </c>
      <c r="M142" s="30">
        <v>60</v>
      </c>
      <c r="N142" s="30">
        <v>0</v>
      </c>
      <c r="O142" s="30">
        <v>33710</v>
      </c>
      <c r="P142" s="29" t="s">
        <v>527</v>
      </c>
      <c r="Q142" s="29" t="s">
        <v>383</v>
      </c>
      <c r="R142" s="140" t="s">
        <v>528</v>
      </c>
    </row>
    <row r="143" spans="1:18" hidden="1">
      <c r="A143" s="139">
        <v>2</v>
      </c>
      <c r="B143" s="30">
        <v>5</v>
      </c>
      <c r="C143" s="1">
        <v>42886</v>
      </c>
      <c r="D143" s="27">
        <v>761448</v>
      </c>
      <c r="E143" s="30">
        <v>2017</v>
      </c>
      <c r="F143" s="30">
        <v>1</v>
      </c>
      <c r="G143" s="1">
        <v>42804</v>
      </c>
      <c r="H143" s="27">
        <v>749816</v>
      </c>
      <c r="I143" s="24">
        <v>338</v>
      </c>
      <c r="J143" s="24">
        <v>-338</v>
      </c>
      <c r="K143" s="30">
        <v>13</v>
      </c>
      <c r="L143" s="30">
        <v>1688</v>
      </c>
      <c r="M143" s="30">
        <v>85</v>
      </c>
      <c r="N143" s="30">
        <v>0</v>
      </c>
      <c r="O143" s="30">
        <v>33710</v>
      </c>
      <c r="P143" s="29" t="s">
        <v>527</v>
      </c>
      <c r="Q143" s="29" t="s">
        <v>383</v>
      </c>
      <c r="R143" s="140" t="s">
        <v>528</v>
      </c>
    </row>
    <row r="144" spans="1:18" hidden="1">
      <c r="A144" s="139">
        <v>2</v>
      </c>
      <c r="B144" s="30">
        <v>5</v>
      </c>
      <c r="C144" s="1">
        <v>42886</v>
      </c>
      <c r="D144" s="27">
        <v>761448</v>
      </c>
      <c r="E144" s="30">
        <v>2017</v>
      </c>
      <c r="F144" s="30">
        <v>2</v>
      </c>
      <c r="G144" s="1">
        <v>42835</v>
      </c>
      <c r="H144" s="27">
        <v>755291</v>
      </c>
      <c r="I144" s="24">
        <v>2596.39</v>
      </c>
      <c r="J144" s="24">
        <v>-2596.39</v>
      </c>
      <c r="K144" s="30">
        <v>13</v>
      </c>
      <c r="L144" s="30">
        <v>1688</v>
      </c>
      <c r="M144" s="30">
        <v>60</v>
      </c>
      <c r="N144" s="30">
        <v>0</v>
      </c>
      <c r="O144" s="30">
        <v>33710</v>
      </c>
      <c r="P144" s="29" t="s">
        <v>527</v>
      </c>
      <c r="Q144" s="29" t="s">
        <v>383</v>
      </c>
      <c r="R144" s="140" t="s">
        <v>528</v>
      </c>
    </row>
    <row r="145" spans="1:18" hidden="1">
      <c r="A145" s="139">
        <v>2</v>
      </c>
      <c r="B145" s="30">
        <v>5</v>
      </c>
      <c r="C145" s="1">
        <v>42886</v>
      </c>
      <c r="D145" s="27">
        <v>761448</v>
      </c>
      <c r="E145" s="30">
        <v>2017</v>
      </c>
      <c r="F145" s="30">
        <v>2</v>
      </c>
      <c r="G145" s="1">
        <v>42835</v>
      </c>
      <c r="H145" s="27">
        <v>755291</v>
      </c>
      <c r="I145" s="24">
        <v>337</v>
      </c>
      <c r="J145" s="24">
        <v>-337</v>
      </c>
      <c r="K145" s="30">
        <v>13</v>
      </c>
      <c r="L145" s="30">
        <v>1688</v>
      </c>
      <c r="M145" s="30">
        <v>85</v>
      </c>
      <c r="N145" s="30">
        <v>0</v>
      </c>
      <c r="O145" s="30">
        <v>33710</v>
      </c>
      <c r="P145" s="29" t="s">
        <v>527</v>
      </c>
      <c r="Q145" s="29" t="s">
        <v>383</v>
      </c>
      <c r="R145" s="140" t="s">
        <v>528</v>
      </c>
    </row>
    <row r="146" spans="1:18" hidden="1">
      <c r="A146" s="139">
        <v>2</v>
      </c>
      <c r="B146" s="30">
        <v>5</v>
      </c>
      <c r="C146" s="1">
        <v>42886</v>
      </c>
      <c r="D146" s="27">
        <v>761448</v>
      </c>
      <c r="E146" s="30">
        <v>2017</v>
      </c>
      <c r="F146" s="30">
        <v>2</v>
      </c>
      <c r="G146" s="1">
        <v>42835</v>
      </c>
      <c r="H146" s="27">
        <v>755297</v>
      </c>
      <c r="I146" s="24">
        <v>9099.2000000000007</v>
      </c>
      <c r="J146" s="24">
        <v>-9099.2000000000007</v>
      </c>
      <c r="K146" s="30">
        <v>37</v>
      </c>
      <c r="L146" s="30">
        <v>462</v>
      </c>
      <c r="M146" s="30">
        <v>60</v>
      </c>
      <c r="N146" s="30">
        <v>0</v>
      </c>
      <c r="O146" s="30">
        <v>77664</v>
      </c>
      <c r="P146" s="29" t="s">
        <v>532</v>
      </c>
      <c r="Q146" s="29" t="s">
        <v>533</v>
      </c>
      <c r="R146" s="140" t="s">
        <v>414</v>
      </c>
    </row>
    <row r="147" spans="1:18" hidden="1">
      <c r="A147" s="139">
        <v>2</v>
      </c>
      <c r="B147" s="30">
        <v>5</v>
      </c>
      <c r="C147" s="1">
        <v>42886</v>
      </c>
      <c r="D147" s="27">
        <v>761448</v>
      </c>
      <c r="E147" s="30">
        <v>2017</v>
      </c>
      <c r="F147" s="30">
        <v>2</v>
      </c>
      <c r="G147" s="1">
        <v>42835</v>
      </c>
      <c r="H147" s="27">
        <v>755297</v>
      </c>
      <c r="I147" s="24">
        <v>1183</v>
      </c>
      <c r="J147" s="24">
        <v>-1183</v>
      </c>
      <c r="K147" s="30">
        <v>37</v>
      </c>
      <c r="L147" s="30">
        <v>462</v>
      </c>
      <c r="M147" s="30">
        <v>85</v>
      </c>
      <c r="N147" s="30">
        <v>0</v>
      </c>
      <c r="O147" s="30">
        <v>77664</v>
      </c>
      <c r="P147" s="29" t="s">
        <v>532</v>
      </c>
      <c r="Q147" s="29" t="s">
        <v>533</v>
      </c>
      <c r="R147" s="140" t="s">
        <v>414</v>
      </c>
    </row>
    <row r="148" spans="1:18" hidden="1">
      <c r="A148" s="139">
        <v>2</v>
      </c>
      <c r="B148" s="30">
        <v>5</v>
      </c>
      <c r="C148" s="1">
        <v>42886</v>
      </c>
      <c r="D148" s="27">
        <v>761448</v>
      </c>
      <c r="E148" s="30">
        <v>2017</v>
      </c>
      <c r="F148" s="30">
        <v>2</v>
      </c>
      <c r="G148" s="1">
        <v>42835</v>
      </c>
      <c r="H148" s="27">
        <v>755299</v>
      </c>
      <c r="I148" s="24">
        <v>1880.9</v>
      </c>
      <c r="J148" s="24">
        <v>-1880.9</v>
      </c>
      <c r="K148" s="30">
        <v>297</v>
      </c>
      <c r="L148" s="30">
        <v>175</v>
      </c>
      <c r="M148" s="30">
        <v>60</v>
      </c>
      <c r="N148" s="30">
        <v>0</v>
      </c>
      <c r="O148" s="30">
        <v>798044</v>
      </c>
      <c r="P148" s="29" t="s">
        <v>541</v>
      </c>
      <c r="Q148" s="29" t="s">
        <v>434</v>
      </c>
      <c r="R148" s="140" t="s">
        <v>444</v>
      </c>
    </row>
    <row r="149" spans="1:18" hidden="1">
      <c r="A149" s="139">
        <v>2</v>
      </c>
      <c r="B149" s="30">
        <v>5</v>
      </c>
      <c r="C149" s="1">
        <v>42886</v>
      </c>
      <c r="D149" s="27">
        <v>761448</v>
      </c>
      <c r="E149" s="30">
        <v>2017</v>
      </c>
      <c r="F149" s="30">
        <v>2</v>
      </c>
      <c r="G149" s="1">
        <v>42835</v>
      </c>
      <c r="H149" s="27">
        <v>755299</v>
      </c>
      <c r="I149" s="24">
        <v>245</v>
      </c>
      <c r="J149" s="24">
        <v>-245</v>
      </c>
      <c r="K149" s="30">
        <v>297</v>
      </c>
      <c r="L149" s="30">
        <v>175</v>
      </c>
      <c r="M149" s="30">
        <v>85</v>
      </c>
      <c r="N149" s="30">
        <v>0</v>
      </c>
      <c r="O149" s="30">
        <v>798044</v>
      </c>
      <c r="P149" s="29" t="s">
        <v>541</v>
      </c>
      <c r="Q149" s="29" t="s">
        <v>434</v>
      </c>
      <c r="R149" s="140" t="s">
        <v>444</v>
      </c>
    </row>
    <row r="150" spans="1:18" hidden="1">
      <c r="A150" s="139">
        <v>2</v>
      </c>
      <c r="B150" s="30">
        <v>5</v>
      </c>
      <c r="C150" s="1">
        <v>42886</v>
      </c>
      <c r="D150" s="27">
        <v>761448</v>
      </c>
      <c r="E150" s="30">
        <v>2017</v>
      </c>
      <c r="F150" s="30">
        <v>1</v>
      </c>
      <c r="G150" s="1">
        <v>42745</v>
      </c>
      <c r="H150" s="27">
        <v>740276</v>
      </c>
      <c r="I150" s="24">
        <v>5490.89</v>
      </c>
      <c r="J150" s="24">
        <v>-5490.89</v>
      </c>
      <c r="K150" s="30">
        <v>12</v>
      </c>
      <c r="L150" s="30">
        <v>4067</v>
      </c>
      <c r="M150" s="30">
        <v>60</v>
      </c>
      <c r="N150" s="30">
        <v>0</v>
      </c>
      <c r="O150" s="30">
        <v>41385</v>
      </c>
      <c r="P150" s="29" t="s">
        <v>494</v>
      </c>
      <c r="Q150" s="29" t="s">
        <v>446</v>
      </c>
      <c r="R150" s="140" t="s">
        <v>426</v>
      </c>
    </row>
    <row r="151" spans="1:18" hidden="1">
      <c r="A151" s="139">
        <v>2</v>
      </c>
      <c r="B151" s="30">
        <v>5</v>
      </c>
      <c r="C151" s="1">
        <v>42886</v>
      </c>
      <c r="D151" s="27">
        <v>761448</v>
      </c>
      <c r="E151" s="30">
        <v>2017</v>
      </c>
      <c r="F151" s="30">
        <v>1</v>
      </c>
      <c r="G151" s="1">
        <v>42745</v>
      </c>
      <c r="H151" s="27">
        <v>740276</v>
      </c>
      <c r="I151" s="24">
        <v>714</v>
      </c>
      <c r="J151" s="24">
        <v>-714</v>
      </c>
      <c r="K151" s="30">
        <v>12</v>
      </c>
      <c r="L151" s="30">
        <v>4067</v>
      </c>
      <c r="M151" s="30">
        <v>85</v>
      </c>
      <c r="N151" s="30">
        <v>0</v>
      </c>
      <c r="O151" s="30">
        <v>41385</v>
      </c>
      <c r="P151" s="29" t="s">
        <v>494</v>
      </c>
      <c r="Q151" s="29" t="s">
        <v>446</v>
      </c>
      <c r="R151" s="140" t="s">
        <v>426</v>
      </c>
    </row>
    <row r="152" spans="1:18" hidden="1">
      <c r="A152" s="139">
        <v>2</v>
      </c>
      <c r="B152" s="30">
        <v>5</v>
      </c>
      <c r="C152" s="1">
        <v>42886</v>
      </c>
      <c r="D152" s="27">
        <v>761448</v>
      </c>
      <c r="E152" s="30">
        <v>2017</v>
      </c>
      <c r="F152" s="30">
        <v>1</v>
      </c>
      <c r="G152" s="1">
        <v>42776</v>
      </c>
      <c r="H152" s="27">
        <v>744978</v>
      </c>
      <c r="I152" s="24">
        <v>5490.89</v>
      </c>
      <c r="J152" s="24">
        <v>-5490.89</v>
      </c>
      <c r="K152" s="30">
        <v>12</v>
      </c>
      <c r="L152" s="30">
        <v>4067</v>
      </c>
      <c r="M152" s="30">
        <v>60</v>
      </c>
      <c r="N152" s="30">
        <v>0</v>
      </c>
      <c r="O152" s="30">
        <v>41385</v>
      </c>
      <c r="P152" s="29" t="s">
        <v>494</v>
      </c>
      <c r="Q152" s="29" t="s">
        <v>446</v>
      </c>
      <c r="R152" s="140" t="s">
        <v>426</v>
      </c>
    </row>
    <row r="153" spans="1:18" hidden="1">
      <c r="A153" s="139">
        <v>2</v>
      </c>
      <c r="B153" s="30">
        <v>5</v>
      </c>
      <c r="C153" s="1">
        <v>42886</v>
      </c>
      <c r="D153" s="27">
        <v>761448</v>
      </c>
      <c r="E153" s="30">
        <v>2017</v>
      </c>
      <c r="F153" s="30">
        <v>1</v>
      </c>
      <c r="G153" s="1">
        <v>42776</v>
      </c>
      <c r="H153" s="27">
        <v>744978</v>
      </c>
      <c r="I153" s="24">
        <v>714</v>
      </c>
      <c r="J153" s="24">
        <v>-714</v>
      </c>
      <c r="K153" s="30">
        <v>12</v>
      </c>
      <c r="L153" s="30">
        <v>4067</v>
      </c>
      <c r="M153" s="30">
        <v>85</v>
      </c>
      <c r="N153" s="30">
        <v>0</v>
      </c>
      <c r="O153" s="30">
        <v>41385</v>
      </c>
      <c r="P153" s="29" t="s">
        <v>494</v>
      </c>
      <c r="Q153" s="29" t="s">
        <v>446</v>
      </c>
      <c r="R153" s="140" t="s">
        <v>426</v>
      </c>
    </row>
    <row r="154" spans="1:18" hidden="1">
      <c r="A154" s="139">
        <v>2</v>
      </c>
      <c r="B154" s="30">
        <v>5</v>
      </c>
      <c r="C154" s="1">
        <v>42886</v>
      </c>
      <c r="D154" s="27">
        <v>761448</v>
      </c>
      <c r="E154" s="30">
        <v>2017</v>
      </c>
      <c r="F154" s="30">
        <v>2</v>
      </c>
      <c r="G154" s="1">
        <v>42835</v>
      </c>
      <c r="H154" s="27">
        <v>755291</v>
      </c>
      <c r="I154" s="24">
        <v>1328.4</v>
      </c>
      <c r="J154" s="24">
        <v>-1328.4</v>
      </c>
      <c r="K154" s="30">
        <v>15</v>
      </c>
      <c r="L154" s="30">
        <v>460</v>
      </c>
      <c r="M154" s="30">
        <v>60</v>
      </c>
      <c r="N154" s="30">
        <v>0</v>
      </c>
      <c r="O154" s="30">
        <v>8790</v>
      </c>
      <c r="P154" s="29" t="s">
        <v>542</v>
      </c>
      <c r="Q154" s="29" t="s">
        <v>413</v>
      </c>
      <c r="R154" s="140" t="s">
        <v>387</v>
      </c>
    </row>
    <row r="155" spans="1:18" hidden="1">
      <c r="A155" s="139">
        <v>2</v>
      </c>
      <c r="B155" s="30">
        <v>5</v>
      </c>
      <c r="C155" s="1">
        <v>42886</v>
      </c>
      <c r="D155" s="27">
        <v>761448</v>
      </c>
      <c r="E155" s="30">
        <v>2017</v>
      </c>
      <c r="F155" s="30">
        <v>2</v>
      </c>
      <c r="G155" s="1">
        <v>42835</v>
      </c>
      <c r="H155" s="27">
        <v>755291</v>
      </c>
      <c r="I155" s="24">
        <v>173</v>
      </c>
      <c r="J155" s="24">
        <v>-173</v>
      </c>
      <c r="K155" s="30">
        <v>15</v>
      </c>
      <c r="L155" s="30">
        <v>460</v>
      </c>
      <c r="M155" s="30">
        <v>85</v>
      </c>
      <c r="N155" s="30">
        <v>0</v>
      </c>
      <c r="O155" s="30">
        <v>8790</v>
      </c>
      <c r="P155" s="29" t="s">
        <v>542</v>
      </c>
      <c r="Q155" s="29" t="s">
        <v>413</v>
      </c>
      <c r="R155" s="140" t="s">
        <v>387</v>
      </c>
    </row>
    <row r="156" spans="1:18" hidden="1">
      <c r="A156" s="139">
        <v>2</v>
      </c>
      <c r="B156" s="30">
        <v>5</v>
      </c>
      <c r="C156" s="1">
        <v>42886</v>
      </c>
      <c r="D156" s="27">
        <v>761448</v>
      </c>
      <c r="E156" s="30">
        <v>2017</v>
      </c>
      <c r="F156" s="30">
        <v>1</v>
      </c>
      <c r="G156" s="1">
        <v>42745</v>
      </c>
      <c r="H156" s="27">
        <v>740276</v>
      </c>
      <c r="I156" s="24">
        <v>1255.5</v>
      </c>
      <c r="J156" s="24">
        <v>-1255.5</v>
      </c>
      <c r="K156" s="30">
        <v>161</v>
      </c>
      <c r="L156" s="30">
        <v>28</v>
      </c>
      <c r="M156" s="30">
        <v>60</v>
      </c>
      <c r="N156" s="30">
        <v>0</v>
      </c>
      <c r="O156" s="30">
        <v>78981</v>
      </c>
      <c r="P156" s="29" t="s">
        <v>510</v>
      </c>
      <c r="Q156" s="29" t="s">
        <v>511</v>
      </c>
      <c r="R156" s="140" t="s">
        <v>381</v>
      </c>
    </row>
    <row r="157" spans="1:18" hidden="1">
      <c r="A157" s="139">
        <v>2</v>
      </c>
      <c r="B157" s="30">
        <v>5</v>
      </c>
      <c r="C157" s="1">
        <v>42886</v>
      </c>
      <c r="D157" s="27">
        <v>761448</v>
      </c>
      <c r="E157" s="30">
        <v>2017</v>
      </c>
      <c r="F157" s="30">
        <v>1</v>
      </c>
      <c r="G157" s="1">
        <v>42745</v>
      </c>
      <c r="H157" s="27">
        <v>740276</v>
      </c>
      <c r="I157" s="24">
        <v>163</v>
      </c>
      <c r="J157" s="24">
        <v>-163</v>
      </c>
      <c r="K157" s="30">
        <v>161</v>
      </c>
      <c r="L157" s="30">
        <v>28</v>
      </c>
      <c r="M157" s="30">
        <v>85</v>
      </c>
      <c r="N157" s="30">
        <v>0</v>
      </c>
      <c r="O157" s="30">
        <v>78981</v>
      </c>
      <c r="P157" s="29" t="s">
        <v>510</v>
      </c>
      <c r="Q157" s="29" t="s">
        <v>511</v>
      </c>
      <c r="R157" s="140" t="s">
        <v>381</v>
      </c>
    </row>
    <row r="158" spans="1:18" hidden="1">
      <c r="A158" s="139">
        <v>2</v>
      </c>
      <c r="B158" s="30">
        <v>5</v>
      </c>
      <c r="C158" s="1">
        <v>42886</v>
      </c>
      <c r="D158" s="27">
        <v>761448</v>
      </c>
      <c r="E158" s="30">
        <v>2017</v>
      </c>
      <c r="F158" s="30">
        <v>1</v>
      </c>
      <c r="G158" s="1">
        <v>42776</v>
      </c>
      <c r="H158" s="27">
        <v>744978</v>
      </c>
      <c r="I158" s="24">
        <v>1255.5</v>
      </c>
      <c r="J158" s="24">
        <v>-1255.5</v>
      </c>
      <c r="K158" s="30">
        <v>161</v>
      </c>
      <c r="L158" s="30">
        <v>28</v>
      </c>
      <c r="M158" s="30">
        <v>60</v>
      </c>
      <c r="N158" s="30">
        <v>0</v>
      </c>
      <c r="O158" s="30">
        <v>78981</v>
      </c>
      <c r="P158" s="29" t="s">
        <v>510</v>
      </c>
      <c r="Q158" s="29" t="s">
        <v>511</v>
      </c>
      <c r="R158" s="140" t="s">
        <v>381</v>
      </c>
    </row>
    <row r="159" spans="1:18" hidden="1">
      <c r="A159" s="139">
        <v>2</v>
      </c>
      <c r="B159" s="30">
        <v>5</v>
      </c>
      <c r="C159" s="1">
        <v>42886</v>
      </c>
      <c r="D159" s="27">
        <v>761448</v>
      </c>
      <c r="E159" s="30">
        <v>2017</v>
      </c>
      <c r="F159" s="30">
        <v>1</v>
      </c>
      <c r="G159" s="1">
        <v>42776</v>
      </c>
      <c r="H159" s="27">
        <v>744978</v>
      </c>
      <c r="I159" s="24">
        <v>163</v>
      </c>
      <c r="J159" s="24">
        <v>-163</v>
      </c>
      <c r="K159" s="30">
        <v>161</v>
      </c>
      <c r="L159" s="30">
        <v>28</v>
      </c>
      <c r="M159" s="30">
        <v>85</v>
      </c>
      <c r="N159" s="30">
        <v>0</v>
      </c>
      <c r="O159" s="30">
        <v>78981</v>
      </c>
      <c r="P159" s="29" t="s">
        <v>510</v>
      </c>
      <c r="Q159" s="29" t="s">
        <v>511</v>
      </c>
      <c r="R159" s="140" t="s">
        <v>381</v>
      </c>
    </row>
    <row r="160" spans="1:18" hidden="1">
      <c r="A160" s="139">
        <v>2</v>
      </c>
      <c r="B160" s="30">
        <v>5</v>
      </c>
      <c r="C160" s="1">
        <v>42886</v>
      </c>
      <c r="D160" s="27">
        <v>761448</v>
      </c>
      <c r="E160" s="30">
        <v>2017</v>
      </c>
      <c r="F160" s="30">
        <v>2</v>
      </c>
      <c r="G160" s="1">
        <v>42835</v>
      </c>
      <c r="H160" s="27">
        <v>755291</v>
      </c>
      <c r="I160" s="24">
        <v>19381.98</v>
      </c>
      <c r="J160" s="24">
        <v>-19381.98</v>
      </c>
      <c r="K160" s="30">
        <v>9</v>
      </c>
      <c r="L160" s="30">
        <v>80</v>
      </c>
      <c r="M160" s="30">
        <v>60</v>
      </c>
      <c r="N160" s="30">
        <v>0</v>
      </c>
      <c r="O160" s="30">
        <v>7419</v>
      </c>
      <c r="P160" s="29" t="s">
        <v>537</v>
      </c>
      <c r="Q160" s="29" t="s">
        <v>413</v>
      </c>
      <c r="R160" s="140" t="s">
        <v>402</v>
      </c>
    </row>
    <row r="161" spans="1:18" hidden="1">
      <c r="A161" s="139">
        <v>2</v>
      </c>
      <c r="B161" s="30">
        <v>5</v>
      </c>
      <c r="C161" s="1">
        <v>42886</v>
      </c>
      <c r="D161" s="27">
        <v>761448</v>
      </c>
      <c r="E161" s="30">
        <v>2017</v>
      </c>
      <c r="F161" s="30">
        <v>2</v>
      </c>
      <c r="G161" s="1">
        <v>42835</v>
      </c>
      <c r="H161" s="27">
        <v>755291</v>
      </c>
      <c r="I161" s="24">
        <v>2520</v>
      </c>
      <c r="J161" s="24">
        <v>-2520</v>
      </c>
      <c r="K161" s="30">
        <v>9</v>
      </c>
      <c r="L161" s="30">
        <v>80</v>
      </c>
      <c r="M161" s="30">
        <v>85</v>
      </c>
      <c r="N161" s="30">
        <v>0</v>
      </c>
      <c r="O161" s="30">
        <v>7419</v>
      </c>
      <c r="P161" s="29" t="s">
        <v>537</v>
      </c>
      <c r="Q161" s="29" t="s">
        <v>413</v>
      </c>
      <c r="R161" s="140" t="s">
        <v>402</v>
      </c>
    </row>
    <row r="162" spans="1:18" hidden="1">
      <c r="A162" s="139">
        <v>2</v>
      </c>
      <c r="B162" s="30">
        <v>5</v>
      </c>
      <c r="C162" s="1">
        <v>42886</v>
      </c>
      <c r="D162" s="27">
        <v>761448</v>
      </c>
      <c r="E162" s="30">
        <v>2017</v>
      </c>
      <c r="F162" s="30">
        <v>1</v>
      </c>
      <c r="G162" s="1">
        <v>42745</v>
      </c>
      <c r="H162" s="27">
        <v>740276</v>
      </c>
      <c r="I162" s="24">
        <v>5002.6000000000004</v>
      </c>
      <c r="J162" s="24">
        <v>-5002.6000000000004</v>
      </c>
      <c r="K162" s="30">
        <v>13</v>
      </c>
      <c r="L162" s="30">
        <v>3324</v>
      </c>
      <c r="M162" s="30">
        <v>60</v>
      </c>
      <c r="N162" s="30">
        <v>0</v>
      </c>
      <c r="O162" s="30">
        <v>69070</v>
      </c>
      <c r="P162" s="29" t="s">
        <v>534</v>
      </c>
      <c r="Q162" s="29" t="s">
        <v>506</v>
      </c>
      <c r="R162" s="140" t="s">
        <v>479</v>
      </c>
    </row>
    <row r="163" spans="1:18" hidden="1">
      <c r="A163" s="139">
        <v>2</v>
      </c>
      <c r="B163" s="30">
        <v>5</v>
      </c>
      <c r="C163" s="1">
        <v>42886</v>
      </c>
      <c r="D163" s="27">
        <v>761448</v>
      </c>
      <c r="E163" s="30">
        <v>2017</v>
      </c>
      <c r="F163" s="30">
        <v>1</v>
      </c>
      <c r="G163" s="1">
        <v>42745</v>
      </c>
      <c r="H163" s="27">
        <v>740276</v>
      </c>
      <c r="I163" s="24">
        <v>650</v>
      </c>
      <c r="J163" s="24">
        <v>-650</v>
      </c>
      <c r="K163" s="30">
        <v>13</v>
      </c>
      <c r="L163" s="30">
        <v>3324</v>
      </c>
      <c r="M163" s="30">
        <v>85</v>
      </c>
      <c r="N163" s="30">
        <v>0</v>
      </c>
      <c r="O163" s="30">
        <v>69070</v>
      </c>
      <c r="P163" s="29" t="s">
        <v>534</v>
      </c>
      <c r="Q163" s="29" t="s">
        <v>506</v>
      </c>
      <c r="R163" s="140" t="s">
        <v>479</v>
      </c>
    </row>
    <row r="164" spans="1:18" hidden="1">
      <c r="A164" s="139">
        <v>2</v>
      </c>
      <c r="B164" s="30">
        <v>5</v>
      </c>
      <c r="C164" s="1">
        <v>42886</v>
      </c>
      <c r="D164" s="27">
        <v>761448</v>
      </c>
      <c r="E164" s="30">
        <v>2017</v>
      </c>
      <c r="F164" s="30">
        <v>1</v>
      </c>
      <c r="G164" s="1">
        <v>42776</v>
      </c>
      <c r="H164" s="27">
        <v>744978</v>
      </c>
      <c r="I164" s="24">
        <v>5002.6000000000004</v>
      </c>
      <c r="J164" s="24">
        <v>-5002.6000000000004</v>
      </c>
      <c r="K164" s="30">
        <v>13</v>
      </c>
      <c r="L164" s="30">
        <v>3324</v>
      </c>
      <c r="M164" s="30">
        <v>60</v>
      </c>
      <c r="N164" s="30">
        <v>0</v>
      </c>
      <c r="O164" s="30">
        <v>69070</v>
      </c>
      <c r="P164" s="29" t="s">
        <v>534</v>
      </c>
      <c r="Q164" s="29" t="s">
        <v>506</v>
      </c>
      <c r="R164" s="140" t="s">
        <v>479</v>
      </c>
    </row>
    <row r="165" spans="1:18" hidden="1">
      <c r="A165" s="139">
        <v>2</v>
      </c>
      <c r="B165" s="30">
        <v>5</v>
      </c>
      <c r="C165" s="1">
        <v>42886</v>
      </c>
      <c r="D165" s="27">
        <v>761448</v>
      </c>
      <c r="E165" s="30">
        <v>2017</v>
      </c>
      <c r="F165" s="30">
        <v>1</v>
      </c>
      <c r="G165" s="1">
        <v>42776</v>
      </c>
      <c r="H165" s="27">
        <v>744978</v>
      </c>
      <c r="I165" s="24">
        <v>651</v>
      </c>
      <c r="J165" s="24">
        <v>-651</v>
      </c>
      <c r="K165" s="30">
        <v>13</v>
      </c>
      <c r="L165" s="30">
        <v>3324</v>
      </c>
      <c r="M165" s="30">
        <v>85</v>
      </c>
      <c r="N165" s="30">
        <v>0</v>
      </c>
      <c r="O165" s="30">
        <v>69070</v>
      </c>
      <c r="P165" s="29" t="s">
        <v>534</v>
      </c>
      <c r="Q165" s="29" t="s">
        <v>506</v>
      </c>
      <c r="R165" s="140" t="s">
        <v>479</v>
      </c>
    </row>
    <row r="166" spans="1:18" hidden="1">
      <c r="A166" s="139">
        <v>2</v>
      </c>
      <c r="B166" s="30">
        <v>5</v>
      </c>
      <c r="C166" s="1">
        <v>42886</v>
      </c>
      <c r="D166" s="27">
        <v>761448</v>
      </c>
      <c r="E166" s="30">
        <v>2017</v>
      </c>
      <c r="F166" s="30">
        <v>1</v>
      </c>
      <c r="G166" s="1">
        <v>42804</v>
      </c>
      <c r="H166" s="27">
        <v>749816</v>
      </c>
      <c r="I166" s="24">
        <v>5002.6000000000004</v>
      </c>
      <c r="J166" s="24">
        <v>-5002.6000000000004</v>
      </c>
      <c r="K166" s="30">
        <v>13</v>
      </c>
      <c r="L166" s="30">
        <v>3324</v>
      </c>
      <c r="M166" s="30">
        <v>60</v>
      </c>
      <c r="N166" s="30">
        <v>0</v>
      </c>
      <c r="O166" s="30">
        <v>69070</v>
      </c>
      <c r="P166" s="29" t="s">
        <v>534</v>
      </c>
      <c r="Q166" s="29" t="s">
        <v>506</v>
      </c>
      <c r="R166" s="140" t="s">
        <v>479</v>
      </c>
    </row>
    <row r="167" spans="1:18" hidden="1">
      <c r="A167" s="139">
        <v>2</v>
      </c>
      <c r="B167" s="30">
        <v>5</v>
      </c>
      <c r="C167" s="1">
        <v>42886</v>
      </c>
      <c r="D167" s="27">
        <v>761448</v>
      </c>
      <c r="E167" s="30">
        <v>2017</v>
      </c>
      <c r="F167" s="30">
        <v>1</v>
      </c>
      <c r="G167" s="1">
        <v>42804</v>
      </c>
      <c r="H167" s="27">
        <v>749816</v>
      </c>
      <c r="I167" s="24">
        <v>650</v>
      </c>
      <c r="J167" s="24">
        <v>-650</v>
      </c>
      <c r="K167" s="30">
        <v>13</v>
      </c>
      <c r="L167" s="30">
        <v>3324</v>
      </c>
      <c r="M167" s="30">
        <v>85</v>
      </c>
      <c r="N167" s="30">
        <v>0</v>
      </c>
      <c r="O167" s="30">
        <v>69070</v>
      </c>
      <c r="P167" s="29" t="s">
        <v>534</v>
      </c>
      <c r="Q167" s="29" t="s">
        <v>506</v>
      </c>
      <c r="R167" s="140" t="s">
        <v>479</v>
      </c>
    </row>
    <row r="168" spans="1:18" hidden="1">
      <c r="A168" s="139">
        <v>2</v>
      </c>
      <c r="B168" s="30">
        <v>5</v>
      </c>
      <c r="C168" s="1">
        <v>42886</v>
      </c>
      <c r="D168" s="27">
        <v>761448</v>
      </c>
      <c r="E168" s="30">
        <v>2017</v>
      </c>
      <c r="F168" s="30">
        <v>2</v>
      </c>
      <c r="G168" s="1">
        <v>42835</v>
      </c>
      <c r="H168" s="27">
        <v>755291</v>
      </c>
      <c r="I168" s="24">
        <v>5002.6000000000004</v>
      </c>
      <c r="J168" s="24">
        <v>-5002.6000000000004</v>
      </c>
      <c r="K168" s="30">
        <v>13</v>
      </c>
      <c r="L168" s="30">
        <v>3324</v>
      </c>
      <c r="M168" s="30">
        <v>60</v>
      </c>
      <c r="N168" s="30">
        <v>0</v>
      </c>
      <c r="O168" s="30">
        <v>69070</v>
      </c>
      <c r="P168" s="29" t="s">
        <v>534</v>
      </c>
      <c r="Q168" s="29" t="s">
        <v>506</v>
      </c>
      <c r="R168" s="140" t="s">
        <v>479</v>
      </c>
    </row>
    <row r="169" spans="1:18" hidden="1">
      <c r="A169" s="139">
        <v>2</v>
      </c>
      <c r="B169" s="30">
        <v>5</v>
      </c>
      <c r="C169" s="1">
        <v>42886</v>
      </c>
      <c r="D169" s="27">
        <v>761448</v>
      </c>
      <c r="E169" s="30">
        <v>2017</v>
      </c>
      <c r="F169" s="30">
        <v>2</v>
      </c>
      <c r="G169" s="1">
        <v>42835</v>
      </c>
      <c r="H169" s="27">
        <v>755291</v>
      </c>
      <c r="I169" s="24">
        <v>650</v>
      </c>
      <c r="J169" s="24">
        <v>-650</v>
      </c>
      <c r="K169" s="30">
        <v>13</v>
      </c>
      <c r="L169" s="30">
        <v>3324</v>
      </c>
      <c r="M169" s="30">
        <v>85</v>
      </c>
      <c r="N169" s="30">
        <v>0</v>
      </c>
      <c r="O169" s="30">
        <v>69070</v>
      </c>
      <c r="P169" s="29" t="s">
        <v>534</v>
      </c>
      <c r="Q169" s="29" t="s">
        <v>506</v>
      </c>
      <c r="R169" s="140" t="s">
        <v>479</v>
      </c>
    </row>
    <row r="170" spans="1:18" hidden="1">
      <c r="A170" s="139">
        <v>2</v>
      </c>
      <c r="B170" s="30">
        <v>5</v>
      </c>
      <c r="C170" s="1">
        <v>42886</v>
      </c>
      <c r="D170" s="27">
        <v>761448</v>
      </c>
      <c r="E170" s="30">
        <v>2017</v>
      </c>
      <c r="F170" s="30">
        <v>2</v>
      </c>
      <c r="G170" s="1">
        <v>42835</v>
      </c>
      <c r="H170" s="27">
        <v>755297</v>
      </c>
      <c r="I170" s="24">
        <v>3416.76</v>
      </c>
      <c r="J170" s="24">
        <v>-3416.76</v>
      </c>
      <c r="K170" s="30">
        <v>24</v>
      </c>
      <c r="L170" s="30">
        <v>1692</v>
      </c>
      <c r="M170" s="30">
        <v>60</v>
      </c>
      <c r="N170" s="30">
        <v>0</v>
      </c>
      <c r="O170" s="30">
        <v>28502</v>
      </c>
      <c r="P170" s="29" t="s">
        <v>535</v>
      </c>
      <c r="Q170" s="29" t="s">
        <v>536</v>
      </c>
      <c r="R170" s="140" t="s">
        <v>435</v>
      </c>
    </row>
    <row r="171" spans="1:18" hidden="1">
      <c r="A171" s="139">
        <v>2</v>
      </c>
      <c r="B171" s="30">
        <v>5</v>
      </c>
      <c r="C171" s="1">
        <v>42886</v>
      </c>
      <c r="D171" s="27">
        <v>761448</v>
      </c>
      <c r="E171" s="30">
        <v>2017</v>
      </c>
      <c r="F171" s="30">
        <v>2</v>
      </c>
      <c r="G171" s="1">
        <v>42835</v>
      </c>
      <c r="H171" s="27">
        <v>755297</v>
      </c>
      <c r="I171" s="24">
        <v>444</v>
      </c>
      <c r="J171" s="24">
        <v>-444</v>
      </c>
      <c r="K171" s="30">
        <v>24</v>
      </c>
      <c r="L171" s="30">
        <v>1692</v>
      </c>
      <c r="M171" s="30">
        <v>85</v>
      </c>
      <c r="N171" s="30">
        <v>0</v>
      </c>
      <c r="O171" s="30">
        <v>28502</v>
      </c>
      <c r="P171" s="29" t="s">
        <v>535</v>
      </c>
      <c r="Q171" s="29" t="s">
        <v>536</v>
      </c>
      <c r="R171" s="140" t="s">
        <v>435</v>
      </c>
    </row>
    <row r="172" spans="1:18" hidden="1">
      <c r="A172" s="139">
        <v>2</v>
      </c>
      <c r="B172" s="30">
        <v>5</v>
      </c>
      <c r="C172" s="1">
        <v>42886</v>
      </c>
      <c r="D172" s="27">
        <v>761448</v>
      </c>
      <c r="E172" s="30">
        <v>2017</v>
      </c>
      <c r="F172" s="30">
        <v>2</v>
      </c>
      <c r="G172" s="1">
        <v>42858</v>
      </c>
      <c r="H172" s="27">
        <v>759733</v>
      </c>
      <c r="I172" s="24">
        <v>5440.1</v>
      </c>
      <c r="J172" s="24">
        <v>-5440.1</v>
      </c>
      <c r="K172" s="30">
        <v>140</v>
      </c>
      <c r="L172" s="30">
        <v>1057</v>
      </c>
      <c r="M172" s="30">
        <v>60</v>
      </c>
      <c r="N172" s="30">
        <v>0</v>
      </c>
      <c r="O172" s="30">
        <v>63756</v>
      </c>
      <c r="P172" s="29" t="s">
        <v>543</v>
      </c>
      <c r="Q172" s="29" t="s">
        <v>446</v>
      </c>
      <c r="R172" s="140" t="s">
        <v>544</v>
      </c>
    </row>
    <row r="173" spans="1:18" hidden="1">
      <c r="A173" s="139">
        <v>2</v>
      </c>
      <c r="B173" s="30">
        <v>5</v>
      </c>
      <c r="C173" s="1">
        <v>42886</v>
      </c>
      <c r="D173" s="27">
        <v>761448</v>
      </c>
      <c r="E173" s="30">
        <v>2017</v>
      </c>
      <c r="F173" s="30">
        <v>2</v>
      </c>
      <c r="G173" s="1">
        <v>42858</v>
      </c>
      <c r="H173" s="27">
        <v>759733</v>
      </c>
      <c r="I173" s="24">
        <v>707</v>
      </c>
      <c r="J173" s="24">
        <v>-707</v>
      </c>
      <c r="K173" s="30">
        <v>140</v>
      </c>
      <c r="L173" s="30">
        <v>1057</v>
      </c>
      <c r="M173" s="30">
        <v>85</v>
      </c>
      <c r="N173" s="30">
        <v>0</v>
      </c>
      <c r="O173" s="30">
        <v>63756</v>
      </c>
      <c r="P173" s="29" t="s">
        <v>543</v>
      </c>
      <c r="Q173" s="29" t="s">
        <v>446</v>
      </c>
      <c r="R173" s="140" t="s">
        <v>544</v>
      </c>
    </row>
    <row r="174" spans="1:18" hidden="1">
      <c r="A174" s="139">
        <v>2</v>
      </c>
      <c r="B174" s="30">
        <v>5</v>
      </c>
      <c r="C174" s="1">
        <v>42886</v>
      </c>
      <c r="D174" s="27">
        <v>761448</v>
      </c>
      <c r="E174" s="30">
        <v>2017</v>
      </c>
      <c r="F174" s="30">
        <v>2</v>
      </c>
      <c r="G174" s="1">
        <v>42859</v>
      </c>
      <c r="H174" s="27">
        <v>759727</v>
      </c>
      <c r="I174" s="24">
        <v>14887.7</v>
      </c>
      <c r="J174" s="24">
        <v>-14887.7</v>
      </c>
      <c r="K174" s="30">
        <v>7</v>
      </c>
      <c r="L174" s="30">
        <v>184</v>
      </c>
      <c r="M174" s="30">
        <v>60</v>
      </c>
      <c r="N174" s="30">
        <v>0</v>
      </c>
      <c r="O174" s="30">
        <v>2744</v>
      </c>
      <c r="P174" s="29" t="s">
        <v>545</v>
      </c>
      <c r="Q174" s="29" t="s">
        <v>493</v>
      </c>
      <c r="R174" s="140" t="s">
        <v>479</v>
      </c>
    </row>
    <row r="175" spans="1:18" hidden="1">
      <c r="A175" s="139">
        <v>2</v>
      </c>
      <c r="B175" s="30">
        <v>5</v>
      </c>
      <c r="C175" s="1">
        <v>42886</v>
      </c>
      <c r="D175" s="27">
        <v>761448</v>
      </c>
      <c r="E175" s="30">
        <v>2017</v>
      </c>
      <c r="F175" s="30">
        <v>2</v>
      </c>
      <c r="G175" s="1">
        <v>42859</v>
      </c>
      <c r="H175" s="27">
        <v>759727</v>
      </c>
      <c r="I175" s="24">
        <v>1935</v>
      </c>
      <c r="J175" s="24">
        <v>-1935</v>
      </c>
      <c r="K175" s="30">
        <v>7</v>
      </c>
      <c r="L175" s="30">
        <v>184</v>
      </c>
      <c r="M175" s="30">
        <v>85</v>
      </c>
      <c r="N175" s="30">
        <v>0</v>
      </c>
      <c r="O175" s="30">
        <v>2744</v>
      </c>
      <c r="P175" s="29" t="s">
        <v>545</v>
      </c>
      <c r="Q175" s="29" t="s">
        <v>493</v>
      </c>
      <c r="R175" s="140" t="s">
        <v>479</v>
      </c>
    </row>
    <row r="176" spans="1:18" hidden="1">
      <c r="A176" s="139">
        <v>2</v>
      </c>
      <c r="B176" s="30">
        <v>5</v>
      </c>
      <c r="C176" s="1">
        <v>42886</v>
      </c>
      <c r="D176" s="27">
        <v>761448</v>
      </c>
      <c r="E176" s="30">
        <v>2017</v>
      </c>
      <c r="F176" s="30">
        <v>1</v>
      </c>
      <c r="G176" s="1">
        <v>42804</v>
      </c>
      <c r="H176" s="27">
        <v>749821</v>
      </c>
      <c r="I176" s="24">
        <v>3026.2</v>
      </c>
      <c r="J176" s="24">
        <v>-3026.2</v>
      </c>
      <c r="K176" s="30">
        <v>140</v>
      </c>
      <c r="L176" s="30">
        <v>823</v>
      </c>
      <c r="M176" s="30">
        <v>60</v>
      </c>
      <c r="N176" s="30">
        <v>0</v>
      </c>
      <c r="O176" s="30">
        <v>60290</v>
      </c>
      <c r="P176" s="29" t="s">
        <v>538</v>
      </c>
      <c r="Q176" s="29" t="s">
        <v>539</v>
      </c>
      <c r="R176" s="140" t="s">
        <v>540</v>
      </c>
    </row>
    <row r="177" spans="1:18" hidden="1">
      <c r="A177" s="139">
        <v>2</v>
      </c>
      <c r="B177" s="30">
        <v>5</v>
      </c>
      <c r="C177" s="1">
        <v>42886</v>
      </c>
      <c r="D177" s="27">
        <v>761448</v>
      </c>
      <c r="E177" s="30">
        <v>2017</v>
      </c>
      <c r="F177" s="30">
        <v>1</v>
      </c>
      <c r="G177" s="1">
        <v>42804</v>
      </c>
      <c r="H177" s="27">
        <v>749821</v>
      </c>
      <c r="I177" s="24">
        <v>393</v>
      </c>
      <c r="J177" s="24">
        <v>-393</v>
      </c>
      <c r="K177" s="30">
        <v>140</v>
      </c>
      <c r="L177" s="30">
        <v>823</v>
      </c>
      <c r="M177" s="30">
        <v>85</v>
      </c>
      <c r="N177" s="30">
        <v>0</v>
      </c>
      <c r="O177" s="30">
        <v>60290</v>
      </c>
      <c r="P177" s="29" t="s">
        <v>538</v>
      </c>
      <c r="Q177" s="29" t="s">
        <v>539</v>
      </c>
      <c r="R177" s="140" t="s">
        <v>540</v>
      </c>
    </row>
    <row r="178" spans="1:18" hidden="1">
      <c r="A178" s="139">
        <v>2</v>
      </c>
      <c r="B178" s="30">
        <v>5</v>
      </c>
      <c r="C178" s="1">
        <v>42886</v>
      </c>
      <c r="D178" s="27">
        <v>761448</v>
      </c>
      <c r="E178" s="30">
        <v>2017</v>
      </c>
      <c r="F178" s="30">
        <v>2</v>
      </c>
      <c r="G178" s="1">
        <v>42835</v>
      </c>
      <c r="H178" s="27">
        <v>755297</v>
      </c>
      <c r="I178" s="24">
        <v>2738.92</v>
      </c>
      <c r="J178" s="24">
        <v>-2738.92</v>
      </c>
      <c r="K178" s="30">
        <v>39</v>
      </c>
      <c r="L178" s="30">
        <v>45</v>
      </c>
      <c r="M178" s="30">
        <v>60</v>
      </c>
      <c r="N178" s="30">
        <v>0</v>
      </c>
      <c r="O178" s="30">
        <v>31064</v>
      </c>
      <c r="P178" s="29" t="s">
        <v>526</v>
      </c>
      <c r="Q178" s="29" t="s">
        <v>431</v>
      </c>
      <c r="R178" s="140" t="s">
        <v>381</v>
      </c>
    </row>
    <row r="179" spans="1:18" hidden="1">
      <c r="A179" s="139">
        <v>2</v>
      </c>
      <c r="B179" s="30">
        <v>5</v>
      </c>
      <c r="C179" s="1">
        <v>42886</v>
      </c>
      <c r="D179" s="27">
        <v>761448</v>
      </c>
      <c r="E179" s="30">
        <v>2017</v>
      </c>
      <c r="F179" s="30">
        <v>2</v>
      </c>
      <c r="G179" s="1">
        <v>42835</v>
      </c>
      <c r="H179" s="27">
        <v>755297</v>
      </c>
      <c r="I179" s="24">
        <v>291</v>
      </c>
      <c r="J179" s="24">
        <v>-291</v>
      </c>
      <c r="K179" s="30">
        <v>39</v>
      </c>
      <c r="L179" s="30">
        <v>45</v>
      </c>
      <c r="M179" s="30">
        <v>85</v>
      </c>
      <c r="N179" s="30">
        <v>0</v>
      </c>
      <c r="O179" s="30">
        <v>31064</v>
      </c>
      <c r="P179" s="29" t="s">
        <v>526</v>
      </c>
      <c r="Q179" s="29" t="s">
        <v>431</v>
      </c>
      <c r="R179" s="140" t="s">
        <v>381</v>
      </c>
    </row>
    <row r="180" spans="1:18" hidden="1">
      <c r="A180" s="139">
        <v>2</v>
      </c>
      <c r="B180" s="30">
        <v>5</v>
      </c>
      <c r="C180" s="1">
        <v>42886</v>
      </c>
      <c r="D180" s="27">
        <v>761448</v>
      </c>
      <c r="E180" s="30">
        <v>2017</v>
      </c>
      <c r="F180" s="30">
        <v>2</v>
      </c>
      <c r="G180" s="1">
        <v>42835</v>
      </c>
      <c r="H180" s="27">
        <v>755297</v>
      </c>
      <c r="I180" s="24">
        <v>500</v>
      </c>
      <c r="J180" s="24">
        <v>-500</v>
      </c>
      <c r="K180" s="30">
        <v>39</v>
      </c>
      <c r="L180" s="30">
        <v>45</v>
      </c>
      <c r="M180" s="30">
        <v>1025</v>
      </c>
      <c r="N180" s="30">
        <v>0</v>
      </c>
      <c r="O180" s="30">
        <v>31064</v>
      </c>
      <c r="P180" s="29" t="s">
        <v>526</v>
      </c>
      <c r="Q180" s="29" t="s">
        <v>431</v>
      </c>
      <c r="R180" s="140" t="s">
        <v>381</v>
      </c>
    </row>
    <row r="181" spans="1:18" hidden="1">
      <c r="A181" s="139">
        <v>2</v>
      </c>
      <c r="B181" s="30">
        <v>5</v>
      </c>
      <c r="C181" s="1">
        <v>42886</v>
      </c>
      <c r="D181" s="27">
        <v>761448</v>
      </c>
      <c r="E181" s="30">
        <v>2017</v>
      </c>
      <c r="F181" s="30">
        <v>2</v>
      </c>
      <c r="G181" s="1">
        <v>42835</v>
      </c>
      <c r="H181" s="27">
        <v>755297</v>
      </c>
      <c r="I181" s="24">
        <v>2170.06</v>
      </c>
      <c r="J181" s="24">
        <v>-2170.06</v>
      </c>
      <c r="K181" s="30">
        <v>18</v>
      </c>
      <c r="L181" s="30">
        <v>1442</v>
      </c>
      <c r="M181" s="30">
        <v>60</v>
      </c>
      <c r="N181" s="30">
        <v>0</v>
      </c>
      <c r="O181" s="30">
        <v>40340</v>
      </c>
      <c r="P181" s="29" t="s">
        <v>530</v>
      </c>
      <c r="Q181" s="29" t="s">
        <v>531</v>
      </c>
      <c r="R181" s="140" t="s">
        <v>528</v>
      </c>
    </row>
    <row r="182" spans="1:18" hidden="1">
      <c r="A182" s="139">
        <v>2</v>
      </c>
      <c r="B182" s="30">
        <v>5</v>
      </c>
      <c r="C182" s="1">
        <v>42886</v>
      </c>
      <c r="D182" s="27">
        <v>761448</v>
      </c>
      <c r="E182" s="30">
        <v>2017</v>
      </c>
      <c r="F182" s="30">
        <v>2</v>
      </c>
      <c r="G182" s="1">
        <v>42835</v>
      </c>
      <c r="H182" s="27">
        <v>755297</v>
      </c>
      <c r="I182" s="24">
        <v>282</v>
      </c>
      <c r="J182" s="24">
        <v>-282</v>
      </c>
      <c r="K182" s="30">
        <v>18</v>
      </c>
      <c r="L182" s="30">
        <v>1442</v>
      </c>
      <c r="M182" s="30">
        <v>85</v>
      </c>
      <c r="N182" s="30">
        <v>0</v>
      </c>
      <c r="O182" s="30">
        <v>40340</v>
      </c>
      <c r="P182" s="29" t="s">
        <v>530</v>
      </c>
      <c r="Q182" s="29" t="s">
        <v>531</v>
      </c>
      <c r="R182" s="140" t="s">
        <v>528</v>
      </c>
    </row>
    <row r="183" spans="1:18" hidden="1">
      <c r="A183" s="139">
        <v>2</v>
      </c>
      <c r="B183" s="30">
        <v>5</v>
      </c>
      <c r="C183" s="1">
        <v>42886</v>
      </c>
      <c r="D183" s="27">
        <v>761448</v>
      </c>
      <c r="E183" s="30">
        <v>2017</v>
      </c>
      <c r="F183" s="30">
        <v>1</v>
      </c>
      <c r="G183" s="1">
        <v>42745</v>
      </c>
      <c r="H183" s="27">
        <v>740276</v>
      </c>
      <c r="I183" s="24">
        <v>5881.7</v>
      </c>
      <c r="J183" s="24">
        <v>-5881.7</v>
      </c>
      <c r="K183" s="30">
        <v>12</v>
      </c>
      <c r="L183" s="30">
        <v>6203</v>
      </c>
      <c r="M183" s="30">
        <v>60</v>
      </c>
      <c r="N183" s="30">
        <v>0</v>
      </c>
      <c r="O183" s="30">
        <v>57964</v>
      </c>
      <c r="P183" s="29" t="s">
        <v>529</v>
      </c>
      <c r="Q183" s="29" t="s">
        <v>457</v>
      </c>
      <c r="R183" s="140" t="s">
        <v>387</v>
      </c>
    </row>
    <row r="184" spans="1:18" hidden="1">
      <c r="A184" s="139">
        <v>2</v>
      </c>
      <c r="B184" s="30">
        <v>5</v>
      </c>
      <c r="C184" s="1">
        <v>42886</v>
      </c>
      <c r="D184" s="27">
        <v>761448</v>
      </c>
      <c r="E184" s="30">
        <v>2017</v>
      </c>
      <c r="F184" s="30">
        <v>1</v>
      </c>
      <c r="G184" s="1">
        <v>42745</v>
      </c>
      <c r="H184" s="27">
        <v>740276</v>
      </c>
      <c r="I184" s="24">
        <v>765</v>
      </c>
      <c r="J184" s="24">
        <v>-765</v>
      </c>
      <c r="K184" s="30">
        <v>12</v>
      </c>
      <c r="L184" s="30">
        <v>6203</v>
      </c>
      <c r="M184" s="30">
        <v>85</v>
      </c>
      <c r="N184" s="30">
        <v>0</v>
      </c>
      <c r="O184" s="30">
        <v>57964</v>
      </c>
      <c r="P184" s="29" t="s">
        <v>529</v>
      </c>
      <c r="Q184" s="29" t="s">
        <v>457</v>
      </c>
      <c r="R184" s="140" t="s">
        <v>387</v>
      </c>
    </row>
    <row r="185" spans="1:18" hidden="1">
      <c r="A185" s="139">
        <v>2</v>
      </c>
      <c r="B185" s="30">
        <v>5</v>
      </c>
      <c r="C185" s="1">
        <v>42886</v>
      </c>
      <c r="D185" s="27">
        <v>761448</v>
      </c>
      <c r="E185" s="30">
        <v>2017</v>
      </c>
      <c r="F185" s="30">
        <v>1</v>
      </c>
      <c r="G185" s="1">
        <v>42776</v>
      </c>
      <c r="H185" s="27">
        <v>744978</v>
      </c>
      <c r="I185" s="24">
        <v>5881.7</v>
      </c>
      <c r="J185" s="24">
        <v>-5881.7</v>
      </c>
      <c r="K185" s="30">
        <v>12</v>
      </c>
      <c r="L185" s="30">
        <v>6203</v>
      </c>
      <c r="M185" s="30">
        <v>60</v>
      </c>
      <c r="N185" s="30">
        <v>0</v>
      </c>
      <c r="O185" s="30">
        <v>57964</v>
      </c>
      <c r="P185" s="29" t="s">
        <v>529</v>
      </c>
      <c r="Q185" s="29" t="s">
        <v>457</v>
      </c>
      <c r="R185" s="140" t="s">
        <v>387</v>
      </c>
    </row>
    <row r="186" spans="1:18" hidden="1">
      <c r="A186" s="139">
        <v>2</v>
      </c>
      <c r="B186" s="30">
        <v>5</v>
      </c>
      <c r="C186" s="1">
        <v>42886</v>
      </c>
      <c r="D186" s="27">
        <v>761448</v>
      </c>
      <c r="E186" s="30">
        <v>2017</v>
      </c>
      <c r="F186" s="30">
        <v>1</v>
      </c>
      <c r="G186" s="1">
        <v>42776</v>
      </c>
      <c r="H186" s="27">
        <v>744978</v>
      </c>
      <c r="I186" s="24">
        <v>764</v>
      </c>
      <c r="J186" s="24">
        <v>-764</v>
      </c>
      <c r="K186" s="30">
        <v>12</v>
      </c>
      <c r="L186" s="30">
        <v>6203</v>
      </c>
      <c r="M186" s="30">
        <v>85</v>
      </c>
      <c r="N186" s="30">
        <v>0</v>
      </c>
      <c r="O186" s="30">
        <v>57964</v>
      </c>
      <c r="P186" s="29" t="s">
        <v>529</v>
      </c>
      <c r="Q186" s="29" t="s">
        <v>457</v>
      </c>
      <c r="R186" s="140" t="s">
        <v>387</v>
      </c>
    </row>
    <row r="187" spans="1:18" hidden="1">
      <c r="A187" s="139">
        <v>2</v>
      </c>
      <c r="B187" s="30">
        <v>5</v>
      </c>
      <c r="C187" s="1">
        <v>42886</v>
      </c>
      <c r="D187" s="27">
        <v>761448</v>
      </c>
      <c r="E187" s="30">
        <v>2017</v>
      </c>
      <c r="F187" s="30">
        <v>1</v>
      </c>
      <c r="G187" s="1">
        <v>42804</v>
      </c>
      <c r="H187" s="27">
        <v>749816</v>
      </c>
      <c r="I187" s="24">
        <v>5881.7</v>
      </c>
      <c r="J187" s="24">
        <v>-5881.7</v>
      </c>
      <c r="K187" s="30">
        <v>12</v>
      </c>
      <c r="L187" s="30">
        <v>6203</v>
      </c>
      <c r="M187" s="30">
        <v>60</v>
      </c>
      <c r="N187" s="30">
        <v>0</v>
      </c>
      <c r="O187" s="30">
        <v>57964</v>
      </c>
      <c r="P187" s="29" t="s">
        <v>529</v>
      </c>
      <c r="Q187" s="29" t="s">
        <v>457</v>
      </c>
      <c r="R187" s="140" t="s">
        <v>387</v>
      </c>
    </row>
    <row r="188" spans="1:18" hidden="1">
      <c r="A188" s="139">
        <v>2</v>
      </c>
      <c r="B188" s="30">
        <v>5</v>
      </c>
      <c r="C188" s="1">
        <v>42886</v>
      </c>
      <c r="D188" s="27">
        <v>761448</v>
      </c>
      <c r="E188" s="30">
        <v>2017</v>
      </c>
      <c r="F188" s="30">
        <v>1</v>
      </c>
      <c r="G188" s="1">
        <v>42804</v>
      </c>
      <c r="H188" s="27">
        <v>749816</v>
      </c>
      <c r="I188" s="24">
        <v>765</v>
      </c>
      <c r="J188" s="24">
        <v>-765</v>
      </c>
      <c r="K188" s="30">
        <v>12</v>
      </c>
      <c r="L188" s="30">
        <v>6203</v>
      </c>
      <c r="M188" s="30">
        <v>85</v>
      </c>
      <c r="N188" s="30">
        <v>0</v>
      </c>
      <c r="O188" s="30">
        <v>57964</v>
      </c>
      <c r="P188" s="29" t="s">
        <v>529</v>
      </c>
      <c r="Q188" s="29" t="s">
        <v>457</v>
      </c>
      <c r="R188" s="140" t="s">
        <v>387</v>
      </c>
    </row>
    <row r="189" spans="1:18" hidden="1">
      <c r="A189" s="139">
        <v>2</v>
      </c>
      <c r="B189" s="30">
        <v>5</v>
      </c>
      <c r="C189" s="1">
        <v>42886</v>
      </c>
      <c r="D189" s="27">
        <v>761448</v>
      </c>
      <c r="E189" s="30">
        <v>2017</v>
      </c>
      <c r="F189" s="30">
        <v>2</v>
      </c>
      <c r="G189" s="1">
        <v>42835</v>
      </c>
      <c r="H189" s="27">
        <v>755291</v>
      </c>
      <c r="I189" s="24">
        <v>5881.7</v>
      </c>
      <c r="J189" s="24">
        <v>-5881.7</v>
      </c>
      <c r="K189" s="30">
        <v>12</v>
      </c>
      <c r="L189" s="30">
        <v>6203</v>
      </c>
      <c r="M189" s="30">
        <v>60</v>
      </c>
      <c r="N189" s="30">
        <v>0</v>
      </c>
      <c r="O189" s="30">
        <v>57964</v>
      </c>
      <c r="P189" s="29" t="s">
        <v>529</v>
      </c>
      <c r="Q189" s="29" t="s">
        <v>457</v>
      </c>
      <c r="R189" s="140" t="s">
        <v>387</v>
      </c>
    </row>
    <row r="190" spans="1:18" hidden="1">
      <c r="A190" s="139">
        <v>2</v>
      </c>
      <c r="B190" s="30">
        <v>5</v>
      </c>
      <c r="C190" s="1">
        <v>42886</v>
      </c>
      <c r="D190" s="27">
        <v>761448</v>
      </c>
      <c r="E190" s="30">
        <v>2017</v>
      </c>
      <c r="F190" s="30">
        <v>2</v>
      </c>
      <c r="G190" s="1">
        <v>42835</v>
      </c>
      <c r="H190" s="27">
        <v>755291</v>
      </c>
      <c r="I190" s="24">
        <v>764</v>
      </c>
      <c r="J190" s="24">
        <v>-764</v>
      </c>
      <c r="K190" s="30">
        <v>12</v>
      </c>
      <c r="L190" s="30">
        <v>6203</v>
      </c>
      <c r="M190" s="30">
        <v>85</v>
      </c>
      <c r="N190" s="30">
        <v>0</v>
      </c>
      <c r="O190" s="30">
        <v>57964</v>
      </c>
      <c r="P190" s="29" t="s">
        <v>529</v>
      </c>
      <c r="Q190" s="29" t="s">
        <v>457</v>
      </c>
      <c r="R190" s="140" t="s">
        <v>387</v>
      </c>
    </row>
    <row r="191" spans="1:18">
      <c r="A191" s="139">
        <v>2</v>
      </c>
      <c r="B191" s="30">
        <v>6</v>
      </c>
      <c r="C191" s="1">
        <v>42888</v>
      </c>
      <c r="D191" s="27">
        <v>764887</v>
      </c>
      <c r="E191" s="30">
        <v>2016</v>
      </c>
      <c r="F191" s="30">
        <v>3</v>
      </c>
      <c r="G191" s="1">
        <v>42636</v>
      </c>
      <c r="H191" s="27">
        <v>722118</v>
      </c>
      <c r="I191" s="24">
        <v>277000</v>
      </c>
      <c r="J191" s="24">
        <v>-259000</v>
      </c>
      <c r="K191" s="30">
        <v>991</v>
      </c>
      <c r="L191" s="30">
        <v>6163</v>
      </c>
      <c r="M191" s="30">
        <v>55</v>
      </c>
      <c r="N191" s="30">
        <v>1</v>
      </c>
      <c r="O191" s="30">
        <v>181196</v>
      </c>
      <c r="P191" s="29" t="s">
        <v>547</v>
      </c>
      <c r="Q191" s="29" t="s">
        <v>383</v>
      </c>
      <c r="R191" s="140" t="s">
        <v>548</v>
      </c>
    </row>
    <row r="192" spans="1:18">
      <c r="A192" s="139">
        <v>2</v>
      </c>
      <c r="B192" s="30">
        <v>6</v>
      </c>
      <c r="C192" s="1">
        <v>42888</v>
      </c>
      <c r="D192" s="27">
        <v>764887</v>
      </c>
      <c r="E192" s="30">
        <v>2016</v>
      </c>
      <c r="F192" s="30">
        <v>3</v>
      </c>
      <c r="G192" s="1">
        <v>42636</v>
      </c>
      <c r="H192" s="27">
        <v>722118</v>
      </c>
      <c r="I192" s="24">
        <v>47746</v>
      </c>
      <c r="J192" s="24">
        <v>-33670</v>
      </c>
      <c r="K192" s="30">
        <v>991</v>
      </c>
      <c r="L192" s="30">
        <v>6163</v>
      </c>
      <c r="M192" s="30">
        <v>85</v>
      </c>
      <c r="N192" s="30">
        <v>2</v>
      </c>
      <c r="O192" s="30">
        <v>181196</v>
      </c>
      <c r="P192" s="29" t="s">
        <v>547</v>
      </c>
      <c r="Q192" s="29" t="s">
        <v>383</v>
      </c>
      <c r="R192" s="140" t="s">
        <v>548</v>
      </c>
    </row>
    <row r="193" spans="1:18">
      <c r="A193" s="139">
        <v>2</v>
      </c>
      <c r="B193" s="30">
        <v>6</v>
      </c>
      <c r="C193" s="1">
        <v>42888</v>
      </c>
      <c r="D193" s="27">
        <v>764859</v>
      </c>
      <c r="E193" s="30">
        <v>2016</v>
      </c>
      <c r="F193" s="30">
        <v>3</v>
      </c>
      <c r="G193" s="1">
        <v>42580</v>
      </c>
      <c r="H193" s="27">
        <v>712095</v>
      </c>
      <c r="I193" s="24">
        <v>76000</v>
      </c>
      <c r="J193" s="24">
        <v>-6000</v>
      </c>
      <c r="K193" s="30">
        <v>991</v>
      </c>
      <c r="L193" s="30">
        <v>26626</v>
      </c>
      <c r="M193" s="30">
        <v>55</v>
      </c>
      <c r="N193" s="30">
        <v>1</v>
      </c>
      <c r="O193" s="30">
        <v>309540</v>
      </c>
      <c r="P193" s="29" t="s">
        <v>549</v>
      </c>
      <c r="Q193" s="29" t="s">
        <v>413</v>
      </c>
      <c r="R193" s="140" t="s">
        <v>387</v>
      </c>
    </row>
    <row r="194" spans="1:18">
      <c r="A194" s="139">
        <v>2</v>
      </c>
      <c r="B194" s="30">
        <v>6</v>
      </c>
      <c r="C194" s="1">
        <v>42888</v>
      </c>
      <c r="D194" s="27">
        <v>764859</v>
      </c>
      <c r="E194" s="30">
        <v>2016</v>
      </c>
      <c r="F194" s="30">
        <v>3</v>
      </c>
      <c r="G194" s="1">
        <v>42580</v>
      </c>
      <c r="H194" s="27">
        <v>712095</v>
      </c>
      <c r="I194" s="24">
        <v>15904</v>
      </c>
      <c r="J194" s="24">
        <v>-780</v>
      </c>
      <c r="K194" s="30">
        <v>991</v>
      </c>
      <c r="L194" s="30">
        <v>26626</v>
      </c>
      <c r="M194" s="30">
        <v>85</v>
      </c>
      <c r="N194" s="30">
        <v>2</v>
      </c>
      <c r="O194" s="30">
        <v>309540</v>
      </c>
      <c r="P194" s="29" t="s">
        <v>549</v>
      </c>
      <c r="Q194" s="29" t="s">
        <v>413</v>
      </c>
      <c r="R194" s="140" t="s">
        <v>387</v>
      </c>
    </row>
    <row r="195" spans="1:18">
      <c r="A195" s="139">
        <v>2</v>
      </c>
      <c r="B195" s="30">
        <v>6</v>
      </c>
      <c r="C195" s="1">
        <v>42899</v>
      </c>
      <c r="D195" s="27">
        <v>767317</v>
      </c>
      <c r="E195" s="30">
        <v>2016</v>
      </c>
      <c r="F195" s="30">
        <v>3</v>
      </c>
      <c r="G195" s="1">
        <v>42636</v>
      </c>
      <c r="H195" s="27">
        <v>722108</v>
      </c>
      <c r="I195" s="24">
        <v>445000</v>
      </c>
      <c r="J195" s="24">
        <v>-445000</v>
      </c>
      <c r="K195" s="30">
        <v>991</v>
      </c>
      <c r="L195" s="30">
        <v>2325</v>
      </c>
      <c r="M195" s="30">
        <v>55</v>
      </c>
      <c r="N195" s="30">
        <v>1</v>
      </c>
      <c r="O195" s="30">
        <v>140164</v>
      </c>
      <c r="P195" s="29" t="s">
        <v>550</v>
      </c>
      <c r="Q195" s="29" t="s">
        <v>386</v>
      </c>
      <c r="R195" s="140" t="s">
        <v>408</v>
      </c>
    </row>
    <row r="196" spans="1:18">
      <c r="A196" s="139">
        <v>2</v>
      </c>
      <c r="B196" s="30">
        <v>6</v>
      </c>
      <c r="C196" s="1">
        <v>42899</v>
      </c>
      <c r="D196" s="27">
        <v>767317</v>
      </c>
      <c r="E196" s="30">
        <v>2016</v>
      </c>
      <c r="F196" s="30">
        <v>3</v>
      </c>
      <c r="G196" s="1">
        <v>42636</v>
      </c>
      <c r="H196" s="27">
        <v>722108</v>
      </c>
      <c r="I196" s="24">
        <v>91305</v>
      </c>
      <c r="J196" s="24">
        <v>-57850</v>
      </c>
      <c r="K196" s="30">
        <v>991</v>
      </c>
      <c r="L196" s="30">
        <v>2325</v>
      </c>
      <c r="M196" s="30">
        <v>85</v>
      </c>
      <c r="N196" s="30">
        <v>2</v>
      </c>
      <c r="O196" s="30">
        <v>140164</v>
      </c>
      <c r="P196" s="29" t="s">
        <v>550</v>
      </c>
      <c r="Q196" s="29" t="s">
        <v>386</v>
      </c>
      <c r="R196" s="140" t="s">
        <v>408</v>
      </c>
    </row>
    <row r="197" spans="1:18">
      <c r="A197" s="139">
        <v>2</v>
      </c>
      <c r="B197" s="30">
        <v>6</v>
      </c>
      <c r="C197" s="1">
        <v>42902</v>
      </c>
      <c r="D197" s="27">
        <v>768422</v>
      </c>
      <c r="E197" s="30">
        <v>2016</v>
      </c>
      <c r="F197" s="30">
        <v>2</v>
      </c>
      <c r="G197" s="1">
        <v>42517</v>
      </c>
      <c r="H197" s="27">
        <v>699657</v>
      </c>
      <c r="I197" s="24">
        <v>53500</v>
      </c>
      <c r="J197" s="24">
        <v>-53500</v>
      </c>
      <c r="K197" s="30">
        <v>991</v>
      </c>
      <c r="L197" s="30">
        <v>3534</v>
      </c>
      <c r="M197" s="30">
        <v>55</v>
      </c>
      <c r="N197" s="30">
        <v>1</v>
      </c>
      <c r="O197" s="30">
        <v>145851</v>
      </c>
      <c r="P197" s="29" t="s">
        <v>551</v>
      </c>
      <c r="Q197" s="29" t="s">
        <v>552</v>
      </c>
      <c r="R197" s="140" t="s">
        <v>387</v>
      </c>
    </row>
    <row r="198" spans="1:18">
      <c r="A198" s="139">
        <v>2</v>
      </c>
      <c r="B198" s="30">
        <v>6</v>
      </c>
      <c r="C198" s="1">
        <v>42902</v>
      </c>
      <c r="D198" s="27">
        <v>768422</v>
      </c>
      <c r="E198" s="30">
        <v>2016</v>
      </c>
      <c r="F198" s="30">
        <v>2</v>
      </c>
      <c r="G198" s="1">
        <v>42517</v>
      </c>
      <c r="H198" s="27">
        <v>699657</v>
      </c>
      <c r="I198" s="24">
        <v>10809</v>
      </c>
      <c r="J198" s="24">
        <v>-6955</v>
      </c>
      <c r="K198" s="30">
        <v>991</v>
      </c>
      <c r="L198" s="30">
        <v>3534</v>
      </c>
      <c r="M198" s="30">
        <v>85</v>
      </c>
      <c r="N198" s="30">
        <v>2</v>
      </c>
      <c r="O198" s="30">
        <v>145851</v>
      </c>
      <c r="P198" s="29" t="s">
        <v>551</v>
      </c>
      <c r="Q198" s="29" t="s">
        <v>552</v>
      </c>
      <c r="R198" s="140" t="s">
        <v>387</v>
      </c>
    </row>
    <row r="199" spans="1:18">
      <c r="A199" s="139">
        <v>2</v>
      </c>
      <c r="B199" s="30">
        <v>6</v>
      </c>
      <c r="C199" s="1">
        <v>42907</v>
      </c>
      <c r="D199" s="27">
        <v>769500</v>
      </c>
      <c r="E199" s="30">
        <v>2016</v>
      </c>
      <c r="F199" s="30">
        <v>4</v>
      </c>
      <c r="G199" s="1">
        <v>42706</v>
      </c>
      <c r="H199" s="27">
        <v>733172</v>
      </c>
      <c r="I199" s="24">
        <v>4000</v>
      </c>
      <c r="J199" s="24">
        <v>-4000</v>
      </c>
      <c r="K199" s="30">
        <v>991</v>
      </c>
      <c r="L199" s="30">
        <v>64983</v>
      </c>
      <c r="M199" s="30">
        <v>55</v>
      </c>
      <c r="N199" s="30">
        <v>1</v>
      </c>
      <c r="O199" s="30">
        <v>1023212</v>
      </c>
      <c r="P199" s="29" t="s">
        <v>553</v>
      </c>
      <c r="Q199" s="29" t="s">
        <v>554</v>
      </c>
      <c r="R199" s="140" t="s">
        <v>555</v>
      </c>
    </row>
    <row r="200" spans="1:18">
      <c r="A200" s="139">
        <v>2</v>
      </c>
      <c r="B200" s="30">
        <v>6</v>
      </c>
      <c r="C200" s="1">
        <v>42907</v>
      </c>
      <c r="D200" s="27">
        <v>769500</v>
      </c>
      <c r="E200" s="30">
        <v>2016</v>
      </c>
      <c r="F200" s="30">
        <v>4</v>
      </c>
      <c r="G200" s="1">
        <v>42706</v>
      </c>
      <c r="H200" s="27">
        <v>733172</v>
      </c>
      <c r="I200" s="24">
        <v>832</v>
      </c>
      <c r="J200" s="24">
        <v>-520</v>
      </c>
      <c r="K200" s="30">
        <v>991</v>
      </c>
      <c r="L200" s="30">
        <v>64983</v>
      </c>
      <c r="M200" s="30">
        <v>85</v>
      </c>
      <c r="N200" s="30">
        <v>2</v>
      </c>
      <c r="O200" s="30">
        <v>1023212</v>
      </c>
      <c r="P200" s="29" t="s">
        <v>553</v>
      </c>
      <c r="Q200" s="29" t="s">
        <v>554</v>
      </c>
      <c r="R200" s="140" t="s">
        <v>555</v>
      </c>
    </row>
    <row r="201" spans="1:18" hidden="1">
      <c r="A201" s="139">
        <v>2</v>
      </c>
      <c r="B201" s="30">
        <v>6</v>
      </c>
      <c r="C201" s="1">
        <v>42907</v>
      </c>
      <c r="D201" s="27">
        <v>769482</v>
      </c>
      <c r="E201" s="30">
        <v>2017</v>
      </c>
      <c r="F201" s="30">
        <v>2</v>
      </c>
      <c r="G201" s="1">
        <v>42853</v>
      </c>
      <c r="H201" s="27">
        <v>759615</v>
      </c>
      <c r="I201" s="24">
        <v>12000</v>
      </c>
      <c r="J201" s="24">
        <v>-12000</v>
      </c>
      <c r="K201" s="30">
        <v>991</v>
      </c>
      <c r="L201" s="30">
        <v>6779</v>
      </c>
      <c r="M201" s="30">
        <v>55</v>
      </c>
      <c r="N201" s="30">
        <v>1</v>
      </c>
      <c r="O201" s="30">
        <v>183799</v>
      </c>
      <c r="P201" s="29" t="s">
        <v>556</v>
      </c>
      <c r="Q201" s="29" t="s">
        <v>425</v>
      </c>
      <c r="R201" s="140" t="s">
        <v>482</v>
      </c>
    </row>
    <row r="202" spans="1:18" hidden="1">
      <c r="A202" s="139">
        <v>2</v>
      </c>
      <c r="B202" s="30">
        <v>6</v>
      </c>
      <c r="C202" s="1">
        <v>42907</v>
      </c>
      <c r="D202" s="27">
        <v>769482</v>
      </c>
      <c r="E202" s="30">
        <v>2017</v>
      </c>
      <c r="F202" s="30">
        <v>2</v>
      </c>
      <c r="G202" s="1">
        <v>42853</v>
      </c>
      <c r="H202" s="27">
        <v>759615</v>
      </c>
      <c r="I202" s="24">
        <v>10316</v>
      </c>
      <c r="J202" s="24">
        <v>-1560</v>
      </c>
      <c r="K202" s="30">
        <v>991</v>
      </c>
      <c r="L202" s="30">
        <v>6779</v>
      </c>
      <c r="M202" s="30">
        <v>85</v>
      </c>
      <c r="N202" s="30">
        <v>2</v>
      </c>
      <c r="O202" s="30">
        <v>183799</v>
      </c>
      <c r="P202" s="29" t="s">
        <v>556</v>
      </c>
      <c r="Q202" s="29" t="s">
        <v>425</v>
      </c>
      <c r="R202" s="140" t="s">
        <v>482</v>
      </c>
    </row>
    <row r="203" spans="1:18" hidden="1">
      <c r="A203" s="139">
        <v>2</v>
      </c>
      <c r="B203" s="30">
        <v>6</v>
      </c>
      <c r="C203" s="1">
        <v>42916</v>
      </c>
      <c r="D203" s="27">
        <v>765499</v>
      </c>
      <c r="E203" s="30">
        <v>2017</v>
      </c>
      <c r="F203" s="30">
        <v>2</v>
      </c>
      <c r="G203" s="1">
        <v>42859</v>
      </c>
      <c r="H203" s="27">
        <v>759727</v>
      </c>
      <c r="I203" s="24">
        <v>5727.8</v>
      </c>
      <c r="J203" s="24">
        <v>-5727.8</v>
      </c>
      <c r="K203" s="30">
        <v>16</v>
      </c>
      <c r="L203" s="30">
        <v>982</v>
      </c>
      <c r="M203" s="30">
        <v>60</v>
      </c>
      <c r="N203" s="30">
        <v>0</v>
      </c>
      <c r="O203" s="30">
        <v>96235</v>
      </c>
      <c r="P203" s="29" t="s">
        <v>568</v>
      </c>
      <c r="Q203" s="29" t="s">
        <v>413</v>
      </c>
      <c r="R203" s="140" t="s">
        <v>384</v>
      </c>
    </row>
    <row r="204" spans="1:18" hidden="1">
      <c r="A204" s="139">
        <v>2</v>
      </c>
      <c r="B204" s="30">
        <v>6</v>
      </c>
      <c r="C204" s="1">
        <v>42916</v>
      </c>
      <c r="D204" s="27">
        <v>765499</v>
      </c>
      <c r="E204" s="30">
        <v>2017</v>
      </c>
      <c r="F204" s="30">
        <v>2</v>
      </c>
      <c r="G204" s="1">
        <v>42859</v>
      </c>
      <c r="H204" s="27">
        <v>759727</v>
      </c>
      <c r="I204" s="24">
        <v>745</v>
      </c>
      <c r="J204" s="24">
        <v>-745</v>
      </c>
      <c r="K204" s="30">
        <v>16</v>
      </c>
      <c r="L204" s="30">
        <v>982</v>
      </c>
      <c r="M204" s="30">
        <v>85</v>
      </c>
      <c r="N204" s="30">
        <v>0</v>
      </c>
      <c r="O204" s="30">
        <v>96235</v>
      </c>
      <c r="P204" s="29" t="s">
        <v>568</v>
      </c>
      <c r="Q204" s="29" t="s">
        <v>413</v>
      </c>
      <c r="R204" s="140" t="s">
        <v>384</v>
      </c>
    </row>
    <row r="205" spans="1:18" hidden="1">
      <c r="A205" s="139">
        <v>2</v>
      </c>
      <c r="B205" s="30">
        <v>6</v>
      </c>
      <c r="C205" s="1">
        <v>42916</v>
      </c>
      <c r="D205" s="27">
        <v>765499</v>
      </c>
      <c r="E205" s="30">
        <v>2017</v>
      </c>
      <c r="F205" s="30">
        <v>2</v>
      </c>
      <c r="G205" s="1">
        <v>42835</v>
      </c>
      <c r="H205" s="27">
        <v>755302</v>
      </c>
      <c r="I205" s="24">
        <v>5328.1</v>
      </c>
      <c r="J205" s="24">
        <v>-5328.1</v>
      </c>
      <c r="K205" s="30">
        <v>335</v>
      </c>
      <c r="L205" s="30">
        <v>76</v>
      </c>
      <c r="M205" s="30">
        <v>60</v>
      </c>
      <c r="N205" s="30">
        <v>0</v>
      </c>
      <c r="O205" s="30">
        <v>225423</v>
      </c>
      <c r="P205" s="29" t="s">
        <v>562</v>
      </c>
      <c r="Q205" s="29" t="s">
        <v>563</v>
      </c>
      <c r="R205" s="140" t="s">
        <v>564</v>
      </c>
    </row>
    <row r="206" spans="1:18" hidden="1">
      <c r="A206" s="139">
        <v>2</v>
      </c>
      <c r="B206" s="30">
        <v>6</v>
      </c>
      <c r="C206" s="1">
        <v>42916</v>
      </c>
      <c r="D206" s="27">
        <v>765499</v>
      </c>
      <c r="E206" s="30">
        <v>2017</v>
      </c>
      <c r="F206" s="30">
        <v>2</v>
      </c>
      <c r="G206" s="1">
        <v>42835</v>
      </c>
      <c r="H206" s="27">
        <v>755302</v>
      </c>
      <c r="I206" s="24">
        <v>628</v>
      </c>
      <c r="J206" s="24">
        <v>-628</v>
      </c>
      <c r="K206" s="30">
        <v>335</v>
      </c>
      <c r="L206" s="30">
        <v>76</v>
      </c>
      <c r="M206" s="30">
        <v>85</v>
      </c>
      <c r="N206" s="30">
        <v>0</v>
      </c>
      <c r="O206" s="30">
        <v>225423</v>
      </c>
      <c r="P206" s="29" t="s">
        <v>562</v>
      </c>
      <c r="Q206" s="29" t="s">
        <v>563</v>
      </c>
      <c r="R206" s="140" t="s">
        <v>564</v>
      </c>
    </row>
    <row r="207" spans="1:18" hidden="1">
      <c r="A207" s="139">
        <v>2</v>
      </c>
      <c r="B207" s="30">
        <v>6</v>
      </c>
      <c r="C207" s="1">
        <v>42916</v>
      </c>
      <c r="D207" s="27">
        <v>765499</v>
      </c>
      <c r="E207" s="30">
        <v>2017</v>
      </c>
      <c r="F207" s="30">
        <v>2</v>
      </c>
      <c r="G207" s="1">
        <v>42835</v>
      </c>
      <c r="H207" s="27">
        <v>755302</v>
      </c>
      <c r="I207" s="24">
        <v>500</v>
      </c>
      <c r="J207" s="24">
        <v>-500</v>
      </c>
      <c r="K207" s="30">
        <v>335</v>
      </c>
      <c r="L207" s="30">
        <v>76</v>
      </c>
      <c r="M207" s="30">
        <v>1025</v>
      </c>
      <c r="N207" s="30">
        <v>0</v>
      </c>
      <c r="O207" s="30">
        <v>225423</v>
      </c>
      <c r="P207" s="29" t="s">
        <v>562</v>
      </c>
      <c r="Q207" s="29" t="s">
        <v>563</v>
      </c>
      <c r="R207" s="140" t="s">
        <v>564</v>
      </c>
    </row>
    <row r="208" spans="1:18" hidden="1">
      <c r="A208" s="139">
        <v>2</v>
      </c>
      <c r="B208" s="30">
        <v>6</v>
      </c>
      <c r="C208" s="1">
        <v>42916</v>
      </c>
      <c r="D208" s="27">
        <v>770339</v>
      </c>
      <c r="E208" s="30">
        <v>2017</v>
      </c>
      <c r="F208" s="30">
        <v>2</v>
      </c>
      <c r="G208" s="1">
        <v>42907</v>
      </c>
      <c r="H208" s="27">
        <v>769491</v>
      </c>
      <c r="I208" s="24">
        <v>10000</v>
      </c>
      <c r="J208" s="24">
        <v>-10000</v>
      </c>
      <c r="K208" s="30">
        <v>991</v>
      </c>
      <c r="L208" s="30">
        <v>39098</v>
      </c>
      <c r="M208" s="30">
        <v>55</v>
      </c>
      <c r="N208" s="30">
        <v>1</v>
      </c>
      <c r="O208" s="30">
        <v>570476</v>
      </c>
      <c r="P208" s="29" t="s">
        <v>557</v>
      </c>
      <c r="Q208" s="29" t="s">
        <v>558</v>
      </c>
      <c r="R208" s="140" t="s">
        <v>559</v>
      </c>
    </row>
    <row r="209" spans="1:18" hidden="1">
      <c r="A209" s="139">
        <v>2</v>
      </c>
      <c r="B209" s="30">
        <v>6</v>
      </c>
      <c r="C209" s="1">
        <v>42916</v>
      </c>
      <c r="D209" s="27">
        <v>770339</v>
      </c>
      <c r="E209" s="30">
        <v>2017</v>
      </c>
      <c r="F209" s="30">
        <v>2</v>
      </c>
      <c r="G209" s="1">
        <v>42907</v>
      </c>
      <c r="H209" s="27">
        <v>769491</v>
      </c>
      <c r="I209" s="24">
        <v>4087</v>
      </c>
      <c r="J209" s="24">
        <v>-1300</v>
      </c>
      <c r="K209" s="30">
        <v>991</v>
      </c>
      <c r="L209" s="30">
        <v>39098</v>
      </c>
      <c r="M209" s="30">
        <v>85</v>
      </c>
      <c r="N209" s="30">
        <v>2</v>
      </c>
      <c r="O209" s="30">
        <v>570476</v>
      </c>
      <c r="P209" s="29" t="s">
        <v>557</v>
      </c>
      <c r="Q209" s="29" t="s">
        <v>558</v>
      </c>
      <c r="R209" s="140" t="s">
        <v>559</v>
      </c>
    </row>
    <row r="210" spans="1:18" hidden="1">
      <c r="A210" s="139">
        <v>2</v>
      </c>
      <c r="B210" s="30">
        <v>6</v>
      </c>
      <c r="C210" s="1">
        <v>42916</v>
      </c>
      <c r="D210" s="27">
        <v>765499</v>
      </c>
      <c r="E210" s="30">
        <v>2017</v>
      </c>
      <c r="F210" s="30">
        <v>1</v>
      </c>
      <c r="G210" s="1">
        <v>42745</v>
      </c>
      <c r="H210" s="27">
        <v>740276</v>
      </c>
      <c r="I210" s="24">
        <v>5931.8</v>
      </c>
      <c r="J210" s="24">
        <v>-5931.8</v>
      </c>
      <c r="K210" s="30">
        <v>7</v>
      </c>
      <c r="L210" s="30">
        <v>3870</v>
      </c>
      <c r="M210" s="30">
        <v>60</v>
      </c>
      <c r="N210" s="30">
        <v>0</v>
      </c>
      <c r="O210" s="30">
        <v>35430</v>
      </c>
      <c r="P210" s="29" t="s">
        <v>573</v>
      </c>
      <c r="Q210" s="29" t="s">
        <v>574</v>
      </c>
      <c r="R210" s="140" t="s">
        <v>575</v>
      </c>
    </row>
    <row r="211" spans="1:18" hidden="1">
      <c r="A211" s="139">
        <v>2</v>
      </c>
      <c r="B211" s="30">
        <v>6</v>
      </c>
      <c r="C211" s="1">
        <v>42916</v>
      </c>
      <c r="D211" s="27">
        <v>765499</v>
      </c>
      <c r="E211" s="30">
        <v>2017</v>
      </c>
      <c r="F211" s="30">
        <v>1</v>
      </c>
      <c r="G211" s="1">
        <v>42745</v>
      </c>
      <c r="H211" s="27">
        <v>740276</v>
      </c>
      <c r="I211" s="24">
        <v>771</v>
      </c>
      <c r="J211" s="24">
        <v>-771</v>
      </c>
      <c r="K211" s="30">
        <v>7</v>
      </c>
      <c r="L211" s="30">
        <v>3870</v>
      </c>
      <c r="M211" s="30">
        <v>85</v>
      </c>
      <c r="N211" s="30">
        <v>0</v>
      </c>
      <c r="O211" s="30">
        <v>35430</v>
      </c>
      <c r="P211" s="29" t="s">
        <v>573</v>
      </c>
      <c r="Q211" s="29" t="s">
        <v>574</v>
      </c>
      <c r="R211" s="140" t="s">
        <v>575</v>
      </c>
    </row>
    <row r="212" spans="1:18" hidden="1">
      <c r="A212" s="139">
        <v>2</v>
      </c>
      <c r="B212" s="30">
        <v>6</v>
      </c>
      <c r="C212" s="1">
        <v>42916</v>
      </c>
      <c r="D212" s="27">
        <v>765499</v>
      </c>
      <c r="E212" s="30">
        <v>2017</v>
      </c>
      <c r="F212" s="30">
        <v>1</v>
      </c>
      <c r="G212" s="1">
        <v>42776</v>
      </c>
      <c r="H212" s="27">
        <v>744978</v>
      </c>
      <c r="I212" s="24">
        <v>5931.8</v>
      </c>
      <c r="J212" s="24">
        <v>-5931.8</v>
      </c>
      <c r="K212" s="30">
        <v>7</v>
      </c>
      <c r="L212" s="30">
        <v>3870</v>
      </c>
      <c r="M212" s="30">
        <v>60</v>
      </c>
      <c r="N212" s="30">
        <v>0</v>
      </c>
      <c r="O212" s="30">
        <v>35430</v>
      </c>
      <c r="P212" s="29" t="s">
        <v>573</v>
      </c>
      <c r="Q212" s="29" t="s">
        <v>574</v>
      </c>
      <c r="R212" s="140" t="s">
        <v>575</v>
      </c>
    </row>
    <row r="213" spans="1:18" hidden="1">
      <c r="A213" s="139">
        <v>2</v>
      </c>
      <c r="B213" s="30">
        <v>6</v>
      </c>
      <c r="C213" s="1">
        <v>42916</v>
      </c>
      <c r="D213" s="27">
        <v>765499</v>
      </c>
      <c r="E213" s="30">
        <v>2017</v>
      </c>
      <c r="F213" s="30">
        <v>1</v>
      </c>
      <c r="G213" s="1">
        <v>42776</v>
      </c>
      <c r="H213" s="27">
        <v>744978</v>
      </c>
      <c r="I213" s="24">
        <v>771</v>
      </c>
      <c r="J213" s="24">
        <v>-771</v>
      </c>
      <c r="K213" s="30">
        <v>7</v>
      </c>
      <c r="L213" s="30">
        <v>3870</v>
      </c>
      <c r="M213" s="30">
        <v>85</v>
      </c>
      <c r="N213" s="30">
        <v>0</v>
      </c>
      <c r="O213" s="30">
        <v>35430</v>
      </c>
      <c r="P213" s="29" t="s">
        <v>573</v>
      </c>
      <c r="Q213" s="29" t="s">
        <v>574</v>
      </c>
      <c r="R213" s="140" t="s">
        <v>575</v>
      </c>
    </row>
    <row r="214" spans="1:18" hidden="1">
      <c r="A214" s="139">
        <v>2</v>
      </c>
      <c r="B214" s="30">
        <v>6</v>
      </c>
      <c r="C214" s="1">
        <v>42916</v>
      </c>
      <c r="D214" s="27">
        <v>765499</v>
      </c>
      <c r="E214" s="30">
        <v>2017</v>
      </c>
      <c r="F214" s="30">
        <v>1</v>
      </c>
      <c r="G214" s="1">
        <v>42804</v>
      </c>
      <c r="H214" s="27">
        <v>749816</v>
      </c>
      <c r="I214" s="24">
        <v>5931.8</v>
      </c>
      <c r="J214" s="24">
        <v>-5931.8</v>
      </c>
      <c r="K214" s="30">
        <v>7</v>
      </c>
      <c r="L214" s="30">
        <v>3870</v>
      </c>
      <c r="M214" s="30">
        <v>60</v>
      </c>
      <c r="N214" s="30">
        <v>0</v>
      </c>
      <c r="O214" s="30">
        <v>35430</v>
      </c>
      <c r="P214" s="29" t="s">
        <v>573</v>
      </c>
      <c r="Q214" s="29" t="s">
        <v>574</v>
      </c>
      <c r="R214" s="140" t="s">
        <v>575</v>
      </c>
    </row>
    <row r="215" spans="1:18" hidden="1">
      <c r="A215" s="139">
        <v>2</v>
      </c>
      <c r="B215" s="30">
        <v>6</v>
      </c>
      <c r="C215" s="1">
        <v>42916</v>
      </c>
      <c r="D215" s="27">
        <v>765499</v>
      </c>
      <c r="E215" s="30">
        <v>2017</v>
      </c>
      <c r="F215" s="30">
        <v>1</v>
      </c>
      <c r="G215" s="1">
        <v>42804</v>
      </c>
      <c r="H215" s="27">
        <v>749816</v>
      </c>
      <c r="I215" s="24">
        <v>771</v>
      </c>
      <c r="J215" s="24">
        <v>-771</v>
      </c>
      <c r="K215" s="30">
        <v>7</v>
      </c>
      <c r="L215" s="30">
        <v>3870</v>
      </c>
      <c r="M215" s="30">
        <v>85</v>
      </c>
      <c r="N215" s="30">
        <v>0</v>
      </c>
      <c r="O215" s="30">
        <v>35430</v>
      </c>
      <c r="P215" s="29" t="s">
        <v>573</v>
      </c>
      <c r="Q215" s="29" t="s">
        <v>574</v>
      </c>
      <c r="R215" s="140" t="s">
        <v>575</v>
      </c>
    </row>
    <row r="216" spans="1:18" hidden="1">
      <c r="A216" s="139">
        <v>2</v>
      </c>
      <c r="B216" s="30">
        <v>6</v>
      </c>
      <c r="C216" s="1">
        <v>42916</v>
      </c>
      <c r="D216" s="27">
        <v>765499</v>
      </c>
      <c r="E216" s="30">
        <v>2017</v>
      </c>
      <c r="F216" s="30">
        <v>2</v>
      </c>
      <c r="G216" s="1">
        <v>42835</v>
      </c>
      <c r="H216" s="27">
        <v>755291</v>
      </c>
      <c r="I216" s="24">
        <v>5931.8</v>
      </c>
      <c r="J216" s="24">
        <v>-5931.8</v>
      </c>
      <c r="K216" s="30">
        <v>7</v>
      </c>
      <c r="L216" s="30">
        <v>3870</v>
      </c>
      <c r="M216" s="30">
        <v>60</v>
      </c>
      <c r="N216" s="30">
        <v>0</v>
      </c>
      <c r="O216" s="30">
        <v>35430</v>
      </c>
      <c r="P216" s="29" t="s">
        <v>573</v>
      </c>
      <c r="Q216" s="29" t="s">
        <v>574</v>
      </c>
      <c r="R216" s="140" t="s">
        <v>575</v>
      </c>
    </row>
    <row r="217" spans="1:18" hidden="1">
      <c r="A217" s="139">
        <v>2</v>
      </c>
      <c r="B217" s="30">
        <v>6</v>
      </c>
      <c r="C217" s="1">
        <v>42916</v>
      </c>
      <c r="D217" s="27">
        <v>765499</v>
      </c>
      <c r="E217" s="30">
        <v>2017</v>
      </c>
      <c r="F217" s="30">
        <v>2</v>
      </c>
      <c r="G217" s="1">
        <v>42835</v>
      </c>
      <c r="H217" s="27">
        <v>755291</v>
      </c>
      <c r="I217" s="24">
        <v>772</v>
      </c>
      <c r="J217" s="24">
        <v>-772</v>
      </c>
      <c r="K217" s="30">
        <v>7</v>
      </c>
      <c r="L217" s="30">
        <v>3870</v>
      </c>
      <c r="M217" s="30">
        <v>85</v>
      </c>
      <c r="N217" s="30">
        <v>0</v>
      </c>
      <c r="O217" s="30">
        <v>35430</v>
      </c>
      <c r="P217" s="29" t="s">
        <v>573</v>
      </c>
      <c r="Q217" s="29" t="s">
        <v>574</v>
      </c>
      <c r="R217" s="140" t="s">
        <v>575</v>
      </c>
    </row>
    <row r="218" spans="1:18" hidden="1">
      <c r="A218" s="139">
        <v>2</v>
      </c>
      <c r="B218" s="30">
        <v>6</v>
      </c>
      <c r="C218" s="1">
        <v>42916</v>
      </c>
      <c r="D218" s="27">
        <v>765499</v>
      </c>
      <c r="E218" s="30">
        <v>2017</v>
      </c>
      <c r="F218" s="30">
        <v>2</v>
      </c>
      <c r="G218" s="1">
        <v>42859</v>
      </c>
      <c r="H218" s="27">
        <v>759727</v>
      </c>
      <c r="I218" s="24">
        <v>8631.41</v>
      </c>
      <c r="J218" s="24">
        <v>-8631.41</v>
      </c>
      <c r="K218" s="30">
        <v>65</v>
      </c>
      <c r="L218" s="30">
        <v>990</v>
      </c>
      <c r="M218" s="30">
        <v>60</v>
      </c>
      <c r="N218" s="30">
        <v>0</v>
      </c>
      <c r="O218" s="30">
        <v>37676</v>
      </c>
      <c r="P218" s="29" t="s">
        <v>578</v>
      </c>
      <c r="Q218" s="29" t="s">
        <v>579</v>
      </c>
      <c r="R218" s="140" t="s">
        <v>387</v>
      </c>
    </row>
    <row r="219" spans="1:18" hidden="1">
      <c r="A219" s="139">
        <v>2</v>
      </c>
      <c r="B219" s="30">
        <v>6</v>
      </c>
      <c r="C219" s="1">
        <v>42916</v>
      </c>
      <c r="D219" s="27">
        <v>765499</v>
      </c>
      <c r="E219" s="30">
        <v>2017</v>
      </c>
      <c r="F219" s="30">
        <v>2</v>
      </c>
      <c r="G219" s="1">
        <v>42859</v>
      </c>
      <c r="H219" s="27">
        <v>759727</v>
      </c>
      <c r="I219" s="24">
        <v>1057</v>
      </c>
      <c r="J219" s="24">
        <v>-1057</v>
      </c>
      <c r="K219" s="30">
        <v>65</v>
      </c>
      <c r="L219" s="30">
        <v>990</v>
      </c>
      <c r="M219" s="30">
        <v>85</v>
      </c>
      <c r="N219" s="30">
        <v>0</v>
      </c>
      <c r="O219" s="30">
        <v>37676</v>
      </c>
      <c r="P219" s="29" t="s">
        <v>578</v>
      </c>
      <c r="Q219" s="29" t="s">
        <v>579</v>
      </c>
      <c r="R219" s="140" t="s">
        <v>387</v>
      </c>
    </row>
    <row r="220" spans="1:18" hidden="1">
      <c r="A220" s="139">
        <v>2</v>
      </c>
      <c r="B220" s="30">
        <v>6</v>
      </c>
      <c r="C220" s="1">
        <v>42916</v>
      </c>
      <c r="D220" s="27">
        <v>765499</v>
      </c>
      <c r="E220" s="30">
        <v>2017</v>
      </c>
      <c r="F220" s="30">
        <v>2</v>
      </c>
      <c r="G220" s="1">
        <v>42859</v>
      </c>
      <c r="H220" s="27">
        <v>759727</v>
      </c>
      <c r="I220" s="24">
        <v>500</v>
      </c>
      <c r="J220" s="24">
        <v>-500</v>
      </c>
      <c r="K220" s="30">
        <v>65</v>
      </c>
      <c r="L220" s="30">
        <v>990</v>
      </c>
      <c r="M220" s="30">
        <v>1025</v>
      </c>
      <c r="N220" s="30">
        <v>0</v>
      </c>
      <c r="O220" s="30">
        <v>37676</v>
      </c>
      <c r="P220" s="29" t="s">
        <v>578</v>
      </c>
      <c r="Q220" s="29" t="s">
        <v>579</v>
      </c>
      <c r="R220" s="140" t="s">
        <v>387</v>
      </c>
    </row>
    <row r="221" spans="1:18" hidden="1">
      <c r="A221" s="139">
        <v>2</v>
      </c>
      <c r="B221" s="30">
        <v>6</v>
      </c>
      <c r="C221" s="1">
        <v>42916</v>
      </c>
      <c r="D221" s="27">
        <v>765499</v>
      </c>
      <c r="E221" s="30">
        <v>2017</v>
      </c>
      <c r="F221" s="30">
        <v>2</v>
      </c>
      <c r="G221" s="1">
        <v>42895</v>
      </c>
      <c r="H221" s="27">
        <v>765704</v>
      </c>
      <c r="I221" s="24">
        <v>8631.41</v>
      </c>
      <c r="J221" s="24">
        <v>-8631.41</v>
      </c>
      <c r="K221" s="30">
        <v>65</v>
      </c>
      <c r="L221" s="30">
        <v>990</v>
      </c>
      <c r="M221" s="30">
        <v>60</v>
      </c>
      <c r="N221" s="30">
        <v>0</v>
      </c>
      <c r="O221" s="30">
        <v>37676</v>
      </c>
      <c r="P221" s="29" t="s">
        <v>578</v>
      </c>
      <c r="Q221" s="29" t="s">
        <v>579</v>
      </c>
      <c r="R221" s="140" t="s">
        <v>387</v>
      </c>
    </row>
    <row r="222" spans="1:18" hidden="1">
      <c r="A222" s="139">
        <v>2</v>
      </c>
      <c r="B222" s="30">
        <v>6</v>
      </c>
      <c r="C222" s="1">
        <v>42916</v>
      </c>
      <c r="D222" s="27">
        <v>765499</v>
      </c>
      <c r="E222" s="30">
        <v>2017</v>
      </c>
      <c r="F222" s="30">
        <v>2</v>
      </c>
      <c r="G222" s="1">
        <v>42895</v>
      </c>
      <c r="H222" s="27">
        <v>765704</v>
      </c>
      <c r="I222" s="24">
        <v>1057</v>
      </c>
      <c r="J222" s="24">
        <v>-1057</v>
      </c>
      <c r="K222" s="30">
        <v>65</v>
      </c>
      <c r="L222" s="30">
        <v>990</v>
      </c>
      <c r="M222" s="30">
        <v>85</v>
      </c>
      <c r="N222" s="30">
        <v>0</v>
      </c>
      <c r="O222" s="30">
        <v>37676</v>
      </c>
      <c r="P222" s="29" t="s">
        <v>578</v>
      </c>
      <c r="Q222" s="29" t="s">
        <v>579</v>
      </c>
      <c r="R222" s="140" t="s">
        <v>387</v>
      </c>
    </row>
    <row r="223" spans="1:18" hidden="1">
      <c r="A223" s="139">
        <v>2</v>
      </c>
      <c r="B223" s="30">
        <v>6</v>
      </c>
      <c r="C223" s="1">
        <v>42916</v>
      </c>
      <c r="D223" s="27">
        <v>765499</v>
      </c>
      <c r="E223" s="30">
        <v>2017</v>
      </c>
      <c r="F223" s="30">
        <v>2</v>
      </c>
      <c r="G223" s="1">
        <v>42895</v>
      </c>
      <c r="H223" s="27">
        <v>765704</v>
      </c>
      <c r="I223" s="24">
        <v>500</v>
      </c>
      <c r="J223" s="24">
        <v>-500</v>
      </c>
      <c r="K223" s="30">
        <v>65</v>
      </c>
      <c r="L223" s="30">
        <v>990</v>
      </c>
      <c r="M223" s="30">
        <v>1025</v>
      </c>
      <c r="N223" s="30">
        <v>0</v>
      </c>
      <c r="O223" s="30">
        <v>37676</v>
      </c>
      <c r="P223" s="29" t="s">
        <v>578</v>
      </c>
      <c r="Q223" s="29" t="s">
        <v>579</v>
      </c>
      <c r="R223" s="140" t="s">
        <v>387</v>
      </c>
    </row>
    <row r="224" spans="1:18" hidden="1">
      <c r="A224" s="139">
        <v>2</v>
      </c>
      <c r="B224" s="30">
        <v>6</v>
      </c>
      <c r="C224" s="1">
        <v>42916</v>
      </c>
      <c r="D224" s="27">
        <v>765499</v>
      </c>
      <c r="E224" s="30">
        <v>2017</v>
      </c>
      <c r="F224" s="30">
        <v>1</v>
      </c>
      <c r="G224" s="1">
        <v>42804</v>
      </c>
      <c r="H224" s="27">
        <v>749816</v>
      </c>
      <c r="I224" s="24">
        <v>6578.62</v>
      </c>
      <c r="J224" s="24">
        <v>-6578.62</v>
      </c>
      <c r="K224" s="30">
        <v>14</v>
      </c>
      <c r="L224" s="30">
        <v>340</v>
      </c>
      <c r="M224" s="30">
        <v>60</v>
      </c>
      <c r="N224" s="30">
        <v>0</v>
      </c>
      <c r="O224" s="30">
        <v>10738</v>
      </c>
      <c r="P224" s="29" t="s">
        <v>576</v>
      </c>
      <c r="Q224" s="29" t="s">
        <v>577</v>
      </c>
      <c r="R224" s="140" t="s">
        <v>575</v>
      </c>
    </row>
    <row r="225" spans="1:18" hidden="1">
      <c r="A225" s="139">
        <v>2</v>
      </c>
      <c r="B225" s="30">
        <v>6</v>
      </c>
      <c r="C225" s="1">
        <v>42916</v>
      </c>
      <c r="D225" s="27">
        <v>765499</v>
      </c>
      <c r="E225" s="30">
        <v>2017</v>
      </c>
      <c r="F225" s="30">
        <v>1</v>
      </c>
      <c r="G225" s="1">
        <v>42804</v>
      </c>
      <c r="H225" s="27">
        <v>749816</v>
      </c>
      <c r="I225" s="24">
        <v>856</v>
      </c>
      <c r="J225" s="24">
        <v>-856</v>
      </c>
      <c r="K225" s="30">
        <v>14</v>
      </c>
      <c r="L225" s="30">
        <v>340</v>
      </c>
      <c r="M225" s="30">
        <v>85</v>
      </c>
      <c r="N225" s="30">
        <v>0</v>
      </c>
      <c r="O225" s="30">
        <v>10738</v>
      </c>
      <c r="P225" s="29" t="s">
        <v>576</v>
      </c>
      <c r="Q225" s="29" t="s">
        <v>577</v>
      </c>
      <c r="R225" s="140" t="s">
        <v>575</v>
      </c>
    </row>
    <row r="226" spans="1:18" hidden="1">
      <c r="A226" s="139">
        <v>2</v>
      </c>
      <c r="B226" s="30">
        <v>6</v>
      </c>
      <c r="C226" s="1">
        <v>42916</v>
      </c>
      <c r="D226" s="27">
        <v>770349</v>
      </c>
      <c r="E226" s="30">
        <v>2017</v>
      </c>
      <c r="F226" s="30">
        <v>2</v>
      </c>
      <c r="G226" s="1">
        <v>42839</v>
      </c>
      <c r="H226" s="27">
        <v>757564</v>
      </c>
      <c r="I226" s="24">
        <v>252000</v>
      </c>
      <c r="J226" s="24">
        <v>-252000</v>
      </c>
      <c r="K226" s="30">
        <v>991</v>
      </c>
      <c r="L226" s="30">
        <v>63422</v>
      </c>
      <c r="M226" s="30">
        <v>55</v>
      </c>
      <c r="N226" s="30">
        <v>1</v>
      </c>
      <c r="O226" s="30">
        <v>1013476</v>
      </c>
      <c r="P226" s="29" t="s">
        <v>569</v>
      </c>
      <c r="Q226" s="29" t="s">
        <v>570</v>
      </c>
      <c r="R226" s="140" t="s">
        <v>384</v>
      </c>
    </row>
    <row r="227" spans="1:18" hidden="1">
      <c r="A227" s="139">
        <v>2</v>
      </c>
      <c r="B227" s="30">
        <v>6</v>
      </c>
      <c r="C227" s="1">
        <v>42916</v>
      </c>
      <c r="D227" s="27">
        <v>770349</v>
      </c>
      <c r="E227" s="30">
        <v>2017</v>
      </c>
      <c r="F227" s="30">
        <v>2</v>
      </c>
      <c r="G227" s="1">
        <v>42839</v>
      </c>
      <c r="H227" s="27">
        <v>757564</v>
      </c>
      <c r="I227" s="24">
        <v>43849</v>
      </c>
      <c r="J227" s="24">
        <v>-32760</v>
      </c>
      <c r="K227" s="30">
        <v>991</v>
      </c>
      <c r="L227" s="30">
        <v>63422</v>
      </c>
      <c r="M227" s="30">
        <v>85</v>
      </c>
      <c r="N227" s="30">
        <v>2</v>
      </c>
      <c r="O227" s="30">
        <v>1013476</v>
      </c>
      <c r="P227" s="29" t="s">
        <v>569</v>
      </c>
      <c r="Q227" s="29" t="s">
        <v>570</v>
      </c>
      <c r="R227" s="140" t="s">
        <v>384</v>
      </c>
    </row>
    <row r="228" spans="1:18" hidden="1">
      <c r="A228" s="139">
        <v>2</v>
      </c>
      <c r="B228" s="30">
        <v>6</v>
      </c>
      <c r="C228" s="1">
        <v>42916</v>
      </c>
      <c r="D228" s="27">
        <v>765499</v>
      </c>
      <c r="E228" s="30">
        <v>2017</v>
      </c>
      <c r="F228" s="30">
        <v>2</v>
      </c>
      <c r="G228" s="1">
        <v>42835</v>
      </c>
      <c r="H228" s="27">
        <v>755297</v>
      </c>
      <c r="I228" s="24">
        <v>13964.9</v>
      </c>
      <c r="J228" s="24">
        <v>-13964.9</v>
      </c>
      <c r="K228" s="30">
        <v>140</v>
      </c>
      <c r="L228" s="30">
        <v>1678</v>
      </c>
      <c r="M228" s="30">
        <v>60</v>
      </c>
      <c r="N228" s="30">
        <v>0</v>
      </c>
      <c r="O228" s="30">
        <v>84047</v>
      </c>
      <c r="P228" s="29" t="s">
        <v>571</v>
      </c>
      <c r="Q228" s="29" t="s">
        <v>401</v>
      </c>
      <c r="R228" s="140" t="s">
        <v>384</v>
      </c>
    </row>
    <row r="229" spans="1:18" hidden="1">
      <c r="A229" s="139">
        <v>2</v>
      </c>
      <c r="B229" s="30">
        <v>6</v>
      </c>
      <c r="C229" s="1">
        <v>42916</v>
      </c>
      <c r="D229" s="27">
        <v>765499</v>
      </c>
      <c r="E229" s="30">
        <v>2017</v>
      </c>
      <c r="F229" s="30">
        <v>2</v>
      </c>
      <c r="G229" s="1">
        <v>42835</v>
      </c>
      <c r="H229" s="27">
        <v>755297</v>
      </c>
      <c r="I229" s="24">
        <v>1816</v>
      </c>
      <c r="J229" s="24">
        <v>-1816</v>
      </c>
      <c r="K229" s="30">
        <v>140</v>
      </c>
      <c r="L229" s="30">
        <v>1678</v>
      </c>
      <c r="M229" s="30">
        <v>85</v>
      </c>
      <c r="N229" s="30">
        <v>0</v>
      </c>
      <c r="O229" s="30">
        <v>84047</v>
      </c>
      <c r="P229" s="29" t="s">
        <v>571</v>
      </c>
      <c r="Q229" s="29" t="s">
        <v>401</v>
      </c>
      <c r="R229" s="140" t="s">
        <v>384</v>
      </c>
    </row>
    <row r="230" spans="1:18" hidden="1">
      <c r="A230" s="139">
        <v>2</v>
      </c>
      <c r="B230" s="30">
        <v>6</v>
      </c>
      <c r="C230" s="1">
        <v>42916</v>
      </c>
      <c r="D230" s="27">
        <v>765499</v>
      </c>
      <c r="E230" s="30">
        <v>2017</v>
      </c>
      <c r="F230" s="30">
        <v>1</v>
      </c>
      <c r="G230" s="1">
        <v>42745</v>
      </c>
      <c r="H230" s="27">
        <v>740276</v>
      </c>
      <c r="I230" s="24">
        <v>6521</v>
      </c>
      <c r="J230" s="24">
        <v>-6521</v>
      </c>
      <c r="K230" s="30">
        <v>140</v>
      </c>
      <c r="L230" s="30">
        <v>2806</v>
      </c>
      <c r="M230" s="30">
        <v>60</v>
      </c>
      <c r="N230" s="30">
        <v>0</v>
      </c>
      <c r="O230" s="30">
        <v>183169</v>
      </c>
      <c r="P230" s="29" t="s">
        <v>565</v>
      </c>
      <c r="Q230" s="29" t="s">
        <v>566</v>
      </c>
      <c r="R230" s="140" t="s">
        <v>458</v>
      </c>
    </row>
    <row r="231" spans="1:18" hidden="1">
      <c r="A231" s="139">
        <v>2</v>
      </c>
      <c r="B231" s="30">
        <v>6</v>
      </c>
      <c r="C231" s="1">
        <v>42916</v>
      </c>
      <c r="D231" s="27">
        <v>765499</v>
      </c>
      <c r="E231" s="30">
        <v>2017</v>
      </c>
      <c r="F231" s="30">
        <v>1</v>
      </c>
      <c r="G231" s="1">
        <v>42745</v>
      </c>
      <c r="H231" s="27">
        <v>740276</v>
      </c>
      <c r="I231" s="24">
        <v>848</v>
      </c>
      <c r="J231" s="24">
        <v>-848</v>
      </c>
      <c r="K231" s="30">
        <v>140</v>
      </c>
      <c r="L231" s="30">
        <v>2806</v>
      </c>
      <c r="M231" s="30">
        <v>85</v>
      </c>
      <c r="N231" s="30">
        <v>0</v>
      </c>
      <c r="O231" s="30">
        <v>183169</v>
      </c>
      <c r="P231" s="29" t="s">
        <v>565</v>
      </c>
      <c r="Q231" s="29" t="s">
        <v>566</v>
      </c>
      <c r="R231" s="140" t="s">
        <v>458</v>
      </c>
    </row>
    <row r="232" spans="1:18" hidden="1">
      <c r="A232" s="139">
        <v>2</v>
      </c>
      <c r="B232" s="30">
        <v>6</v>
      </c>
      <c r="C232" s="1">
        <v>42916</v>
      </c>
      <c r="D232" s="27">
        <v>765499</v>
      </c>
      <c r="E232" s="30">
        <v>2017</v>
      </c>
      <c r="F232" s="30">
        <v>2</v>
      </c>
      <c r="G232" s="1">
        <v>42858</v>
      </c>
      <c r="H232" s="27">
        <v>759733</v>
      </c>
      <c r="I232" s="24">
        <v>9381</v>
      </c>
      <c r="J232" s="24">
        <v>-9381</v>
      </c>
      <c r="K232" s="30">
        <v>445</v>
      </c>
      <c r="L232" s="30">
        <v>50</v>
      </c>
      <c r="M232" s="30">
        <v>60</v>
      </c>
      <c r="N232" s="30">
        <v>0</v>
      </c>
      <c r="O232" s="30">
        <v>129190</v>
      </c>
      <c r="P232" s="29" t="s">
        <v>565</v>
      </c>
      <c r="Q232" s="29" t="s">
        <v>572</v>
      </c>
      <c r="R232" s="140" t="s">
        <v>429</v>
      </c>
    </row>
    <row r="233" spans="1:18" hidden="1">
      <c r="A233" s="139">
        <v>2</v>
      </c>
      <c r="B233" s="30">
        <v>6</v>
      </c>
      <c r="C233" s="1">
        <v>42916</v>
      </c>
      <c r="D233" s="27">
        <v>765499</v>
      </c>
      <c r="E233" s="30">
        <v>2017</v>
      </c>
      <c r="F233" s="30">
        <v>2</v>
      </c>
      <c r="G233" s="1">
        <v>42858</v>
      </c>
      <c r="H233" s="27">
        <v>759733</v>
      </c>
      <c r="I233" s="24">
        <v>1220</v>
      </c>
      <c r="J233" s="24">
        <v>-1220</v>
      </c>
      <c r="K233" s="30">
        <v>445</v>
      </c>
      <c r="L233" s="30">
        <v>50</v>
      </c>
      <c r="M233" s="30">
        <v>85</v>
      </c>
      <c r="N233" s="30">
        <v>0</v>
      </c>
      <c r="O233" s="30">
        <v>129190</v>
      </c>
      <c r="P233" s="29" t="s">
        <v>565</v>
      </c>
      <c r="Q233" s="29" t="s">
        <v>572</v>
      </c>
      <c r="R233" s="140" t="s">
        <v>429</v>
      </c>
    </row>
    <row r="234" spans="1:18" hidden="1">
      <c r="A234" s="139">
        <v>2</v>
      </c>
      <c r="B234" s="30">
        <v>6</v>
      </c>
      <c r="C234" s="1">
        <v>42916</v>
      </c>
      <c r="D234" s="27">
        <v>770340</v>
      </c>
      <c r="E234" s="30">
        <v>2017</v>
      </c>
      <c r="F234" s="30">
        <v>2</v>
      </c>
      <c r="G234" s="1">
        <v>42907</v>
      </c>
      <c r="H234" s="27">
        <v>769492</v>
      </c>
      <c r="I234" s="24">
        <v>25000</v>
      </c>
      <c r="J234" s="24">
        <v>-12000</v>
      </c>
      <c r="K234" s="30">
        <v>991</v>
      </c>
      <c r="L234" s="30">
        <v>53114</v>
      </c>
      <c r="M234" s="30">
        <v>55</v>
      </c>
      <c r="N234" s="30">
        <v>1</v>
      </c>
      <c r="O234" s="30">
        <v>802124</v>
      </c>
      <c r="P234" s="29" t="s">
        <v>560</v>
      </c>
      <c r="Q234" s="29" t="s">
        <v>425</v>
      </c>
      <c r="R234" s="140" t="s">
        <v>561</v>
      </c>
    </row>
    <row r="235" spans="1:18" hidden="1">
      <c r="A235" s="139">
        <v>2</v>
      </c>
      <c r="B235" s="30">
        <v>6</v>
      </c>
      <c r="C235" s="1">
        <v>42916</v>
      </c>
      <c r="D235" s="27">
        <v>770340</v>
      </c>
      <c r="E235" s="30">
        <v>2017</v>
      </c>
      <c r="F235" s="30">
        <v>2</v>
      </c>
      <c r="G235" s="1">
        <v>42907</v>
      </c>
      <c r="H235" s="27">
        <v>769492</v>
      </c>
      <c r="I235" s="24">
        <v>5249</v>
      </c>
      <c r="J235" s="24">
        <v>-1560</v>
      </c>
      <c r="K235" s="30">
        <v>991</v>
      </c>
      <c r="L235" s="30">
        <v>53114</v>
      </c>
      <c r="M235" s="30">
        <v>85</v>
      </c>
      <c r="N235" s="30">
        <v>2</v>
      </c>
      <c r="O235" s="30">
        <v>802124</v>
      </c>
      <c r="P235" s="29" t="s">
        <v>560</v>
      </c>
      <c r="Q235" s="29" t="s">
        <v>425</v>
      </c>
      <c r="R235" s="140" t="s">
        <v>561</v>
      </c>
    </row>
    <row r="236" spans="1:18" hidden="1">
      <c r="A236" s="139">
        <v>2</v>
      </c>
      <c r="B236" s="30">
        <v>6</v>
      </c>
      <c r="C236" s="1">
        <v>42916</v>
      </c>
      <c r="D236" s="27">
        <v>765499</v>
      </c>
      <c r="E236" s="30">
        <v>2017</v>
      </c>
      <c r="F236" s="30">
        <v>1</v>
      </c>
      <c r="G236" s="1">
        <v>42745</v>
      </c>
      <c r="H236" s="27">
        <v>740284</v>
      </c>
      <c r="I236" s="24">
        <v>2774</v>
      </c>
      <c r="J236" s="24">
        <v>-2774</v>
      </c>
      <c r="K236" s="30">
        <v>511</v>
      </c>
      <c r="L236" s="30">
        <v>516</v>
      </c>
      <c r="M236" s="30">
        <v>60</v>
      </c>
      <c r="N236" s="30">
        <v>0</v>
      </c>
      <c r="O236" s="30">
        <v>577697</v>
      </c>
      <c r="P236" s="29" t="s">
        <v>567</v>
      </c>
      <c r="Q236" s="29" t="s">
        <v>410</v>
      </c>
      <c r="R236" s="140" t="s">
        <v>402</v>
      </c>
    </row>
    <row r="237" spans="1:18" hidden="1">
      <c r="A237" s="139">
        <v>2</v>
      </c>
      <c r="B237" s="30">
        <v>6</v>
      </c>
      <c r="C237" s="1">
        <v>42916</v>
      </c>
      <c r="D237" s="27">
        <v>765499</v>
      </c>
      <c r="E237" s="30">
        <v>2017</v>
      </c>
      <c r="F237" s="30">
        <v>1</v>
      </c>
      <c r="G237" s="1">
        <v>42745</v>
      </c>
      <c r="H237" s="27">
        <v>740284</v>
      </c>
      <c r="I237" s="24">
        <v>361</v>
      </c>
      <c r="J237" s="24">
        <v>-361</v>
      </c>
      <c r="K237" s="30">
        <v>511</v>
      </c>
      <c r="L237" s="30">
        <v>516</v>
      </c>
      <c r="M237" s="30">
        <v>85</v>
      </c>
      <c r="N237" s="30">
        <v>0</v>
      </c>
      <c r="O237" s="30">
        <v>577697</v>
      </c>
      <c r="P237" s="29" t="s">
        <v>567</v>
      </c>
      <c r="Q237" s="29" t="s">
        <v>410</v>
      </c>
      <c r="R237" s="140" t="s">
        <v>402</v>
      </c>
    </row>
    <row r="238" spans="1:18" hidden="1">
      <c r="A238" s="139">
        <v>3</v>
      </c>
      <c r="B238" s="30">
        <v>7</v>
      </c>
      <c r="C238" s="1">
        <v>42947</v>
      </c>
      <c r="D238" s="27">
        <v>773093</v>
      </c>
      <c r="E238" s="30">
        <v>2017</v>
      </c>
      <c r="F238" s="30">
        <v>2</v>
      </c>
      <c r="G238" s="1">
        <v>42895</v>
      </c>
      <c r="H238" s="27">
        <v>765712</v>
      </c>
      <c r="I238" s="24">
        <v>1251.8</v>
      </c>
      <c r="J238" s="24">
        <v>-1251.8</v>
      </c>
      <c r="K238" s="30">
        <v>77</v>
      </c>
      <c r="L238" s="30">
        <v>823</v>
      </c>
      <c r="M238" s="30">
        <v>60</v>
      </c>
      <c r="N238" s="30">
        <v>0</v>
      </c>
      <c r="O238" s="30">
        <v>47100</v>
      </c>
      <c r="P238" s="29" t="s">
        <v>594</v>
      </c>
      <c r="Q238" s="29" t="s">
        <v>586</v>
      </c>
      <c r="R238" s="140" t="s">
        <v>595</v>
      </c>
    </row>
    <row r="239" spans="1:18" hidden="1">
      <c r="A239" s="139">
        <v>3</v>
      </c>
      <c r="B239" s="30">
        <v>7</v>
      </c>
      <c r="C239" s="1">
        <v>42947</v>
      </c>
      <c r="D239" s="27">
        <v>773093</v>
      </c>
      <c r="E239" s="30">
        <v>2017</v>
      </c>
      <c r="F239" s="30">
        <v>2</v>
      </c>
      <c r="G239" s="1">
        <v>42895</v>
      </c>
      <c r="H239" s="27">
        <v>765712</v>
      </c>
      <c r="I239" s="24">
        <v>162</v>
      </c>
      <c r="J239" s="24">
        <v>-162</v>
      </c>
      <c r="K239" s="30">
        <v>77</v>
      </c>
      <c r="L239" s="30">
        <v>823</v>
      </c>
      <c r="M239" s="30">
        <v>85</v>
      </c>
      <c r="N239" s="30">
        <v>0</v>
      </c>
      <c r="O239" s="30">
        <v>47100</v>
      </c>
      <c r="P239" s="29" t="s">
        <v>594</v>
      </c>
      <c r="Q239" s="29" t="s">
        <v>586</v>
      </c>
      <c r="R239" s="140" t="s">
        <v>595</v>
      </c>
    </row>
    <row r="240" spans="1:18" hidden="1">
      <c r="A240" s="139">
        <v>3</v>
      </c>
      <c r="B240" s="30">
        <v>7</v>
      </c>
      <c r="C240" s="1">
        <v>42947</v>
      </c>
      <c r="D240" s="27">
        <v>773093</v>
      </c>
      <c r="E240" s="30">
        <v>2017</v>
      </c>
      <c r="F240" s="30">
        <v>1</v>
      </c>
      <c r="G240" s="1">
        <v>42745</v>
      </c>
      <c r="H240" s="27">
        <v>740287</v>
      </c>
      <c r="I240" s="24">
        <v>8910</v>
      </c>
      <c r="J240" s="24">
        <v>-8910</v>
      </c>
      <c r="K240" s="30">
        <v>335</v>
      </c>
      <c r="L240" s="30">
        <v>1584</v>
      </c>
      <c r="M240" s="30">
        <v>60</v>
      </c>
      <c r="N240" s="30">
        <v>0</v>
      </c>
      <c r="O240" s="30">
        <v>1657987</v>
      </c>
      <c r="P240" s="29" t="s">
        <v>598</v>
      </c>
      <c r="Q240" s="29" t="s">
        <v>425</v>
      </c>
      <c r="R240" s="140" t="s">
        <v>381</v>
      </c>
    </row>
    <row r="241" spans="1:18" hidden="1">
      <c r="A241" s="139">
        <v>3</v>
      </c>
      <c r="B241" s="30">
        <v>7</v>
      </c>
      <c r="C241" s="1">
        <v>42947</v>
      </c>
      <c r="D241" s="27">
        <v>773093</v>
      </c>
      <c r="E241" s="30">
        <v>2017</v>
      </c>
      <c r="F241" s="30">
        <v>1</v>
      </c>
      <c r="G241" s="1">
        <v>42745</v>
      </c>
      <c r="H241" s="27">
        <v>740287</v>
      </c>
      <c r="I241" s="24">
        <v>1158</v>
      </c>
      <c r="J241" s="24">
        <v>-1158</v>
      </c>
      <c r="K241" s="30">
        <v>335</v>
      </c>
      <c r="L241" s="30">
        <v>1584</v>
      </c>
      <c r="M241" s="30">
        <v>85</v>
      </c>
      <c r="N241" s="30">
        <v>0</v>
      </c>
      <c r="O241" s="30">
        <v>1657987</v>
      </c>
      <c r="P241" s="29" t="s">
        <v>598</v>
      </c>
      <c r="Q241" s="29" t="s">
        <v>425</v>
      </c>
      <c r="R241" s="140" t="s">
        <v>381</v>
      </c>
    </row>
    <row r="242" spans="1:18" hidden="1">
      <c r="A242" s="139">
        <v>3</v>
      </c>
      <c r="B242" s="30">
        <v>7</v>
      </c>
      <c r="C242" s="1">
        <v>42947</v>
      </c>
      <c r="D242" s="27">
        <v>773093</v>
      </c>
      <c r="E242" s="30">
        <v>2017</v>
      </c>
      <c r="F242" s="30">
        <v>2</v>
      </c>
      <c r="G242" s="1">
        <v>42895</v>
      </c>
      <c r="H242" s="27">
        <v>765712</v>
      </c>
      <c r="I242" s="24">
        <v>5925.5</v>
      </c>
      <c r="J242" s="24">
        <v>-5925.5</v>
      </c>
      <c r="K242" s="30">
        <v>364</v>
      </c>
      <c r="L242" s="30">
        <v>1868</v>
      </c>
      <c r="M242" s="30">
        <v>60</v>
      </c>
      <c r="N242" s="30">
        <v>0</v>
      </c>
      <c r="O242" s="30">
        <v>142352</v>
      </c>
      <c r="P242" s="29" t="s">
        <v>596</v>
      </c>
      <c r="Q242" s="29" t="s">
        <v>386</v>
      </c>
      <c r="R242" s="140" t="s">
        <v>597</v>
      </c>
    </row>
    <row r="243" spans="1:18" hidden="1">
      <c r="A243" s="139">
        <v>3</v>
      </c>
      <c r="B243" s="30">
        <v>7</v>
      </c>
      <c r="C243" s="1">
        <v>42947</v>
      </c>
      <c r="D243" s="27">
        <v>773093</v>
      </c>
      <c r="E243" s="30">
        <v>2017</v>
      </c>
      <c r="F243" s="30">
        <v>2</v>
      </c>
      <c r="G243" s="1">
        <v>42895</v>
      </c>
      <c r="H243" s="27">
        <v>765712</v>
      </c>
      <c r="I243" s="24">
        <v>770</v>
      </c>
      <c r="J243" s="24">
        <v>-770</v>
      </c>
      <c r="K243" s="30">
        <v>364</v>
      </c>
      <c r="L243" s="30">
        <v>1868</v>
      </c>
      <c r="M243" s="30">
        <v>85</v>
      </c>
      <c r="N243" s="30">
        <v>0</v>
      </c>
      <c r="O243" s="30">
        <v>142352</v>
      </c>
      <c r="P243" s="29" t="s">
        <v>596</v>
      </c>
      <c r="Q243" s="29" t="s">
        <v>386</v>
      </c>
      <c r="R243" s="140" t="s">
        <v>597</v>
      </c>
    </row>
    <row r="244" spans="1:18" hidden="1">
      <c r="A244" s="139">
        <v>3</v>
      </c>
      <c r="B244" s="30">
        <v>7</v>
      </c>
      <c r="C244" s="1">
        <v>42947</v>
      </c>
      <c r="D244" s="27">
        <v>773093</v>
      </c>
      <c r="E244" s="30">
        <v>2017</v>
      </c>
      <c r="F244" s="30">
        <v>2</v>
      </c>
      <c r="G244" s="1">
        <v>42895</v>
      </c>
      <c r="H244" s="27">
        <v>765712</v>
      </c>
      <c r="I244" s="24">
        <v>2095.0100000000002</v>
      </c>
      <c r="J244" s="24">
        <v>-2095.0100000000002</v>
      </c>
      <c r="K244" s="30">
        <v>12</v>
      </c>
      <c r="L244" s="30">
        <v>1882</v>
      </c>
      <c r="M244" s="30">
        <v>60</v>
      </c>
      <c r="N244" s="30">
        <v>0</v>
      </c>
      <c r="O244" s="30">
        <v>22451</v>
      </c>
      <c r="P244" s="29" t="s">
        <v>585</v>
      </c>
      <c r="Q244" s="29" t="s">
        <v>586</v>
      </c>
      <c r="R244" s="140" t="s">
        <v>381</v>
      </c>
    </row>
    <row r="245" spans="1:18" hidden="1">
      <c r="A245" s="139">
        <v>3</v>
      </c>
      <c r="B245" s="30">
        <v>7</v>
      </c>
      <c r="C245" s="1">
        <v>42947</v>
      </c>
      <c r="D245" s="27">
        <v>773093</v>
      </c>
      <c r="E245" s="30">
        <v>2017</v>
      </c>
      <c r="F245" s="30">
        <v>2</v>
      </c>
      <c r="G245" s="1">
        <v>42895</v>
      </c>
      <c r="H245" s="27">
        <v>765712</v>
      </c>
      <c r="I245" s="24">
        <v>207</v>
      </c>
      <c r="J245" s="24">
        <v>-207</v>
      </c>
      <c r="K245" s="30">
        <v>12</v>
      </c>
      <c r="L245" s="30">
        <v>1882</v>
      </c>
      <c r="M245" s="30">
        <v>85</v>
      </c>
      <c r="N245" s="30">
        <v>0</v>
      </c>
      <c r="O245" s="30">
        <v>22451</v>
      </c>
      <c r="P245" s="29" t="s">
        <v>585</v>
      </c>
      <c r="Q245" s="29" t="s">
        <v>586</v>
      </c>
      <c r="R245" s="140" t="s">
        <v>381</v>
      </c>
    </row>
    <row r="246" spans="1:18" hidden="1">
      <c r="A246" s="139">
        <v>3</v>
      </c>
      <c r="B246" s="30">
        <v>7</v>
      </c>
      <c r="C246" s="1">
        <v>42947</v>
      </c>
      <c r="D246" s="27">
        <v>773093</v>
      </c>
      <c r="E246" s="30">
        <v>2017</v>
      </c>
      <c r="F246" s="30">
        <v>2</v>
      </c>
      <c r="G246" s="1">
        <v>42895</v>
      </c>
      <c r="H246" s="27">
        <v>765712</v>
      </c>
      <c r="I246" s="24">
        <v>500</v>
      </c>
      <c r="J246" s="24">
        <v>-500</v>
      </c>
      <c r="K246" s="30">
        <v>12</v>
      </c>
      <c r="L246" s="30">
        <v>1882</v>
      </c>
      <c r="M246" s="30">
        <v>1025</v>
      </c>
      <c r="N246" s="30">
        <v>0</v>
      </c>
      <c r="O246" s="30">
        <v>22451</v>
      </c>
      <c r="P246" s="29" t="s">
        <v>585</v>
      </c>
      <c r="Q246" s="29" t="s">
        <v>586</v>
      </c>
      <c r="R246" s="140" t="s">
        <v>381</v>
      </c>
    </row>
    <row r="247" spans="1:18" hidden="1">
      <c r="A247" s="139">
        <v>3</v>
      </c>
      <c r="B247" s="30">
        <v>7</v>
      </c>
      <c r="C247" s="1">
        <v>42947</v>
      </c>
      <c r="D247" s="27">
        <v>773093</v>
      </c>
      <c r="E247" s="30">
        <v>2017</v>
      </c>
      <c r="F247" s="30">
        <v>2</v>
      </c>
      <c r="G247" s="1">
        <v>42895</v>
      </c>
      <c r="H247" s="27">
        <v>765712</v>
      </c>
      <c r="I247" s="24">
        <v>1676.3</v>
      </c>
      <c r="J247" s="24">
        <v>-1676.3</v>
      </c>
      <c r="K247" s="30">
        <v>57</v>
      </c>
      <c r="L247" s="30">
        <v>3098</v>
      </c>
      <c r="M247" s="30">
        <v>60</v>
      </c>
      <c r="N247" s="30">
        <v>0</v>
      </c>
      <c r="O247" s="30">
        <v>136851</v>
      </c>
      <c r="P247" s="29" t="s">
        <v>591</v>
      </c>
      <c r="Q247" s="29" t="s">
        <v>592</v>
      </c>
      <c r="R247" s="140" t="s">
        <v>593</v>
      </c>
    </row>
    <row r="248" spans="1:18" hidden="1">
      <c r="A248" s="139">
        <v>3</v>
      </c>
      <c r="B248" s="30">
        <v>7</v>
      </c>
      <c r="C248" s="1">
        <v>42947</v>
      </c>
      <c r="D248" s="27">
        <v>773093</v>
      </c>
      <c r="E248" s="30">
        <v>2017</v>
      </c>
      <c r="F248" s="30">
        <v>2</v>
      </c>
      <c r="G248" s="1">
        <v>42895</v>
      </c>
      <c r="H248" s="27">
        <v>765712</v>
      </c>
      <c r="I248" s="24">
        <v>218</v>
      </c>
      <c r="J248" s="24">
        <v>-218</v>
      </c>
      <c r="K248" s="30">
        <v>57</v>
      </c>
      <c r="L248" s="30">
        <v>3098</v>
      </c>
      <c r="M248" s="30">
        <v>85</v>
      </c>
      <c r="N248" s="30">
        <v>0</v>
      </c>
      <c r="O248" s="30">
        <v>136851</v>
      </c>
      <c r="P248" s="29" t="s">
        <v>591</v>
      </c>
      <c r="Q248" s="29" t="s">
        <v>592</v>
      </c>
      <c r="R248" s="140" t="s">
        <v>593</v>
      </c>
    </row>
    <row r="249" spans="1:18" hidden="1">
      <c r="A249" s="139">
        <v>3</v>
      </c>
      <c r="B249" s="30">
        <v>7</v>
      </c>
      <c r="C249" s="1">
        <v>42947</v>
      </c>
      <c r="D249" s="27">
        <v>773093</v>
      </c>
      <c r="E249" s="30">
        <v>2017</v>
      </c>
      <c r="F249" s="30">
        <v>1</v>
      </c>
      <c r="G249" s="1">
        <v>42804</v>
      </c>
      <c r="H249" s="27">
        <v>749826</v>
      </c>
      <c r="I249" s="24">
        <v>12285</v>
      </c>
      <c r="J249" s="24">
        <v>-12285</v>
      </c>
      <c r="K249" s="30">
        <v>302</v>
      </c>
      <c r="L249" s="30">
        <v>4520</v>
      </c>
      <c r="M249" s="30">
        <v>60</v>
      </c>
      <c r="N249" s="30">
        <v>0</v>
      </c>
      <c r="O249" s="30">
        <v>1523438</v>
      </c>
      <c r="P249" s="29" t="s">
        <v>590</v>
      </c>
      <c r="Q249" s="29" t="s">
        <v>536</v>
      </c>
      <c r="R249" s="140" t="s">
        <v>384</v>
      </c>
    </row>
    <row r="250" spans="1:18" hidden="1">
      <c r="A250" s="139">
        <v>3</v>
      </c>
      <c r="B250" s="30">
        <v>7</v>
      </c>
      <c r="C250" s="1">
        <v>42947</v>
      </c>
      <c r="D250" s="27">
        <v>773093</v>
      </c>
      <c r="E250" s="30">
        <v>2017</v>
      </c>
      <c r="F250" s="30">
        <v>1</v>
      </c>
      <c r="G250" s="1">
        <v>42804</v>
      </c>
      <c r="H250" s="27">
        <v>749826</v>
      </c>
      <c r="I250" s="24">
        <v>1597</v>
      </c>
      <c r="J250" s="24">
        <v>-1597</v>
      </c>
      <c r="K250" s="30">
        <v>302</v>
      </c>
      <c r="L250" s="30">
        <v>4520</v>
      </c>
      <c r="M250" s="30">
        <v>85</v>
      </c>
      <c r="N250" s="30">
        <v>0</v>
      </c>
      <c r="O250" s="30">
        <v>1523438</v>
      </c>
      <c r="P250" s="29" t="s">
        <v>590</v>
      </c>
      <c r="Q250" s="29" t="s">
        <v>536</v>
      </c>
      <c r="R250" s="140" t="s">
        <v>384</v>
      </c>
    </row>
    <row r="251" spans="1:18" hidden="1">
      <c r="A251" s="139">
        <v>3</v>
      </c>
      <c r="B251" s="30">
        <v>7</v>
      </c>
      <c r="C251" s="1">
        <v>42947</v>
      </c>
      <c r="D251" s="27">
        <v>773093</v>
      </c>
      <c r="E251" s="30">
        <v>2017</v>
      </c>
      <c r="F251" s="30">
        <v>1</v>
      </c>
      <c r="G251" s="1">
        <v>42745</v>
      </c>
      <c r="H251" s="27">
        <v>740287</v>
      </c>
      <c r="I251" s="24">
        <v>1810.5</v>
      </c>
      <c r="J251" s="24">
        <v>-1810.5</v>
      </c>
      <c r="K251" s="30">
        <v>335</v>
      </c>
      <c r="L251" s="30">
        <v>498</v>
      </c>
      <c r="M251" s="30">
        <v>60</v>
      </c>
      <c r="N251" s="30">
        <v>0</v>
      </c>
      <c r="O251" s="30">
        <v>500478</v>
      </c>
      <c r="P251" s="29" t="s">
        <v>587</v>
      </c>
      <c r="Q251" s="29" t="s">
        <v>434</v>
      </c>
      <c r="R251" s="140" t="s">
        <v>429</v>
      </c>
    </row>
    <row r="252" spans="1:18" hidden="1">
      <c r="A252" s="139">
        <v>3</v>
      </c>
      <c r="B252" s="30">
        <v>7</v>
      </c>
      <c r="C252" s="1">
        <v>42947</v>
      </c>
      <c r="D252" s="27">
        <v>773093</v>
      </c>
      <c r="E252" s="30">
        <v>2017</v>
      </c>
      <c r="F252" s="30">
        <v>1</v>
      </c>
      <c r="G252" s="1">
        <v>42745</v>
      </c>
      <c r="H252" s="27">
        <v>740287</v>
      </c>
      <c r="I252" s="24">
        <v>235</v>
      </c>
      <c r="J252" s="24">
        <v>-235</v>
      </c>
      <c r="K252" s="30">
        <v>335</v>
      </c>
      <c r="L252" s="30">
        <v>498</v>
      </c>
      <c r="M252" s="30">
        <v>85</v>
      </c>
      <c r="N252" s="30">
        <v>0</v>
      </c>
      <c r="O252" s="30">
        <v>500478</v>
      </c>
      <c r="P252" s="29" t="s">
        <v>587</v>
      </c>
      <c r="Q252" s="29" t="s">
        <v>434</v>
      </c>
      <c r="R252" s="140" t="s">
        <v>429</v>
      </c>
    </row>
    <row r="253" spans="1:18" hidden="1">
      <c r="A253" s="139">
        <v>3</v>
      </c>
      <c r="B253" s="30">
        <v>7</v>
      </c>
      <c r="C253" s="1">
        <v>42947</v>
      </c>
      <c r="D253" s="27">
        <v>773093</v>
      </c>
      <c r="E253" s="30">
        <v>2017</v>
      </c>
      <c r="F253" s="30">
        <v>2</v>
      </c>
      <c r="G253" s="1">
        <v>42835</v>
      </c>
      <c r="H253" s="27">
        <v>755302</v>
      </c>
      <c r="I253" s="24">
        <v>9291.4</v>
      </c>
      <c r="J253" s="24">
        <v>-9291.4</v>
      </c>
      <c r="K253" s="30">
        <v>335</v>
      </c>
      <c r="L253" s="30">
        <v>1320</v>
      </c>
      <c r="M253" s="30">
        <v>60</v>
      </c>
      <c r="N253" s="30">
        <v>0</v>
      </c>
      <c r="O253" s="30">
        <v>1192358</v>
      </c>
      <c r="P253" s="29" t="s">
        <v>582</v>
      </c>
      <c r="Q253" s="29" t="s">
        <v>434</v>
      </c>
      <c r="R253" s="140" t="s">
        <v>402</v>
      </c>
    </row>
    <row r="254" spans="1:18" hidden="1">
      <c r="A254" s="139">
        <v>3</v>
      </c>
      <c r="B254" s="30">
        <v>7</v>
      </c>
      <c r="C254" s="1">
        <v>42947</v>
      </c>
      <c r="D254" s="27">
        <v>773093</v>
      </c>
      <c r="E254" s="30">
        <v>2017</v>
      </c>
      <c r="F254" s="30">
        <v>2</v>
      </c>
      <c r="G254" s="1">
        <v>42835</v>
      </c>
      <c r="H254" s="27">
        <v>755302</v>
      </c>
      <c r="I254" s="24">
        <v>1208</v>
      </c>
      <c r="J254" s="24">
        <v>-1208</v>
      </c>
      <c r="K254" s="30">
        <v>335</v>
      </c>
      <c r="L254" s="30">
        <v>1320</v>
      </c>
      <c r="M254" s="30">
        <v>85</v>
      </c>
      <c r="N254" s="30">
        <v>0</v>
      </c>
      <c r="O254" s="30">
        <v>1192358</v>
      </c>
      <c r="P254" s="29" t="s">
        <v>582</v>
      </c>
      <c r="Q254" s="29" t="s">
        <v>434</v>
      </c>
      <c r="R254" s="140" t="s">
        <v>402</v>
      </c>
    </row>
    <row r="255" spans="1:18" hidden="1">
      <c r="A255" s="139">
        <v>3</v>
      </c>
      <c r="B255" s="30">
        <v>7</v>
      </c>
      <c r="C255" s="1">
        <v>42947</v>
      </c>
      <c r="D255" s="27">
        <v>773093</v>
      </c>
      <c r="E255" s="30">
        <v>2017</v>
      </c>
      <c r="F255" s="30">
        <v>3</v>
      </c>
      <c r="G255" s="1">
        <v>42926</v>
      </c>
      <c r="H255" s="27">
        <v>771245</v>
      </c>
      <c r="I255" s="24">
        <v>10236</v>
      </c>
      <c r="J255" s="24">
        <v>-10236</v>
      </c>
      <c r="K255" s="30">
        <v>71</v>
      </c>
      <c r="L255" s="30">
        <v>8506</v>
      </c>
      <c r="M255" s="30">
        <v>60</v>
      </c>
      <c r="N255" s="30">
        <v>0</v>
      </c>
      <c r="O255" s="30">
        <v>2185050</v>
      </c>
      <c r="P255" s="29" t="s">
        <v>580</v>
      </c>
      <c r="Q255" s="29" t="s">
        <v>581</v>
      </c>
      <c r="R255" s="140" t="s">
        <v>414</v>
      </c>
    </row>
    <row r="256" spans="1:18" hidden="1">
      <c r="A256" s="139">
        <v>3</v>
      </c>
      <c r="B256" s="30">
        <v>7</v>
      </c>
      <c r="C256" s="1">
        <v>42947</v>
      </c>
      <c r="D256" s="27">
        <v>773093</v>
      </c>
      <c r="E256" s="30">
        <v>2017</v>
      </c>
      <c r="F256" s="30">
        <v>3</v>
      </c>
      <c r="G256" s="1">
        <v>42926</v>
      </c>
      <c r="H256" s="27">
        <v>771245</v>
      </c>
      <c r="I256" s="24">
        <v>1331</v>
      </c>
      <c r="J256" s="24">
        <v>-1331</v>
      </c>
      <c r="K256" s="30">
        <v>71</v>
      </c>
      <c r="L256" s="30">
        <v>8506</v>
      </c>
      <c r="M256" s="30">
        <v>85</v>
      </c>
      <c r="N256" s="30">
        <v>0</v>
      </c>
      <c r="O256" s="30">
        <v>2185050</v>
      </c>
      <c r="P256" s="29" t="s">
        <v>580</v>
      </c>
      <c r="Q256" s="29" t="s">
        <v>581</v>
      </c>
      <c r="R256" s="140" t="s">
        <v>414</v>
      </c>
    </row>
    <row r="257" spans="1:18" hidden="1">
      <c r="A257" s="139">
        <v>3</v>
      </c>
      <c r="B257" s="30">
        <v>7</v>
      </c>
      <c r="C257" s="1">
        <v>42947</v>
      </c>
      <c r="D257" s="27">
        <v>773093</v>
      </c>
      <c r="E257" s="30">
        <v>2017</v>
      </c>
      <c r="F257" s="30">
        <v>3</v>
      </c>
      <c r="G257" s="1">
        <v>42927</v>
      </c>
      <c r="H257" s="27">
        <v>771243</v>
      </c>
      <c r="I257" s="24">
        <v>9346.74</v>
      </c>
      <c r="J257" s="24">
        <v>-9346.74</v>
      </c>
      <c r="K257" s="30">
        <v>110</v>
      </c>
      <c r="L257" s="30">
        <v>101</v>
      </c>
      <c r="M257" s="30">
        <v>60</v>
      </c>
      <c r="N257" s="30">
        <v>0</v>
      </c>
      <c r="O257" s="30">
        <v>30821</v>
      </c>
      <c r="P257" s="29" t="s">
        <v>584</v>
      </c>
      <c r="Q257" s="29" t="s">
        <v>536</v>
      </c>
      <c r="R257" s="140" t="s">
        <v>509</v>
      </c>
    </row>
    <row r="258" spans="1:18" hidden="1">
      <c r="A258" s="139">
        <v>3</v>
      </c>
      <c r="B258" s="30">
        <v>7</v>
      </c>
      <c r="C258" s="1">
        <v>42947</v>
      </c>
      <c r="D258" s="27">
        <v>773093</v>
      </c>
      <c r="E258" s="30">
        <v>2017</v>
      </c>
      <c r="F258" s="30">
        <v>3</v>
      </c>
      <c r="G258" s="1">
        <v>42927</v>
      </c>
      <c r="H258" s="27">
        <v>771243</v>
      </c>
      <c r="I258" s="24">
        <v>1216</v>
      </c>
      <c r="J258" s="24">
        <v>-1216</v>
      </c>
      <c r="K258" s="30">
        <v>110</v>
      </c>
      <c r="L258" s="30">
        <v>101</v>
      </c>
      <c r="M258" s="30">
        <v>85</v>
      </c>
      <c r="N258" s="30">
        <v>0</v>
      </c>
      <c r="O258" s="30">
        <v>30821</v>
      </c>
      <c r="P258" s="29" t="s">
        <v>584</v>
      </c>
      <c r="Q258" s="29" t="s">
        <v>536</v>
      </c>
      <c r="R258" s="140" t="s">
        <v>509</v>
      </c>
    </row>
    <row r="259" spans="1:18" hidden="1">
      <c r="A259" s="139">
        <v>3</v>
      </c>
      <c r="B259" s="30">
        <v>7</v>
      </c>
      <c r="C259" s="1">
        <v>42947</v>
      </c>
      <c r="D259" s="27">
        <v>773093</v>
      </c>
      <c r="E259" s="30">
        <v>2017</v>
      </c>
      <c r="F259" s="30">
        <v>1</v>
      </c>
      <c r="G259" s="1">
        <v>42776</v>
      </c>
      <c r="H259" s="27">
        <v>744989</v>
      </c>
      <c r="I259" s="24">
        <v>1784.7</v>
      </c>
      <c r="J259" s="24">
        <v>-1784.7</v>
      </c>
      <c r="K259" s="30">
        <v>335</v>
      </c>
      <c r="L259" s="30">
        <v>164</v>
      </c>
      <c r="M259" s="30">
        <v>60</v>
      </c>
      <c r="N259" s="30">
        <v>0</v>
      </c>
      <c r="O259" s="30">
        <v>300373</v>
      </c>
      <c r="P259" s="29" t="s">
        <v>588</v>
      </c>
      <c r="Q259" s="29" t="s">
        <v>586</v>
      </c>
      <c r="R259" s="140" t="s">
        <v>589</v>
      </c>
    </row>
    <row r="260" spans="1:18" hidden="1">
      <c r="A260" s="139">
        <v>3</v>
      </c>
      <c r="B260" s="30">
        <v>7</v>
      </c>
      <c r="C260" s="1">
        <v>42947</v>
      </c>
      <c r="D260" s="27">
        <v>773093</v>
      </c>
      <c r="E260" s="30">
        <v>2017</v>
      </c>
      <c r="F260" s="30">
        <v>1</v>
      </c>
      <c r="G260" s="1">
        <v>42776</v>
      </c>
      <c r="H260" s="27">
        <v>744989</v>
      </c>
      <c r="I260" s="24">
        <v>232</v>
      </c>
      <c r="J260" s="24">
        <v>-232</v>
      </c>
      <c r="K260" s="30">
        <v>335</v>
      </c>
      <c r="L260" s="30">
        <v>164</v>
      </c>
      <c r="M260" s="30">
        <v>85</v>
      </c>
      <c r="N260" s="30">
        <v>0</v>
      </c>
      <c r="O260" s="30">
        <v>300373</v>
      </c>
      <c r="P260" s="29" t="s">
        <v>588</v>
      </c>
      <c r="Q260" s="29" t="s">
        <v>586</v>
      </c>
      <c r="R260" s="140" t="s">
        <v>589</v>
      </c>
    </row>
    <row r="261" spans="1:18" hidden="1">
      <c r="A261" s="139">
        <v>3</v>
      </c>
      <c r="B261" s="30">
        <v>7</v>
      </c>
      <c r="C261" s="1">
        <v>42947</v>
      </c>
      <c r="D261" s="27">
        <v>773093</v>
      </c>
      <c r="E261" s="30">
        <v>2017</v>
      </c>
      <c r="F261" s="30">
        <v>2</v>
      </c>
      <c r="G261" s="1">
        <v>42858</v>
      </c>
      <c r="H261" s="27">
        <v>759733</v>
      </c>
      <c r="I261" s="24">
        <v>949.5</v>
      </c>
      <c r="J261" s="24">
        <v>-949.5</v>
      </c>
      <c r="K261" s="30">
        <v>36</v>
      </c>
      <c r="L261" s="30">
        <v>210</v>
      </c>
      <c r="M261" s="30">
        <v>60</v>
      </c>
      <c r="N261" s="30">
        <v>0</v>
      </c>
      <c r="O261" s="30">
        <v>57133</v>
      </c>
      <c r="P261" s="29" t="s">
        <v>583</v>
      </c>
      <c r="Q261" s="29" t="s">
        <v>401</v>
      </c>
      <c r="R261" s="140" t="s">
        <v>402</v>
      </c>
    </row>
    <row r="262" spans="1:18" hidden="1">
      <c r="A262" s="141">
        <v>3</v>
      </c>
      <c r="B262" s="142">
        <v>7</v>
      </c>
      <c r="C262" s="13">
        <v>42947</v>
      </c>
      <c r="D262" s="143">
        <v>773093</v>
      </c>
      <c r="E262" s="142">
        <v>2017</v>
      </c>
      <c r="F262" s="142">
        <v>2</v>
      </c>
      <c r="G262" s="13">
        <v>42858</v>
      </c>
      <c r="H262" s="143">
        <v>759733</v>
      </c>
      <c r="I262" s="16">
        <v>123</v>
      </c>
      <c r="J262" s="16">
        <v>-123</v>
      </c>
      <c r="K262" s="142">
        <v>36</v>
      </c>
      <c r="L262" s="142">
        <v>210</v>
      </c>
      <c r="M262" s="142">
        <v>85</v>
      </c>
      <c r="N262" s="142">
        <v>0</v>
      </c>
      <c r="O262" s="142">
        <v>57133</v>
      </c>
      <c r="P262" s="144" t="s">
        <v>583</v>
      </c>
      <c r="Q262" s="144" t="s">
        <v>401</v>
      </c>
      <c r="R262" s="145" t="s">
        <v>402</v>
      </c>
    </row>
  </sheetData>
  <mergeCells count="7">
    <mergeCell ref="O1:R1"/>
    <mergeCell ref="A1:D1"/>
    <mergeCell ref="E1:J1"/>
    <mergeCell ref="K1:K2"/>
    <mergeCell ref="L1:L2"/>
    <mergeCell ref="M1:M2"/>
    <mergeCell ref="N1:N2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>
  <sheetPr codeName="Лист13"/>
  <dimension ref="A1:R263"/>
  <sheetViews>
    <sheetView workbookViewId="0">
      <selection activeCell="G1" sqref="G1"/>
    </sheetView>
  </sheetViews>
  <sheetFormatPr defaultRowHeight="15"/>
  <cols>
    <col min="1" max="2" width="9.140625" customWidth="1"/>
    <col min="3" max="3" width="13.5703125" customWidth="1"/>
    <col min="4" max="4" width="14.28515625" customWidth="1"/>
    <col min="5" max="6" width="9.140625" customWidth="1"/>
    <col min="7" max="10" width="13.5703125" customWidth="1"/>
    <col min="11" max="11" width="6.7109375" customWidth="1"/>
    <col min="12" max="12" width="13.5703125" customWidth="1"/>
    <col min="13" max="13" width="10.42578125" customWidth="1"/>
    <col min="14" max="14" width="8" customWidth="1"/>
    <col min="15" max="15" width="13.85546875" customWidth="1"/>
    <col min="16" max="18" width="26.42578125" customWidth="1"/>
  </cols>
  <sheetData>
    <row r="1" spans="1:18" ht="31.5" customHeight="1">
      <c r="A1" s="157" t="s">
        <v>60</v>
      </c>
      <c r="B1" s="157"/>
      <c r="C1" s="157"/>
      <c r="D1" s="157"/>
      <c r="E1" s="157" t="s">
        <v>59</v>
      </c>
      <c r="F1" s="157"/>
      <c r="G1" s="157"/>
      <c r="H1" s="157"/>
      <c r="I1" s="157"/>
      <c r="J1" s="157"/>
      <c r="K1" s="179" t="s">
        <v>53</v>
      </c>
      <c r="L1" s="179" t="s">
        <v>54</v>
      </c>
      <c r="M1" s="179" t="s">
        <v>39</v>
      </c>
      <c r="N1" s="179" t="s">
        <v>55</v>
      </c>
      <c r="O1" s="157" t="s">
        <v>61</v>
      </c>
      <c r="P1" s="157"/>
      <c r="Q1" s="157"/>
      <c r="R1" s="157"/>
    </row>
    <row r="2" spans="1:18" ht="31.5">
      <c r="A2" s="136" t="s">
        <v>52</v>
      </c>
      <c r="B2" s="136" t="s">
        <v>58</v>
      </c>
      <c r="C2" s="136" t="s">
        <v>48</v>
      </c>
      <c r="D2" s="136" t="s">
        <v>62</v>
      </c>
      <c r="E2" s="136" t="s">
        <v>51</v>
      </c>
      <c r="F2" s="136" t="s">
        <v>52</v>
      </c>
      <c r="G2" s="136" t="s">
        <v>48</v>
      </c>
      <c r="H2" s="136" t="s">
        <v>62</v>
      </c>
      <c r="I2" s="136" t="s">
        <v>56</v>
      </c>
      <c r="J2" s="136" t="s">
        <v>57</v>
      </c>
      <c r="K2" s="179"/>
      <c r="L2" s="179"/>
      <c r="M2" s="179"/>
      <c r="N2" s="179"/>
      <c r="O2" s="136" t="s">
        <v>63</v>
      </c>
      <c r="P2" s="136" t="s">
        <v>64</v>
      </c>
      <c r="Q2" s="136" t="s">
        <v>65</v>
      </c>
      <c r="R2" s="136" t="s">
        <v>66</v>
      </c>
    </row>
    <row r="3" spans="1:18" ht="15" customHeight="1">
      <c r="A3" s="22" t="s">
        <v>7</v>
      </c>
      <c r="B3" s="22" t="s">
        <v>8</v>
      </c>
      <c r="C3" s="22" t="s">
        <v>9</v>
      </c>
      <c r="D3" s="22" t="s">
        <v>10</v>
      </c>
      <c r="E3" s="22" t="s">
        <v>11</v>
      </c>
      <c r="F3" s="22" t="s">
        <v>12</v>
      </c>
      <c r="G3" s="22" t="s">
        <v>13</v>
      </c>
      <c r="H3" s="22" t="s">
        <v>14</v>
      </c>
      <c r="I3" s="22" t="s">
        <v>15</v>
      </c>
      <c r="J3" s="22" t="s">
        <v>16</v>
      </c>
      <c r="K3" s="22" t="s">
        <v>17</v>
      </c>
      <c r="L3" s="22" t="s">
        <v>18</v>
      </c>
      <c r="M3" s="22" t="s">
        <v>19</v>
      </c>
      <c r="N3" s="22" t="s">
        <v>20</v>
      </c>
      <c r="O3" s="22" t="s">
        <v>21</v>
      </c>
      <c r="P3" s="22" t="s">
        <v>24</v>
      </c>
      <c r="Q3" s="22" t="s">
        <v>49</v>
      </c>
      <c r="R3" s="22" t="s">
        <v>50</v>
      </c>
    </row>
    <row r="4" spans="1:18">
      <c r="A4" s="30">
        <v>1</v>
      </c>
      <c r="B4" s="30">
        <v>1</v>
      </c>
      <c r="C4" s="1">
        <v>42755</v>
      </c>
      <c r="D4" s="27">
        <v>743356</v>
      </c>
      <c r="E4" s="30">
        <v>2016</v>
      </c>
      <c r="F4" s="30">
        <v>3</v>
      </c>
      <c r="G4" s="1">
        <v>42643</v>
      </c>
      <c r="H4" s="27">
        <v>722594</v>
      </c>
      <c r="I4" s="24">
        <v>82000</v>
      </c>
      <c r="J4" s="24">
        <v>-82000</v>
      </c>
      <c r="K4" s="30">
        <v>991</v>
      </c>
      <c r="L4" s="30">
        <v>6614</v>
      </c>
      <c r="M4" s="30">
        <v>55</v>
      </c>
      <c r="N4" s="30">
        <v>1</v>
      </c>
      <c r="O4" s="30">
        <v>181587</v>
      </c>
      <c r="P4" s="29" t="s">
        <v>379</v>
      </c>
      <c r="Q4" s="29" t="s">
        <v>380</v>
      </c>
      <c r="R4" s="29" t="s">
        <v>381</v>
      </c>
    </row>
    <row r="5" spans="1:18">
      <c r="A5" s="139">
        <v>1</v>
      </c>
      <c r="B5" s="30">
        <v>1</v>
      </c>
      <c r="C5" s="1">
        <v>42755</v>
      </c>
      <c r="D5" s="27">
        <v>743356</v>
      </c>
      <c r="E5" s="30">
        <v>2016</v>
      </c>
      <c r="F5" s="30">
        <v>3</v>
      </c>
      <c r="G5" s="1">
        <v>42643</v>
      </c>
      <c r="H5" s="27">
        <v>722594</v>
      </c>
      <c r="I5" s="24">
        <v>15283</v>
      </c>
      <c r="J5" s="24">
        <v>-10660</v>
      </c>
      <c r="K5" s="30">
        <v>991</v>
      </c>
      <c r="L5" s="30">
        <v>6614</v>
      </c>
      <c r="M5" s="30">
        <v>85</v>
      </c>
      <c r="N5" s="30">
        <v>2</v>
      </c>
      <c r="O5" s="30">
        <v>181587</v>
      </c>
      <c r="P5" s="29" t="s">
        <v>379</v>
      </c>
      <c r="Q5" s="29" t="s">
        <v>380</v>
      </c>
      <c r="R5" s="140" t="s">
        <v>381</v>
      </c>
    </row>
    <row r="6" spans="1:18">
      <c r="A6" s="139">
        <v>1</v>
      </c>
      <c r="B6" s="30">
        <v>1</v>
      </c>
      <c r="C6" s="1">
        <v>42755</v>
      </c>
      <c r="D6" s="27">
        <v>743354</v>
      </c>
      <c r="E6" s="30">
        <v>2016</v>
      </c>
      <c r="F6" s="30">
        <v>4</v>
      </c>
      <c r="G6" s="1">
        <v>42706</v>
      </c>
      <c r="H6" s="27">
        <v>733154</v>
      </c>
      <c r="I6" s="24">
        <v>53000</v>
      </c>
      <c r="J6" s="24">
        <v>-45000</v>
      </c>
      <c r="K6" s="30">
        <v>991</v>
      </c>
      <c r="L6" s="30">
        <v>55852</v>
      </c>
      <c r="M6" s="30">
        <v>55</v>
      </c>
      <c r="N6" s="30">
        <v>1</v>
      </c>
      <c r="O6" s="30">
        <v>970213</v>
      </c>
      <c r="P6" s="29" t="s">
        <v>382</v>
      </c>
      <c r="Q6" s="29" t="s">
        <v>383</v>
      </c>
      <c r="R6" s="140" t="s">
        <v>384</v>
      </c>
    </row>
    <row r="7" spans="1:18">
      <c r="A7" s="139">
        <v>1</v>
      </c>
      <c r="B7" s="30">
        <v>1</v>
      </c>
      <c r="C7" s="1">
        <v>42755</v>
      </c>
      <c r="D7" s="27">
        <v>743354</v>
      </c>
      <c r="E7" s="30">
        <v>2016</v>
      </c>
      <c r="F7" s="30">
        <v>4</v>
      </c>
      <c r="G7" s="1">
        <v>42706</v>
      </c>
      <c r="H7" s="27">
        <v>733154</v>
      </c>
      <c r="I7" s="24">
        <v>7799</v>
      </c>
      <c r="J7" s="24">
        <v>-5850</v>
      </c>
      <c r="K7" s="30">
        <v>991</v>
      </c>
      <c r="L7" s="30">
        <v>55852</v>
      </c>
      <c r="M7" s="30">
        <v>85</v>
      </c>
      <c r="N7" s="30">
        <v>2</v>
      </c>
      <c r="O7" s="30">
        <v>970213</v>
      </c>
      <c r="P7" s="29" t="s">
        <v>382</v>
      </c>
      <c r="Q7" s="29" t="s">
        <v>383</v>
      </c>
      <c r="R7" s="140" t="s">
        <v>384</v>
      </c>
    </row>
    <row r="8" spans="1:18">
      <c r="A8" s="139">
        <v>1</v>
      </c>
      <c r="B8" s="30">
        <v>1</v>
      </c>
      <c r="C8" s="1">
        <v>42755</v>
      </c>
      <c r="D8" s="27">
        <v>743355</v>
      </c>
      <c r="E8" s="30">
        <v>2016</v>
      </c>
      <c r="F8" s="30">
        <v>4</v>
      </c>
      <c r="G8" s="1">
        <v>42720</v>
      </c>
      <c r="H8" s="27">
        <v>736840</v>
      </c>
      <c r="I8" s="24">
        <v>53000</v>
      </c>
      <c r="J8" s="24">
        <v>-53000</v>
      </c>
      <c r="K8" s="30">
        <v>991</v>
      </c>
      <c r="L8" s="30">
        <v>11353</v>
      </c>
      <c r="M8" s="30">
        <v>55</v>
      </c>
      <c r="N8" s="30">
        <v>1</v>
      </c>
      <c r="O8" s="30">
        <v>194095</v>
      </c>
      <c r="P8" s="29" t="s">
        <v>385</v>
      </c>
      <c r="Q8" s="29" t="s">
        <v>386</v>
      </c>
      <c r="R8" s="140" t="s">
        <v>387</v>
      </c>
    </row>
    <row r="9" spans="1:18">
      <c r="A9" s="139">
        <v>1</v>
      </c>
      <c r="B9" s="30">
        <v>1</v>
      </c>
      <c r="C9" s="1">
        <v>42755</v>
      </c>
      <c r="D9" s="27">
        <v>743355</v>
      </c>
      <c r="E9" s="30">
        <v>2016</v>
      </c>
      <c r="F9" s="30">
        <v>4</v>
      </c>
      <c r="G9" s="1">
        <v>42720</v>
      </c>
      <c r="H9" s="27">
        <v>736840</v>
      </c>
      <c r="I9" s="24">
        <v>9392</v>
      </c>
      <c r="J9" s="24">
        <v>-6890</v>
      </c>
      <c r="K9" s="30">
        <v>991</v>
      </c>
      <c r="L9" s="30">
        <v>11353</v>
      </c>
      <c r="M9" s="30">
        <v>85</v>
      </c>
      <c r="N9" s="30">
        <v>2</v>
      </c>
      <c r="O9" s="30">
        <v>194095</v>
      </c>
      <c r="P9" s="29" t="s">
        <v>385</v>
      </c>
      <c r="Q9" s="29" t="s">
        <v>386</v>
      </c>
      <c r="R9" s="140" t="s">
        <v>387</v>
      </c>
    </row>
    <row r="10" spans="1:18">
      <c r="A10" s="139">
        <v>1</v>
      </c>
      <c r="B10" s="30">
        <v>1</v>
      </c>
      <c r="C10" s="1">
        <v>42762</v>
      </c>
      <c r="D10" s="27">
        <v>743790</v>
      </c>
      <c r="E10" s="30">
        <v>2016</v>
      </c>
      <c r="F10" s="30">
        <v>4</v>
      </c>
      <c r="G10" s="1">
        <v>42671</v>
      </c>
      <c r="H10" s="27">
        <v>727669</v>
      </c>
      <c r="I10" s="24">
        <v>72000</v>
      </c>
      <c r="J10" s="24">
        <v>-66000</v>
      </c>
      <c r="K10" s="30">
        <v>991</v>
      </c>
      <c r="L10" s="30">
        <v>56937</v>
      </c>
      <c r="M10" s="30">
        <v>55</v>
      </c>
      <c r="N10" s="30">
        <v>1</v>
      </c>
      <c r="O10" s="30">
        <v>996784</v>
      </c>
      <c r="P10" s="29" t="s">
        <v>388</v>
      </c>
      <c r="Q10" s="29" t="s">
        <v>389</v>
      </c>
      <c r="R10" s="140" t="s">
        <v>390</v>
      </c>
    </row>
    <row r="11" spans="1:18">
      <c r="A11" s="139">
        <v>1</v>
      </c>
      <c r="B11" s="30">
        <v>1</v>
      </c>
      <c r="C11" s="1">
        <v>42762</v>
      </c>
      <c r="D11" s="27">
        <v>743790</v>
      </c>
      <c r="E11" s="30">
        <v>2016</v>
      </c>
      <c r="F11" s="30">
        <v>4</v>
      </c>
      <c r="G11" s="1">
        <v>42671</v>
      </c>
      <c r="H11" s="27">
        <v>727669</v>
      </c>
      <c r="I11" s="24">
        <v>10664</v>
      </c>
      <c r="J11" s="24">
        <v>-8580</v>
      </c>
      <c r="K11" s="30">
        <v>991</v>
      </c>
      <c r="L11" s="30">
        <v>56937</v>
      </c>
      <c r="M11" s="30">
        <v>85</v>
      </c>
      <c r="N11" s="30">
        <v>2</v>
      </c>
      <c r="O11" s="30">
        <v>996784</v>
      </c>
      <c r="P11" s="29" t="s">
        <v>388</v>
      </c>
      <c r="Q11" s="29" t="s">
        <v>389</v>
      </c>
      <c r="R11" s="140" t="s">
        <v>390</v>
      </c>
    </row>
    <row r="12" spans="1:18">
      <c r="A12" s="139">
        <v>1</v>
      </c>
      <c r="B12" s="30">
        <v>1</v>
      </c>
      <c r="C12" s="1">
        <v>42762</v>
      </c>
      <c r="D12" s="27">
        <v>743775</v>
      </c>
      <c r="E12" s="30">
        <v>2016</v>
      </c>
      <c r="F12" s="30">
        <v>4</v>
      </c>
      <c r="G12" s="1">
        <v>42727</v>
      </c>
      <c r="H12" s="27">
        <v>738309</v>
      </c>
      <c r="I12" s="24">
        <v>26000</v>
      </c>
      <c r="J12" s="24">
        <v>-26000</v>
      </c>
      <c r="K12" s="30">
        <v>991</v>
      </c>
      <c r="L12" s="30">
        <v>59036</v>
      </c>
      <c r="M12" s="30">
        <v>55</v>
      </c>
      <c r="N12" s="30">
        <v>1</v>
      </c>
      <c r="O12" s="30">
        <v>999444</v>
      </c>
      <c r="P12" s="29" t="s">
        <v>391</v>
      </c>
      <c r="Q12" s="29" t="s">
        <v>392</v>
      </c>
      <c r="R12" s="140" t="s">
        <v>393</v>
      </c>
    </row>
    <row r="13" spans="1:18">
      <c r="A13" s="139">
        <v>1</v>
      </c>
      <c r="B13" s="30">
        <v>1</v>
      </c>
      <c r="C13" s="1">
        <v>42762</v>
      </c>
      <c r="D13" s="27">
        <v>743775</v>
      </c>
      <c r="E13" s="30">
        <v>2016</v>
      </c>
      <c r="F13" s="30">
        <v>4</v>
      </c>
      <c r="G13" s="1">
        <v>42727</v>
      </c>
      <c r="H13" s="27">
        <v>738309</v>
      </c>
      <c r="I13" s="24">
        <v>3817</v>
      </c>
      <c r="J13" s="24">
        <v>-3380</v>
      </c>
      <c r="K13" s="30">
        <v>991</v>
      </c>
      <c r="L13" s="30">
        <v>59036</v>
      </c>
      <c r="M13" s="30">
        <v>85</v>
      </c>
      <c r="N13" s="30">
        <v>2</v>
      </c>
      <c r="O13" s="30">
        <v>999444</v>
      </c>
      <c r="P13" s="29" t="s">
        <v>391</v>
      </c>
      <c r="Q13" s="29" t="s">
        <v>392</v>
      </c>
      <c r="R13" s="140" t="s">
        <v>393</v>
      </c>
    </row>
    <row r="14" spans="1:18">
      <c r="A14" s="139">
        <v>1</v>
      </c>
      <c r="B14" s="30">
        <v>1</v>
      </c>
      <c r="C14" s="1">
        <v>42762</v>
      </c>
      <c r="D14" s="27">
        <v>743776</v>
      </c>
      <c r="E14" s="30">
        <v>2016</v>
      </c>
      <c r="F14" s="30">
        <v>4</v>
      </c>
      <c r="G14" s="1">
        <v>42727</v>
      </c>
      <c r="H14" s="27">
        <v>738311</v>
      </c>
      <c r="I14" s="24">
        <v>23500</v>
      </c>
      <c r="J14" s="24">
        <v>-23500</v>
      </c>
      <c r="K14" s="30">
        <v>991</v>
      </c>
      <c r="L14" s="30">
        <v>61713</v>
      </c>
      <c r="M14" s="30">
        <v>55</v>
      </c>
      <c r="N14" s="30">
        <v>1</v>
      </c>
      <c r="O14" s="30">
        <v>1005499</v>
      </c>
      <c r="P14" s="29" t="s">
        <v>391</v>
      </c>
      <c r="Q14" s="29" t="s">
        <v>392</v>
      </c>
      <c r="R14" s="140" t="s">
        <v>393</v>
      </c>
    </row>
    <row r="15" spans="1:18">
      <c r="A15" s="139">
        <v>1</v>
      </c>
      <c r="B15" s="30">
        <v>1</v>
      </c>
      <c r="C15" s="1">
        <v>42762</v>
      </c>
      <c r="D15" s="27">
        <v>743776</v>
      </c>
      <c r="E15" s="30">
        <v>2016</v>
      </c>
      <c r="F15" s="30">
        <v>4</v>
      </c>
      <c r="G15" s="1">
        <v>42727</v>
      </c>
      <c r="H15" s="27">
        <v>738311</v>
      </c>
      <c r="I15" s="24">
        <v>3410</v>
      </c>
      <c r="J15" s="24">
        <v>-3055</v>
      </c>
      <c r="K15" s="30">
        <v>991</v>
      </c>
      <c r="L15" s="30">
        <v>61713</v>
      </c>
      <c r="M15" s="30">
        <v>85</v>
      </c>
      <c r="N15" s="30">
        <v>2</v>
      </c>
      <c r="O15" s="30">
        <v>1005499</v>
      </c>
      <c r="P15" s="29" t="s">
        <v>391</v>
      </c>
      <c r="Q15" s="29" t="s">
        <v>392</v>
      </c>
      <c r="R15" s="140" t="s">
        <v>393</v>
      </c>
    </row>
    <row r="16" spans="1:18">
      <c r="A16" s="139">
        <v>1</v>
      </c>
      <c r="B16" s="30">
        <v>1</v>
      </c>
      <c r="C16" s="1">
        <v>42762</v>
      </c>
      <c r="D16" s="27">
        <v>743786</v>
      </c>
      <c r="E16" s="30">
        <v>2016</v>
      </c>
      <c r="F16" s="30">
        <v>4</v>
      </c>
      <c r="G16" s="1">
        <v>42716</v>
      </c>
      <c r="H16" s="27">
        <v>735511</v>
      </c>
      <c r="I16" s="24">
        <v>71000</v>
      </c>
      <c r="J16" s="24">
        <v>-62000</v>
      </c>
      <c r="K16" s="30">
        <v>991</v>
      </c>
      <c r="L16" s="30">
        <v>40081</v>
      </c>
      <c r="M16" s="30">
        <v>55</v>
      </c>
      <c r="N16" s="30">
        <v>1</v>
      </c>
      <c r="O16" s="30">
        <v>572227</v>
      </c>
      <c r="P16" s="29" t="s">
        <v>394</v>
      </c>
      <c r="Q16" s="29" t="s">
        <v>395</v>
      </c>
      <c r="R16" s="140" t="s">
        <v>396</v>
      </c>
    </row>
    <row r="17" spans="1:18">
      <c r="A17" s="139">
        <v>1</v>
      </c>
      <c r="B17" s="30">
        <v>1</v>
      </c>
      <c r="C17" s="1">
        <v>42762</v>
      </c>
      <c r="D17" s="27">
        <v>743786</v>
      </c>
      <c r="E17" s="30">
        <v>2016</v>
      </c>
      <c r="F17" s="30">
        <v>4</v>
      </c>
      <c r="G17" s="1">
        <v>42716</v>
      </c>
      <c r="H17" s="27">
        <v>735511</v>
      </c>
      <c r="I17" s="24">
        <v>10787</v>
      </c>
      <c r="J17" s="24">
        <v>-8060</v>
      </c>
      <c r="K17" s="30">
        <v>991</v>
      </c>
      <c r="L17" s="30">
        <v>40081</v>
      </c>
      <c r="M17" s="30">
        <v>85</v>
      </c>
      <c r="N17" s="30">
        <v>2</v>
      </c>
      <c r="O17" s="30">
        <v>572227</v>
      </c>
      <c r="P17" s="29" t="s">
        <v>394</v>
      </c>
      <c r="Q17" s="29" t="s">
        <v>395</v>
      </c>
      <c r="R17" s="140" t="s">
        <v>396</v>
      </c>
    </row>
    <row r="18" spans="1:18">
      <c r="A18" s="139">
        <v>1</v>
      </c>
      <c r="B18" s="30">
        <v>1</v>
      </c>
      <c r="C18" s="1">
        <v>42766</v>
      </c>
      <c r="D18" s="27">
        <v>742033</v>
      </c>
      <c r="E18" s="30">
        <v>2017</v>
      </c>
      <c r="F18" s="30">
        <v>1</v>
      </c>
      <c r="G18" s="1">
        <v>42745</v>
      </c>
      <c r="H18" s="27">
        <v>740276</v>
      </c>
      <c r="I18" s="24">
        <v>6437.7</v>
      </c>
      <c r="J18" s="24">
        <v>-6437.7</v>
      </c>
      <c r="K18" s="30">
        <v>6</v>
      </c>
      <c r="L18" s="30">
        <v>2489</v>
      </c>
      <c r="M18" s="30">
        <v>60</v>
      </c>
      <c r="N18" s="30">
        <v>0</v>
      </c>
      <c r="O18" s="30">
        <v>59831</v>
      </c>
      <c r="P18" s="29" t="s">
        <v>397</v>
      </c>
      <c r="Q18" s="29" t="s">
        <v>398</v>
      </c>
      <c r="R18" s="140" t="s">
        <v>399</v>
      </c>
    </row>
    <row r="19" spans="1:18">
      <c r="A19" s="139">
        <v>1</v>
      </c>
      <c r="B19" s="30">
        <v>1</v>
      </c>
      <c r="C19" s="1">
        <v>42766</v>
      </c>
      <c r="D19" s="27">
        <v>742033</v>
      </c>
      <c r="E19" s="30">
        <v>2017</v>
      </c>
      <c r="F19" s="30">
        <v>1</v>
      </c>
      <c r="G19" s="1">
        <v>42745</v>
      </c>
      <c r="H19" s="27">
        <v>740276</v>
      </c>
      <c r="I19" s="24">
        <v>772</v>
      </c>
      <c r="J19" s="24">
        <v>-772</v>
      </c>
      <c r="K19" s="30">
        <v>6</v>
      </c>
      <c r="L19" s="30">
        <v>2489</v>
      </c>
      <c r="M19" s="30">
        <v>85</v>
      </c>
      <c r="N19" s="30">
        <v>0</v>
      </c>
      <c r="O19" s="30">
        <v>59831</v>
      </c>
      <c r="P19" s="29" t="s">
        <v>397</v>
      </c>
      <c r="Q19" s="29" t="s">
        <v>398</v>
      </c>
      <c r="R19" s="140" t="s">
        <v>399</v>
      </c>
    </row>
    <row r="20" spans="1:18">
      <c r="A20" s="139">
        <v>1</v>
      </c>
      <c r="B20" s="30">
        <v>1</v>
      </c>
      <c r="C20" s="1">
        <v>42766</v>
      </c>
      <c r="D20" s="27">
        <v>742033</v>
      </c>
      <c r="E20" s="30">
        <v>2017</v>
      </c>
      <c r="F20" s="30">
        <v>1</v>
      </c>
      <c r="G20" s="1">
        <v>42745</v>
      </c>
      <c r="H20" s="27">
        <v>740276</v>
      </c>
      <c r="I20" s="24">
        <v>500</v>
      </c>
      <c r="J20" s="24">
        <v>-500</v>
      </c>
      <c r="K20" s="30">
        <v>6</v>
      </c>
      <c r="L20" s="30">
        <v>2489</v>
      </c>
      <c r="M20" s="30">
        <v>1025</v>
      </c>
      <c r="N20" s="30">
        <v>0</v>
      </c>
      <c r="O20" s="30">
        <v>59831</v>
      </c>
      <c r="P20" s="29" t="s">
        <v>397</v>
      </c>
      <c r="Q20" s="29" t="s">
        <v>398</v>
      </c>
      <c r="R20" s="140" t="s">
        <v>399</v>
      </c>
    </row>
    <row r="21" spans="1:18">
      <c r="A21" s="139">
        <v>1</v>
      </c>
      <c r="B21" s="30">
        <v>1</v>
      </c>
      <c r="C21" s="1">
        <v>42766</v>
      </c>
      <c r="D21" s="27">
        <v>742033</v>
      </c>
      <c r="E21" s="30">
        <v>2017</v>
      </c>
      <c r="F21" s="30">
        <v>1</v>
      </c>
      <c r="G21" s="1">
        <v>42745</v>
      </c>
      <c r="H21" s="27">
        <v>740282</v>
      </c>
      <c r="I21" s="24">
        <v>5102.1099999999997</v>
      </c>
      <c r="J21" s="24">
        <v>-5102.1099999999997</v>
      </c>
      <c r="K21" s="30">
        <v>13</v>
      </c>
      <c r="L21" s="30">
        <v>120</v>
      </c>
      <c r="M21" s="30">
        <v>60</v>
      </c>
      <c r="N21" s="30">
        <v>0</v>
      </c>
      <c r="O21" s="30">
        <v>15410</v>
      </c>
      <c r="P21" s="29" t="s">
        <v>400</v>
      </c>
      <c r="Q21" s="29" t="s">
        <v>401</v>
      </c>
      <c r="R21" s="140" t="s">
        <v>402</v>
      </c>
    </row>
    <row r="22" spans="1:18">
      <c r="A22" s="139">
        <v>1</v>
      </c>
      <c r="B22" s="30">
        <v>1</v>
      </c>
      <c r="C22" s="1">
        <v>42766</v>
      </c>
      <c r="D22" s="27">
        <v>742033</v>
      </c>
      <c r="E22" s="30">
        <v>2017</v>
      </c>
      <c r="F22" s="30">
        <v>1</v>
      </c>
      <c r="G22" s="1">
        <v>42745</v>
      </c>
      <c r="H22" s="27">
        <v>740282</v>
      </c>
      <c r="I22" s="24">
        <v>663</v>
      </c>
      <c r="J22" s="24">
        <v>-663</v>
      </c>
      <c r="K22" s="30">
        <v>13</v>
      </c>
      <c r="L22" s="30">
        <v>120</v>
      </c>
      <c r="M22" s="30">
        <v>85</v>
      </c>
      <c r="N22" s="30">
        <v>0</v>
      </c>
      <c r="O22" s="30">
        <v>15410</v>
      </c>
      <c r="P22" s="29" t="s">
        <v>400</v>
      </c>
      <c r="Q22" s="29" t="s">
        <v>401</v>
      </c>
      <c r="R22" s="140" t="s">
        <v>402</v>
      </c>
    </row>
    <row r="23" spans="1:18">
      <c r="A23" s="139">
        <v>1</v>
      </c>
      <c r="B23" s="30">
        <v>1</v>
      </c>
      <c r="C23" s="1">
        <v>42766</v>
      </c>
      <c r="D23" s="27">
        <v>742033</v>
      </c>
      <c r="E23" s="30">
        <v>2017</v>
      </c>
      <c r="F23" s="30">
        <v>1</v>
      </c>
      <c r="G23" s="1">
        <v>42745</v>
      </c>
      <c r="H23" s="27">
        <v>740284</v>
      </c>
      <c r="I23" s="24">
        <v>6400</v>
      </c>
      <c r="J23" s="24">
        <v>-6400</v>
      </c>
      <c r="K23" s="30">
        <v>573</v>
      </c>
      <c r="L23" s="30">
        <v>259</v>
      </c>
      <c r="M23" s="30">
        <v>60</v>
      </c>
      <c r="N23" s="30">
        <v>0</v>
      </c>
      <c r="O23" s="30">
        <v>799626</v>
      </c>
      <c r="P23" s="29" t="s">
        <v>403</v>
      </c>
      <c r="Q23" s="29" t="s">
        <v>404</v>
      </c>
      <c r="R23" s="140" t="s">
        <v>405</v>
      </c>
    </row>
    <row r="24" spans="1:18">
      <c r="A24" s="139">
        <v>1</v>
      </c>
      <c r="B24" s="30">
        <v>1</v>
      </c>
      <c r="C24" s="1">
        <v>42766</v>
      </c>
      <c r="D24" s="27">
        <v>742033</v>
      </c>
      <c r="E24" s="30">
        <v>2017</v>
      </c>
      <c r="F24" s="30">
        <v>1</v>
      </c>
      <c r="G24" s="1">
        <v>42745</v>
      </c>
      <c r="H24" s="27">
        <v>740284</v>
      </c>
      <c r="I24" s="24">
        <v>832</v>
      </c>
      <c r="J24" s="24">
        <v>-832</v>
      </c>
      <c r="K24" s="30">
        <v>573</v>
      </c>
      <c r="L24" s="30">
        <v>259</v>
      </c>
      <c r="M24" s="30">
        <v>85</v>
      </c>
      <c r="N24" s="30">
        <v>0</v>
      </c>
      <c r="O24" s="30">
        <v>799626</v>
      </c>
      <c r="P24" s="29" t="s">
        <v>403</v>
      </c>
      <c r="Q24" s="29" t="s">
        <v>404</v>
      </c>
      <c r="R24" s="140" t="s">
        <v>405</v>
      </c>
    </row>
    <row r="25" spans="1:18">
      <c r="A25" s="139">
        <v>1</v>
      </c>
      <c r="B25" s="30">
        <v>1</v>
      </c>
      <c r="C25" s="1">
        <v>42766</v>
      </c>
      <c r="D25" s="27">
        <v>742033</v>
      </c>
      <c r="E25" s="30">
        <v>2017</v>
      </c>
      <c r="F25" s="30">
        <v>1</v>
      </c>
      <c r="G25" s="1">
        <v>42745</v>
      </c>
      <c r="H25" s="27">
        <v>740571</v>
      </c>
      <c r="I25" s="24">
        <v>5031.5</v>
      </c>
      <c r="J25" s="24">
        <v>-5031.5</v>
      </c>
      <c r="K25" s="30">
        <v>104</v>
      </c>
      <c r="L25" s="30">
        <v>1381</v>
      </c>
      <c r="M25" s="30">
        <v>60</v>
      </c>
      <c r="N25" s="30">
        <v>0</v>
      </c>
      <c r="O25" s="30">
        <v>141730</v>
      </c>
      <c r="P25" s="29" t="s">
        <v>406</v>
      </c>
      <c r="Q25" s="29" t="s">
        <v>407</v>
      </c>
      <c r="R25" s="140" t="s">
        <v>408</v>
      </c>
    </row>
    <row r="26" spans="1:18">
      <c r="A26" s="139">
        <v>1</v>
      </c>
      <c r="B26" s="30">
        <v>1</v>
      </c>
      <c r="C26" s="1">
        <v>42766</v>
      </c>
      <c r="D26" s="27">
        <v>742033</v>
      </c>
      <c r="E26" s="30">
        <v>2017</v>
      </c>
      <c r="F26" s="30">
        <v>1</v>
      </c>
      <c r="G26" s="1">
        <v>42745</v>
      </c>
      <c r="H26" s="27">
        <v>740571</v>
      </c>
      <c r="I26" s="24">
        <v>654</v>
      </c>
      <c r="J26" s="24">
        <v>-654</v>
      </c>
      <c r="K26" s="30">
        <v>104</v>
      </c>
      <c r="L26" s="30">
        <v>1381</v>
      </c>
      <c r="M26" s="30">
        <v>85</v>
      </c>
      <c r="N26" s="30">
        <v>0</v>
      </c>
      <c r="O26" s="30">
        <v>141730</v>
      </c>
      <c r="P26" s="29" t="s">
        <v>406</v>
      </c>
      <c r="Q26" s="29" t="s">
        <v>407</v>
      </c>
      <c r="R26" s="140" t="s">
        <v>408</v>
      </c>
    </row>
    <row r="27" spans="1:18">
      <c r="A27" s="139">
        <v>1</v>
      </c>
      <c r="B27" s="30">
        <v>1</v>
      </c>
      <c r="C27" s="1">
        <v>42766</v>
      </c>
      <c r="D27" s="27">
        <v>742033</v>
      </c>
      <c r="E27" s="30">
        <v>2017</v>
      </c>
      <c r="F27" s="30">
        <v>1</v>
      </c>
      <c r="G27" s="1">
        <v>42745</v>
      </c>
      <c r="H27" s="27">
        <v>740282</v>
      </c>
      <c r="I27" s="24">
        <v>4023.71</v>
      </c>
      <c r="J27" s="24">
        <v>-4023.71</v>
      </c>
      <c r="K27" s="30">
        <v>7</v>
      </c>
      <c r="L27" s="30">
        <v>2354</v>
      </c>
      <c r="M27" s="30">
        <v>60</v>
      </c>
      <c r="N27" s="30">
        <v>0</v>
      </c>
      <c r="O27" s="30">
        <v>4914</v>
      </c>
      <c r="P27" s="29" t="s">
        <v>409</v>
      </c>
      <c r="Q27" s="29" t="s">
        <v>410</v>
      </c>
      <c r="R27" s="140" t="s">
        <v>411</v>
      </c>
    </row>
    <row r="28" spans="1:18">
      <c r="A28" s="139">
        <v>1</v>
      </c>
      <c r="B28" s="30">
        <v>1</v>
      </c>
      <c r="C28" s="1">
        <v>42766</v>
      </c>
      <c r="D28" s="27">
        <v>742033</v>
      </c>
      <c r="E28" s="30">
        <v>2017</v>
      </c>
      <c r="F28" s="30">
        <v>1</v>
      </c>
      <c r="G28" s="1">
        <v>42745</v>
      </c>
      <c r="H28" s="27">
        <v>740282</v>
      </c>
      <c r="I28" s="24">
        <v>523</v>
      </c>
      <c r="J28" s="24">
        <v>-523</v>
      </c>
      <c r="K28" s="30">
        <v>7</v>
      </c>
      <c r="L28" s="30">
        <v>2354</v>
      </c>
      <c r="M28" s="30">
        <v>85</v>
      </c>
      <c r="N28" s="30">
        <v>0</v>
      </c>
      <c r="O28" s="30">
        <v>4914</v>
      </c>
      <c r="P28" s="29" t="s">
        <v>409</v>
      </c>
      <c r="Q28" s="29" t="s">
        <v>410</v>
      </c>
      <c r="R28" s="140" t="s">
        <v>411</v>
      </c>
    </row>
    <row r="29" spans="1:18">
      <c r="A29" s="139">
        <v>1</v>
      </c>
      <c r="B29" s="30">
        <v>2</v>
      </c>
      <c r="C29" s="1">
        <v>42769</v>
      </c>
      <c r="D29" s="27">
        <v>744291</v>
      </c>
      <c r="E29" s="30">
        <v>2016</v>
      </c>
      <c r="F29" s="30">
        <v>4</v>
      </c>
      <c r="G29" s="1">
        <v>42731</v>
      </c>
      <c r="H29" s="27">
        <v>738786</v>
      </c>
      <c r="I29" s="24">
        <v>222000</v>
      </c>
      <c r="J29" s="24">
        <v>-210000</v>
      </c>
      <c r="K29" s="30">
        <v>991</v>
      </c>
      <c r="L29" s="30">
        <v>7843</v>
      </c>
      <c r="M29" s="30">
        <v>55</v>
      </c>
      <c r="N29" s="30">
        <v>1</v>
      </c>
      <c r="O29" s="30">
        <v>185549</v>
      </c>
      <c r="P29" s="29" t="s">
        <v>412</v>
      </c>
      <c r="Q29" s="29" t="s">
        <v>413</v>
      </c>
      <c r="R29" s="140" t="s">
        <v>414</v>
      </c>
    </row>
    <row r="30" spans="1:18">
      <c r="A30" s="139">
        <v>1</v>
      </c>
      <c r="B30" s="30">
        <v>2</v>
      </c>
      <c r="C30" s="1">
        <v>42769</v>
      </c>
      <c r="D30" s="27">
        <v>744291</v>
      </c>
      <c r="E30" s="30">
        <v>2016</v>
      </c>
      <c r="F30" s="30">
        <v>4</v>
      </c>
      <c r="G30" s="1">
        <v>42731</v>
      </c>
      <c r="H30" s="27">
        <v>738786</v>
      </c>
      <c r="I30" s="24">
        <v>44937</v>
      </c>
      <c r="J30" s="24">
        <v>-27300</v>
      </c>
      <c r="K30" s="30">
        <v>991</v>
      </c>
      <c r="L30" s="30">
        <v>7843</v>
      </c>
      <c r="M30" s="30">
        <v>85</v>
      </c>
      <c r="N30" s="30">
        <v>2</v>
      </c>
      <c r="O30" s="30">
        <v>185549</v>
      </c>
      <c r="P30" s="29" t="s">
        <v>412</v>
      </c>
      <c r="Q30" s="29" t="s">
        <v>413</v>
      </c>
      <c r="R30" s="140" t="s">
        <v>414</v>
      </c>
    </row>
    <row r="31" spans="1:18">
      <c r="A31" s="139">
        <v>1</v>
      </c>
      <c r="B31" s="30">
        <v>2</v>
      </c>
      <c r="C31" s="1">
        <v>42776</v>
      </c>
      <c r="D31" s="27">
        <v>744371</v>
      </c>
      <c r="E31" s="30">
        <v>2017</v>
      </c>
      <c r="F31" s="30">
        <v>1</v>
      </c>
      <c r="G31" s="1">
        <v>42745</v>
      </c>
      <c r="H31" s="27">
        <v>740276</v>
      </c>
      <c r="I31" s="24">
        <v>3504</v>
      </c>
      <c r="J31" s="24">
        <v>-3504</v>
      </c>
      <c r="K31" s="30">
        <v>164</v>
      </c>
      <c r="L31" s="30">
        <v>189</v>
      </c>
      <c r="M31" s="30">
        <v>85</v>
      </c>
      <c r="N31" s="30">
        <v>1</v>
      </c>
      <c r="O31" s="30">
        <v>492265</v>
      </c>
      <c r="P31" s="29" t="s">
        <v>415</v>
      </c>
      <c r="Q31" s="29" t="s">
        <v>380</v>
      </c>
      <c r="R31" s="140" t="s">
        <v>405</v>
      </c>
    </row>
    <row r="32" spans="1:18">
      <c r="A32" s="139">
        <v>1</v>
      </c>
      <c r="B32" s="30">
        <v>2</v>
      </c>
      <c r="C32" s="1">
        <v>42779</v>
      </c>
      <c r="D32" s="27">
        <v>746294</v>
      </c>
      <c r="E32" s="30">
        <v>2016</v>
      </c>
      <c r="F32" s="30">
        <v>4</v>
      </c>
      <c r="G32" s="1">
        <v>42727</v>
      </c>
      <c r="H32" s="27">
        <v>738307</v>
      </c>
      <c r="I32" s="24">
        <v>28500</v>
      </c>
      <c r="J32" s="24">
        <v>-28500</v>
      </c>
      <c r="K32" s="30">
        <v>991</v>
      </c>
      <c r="L32" s="30">
        <v>42506</v>
      </c>
      <c r="M32" s="30">
        <v>55</v>
      </c>
      <c r="N32" s="30">
        <v>1</v>
      </c>
      <c r="O32" s="30">
        <v>578713</v>
      </c>
      <c r="P32" s="29" t="s">
        <v>416</v>
      </c>
      <c r="Q32" s="29" t="s">
        <v>417</v>
      </c>
      <c r="R32" s="140" t="s">
        <v>418</v>
      </c>
    </row>
    <row r="33" spans="1:18">
      <c r="A33" s="139">
        <v>1</v>
      </c>
      <c r="B33" s="30">
        <v>2</v>
      </c>
      <c r="C33" s="1">
        <v>42779</v>
      </c>
      <c r="D33" s="27">
        <v>746294</v>
      </c>
      <c r="E33" s="30">
        <v>2016</v>
      </c>
      <c r="F33" s="30">
        <v>4</v>
      </c>
      <c r="G33" s="1">
        <v>42727</v>
      </c>
      <c r="H33" s="27">
        <v>738307</v>
      </c>
      <c r="I33" s="24">
        <v>4449</v>
      </c>
      <c r="J33" s="24">
        <v>-3705</v>
      </c>
      <c r="K33" s="30">
        <v>991</v>
      </c>
      <c r="L33" s="30">
        <v>42506</v>
      </c>
      <c r="M33" s="30">
        <v>85</v>
      </c>
      <c r="N33" s="30">
        <v>2</v>
      </c>
      <c r="O33" s="30">
        <v>578713</v>
      </c>
      <c r="P33" s="29" t="s">
        <v>416</v>
      </c>
      <c r="Q33" s="29" t="s">
        <v>417</v>
      </c>
      <c r="R33" s="140" t="s">
        <v>418</v>
      </c>
    </row>
    <row r="34" spans="1:18">
      <c r="A34" s="139">
        <v>1</v>
      </c>
      <c r="B34" s="30">
        <v>2</v>
      </c>
      <c r="C34" s="1">
        <v>42779</v>
      </c>
      <c r="D34" s="27">
        <v>746355</v>
      </c>
      <c r="E34" s="30">
        <v>2016</v>
      </c>
      <c r="F34" s="30">
        <v>4</v>
      </c>
      <c r="G34" s="1">
        <v>42692</v>
      </c>
      <c r="H34" s="27">
        <v>732167</v>
      </c>
      <c r="I34" s="24">
        <v>40000</v>
      </c>
      <c r="J34" s="24">
        <v>-40000</v>
      </c>
      <c r="K34" s="30">
        <v>991</v>
      </c>
      <c r="L34" s="30">
        <v>49332</v>
      </c>
      <c r="M34" s="30">
        <v>55</v>
      </c>
      <c r="N34" s="30">
        <v>1</v>
      </c>
      <c r="O34" s="30">
        <v>790010</v>
      </c>
      <c r="P34" s="29" t="s">
        <v>419</v>
      </c>
      <c r="Q34" s="29" t="s">
        <v>420</v>
      </c>
      <c r="R34" s="140" t="s">
        <v>421</v>
      </c>
    </row>
    <row r="35" spans="1:18">
      <c r="A35" s="139">
        <v>1</v>
      </c>
      <c r="B35" s="30">
        <v>2</v>
      </c>
      <c r="C35" s="1">
        <v>42779</v>
      </c>
      <c r="D35" s="27">
        <v>746355</v>
      </c>
      <c r="E35" s="30">
        <v>2016</v>
      </c>
      <c r="F35" s="30">
        <v>4</v>
      </c>
      <c r="G35" s="1">
        <v>42692</v>
      </c>
      <c r="H35" s="27">
        <v>732167</v>
      </c>
      <c r="I35" s="24">
        <v>6354</v>
      </c>
      <c r="J35" s="24">
        <v>-5200</v>
      </c>
      <c r="K35" s="30">
        <v>991</v>
      </c>
      <c r="L35" s="30">
        <v>49332</v>
      </c>
      <c r="M35" s="30">
        <v>85</v>
      </c>
      <c r="N35" s="30">
        <v>2</v>
      </c>
      <c r="O35" s="30">
        <v>790010</v>
      </c>
      <c r="P35" s="29" t="s">
        <v>419</v>
      </c>
      <c r="Q35" s="29" t="s">
        <v>420</v>
      </c>
      <c r="R35" s="140" t="s">
        <v>421</v>
      </c>
    </row>
    <row r="36" spans="1:18">
      <c r="A36" s="139">
        <v>1</v>
      </c>
      <c r="B36" s="30">
        <v>2</v>
      </c>
      <c r="C36" s="1">
        <v>42779</v>
      </c>
      <c r="D36" s="27">
        <v>746339</v>
      </c>
      <c r="E36" s="30">
        <v>2016</v>
      </c>
      <c r="F36" s="30">
        <v>4</v>
      </c>
      <c r="G36" s="1">
        <v>42702</v>
      </c>
      <c r="H36" s="27">
        <v>732739</v>
      </c>
      <c r="I36" s="24">
        <v>118000</v>
      </c>
      <c r="J36" s="24">
        <v>-104000</v>
      </c>
      <c r="K36" s="30">
        <v>991</v>
      </c>
      <c r="L36" s="30">
        <v>47788</v>
      </c>
      <c r="M36" s="30">
        <v>55</v>
      </c>
      <c r="N36" s="30">
        <v>1</v>
      </c>
      <c r="O36" s="30">
        <v>786686</v>
      </c>
      <c r="P36" s="29" t="s">
        <v>422</v>
      </c>
      <c r="Q36" s="29" t="s">
        <v>380</v>
      </c>
      <c r="R36" s="140" t="s">
        <v>423</v>
      </c>
    </row>
    <row r="37" spans="1:18">
      <c r="A37" s="139">
        <v>1</v>
      </c>
      <c r="B37" s="30">
        <v>2</v>
      </c>
      <c r="C37" s="1">
        <v>42779</v>
      </c>
      <c r="D37" s="27">
        <v>746339</v>
      </c>
      <c r="E37" s="30">
        <v>2016</v>
      </c>
      <c r="F37" s="30">
        <v>4</v>
      </c>
      <c r="G37" s="1">
        <v>42702</v>
      </c>
      <c r="H37" s="27">
        <v>732739</v>
      </c>
      <c r="I37" s="24">
        <v>17686</v>
      </c>
      <c r="J37" s="24">
        <v>-13520</v>
      </c>
      <c r="K37" s="30">
        <v>991</v>
      </c>
      <c r="L37" s="30">
        <v>47788</v>
      </c>
      <c r="M37" s="30">
        <v>85</v>
      </c>
      <c r="N37" s="30">
        <v>2</v>
      </c>
      <c r="O37" s="30">
        <v>786686</v>
      </c>
      <c r="P37" s="29" t="s">
        <v>422</v>
      </c>
      <c r="Q37" s="29" t="s">
        <v>380</v>
      </c>
      <c r="R37" s="140" t="s">
        <v>423</v>
      </c>
    </row>
    <row r="38" spans="1:18">
      <c r="A38" s="139">
        <v>1</v>
      </c>
      <c r="B38" s="30">
        <v>2</v>
      </c>
      <c r="C38" s="1">
        <v>42779</v>
      </c>
      <c r="D38" s="27">
        <v>746338</v>
      </c>
      <c r="E38" s="30">
        <v>2016</v>
      </c>
      <c r="F38" s="30">
        <v>4</v>
      </c>
      <c r="G38" s="1">
        <v>42657</v>
      </c>
      <c r="H38" s="27">
        <v>725690</v>
      </c>
      <c r="I38" s="24">
        <v>10000</v>
      </c>
      <c r="J38" s="24">
        <v>-10000</v>
      </c>
      <c r="K38" s="30">
        <v>991</v>
      </c>
      <c r="L38" s="30">
        <v>49426</v>
      </c>
      <c r="M38" s="30">
        <v>55</v>
      </c>
      <c r="N38" s="30">
        <v>1</v>
      </c>
      <c r="O38" s="30">
        <v>790165</v>
      </c>
      <c r="P38" s="29" t="s">
        <v>424</v>
      </c>
      <c r="Q38" s="29" t="s">
        <v>425</v>
      </c>
      <c r="R38" s="140" t="s">
        <v>426</v>
      </c>
    </row>
    <row r="39" spans="1:18">
      <c r="A39" s="139">
        <v>1</v>
      </c>
      <c r="B39" s="30">
        <v>2</v>
      </c>
      <c r="C39" s="1">
        <v>42779</v>
      </c>
      <c r="D39" s="27">
        <v>746338</v>
      </c>
      <c r="E39" s="30">
        <v>2016</v>
      </c>
      <c r="F39" s="30">
        <v>4</v>
      </c>
      <c r="G39" s="1">
        <v>42657</v>
      </c>
      <c r="H39" s="27">
        <v>725690</v>
      </c>
      <c r="I39" s="24">
        <v>1642</v>
      </c>
      <c r="J39" s="24">
        <v>-1300</v>
      </c>
      <c r="K39" s="30">
        <v>991</v>
      </c>
      <c r="L39" s="30">
        <v>49426</v>
      </c>
      <c r="M39" s="30">
        <v>85</v>
      </c>
      <c r="N39" s="30">
        <v>2</v>
      </c>
      <c r="O39" s="30">
        <v>790165</v>
      </c>
      <c r="P39" s="29" t="s">
        <v>424</v>
      </c>
      <c r="Q39" s="29" t="s">
        <v>425</v>
      </c>
      <c r="R39" s="140" t="s">
        <v>426</v>
      </c>
    </row>
    <row r="40" spans="1:18">
      <c r="A40" s="139">
        <v>1</v>
      </c>
      <c r="B40" s="30">
        <v>2</v>
      </c>
      <c r="C40" s="1">
        <v>42794</v>
      </c>
      <c r="D40" s="27">
        <v>744371</v>
      </c>
      <c r="E40" s="30">
        <v>2017</v>
      </c>
      <c r="F40" s="30">
        <v>1</v>
      </c>
      <c r="G40" s="1">
        <v>42745</v>
      </c>
      <c r="H40" s="27">
        <v>740276</v>
      </c>
      <c r="I40" s="24">
        <v>7233.1</v>
      </c>
      <c r="J40" s="24">
        <v>-7233.1</v>
      </c>
      <c r="K40" s="30">
        <v>12</v>
      </c>
      <c r="L40" s="30">
        <v>15187</v>
      </c>
      <c r="M40" s="30">
        <v>60</v>
      </c>
      <c r="N40" s="30">
        <v>0</v>
      </c>
      <c r="O40" s="30">
        <v>234020</v>
      </c>
      <c r="P40" s="29" t="s">
        <v>427</v>
      </c>
      <c r="Q40" s="29" t="s">
        <v>428</v>
      </c>
      <c r="R40" s="140" t="s">
        <v>429</v>
      </c>
    </row>
    <row r="41" spans="1:18">
      <c r="A41" s="139">
        <v>1</v>
      </c>
      <c r="B41" s="30">
        <v>2</v>
      </c>
      <c r="C41" s="1">
        <v>42794</v>
      </c>
      <c r="D41" s="27">
        <v>744371</v>
      </c>
      <c r="E41" s="30">
        <v>2017</v>
      </c>
      <c r="F41" s="30">
        <v>1</v>
      </c>
      <c r="G41" s="1">
        <v>42745</v>
      </c>
      <c r="H41" s="27">
        <v>740276</v>
      </c>
      <c r="I41" s="24">
        <v>940</v>
      </c>
      <c r="J41" s="24">
        <v>-940</v>
      </c>
      <c r="K41" s="30">
        <v>12</v>
      </c>
      <c r="L41" s="30">
        <v>15187</v>
      </c>
      <c r="M41" s="30">
        <v>85</v>
      </c>
      <c r="N41" s="30">
        <v>0</v>
      </c>
      <c r="O41" s="30">
        <v>234020</v>
      </c>
      <c r="P41" s="29" t="s">
        <v>427</v>
      </c>
      <c r="Q41" s="29" t="s">
        <v>428</v>
      </c>
      <c r="R41" s="140" t="s">
        <v>429</v>
      </c>
    </row>
    <row r="42" spans="1:18">
      <c r="A42" s="139">
        <v>1</v>
      </c>
      <c r="B42" s="30">
        <v>2</v>
      </c>
      <c r="C42" s="1">
        <v>42794</v>
      </c>
      <c r="D42" s="27">
        <v>744371</v>
      </c>
      <c r="E42" s="30">
        <v>2017</v>
      </c>
      <c r="F42" s="30">
        <v>1</v>
      </c>
      <c r="G42" s="1">
        <v>42745</v>
      </c>
      <c r="H42" s="27">
        <v>740276</v>
      </c>
      <c r="I42" s="24">
        <v>2331.2800000000002</v>
      </c>
      <c r="J42" s="24">
        <v>-2331.2800000000002</v>
      </c>
      <c r="K42" s="30">
        <v>12</v>
      </c>
      <c r="L42" s="30">
        <v>2119</v>
      </c>
      <c r="M42" s="30">
        <v>60</v>
      </c>
      <c r="N42" s="30">
        <v>0</v>
      </c>
      <c r="O42" s="30">
        <v>22688</v>
      </c>
      <c r="P42" s="29" t="s">
        <v>430</v>
      </c>
      <c r="Q42" s="29" t="s">
        <v>431</v>
      </c>
      <c r="R42" s="140" t="s">
        <v>432</v>
      </c>
    </row>
    <row r="43" spans="1:18">
      <c r="A43" s="139">
        <v>1</v>
      </c>
      <c r="B43" s="30">
        <v>2</v>
      </c>
      <c r="C43" s="1">
        <v>42794</v>
      </c>
      <c r="D43" s="27">
        <v>744371</v>
      </c>
      <c r="E43" s="30">
        <v>2017</v>
      </c>
      <c r="F43" s="30">
        <v>1</v>
      </c>
      <c r="G43" s="1">
        <v>42745</v>
      </c>
      <c r="H43" s="27">
        <v>740276</v>
      </c>
      <c r="I43" s="24">
        <v>303</v>
      </c>
      <c r="J43" s="24">
        <v>-303</v>
      </c>
      <c r="K43" s="30">
        <v>12</v>
      </c>
      <c r="L43" s="30">
        <v>2119</v>
      </c>
      <c r="M43" s="30">
        <v>85</v>
      </c>
      <c r="N43" s="30">
        <v>0</v>
      </c>
      <c r="O43" s="30">
        <v>22688</v>
      </c>
      <c r="P43" s="29" t="s">
        <v>430</v>
      </c>
      <c r="Q43" s="29" t="s">
        <v>431</v>
      </c>
      <c r="R43" s="140" t="s">
        <v>432</v>
      </c>
    </row>
    <row r="44" spans="1:18">
      <c r="A44" s="139">
        <v>1</v>
      </c>
      <c r="B44" s="30">
        <v>2</v>
      </c>
      <c r="C44" s="1">
        <v>42794</v>
      </c>
      <c r="D44" s="27">
        <v>744371</v>
      </c>
      <c r="E44" s="30">
        <v>2017</v>
      </c>
      <c r="F44" s="30">
        <v>1</v>
      </c>
      <c r="G44" s="1">
        <v>42745</v>
      </c>
      <c r="H44" s="27">
        <v>740276</v>
      </c>
      <c r="I44" s="24">
        <v>5548.3</v>
      </c>
      <c r="J44" s="24">
        <v>-5548.3</v>
      </c>
      <c r="K44" s="30">
        <v>22</v>
      </c>
      <c r="L44" s="30">
        <v>1106</v>
      </c>
      <c r="M44" s="30">
        <v>60</v>
      </c>
      <c r="N44" s="30">
        <v>0</v>
      </c>
      <c r="O44" s="30">
        <v>49235</v>
      </c>
      <c r="P44" s="29" t="s">
        <v>433</v>
      </c>
      <c r="Q44" s="29" t="s">
        <v>434</v>
      </c>
      <c r="R44" s="140" t="s">
        <v>435</v>
      </c>
    </row>
    <row r="45" spans="1:18">
      <c r="A45" s="139">
        <v>1</v>
      </c>
      <c r="B45" s="30">
        <v>2</v>
      </c>
      <c r="C45" s="1">
        <v>42794</v>
      </c>
      <c r="D45" s="27">
        <v>744371</v>
      </c>
      <c r="E45" s="30">
        <v>2017</v>
      </c>
      <c r="F45" s="30">
        <v>1</v>
      </c>
      <c r="G45" s="1">
        <v>42745</v>
      </c>
      <c r="H45" s="27">
        <v>740276</v>
      </c>
      <c r="I45" s="24">
        <v>656</v>
      </c>
      <c r="J45" s="24">
        <v>-656</v>
      </c>
      <c r="K45" s="30">
        <v>22</v>
      </c>
      <c r="L45" s="30">
        <v>1106</v>
      </c>
      <c r="M45" s="30">
        <v>85</v>
      </c>
      <c r="N45" s="30">
        <v>0</v>
      </c>
      <c r="O45" s="30">
        <v>49235</v>
      </c>
      <c r="P45" s="29" t="s">
        <v>433</v>
      </c>
      <c r="Q45" s="29" t="s">
        <v>434</v>
      </c>
      <c r="R45" s="140" t="s">
        <v>435</v>
      </c>
    </row>
    <row r="46" spans="1:18">
      <c r="A46" s="139">
        <v>1</v>
      </c>
      <c r="B46" s="30">
        <v>2</v>
      </c>
      <c r="C46" s="1">
        <v>42794</v>
      </c>
      <c r="D46" s="27">
        <v>744371</v>
      </c>
      <c r="E46" s="30">
        <v>2017</v>
      </c>
      <c r="F46" s="30">
        <v>1</v>
      </c>
      <c r="G46" s="1">
        <v>42745</v>
      </c>
      <c r="H46" s="27">
        <v>740276</v>
      </c>
      <c r="I46" s="24">
        <v>500</v>
      </c>
      <c r="J46" s="24">
        <v>-500</v>
      </c>
      <c r="K46" s="30">
        <v>22</v>
      </c>
      <c r="L46" s="30">
        <v>1106</v>
      </c>
      <c r="M46" s="30">
        <v>1025</v>
      </c>
      <c r="N46" s="30">
        <v>0</v>
      </c>
      <c r="O46" s="30">
        <v>49235</v>
      </c>
      <c r="P46" s="29" t="s">
        <v>433</v>
      </c>
      <c r="Q46" s="29" t="s">
        <v>434</v>
      </c>
      <c r="R46" s="140" t="s">
        <v>435</v>
      </c>
    </row>
    <row r="47" spans="1:18">
      <c r="A47" s="139">
        <v>1</v>
      </c>
      <c r="B47" s="30">
        <v>2</v>
      </c>
      <c r="C47" s="1">
        <v>42794</v>
      </c>
      <c r="D47" s="27">
        <v>744371</v>
      </c>
      <c r="E47" s="30">
        <v>2017</v>
      </c>
      <c r="F47" s="30">
        <v>1</v>
      </c>
      <c r="G47" s="1">
        <v>42776</v>
      </c>
      <c r="H47" s="27">
        <v>744978</v>
      </c>
      <c r="I47" s="24">
        <v>6247.25</v>
      </c>
      <c r="J47" s="24">
        <v>-6247.25</v>
      </c>
      <c r="K47" s="30">
        <v>37</v>
      </c>
      <c r="L47" s="30">
        <v>16</v>
      </c>
      <c r="M47" s="30">
        <v>60</v>
      </c>
      <c r="N47" s="30">
        <v>0</v>
      </c>
      <c r="O47" s="30">
        <v>32799</v>
      </c>
      <c r="P47" s="29" t="s">
        <v>436</v>
      </c>
      <c r="Q47" s="29" t="s">
        <v>437</v>
      </c>
      <c r="R47" s="140" t="s">
        <v>438</v>
      </c>
    </row>
    <row r="48" spans="1:18">
      <c r="A48" s="139">
        <v>1</v>
      </c>
      <c r="B48" s="30">
        <v>2</v>
      </c>
      <c r="C48" s="1">
        <v>42794</v>
      </c>
      <c r="D48" s="27">
        <v>744371</v>
      </c>
      <c r="E48" s="30">
        <v>2017</v>
      </c>
      <c r="F48" s="30">
        <v>1</v>
      </c>
      <c r="G48" s="1">
        <v>42776</v>
      </c>
      <c r="H48" s="27">
        <v>744978</v>
      </c>
      <c r="I48" s="24">
        <v>812</v>
      </c>
      <c r="J48" s="24">
        <v>-812</v>
      </c>
      <c r="K48" s="30">
        <v>37</v>
      </c>
      <c r="L48" s="30">
        <v>16</v>
      </c>
      <c r="M48" s="30">
        <v>85</v>
      </c>
      <c r="N48" s="30">
        <v>0</v>
      </c>
      <c r="O48" s="30">
        <v>32799</v>
      </c>
      <c r="P48" s="29" t="s">
        <v>436</v>
      </c>
      <c r="Q48" s="29" t="s">
        <v>437</v>
      </c>
      <c r="R48" s="140" t="s">
        <v>438</v>
      </c>
    </row>
    <row r="49" spans="1:18">
      <c r="A49" s="139">
        <v>1</v>
      </c>
      <c r="B49" s="30">
        <v>2</v>
      </c>
      <c r="C49" s="1">
        <v>42794</v>
      </c>
      <c r="D49" s="27">
        <v>744371</v>
      </c>
      <c r="E49" s="30">
        <v>2017</v>
      </c>
      <c r="F49" s="30">
        <v>1</v>
      </c>
      <c r="G49" s="1">
        <v>42776</v>
      </c>
      <c r="H49" s="27">
        <v>744978</v>
      </c>
      <c r="I49" s="24">
        <v>2687.8</v>
      </c>
      <c r="J49" s="24">
        <v>-2687.8</v>
      </c>
      <c r="K49" s="30">
        <v>9</v>
      </c>
      <c r="L49" s="30">
        <v>4818</v>
      </c>
      <c r="M49" s="30">
        <v>60</v>
      </c>
      <c r="N49" s="30">
        <v>0</v>
      </c>
      <c r="O49" s="30">
        <v>132656</v>
      </c>
      <c r="P49" s="29" t="s">
        <v>439</v>
      </c>
      <c r="Q49" s="29" t="s">
        <v>440</v>
      </c>
      <c r="R49" s="140" t="s">
        <v>421</v>
      </c>
    </row>
    <row r="50" spans="1:18">
      <c r="A50" s="139">
        <v>1</v>
      </c>
      <c r="B50" s="30">
        <v>2</v>
      </c>
      <c r="C50" s="1">
        <v>42794</v>
      </c>
      <c r="D50" s="27">
        <v>744371</v>
      </c>
      <c r="E50" s="30">
        <v>2017</v>
      </c>
      <c r="F50" s="30">
        <v>1</v>
      </c>
      <c r="G50" s="1">
        <v>42776</v>
      </c>
      <c r="H50" s="27">
        <v>744978</v>
      </c>
      <c r="I50" s="24">
        <v>350</v>
      </c>
      <c r="J50" s="24">
        <v>-350</v>
      </c>
      <c r="K50" s="30">
        <v>9</v>
      </c>
      <c r="L50" s="30">
        <v>4818</v>
      </c>
      <c r="M50" s="30">
        <v>85</v>
      </c>
      <c r="N50" s="30">
        <v>0</v>
      </c>
      <c r="O50" s="30">
        <v>132656</v>
      </c>
      <c r="P50" s="29" t="s">
        <v>439</v>
      </c>
      <c r="Q50" s="29" t="s">
        <v>440</v>
      </c>
      <c r="R50" s="140" t="s">
        <v>421</v>
      </c>
    </row>
    <row r="51" spans="1:18">
      <c r="A51" s="139">
        <v>1</v>
      </c>
      <c r="B51" s="30">
        <v>3</v>
      </c>
      <c r="C51" s="1">
        <v>42811</v>
      </c>
      <c r="D51" s="27">
        <v>752697</v>
      </c>
      <c r="E51" s="30">
        <v>2016</v>
      </c>
      <c r="F51" s="30">
        <v>3</v>
      </c>
      <c r="G51" s="1">
        <v>42587</v>
      </c>
      <c r="H51" s="27">
        <v>712731</v>
      </c>
      <c r="I51" s="24">
        <v>50000</v>
      </c>
      <c r="J51" s="24">
        <v>-50000</v>
      </c>
      <c r="K51" s="30">
        <v>991</v>
      </c>
      <c r="L51" s="30">
        <v>13164</v>
      </c>
      <c r="M51" s="30">
        <v>55</v>
      </c>
      <c r="N51" s="30">
        <v>1</v>
      </c>
      <c r="O51" s="30">
        <v>218213</v>
      </c>
      <c r="P51" s="29" t="s">
        <v>441</v>
      </c>
      <c r="Q51" s="29" t="s">
        <v>425</v>
      </c>
      <c r="R51" s="140" t="s">
        <v>442</v>
      </c>
    </row>
    <row r="52" spans="1:18">
      <c r="A52" s="139">
        <v>1</v>
      </c>
      <c r="B52" s="30">
        <v>3</v>
      </c>
      <c r="C52" s="1">
        <v>42811</v>
      </c>
      <c r="D52" s="27">
        <v>752697</v>
      </c>
      <c r="E52" s="30">
        <v>2016</v>
      </c>
      <c r="F52" s="30">
        <v>3</v>
      </c>
      <c r="G52" s="1">
        <v>42587</v>
      </c>
      <c r="H52" s="27">
        <v>712731</v>
      </c>
      <c r="I52" s="24">
        <v>10155</v>
      </c>
      <c r="J52" s="24">
        <v>-6500</v>
      </c>
      <c r="K52" s="30">
        <v>991</v>
      </c>
      <c r="L52" s="30">
        <v>13164</v>
      </c>
      <c r="M52" s="30">
        <v>85</v>
      </c>
      <c r="N52" s="30">
        <v>2</v>
      </c>
      <c r="O52" s="30">
        <v>218213</v>
      </c>
      <c r="P52" s="29" t="s">
        <v>441</v>
      </c>
      <c r="Q52" s="29" t="s">
        <v>425</v>
      </c>
      <c r="R52" s="140" t="s">
        <v>442</v>
      </c>
    </row>
    <row r="53" spans="1:18">
      <c r="A53" s="139">
        <v>1</v>
      </c>
      <c r="B53" s="30">
        <v>3</v>
      </c>
      <c r="C53" s="1">
        <v>42821</v>
      </c>
      <c r="D53" s="27">
        <v>753656</v>
      </c>
      <c r="E53" s="30">
        <v>2016</v>
      </c>
      <c r="F53" s="30">
        <v>4</v>
      </c>
      <c r="G53" s="1">
        <v>42650</v>
      </c>
      <c r="H53" s="27">
        <v>723414</v>
      </c>
      <c r="I53" s="24">
        <v>35000</v>
      </c>
      <c r="J53" s="24">
        <v>-35000</v>
      </c>
      <c r="K53" s="30">
        <v>991</v>
      </c>
      <c r="L53" s="30">
        <v>37891</v>
      </c>
      <c r="M53" s="30">
        <v>55</v>
      </c>
      <c r="N53" s="30">
        <v>1</v>
      </c>
      <c r="O53" s="30">
        <v>568201</v>
      </c>
      <c r="P53" s="29" t="s">
        <v>443</v>
      </c>
      <c r="Q53" s="29" t="s">
        <v>434</v>
      </c>
      <c r="R53" s="140" t="s">
        <v>444</v>
      </c>
    </row>
    <row r="54" spans="1:18">
      <c r="A54" s="139">
        <v>1</v>
      </c>
      <c r="B54" s="30">
        <v>3</v>
      </c>
      <c r="C54" s="1">
        <v>42821</v>
      </c>
      <c r="D54" s="27">
        <v>753656</v>
      </c>
      <c r="E54" s="30">
        <v>2016</v>
      </c>
      <c r="F54" s="30">
        <v>4</v>
      </c>
      <c r="G54" s="1">
        <v>42650</v>
      </c>
      <c r="H54" s="27">
        <v>723414</v>
      </c>
      <c r="I54" s="24">
        <v>5382</v>
      </c>
      <c r="J54" s="24">
        <v>-4550</v>
      </c>
      <c r="K54" s="30">
        <v>991</v>
      </c>
      <c r="L54" s="30">
        <v>37891</v>
      </c>
      <c r="M54" s="30">
        <v>85</v>
      </c>
      <c r="N54" s="30">
        <v>2</v>
      </c>
      <c r="O54" s="30">
        <v>568201</v>
      </c>
      <c r="P54" s="29" t="s">
        <v>443</v>
      </c>
      <c r="Q54" s="29" t="s">
        <v>434</v>
      </c>
      <c r="R54" s="140" t="s">
        <v>444</v>
      </c>
    </row>
    <row r="55" spans="1:18">
      <c r="A55" s="139">
        <v>1</v>
      </c>
      <c r="B55" s="30">
        <v>3</v>
      </c>
      <c r="C55" s="1">
        <v>42825</v>
      </c>
      <c r="D55" s="27">
        <v>748988</v>
      </c>
      <c r="E55" s="30">
        <v>2017</v>
      </c>
      <c r="F55" s="30">
        <v>1</v>
      </c>
      <c r="G55" s="1">
        <v>42745</v>
      </c>
      <c r="H55" s="27">
        <v>740276</v>
      </c>
      <c r="I55" s="24">
        <v>2092.92</v>
      </c>
      <c r="J55" s="24">
        <v>-2092.92</v>
      </c>
      <c r="K55" s="30">
        <v>15</v>
      </c>
      <c r="L55" s="30">
        <v>2836</v>
      </c>
      <c r="M55" s="30">
        <v>60</v>
      </c>
      <c r="N55" s="30">
        <v>0</v>
      </c>
      <c r="O55" s="30">
        <v>36710</v>
      </c>
      <c r="P55" s="29" t="s">
        <v>445</v>
      </c>
      <c r="Q55" s="29" t="s">
        <v>446</v>
      </c>
      <c r="R55" s="140" t="s">
        <v>447</v>
      </c>
    </row>
    <row r="56" spans="1:18">
      <c r="A56" s="139">
        <v>1</v>
      </c>
      <c r="B56" s="30">
        <v>3</v>
      </c>
      <c r="C56" s="1">
        <v>42825</v>
      </c>
      <c r="D56" s="27">
        <v>748988</v>
      </c>
      <c r="E56" s="30">
        <v>2017</v>
      </c>
      <c r="F56" s="30">
        <v>1</v>
      </c>
      <c r="G56" s="1">
        <v>42745</v>
      </c>
      <c r="H56" s="27">
        <v>740276</v>
      </c>
      <c r="I56" s="24">
        <v>272</v>
      </c>
      <c r="J56" s="24">
        <v>-272</v>
      </c>
      <c r="K56" s="30">
        <v>15</v>
      </c>
      <c r="L56" s="30">
        <v>2836</v>
      </c>
      <c r="M56" s="30">
        <v>85</v>
      </c>
      <c r="N56" s="30">
        <v>0</v>
      </c>
      <c r="O56" s="30">
        <v>36710</v>
      </c>
      <c r="P56" s="29" t="s">
        <v>445</v>
      </c>
      <c r="Q56" s="29" t="s">
        <v>446</v>
      </c>
      <c r="R56" s="140" t="s">
        <v>447</v>
      </c>
    </row>
    <row r="57" spans="1:18">
      <c r="A57" s="139">
        <v>1</v>
      </c>
      <c r="B57" s="30">
        <v>3</v>
      </c>
      <c r="C57" s="1">
        <v>42825</v>
      </c>
      <c r="D57" s="27">
        <v>748988</v>
      </c>
      <c r="E57" s="30">
        <v>2017</v>
      </c>
      <c r="F57" s="30">
        <v>1</v>
      </c>
      <c r="G57" s="1">
        <v>42776</v>
      </c>
      <c r="H57" s="27">
        <v>744984</v>
      </c>
      <c r="I57" s="24">
        <v>12889.2</v>
      </c>
      <c r="J57" s="24">
        <v>-12889.2</v>
      </c>
      <c r="K57" s="30">
        <v>6</v>
      </c>
      <c r="L57" s="30">
        <v>2557</v>
      </c>
      <c r="M57" s="30">
        <v>60</v>
      </c>
      <c r="N57" s="30">
        <v>0</v>
      </c>
      <c r="O57" s="30">
        <v>65652</v>
      </c>
      <c r="P57" s="29" t="s">
        <v>448</v>
      </c>
      <c r="Q57" s="29" t="s">
        <v>386</v>
      </c>
      <c r="R57" s="140" t="s">
        <v>429</v>
      </c>
    </row>
    <row r="58" spans="1:18">
      <c r="A58" s="139">
        <v>1</v>
      </c>
      <c r="B58" s="30">
        <v>3</v>
      </c>
      <c r="C58" s="1">
        <v>42825</v>
      </c>
      <c r="D58" s="27">
        <v>748988</v>
      </c>
      <c r="E58" s="30">
        <v>2017</v>
      </c>
      <c r="F58" s="30">
        <v>1</v>
      </c>
      <c r="G58" s="1">
        <v>42776</v>
      </c>
      <c r="H58" s="27">
        <v>744984</v>
      </c>
      <c r="I58" s="24">
        <v>1610</v>
      </c>
      <c r="J58" s="24">
        <v>-1610</v>
      </c>
      <c r="K58" s="30">
        <v>6</v>
      </c>
      <c r="L58" s="30">
        <v>2557</v>
      </c>
      <c r="M58" s="30">
        <v>85</v>
      </c>
      <c r="N58" s="30">
        <v>0</v>
      </c>
      <c r="O58" s="30">
        <v>65652</v>
      </c>
      <c r="P58" s="29" t="s">
        <v>448</v>
      </c>
      <c r="Q58" s="29" t="s">
        <v>386</v>
      </c>
      <c r="R58" s="140" t="s">
        <v>429</v>
      </c>
    </row>
    <row r="59" spans="1:18">
      <c r="A59" s="139">
        <v>1</v>
      </c>
      <c r="B59" s="30">
        <v>3</v>
      </c>
      <c r="C59" s="1">
        <v>42825</v>
      </c>
      <c r="D59" s="27">
        <v>748988</v>
      </c>
      <c r="E59" s="30">
        <v>2017</v>
      </c>
      <c r="F59" s="30">
        <v>1</v>
      </c>
      <c r="G59" s="1">
        <v>42776</v>
      </c>
      <c r="H59" s="27">
        <v>744984</v>
      </c>
      <c r="I59" s="24">
        <v>500</v>
      </c>
      <c r="J59" s="24">
        <v>-500</v>
      </c>
      <c r="K59" s="30">
        <v>6</v>
      </c>
      <c r="L59" s="30">
        <v>2557</v>
      </c>
      <c r="M59" s="30">
        <v>1025</v>
      </c>
      <c r="N59" s="30">
        <v>0</v>
      </c>
      <c r="O59" s="30">
        <v>65652</v>
      </c>
      <c r="P59" s="29" t="s">
        <v>448</v>
      </c>
      <c r="Q59" s="29" t="s">
        <v>386</v>
      </c>
      <c r="R59" s="140" t="s">
        <v>429</v>
      </c>
    </row>
    <row r="60" spans="1:18">
      <c r="A60" s="139">
        <v>1</v>
      </c>
      <c r="B60" s="30">
        <v>3</v>
      </c>
      <c r="C60" s="1">
        <v>42825</v>
      </c>
      <c r="D60" s="27">
        <v>748988</v>
      </c>
      <c r="E60" s="30">
        <v>2017</v>
      </c>
      <c r="F60" s="30">
        <v>1</v>
      </c>
      <c r="G60" s="1">
        <v>42804</v>
      </c>
      <c r="H60" s="27">
        <v>749816</v>
      </c>
      <c r="I60" s="24">
        <v>3738.4</v>
      </c>
      <c r="J60" s="24">
        <v>-3738.4</v>
      </c>
      <c r="K60" s="30">
        <v>12</v>
      </c>
      <c r="L60" s="30">
        <v>5516</v>
      </c>
      <c r="M60" s="30">
        <v>60</v>
      </c>
      <c r="N60" s="30">
        <v>0</v>
      </c>
      <c r="O60" s="30">
        <v>57277</v>
      </c>
      <c r="P60" s="29" t="s">
        <v>449</v>
      </c>
      <c r="Q60" s="29" t="s">
        <v>401</v>
      </c>
      <c r="R60" s="140" t="s">
        <v>450</v>
      </c>
    </row>
    <row r="61" spans="1:18">
      <c r="A61" s="139">
        <v>1</v>
      </c>
      <c r="B61" s="30">
        <v>3</v>
      </c>
      <c r="C61" s="1">
        <v>42825</v>
      </c>
      <c r="D61" s="27">
        <v>748988</v>
      </c>
      <c r="E61" s="30">
        <v>2017</v>
      </c>
      <c r="F61" s="30">
        <v>1</v>
      </c>
      <c r="G61" s="1">
        <v>42804</v>
      </c>
      <c r="H61" s="27">
        <v>749816</v>
      </c>
      <c r="I61" s="24">
        <v>486</v>
      </c>
      <c r="J61" s="24">
        <v>-486</v>
      </c>
      <c r="K61" s="30">
        <v>12</v>
      </c>
      <c r="L61" s="30">
        <v>5516</v>
      </c>
      <c r="M61" s="30">
        <v>85</v>
      </c>
      <c r="N61" s="30">
        <v>0</v>
      </c>
      <c r="O61" s="30">
        <v>57277</v>
      </c>
      <c r="P61" s="29" t="s">
        <v>449</v>
      </c>
      <c r="Q61" s="29" t="s">
        <v>401</v>
      </c>
      <c r="R61" s="140" t="s">
        <v>450</v>
      </c>
    </row>
    <row r="62" spans="1:18">
      <c r="A62" s="139">
        <v>1</v>
      </c>
      <c r="B62" s="30">
        <v>3</v>
      </c>
      <c r="C62" s="1">
        <v>42825</v>
      </c>
      <c r="D62" s="27">
        <v>748988</v>
      </c>
      <c r="E62" s="30">
        <v>2017</v>
      </c>
      <c r="F62" s="30">
        <v>1</v>
      </c>
      <c r="G62" s="1">
        <v>42745</v>
      </c>
      <c r="H62" s="27">
        <v>740276</v>
      </c>
      <c r="I62" s="24">
        <v>5900.21</v>
      </c>
      <c r="J62" s="24">
        <v>-5900.21</v>
      </c>
      <c r="K62" s="30">
        <v>12</v>
      </c>
      <c r="L62" s="30">
        <v>2925</v>
      </c>
      <c r="M62" s="30">
        <v>60</v>
      </c>
      <c r="N62" s="30">
        <v>0</v>
      </c>
      <c r="O62" s="30">
        <v>23494</v>
      </c>
      <c r="P62" s="29" t="s">
        <v>451</v>
      </c>
      <c r="Q62" s="29" t="s">
        <v>413</v>
      </c>
      <c r="R62" s="140" t="s">
        <v>452</v>
      </c>
    </row>
    <row r="63" spans="1:18">
      <c r="A63" s="139">
        <v>1</v>
      </c>
      <c r="B63" s="30">
        <v>3</v>
      </c>
      <c r="C63" s="1">
        <v>42825</v>
      </c>
      <c r="D63" s="27">
        <v>748988</v>
      </c>
      <c r="E63" s="30">
        <v>2017</v>
      </c>
      <c r="F63" s="30">
        <v>1</v>
      </c>
      <c r="G63" s="1">
        <v>42745</v>
      </c>
      <c r="H63" s="27">
        <v>740276</v>
      </c>
      <c r="I63" s="24">
        <v>767</v>
      </c>
      <c r="J63" s="24">
        <v>-767</v>
      </c>
      <c r="K63" s="30">
        <v>12</v>
      </c>
      <c r="L63" s="30">
        <v>2925</v>
      </c>
      <c r="M63" s="30">
        <v>85</v>
      </c>
      <c r="N63" s="30">
        <v>0</v>
      </c>
      <c r="O63" s="30">
        <v>23494</v>
      </c>
      <c r="P63" s="29" t="s">
        <v>451</v>
      </c>
      <c r="Q63" s="29" t="s">
        <v>413</v>
      </c>
      <c r="R63" s="140" t="s">
        <v>452</v>
      </c>
    </row>
    <row r="64" spans="1:18">
      <c r="A64" s="139">
        <v>1</v>
      </c>
      <c r="B64" s="30">
        <v>3</v>
      </c>
      <c r="C64" s="1">
        <v>42825</v>
      </c>
      <c r="D64" s="27">
        <v>748988</v>
      </c>
      <c r="E64" s="30">
        <v>2017</v>
      </c>
      <c r="F64" s="30">
        <v>1</v>
      </c>
      <c r="G64" s="1">
        <v>42776</v>
      </c>
      <c r="H64" s="27">
        <v>744978</v>
      </c>
      <c r="I64" s="24">
        <v>5900.21</v>
      </c>
      <c r="J64" s="24">
        <v>-5900.21</v>
      </c>
      <c r="K64" s="30">
        <v>12</v>
      </c>
      <c r="L64" s="30">
        <v>2925</v>
      </c>
      <c r="M64" s="30">
        <v>60</v>
      </c>
      <c r="N64" s="30">
        <v>0</v>
      </c>
      <c r="O64" s="30">
        <v>23494</v>
      </c>
      <c r="P64" s="29" t="s">
        <v>451</v>
      </c>
      <c r="Q64" s="29" t="s">
        <v>413</v>
      </c>
      <c r="R64" s="140" t="s">
        <v>452</v>
      </c>
    </row>
    <row r="65" spans="1:18">
      <c r="A65" s="139">
        <v>1</v>
      </c>
      <c r="B65" s="30">
        <v>3</v>
      </c>
      <c r="C65" s="1">
        <v>42825</v>
      </c>
      <c r="D65" s="27">
        <v>748988</v>
      </c>
      <c r="E65" s="30">
        <v>2017</v>
      </c>
      <c r="F65" s="30">
        <v>1</v>
      </c>
      <c r="G65" s="1">
        <v>42776</v>
      </c>
      <c r="H65" s="27">
        <v>744978</v>
      </c>
      <c r="I65" s="24">
        <v>767</v>
      </c>
      <c r="J65" s="24">
        <v>-767</v>
      </c>
      <c r="K65" s="30">
        <v>12</v>
      </c>
      <c r="L65" s="30">
        <v>2925</v>
      </c>
      <c r="M65" s="30">
        <v>85</v>
      </c>
      <c r="N65" s="30">
        <v>0</v>
      </c>
      <c r="O65" s="30">
        <v>23494</v>
      </c>
      <c r="P65" s="29" t="s">
        <v>451</v>
      </c>
      <c r="Q65" s="29" t="s">
        <v>413</v>
      </c>
      <c r="R65" s="140" t="s">
        <v>452</v>
      </c>
    </row>
    <row r="66" spans="1:18">
      <c r="A66" s="139">
        <v>1</v>
      </c>
      <c r="B66" s="30">
        <v>3</v>
      </c>
      <c r="C66" s="1">
        <v>42825</v>
      </c>
      <c r="D66" s="27">
        <v>748988</v>
      </c>
      <c r="E66" s="30">
        <v>2017</v>
      </c>
      <c r="F66" s="30">
        <v>1</v>
      </c>
      <c r="G66" s="1">
        <v>42776</v>
      </c>
      <c r="H66" s="27">
        <v>744984</v>
      </c>
      <c r="I66" s="24">
        <v>2088.8000000000002</v>
      </c>
      <c r="J66" s="24">
        <v>-2088.8000000000002</v>
      </c>
      <c r="K66" s="30">
        <v>37</v>
      </c>
      <c r="L66" s="30">
        <v>163</v>
      </c>
      <c r="M66" s="30">
        <v>60</v>
      </c>
      <c r="N66" s="30">
        <v>0</v>
      </c>
      <c r="O66" s="30">
        <v>50771</v>
      </c>
      <c r="P66" s="29" t="s">
        <v>453</v>
      </c>
      <c r="Q66" s="29" t="s">
        <v>454</v>
      </c>
      <c r="R66" s="140" t="s">
        <v>455</v>
      </c>
    </row>
    <row r="67" spans="1:18">
      <c r="A67" s="139">
        <v>1</v>
      </c>
      <c r="B67" s="30">
        <v>3</v>
      </c>
      <c r="C67" s="1">
        <v>42825</v>
      </c>
      <c r="D67" s="27">
        <v>748988</v>
      </c>
      <c r="E67" s="30">
        <v>2017</v>
      </c>
      <c r="F67" s="30">
        <v>1</v>
      </c>
      <c r="G67" s="1">
        <v>42776</v>
      </c>
      <c r="H67" s="27">
        <v>744984</v>
      </c>
      <c r="I67" s="24">
        <v>271</v>
      </c>
      <c r="J67" s="24">
        <v>-271</v>
      </c>
      <c r="K67" s="30">
        <v>37</v>
      </c>
      <c r="L67" s="30">
        <v>163</v>
      </c>
      <c r="M67" s="30">
        <v>85</v>
      </c>
      <c r="N67" s="30">
        <v>0</v>
      </c>
      <c r="O67" s="30">
        <v>50771</v>
      </c>
      <c r="P67" s="29" t="s">
        <v>453</v>
      </c>
      <c r="Q67" s="29" t="s">
        <v>454</v>
      </c>
      <c r="R67" s="140" t="s">
        <v>455</v>
      </c>
    </row>
    <row r="68" spans="1:18">
      <c r="A68" s="139">
        <v>1</v>
      </c>
      <c r="B68" s="30">
        <v>3</v>
      </c>
      <c r="C68" s="1">
        <v>42825</v>
      </c>
      <c r="D68" s="27">
        <v>748988</v>
      </c>
      <c r="E68" s="30">
        <v>2017</v>
      </c>
      <c r="F68" s="30">
        <v>1</v>
      </c>
      <c r="G68" s="1">
        <v>42745</v>
      </c>
      <c r="H68" s="27">
        <v>740276</v>
      </c>
      <c r="I68" s="24">
        <v>2097.86</v>
      </c>
      <c r="J68" s="24">
        <v>-2097.86</v>
      </c>
      <c r="K68" s="30">
        <v>63</v>
      </c>
      <c r="L68" s="30">
        <v>6</v>
      </c>
      <c r="M68" s="30">
        <v>60</v>
      </c>
      <c r="N68" s="30">
        <v>0</v>
      </c>
      <c r="O68" s="30">
        <v>41976</v>
      </c>
      <c r="P68" s="29" t="s">
        <v>456</v>
      </c>
      <c r="Q68" s="29" t="s">
        <v>457</v>
      </c>
      <c r="R68" s="140" t="s">
        <v>458</v>
      </c>
    </row>
    <row r="69" spans="1:18">
      <c r="A69" s="139">
        <v>1</v>
      </c>
      <c r="B69" s="30">
        <v>3</v>
      </c>
      <c r="C69" s="1">
        <v>42825</v>
      </c>
      <c r="D69" s="27">
        <v>748988</v>
      </c>
      <c r="E69" s="30">
        <v>2017</v>
      </c>
      <c r="F69" s="30">
        <v>1</v>
      </c>
      <c r="G69" s="1">
        <v>42745</v>
      </c>
      <c r="H69" s="27">
        <v>740276</v>
      </c>
      <c r="I69" s="24">
        <v>208</v>
      </c>
      <c r="J69" s="24">
        <v>-208</v>
      </c>
      <c r="K69" s="30">
        <v>63</v>
      </c>
      <c r="L69" s="30">
        <v>6</v>
      </c>
      <c r="M69" s="30">
        <v>85</v>
      </c>
      <c r="N69" s="30">
        <v>0</v>
      </c>
      <c r="O69" s="30">
        <v>41976</v>
      </c>
      <c r="P69" s="29" t="s">
        <v>456</v>
      </c>
      <c r="Q69" s="29" t="s">
        <v>457</v>
      </c>
      <c r="R69" s="140" t="s">
        <v>458</v>
      </c>
    </row>
    <row r="70" spans="1:18">
      <c r="A70" s="139">
        <v>1</v>
      </c>
      <c r="B70" s="30">
        <v>3</v>
      </c>
      <c r="C70" s="1">
        <v>42825</v>
      </c>
      <c r="D70" s="27">
        <v>748988</v>
      </c>
      <c r="E70" s="30">
        <v>2017</v>
      </c>
      <c r="F70" s="30">
        <v>1</v>
      </c>
      <c r="G70" s="1">
        <v>42745</v>
      </c>
      <c r="H70" s="27">
        <v>740276</v>
      </c>
      <c r="I70" s="24">
        <v>500</v>
      </c>
      <c r="J70" s="24">
        <v>-500</v>
      </c>
      <c r="K70" s="30">
        <v>63</v>
      </c>
      <c r="L70" s="30">
        <v>6</v>
      </c>
      <c r="M70" s="30">
        <v>1025</v>
      </c>
      <c r="N70" s="30">
        <v>0</v>
      </c>
      <c r="O70" s="30">
        <v>41976</v>
      </c>
      <c r="P70" s="29" t="s">
        <v>456</v>
      </c>
      <c r="Q70" s="29" t="s">
        <v>457</v>
      </c>
      <c r="R70" s="140" t="s">
        <v>458</v>
      </c>
    </row>
    <row r="71" spans="1:18">
      <c r="A71" s="139">
        <v>1</v>
      </c>
      <c r="B71" s="30">
        <v>3</v>
      </c>
      <c r="C71" s="1">
        <v>42825</v>
      </c>
      <c r="D71" s="27">
        <v>748988</v>
      </c>
      <c r="E71" s="30">
        <v>2017</v>
      </c>
      <c r="F71" s="30">
        <v>1</v>
      </c>
      <c r="G71" s="1">
        <v>42776</v>
      </c>
      <c r="H71" s="27">
        <v>744978</v>
      </c>
      <c r="I71" s="24">
        <v>2097.86</v>
      </c>
      <c r="J71" s="24">
        <v>-2097.86</v>
      </c>
      <c r="K71" s="30">
        <v>63</v>
      </c>
      <c r="L71" s="30">
        <v>6</v>
      </c>
      <c r="M71" s="30">
        <v>60</v>
      </c>
      <c r="N71" s="30">
        <v>0</v>
      </c>
      <c r="O71" s="30">
        <v>41976</v>
      </c>
      <c r="P71" s="29" t="s">
        <v>456</v>
      </c>
      <c r="Q71" s="29" t="s">
        <v>457</v>
      </c>
      <c r="R71" s="140" t="s">
        <v>458</v>
      </c>
    </row>
    <row r="72" spans="1:18">
      <c r="A72" s="139">
        <v>1</v>
      </c>
      <c r="B72" s="30">
        <v>3</v>
      </c>
      <c r="C72" s="1">
        <v>42825</v>
      </c>
      <c r="D72" s="27">
        <v>748988</v>
      </c>
      <c r="E72" s="30">
        <v>2017</v>
      </c>
      <c r="F72" s="30">
        <v>1</v>
      </c>
      <c r="G72" s="1">
        <v>42776</v>
      </c>
      <c r="H72" s="27">
        <v>744978</v>
      </c>
      <c r="I72" s="24">
        <v>207</v>
      </c>
      <c r="J72" s="24">
        <v>-207</v>
      </c>
      <c r="K72" s="30">
        <v>63</v>
      </c>
      <c r="L72" s="30">
        <v>6</v>
      </c>
      <c r="M72" s="30">
        <v>85</v>
      </c>
      <c r="N72" s="30">
        <v>0</v>
      </c>
      <c r="O72" s="30">
        <v>41976</v>
      </c>
      <c r="P72" s="29" t="s">
        <v>456</v>
      </c>
      <c r="Q72" s="29" t="s">
        <v>457</v>
      </c>
      <c r="R72" s="140" t="s">
        <v>458</v>
      </c>
    </row>
    <row r="73" spans="1:18">
      <c r="A73" s="139">
        <v>1</v>
      </c>
      <c r="B73" s="30">
        <v>3</v>
      </c>
      <c r="C73" s="1">
        <v>42825</v>
      </c>
      <c r="D73" s="27">
        <v>748988</v>
      </c>
      <c r="E73" s="30">
        <v>2017</v>
      </c>
      <c r="F73" s="30">
        <v>1</v>
      </c>
      <c r="G73" s="1">
        <v>42776</v>
      </c>
      <c r="H73" s="27">
        <v>744978</v>
      </c>
      <c r="I73" s="24">
        <v>500</v>
      </c>
      <c r="J73" s="24">
        <v>-500</v>
      </c>
      <c r="K73" s="30">
        <v>63</v>
      </c>
      <c r="L73" s="30">
        <v>6</v>
      </c>
      <c r="M73" s="30">
        <v>1025</v>
      </c>
      <c r="N73" s="30">
        <v>0</v>
      </c>
      <c r="O73" s="30">
        <v>41976</v>
      </c>
      <c r="P73" s="29" t="s">
        <v>456</v>
      </c>
      <c r="Q73" s="29" t="s">
        <v>457</v>
      </c>
      <c r="R73" s="140" t="s">
        <v>458</v>
      </c>
    </row>
    <row r="74" spans="1:18">
      <c r="A74" s="139">
        <v>1</v>
      </c>
      <c r="B74" s="30">
        <v>3</v>
      </c>
      <c r="C74" s="1">
        <v>42825</v>
      </c>
      <c r="D74" s="27">
        <v>748988</v>
      </c>
      <c r="E74" s="30">
        <v>2017</v>
      </c>
      <c r="F74" s="30">
        <v>1</v>
      </c>
      <c r="G74" s="1">
        <v>42776</v>
      </c>
      <c r="H74" s="27">
        <v>744978</v>
      </c>
      <c r="I74" s="24">
        <v>2097.9700000000003</v>
      </c>
      <c r="J74" s="24">
        <v>-2097.9699999999998</v>
      </c>
      <c r="K74" s="30">
        <v>12</v>
      </c>
      <c r="L74" s="30">
        <v>1201</v>
      </c>
      <c r="M74" s="30">
        <v>60</v>
      </c>
      <c r="N74" s="30">
        <v>0</v>
      </c>
      <c r="O74" s="30">
        <v>14574</v>
      </c>
      <c r="P74" s="29" t="s">
        <v>459</v>
      </c>
      <c r="Q74" s="29" t="s">
        <v>404</v>
      </c>
      <c r="R74" s="140" t="s">
        <v>460</v>
      </c>
    </row>
    <row r="75" spans="1:18">
      <c r="A75" s="139">
        <v>1</v>
      </c>
      <c r="B75" s="30">
        <v>3</v>
      </c>
      <c r="C75" s="1">
        <v>42825</v>
      </c>
      <c r="D75" s="27">
        <v>748988</v>
      </c>
      <c r="E75" s="30">
        <v>2017</v>
      </c>
      <c r="F75" s="30">
        <v>1</v>
      </c>
      <c r="G75" s="1">
        <v>42776</v>
      </c>
      <c r="H75" s="27">
        <v>744978</v>
      </c>
      <c r="I75" s="24">
        <v>272</v>
      </c>
      <c r="J75" s="24">
        <v>-272</v>
      </c>
      <c r="K75" s="30">
        <v>12</v>
      </c>
      <c r="L75" s="30">
        <v>1201</v>
      </c>
      <c r="M75" s="30">
        <v>85</v>
      </c>
      <c r="N75" s="30">
        <v>0</v>
      </c>
      <c r="O75" s="30">
        <v>14574</v>
      </c>
      <c r="P75" s="29" t="s">
        <v>459</v>
      </c>
      <c r="Q75" s="29" t="s">
        <v>404</v>
      </c>
      <c r="R75" s="140" t="s">
        <v>460</v>
      </c>
    </row>
    <row r="76" spans="1:18">
      <c r="A76" s="139">
        <v>1</v>
      </c>
      <c r="B76" s="30">
        <v>3</v>
      </c>
      <c r="C76" s="1">
        <v>42825</v>
      </c>
      <c r="D76" s="27">
        <v>748988</v>
      </c>
      <c r="E76" s="30">
        <v>2017</v>
      </c>
      <c r="F76" s="30">
        <v>1</v>
      </c>
      <c r="G76" s="1">
        <v>42776</v>
      </c>
      <c r="H76" s="27">
        <v>744984</v>
      </c>
      <c r="I76" s="24">
        <v>4436.5</v>
      </c>
      <c r="J76" s="24">
        <v>-4436.5</v>
      </c>
      <c r="K76" s="30">
        <v>5</v>
      </c>
      <c r="L76" s="30">
        <v>199</v>
      </c>
      <c r="M76" s="30">
        <v>60</v>
      </c>
      <c r="N76" s="30">
        <v>0</v>
      </c>
      <c r="O76" s="30">
        <v>6471</v>
      </c>
      <c r="P76" s="29" t="s">
        <v>461</v>
      </c>
      <c r="Q76" s="29" t="s">
        <v>462</v>
      </c>
      <c r="R76" s="140" t="s">
        <v>463</v>
      </c>
    </row>
    <row r="77" spans="1:18">
      <c r="A77" s="139">
        <v>1</v>
      </c>
      <c r="B77" s="30">
        <v>3</v>
      </c>
      <c r="C77" s="1">
        <v>42825</v>
      </c>
      <c r="D77" s="27">
        <v>748988</v>
      </c>
      <c r="E77" s="30">
        <v>2017</v>
      </c>
      <c r="F77" s="30">
        <v>1</v>
      </c>
      <c r="G77" s="1">
        <v>42776</v>
      </c>
      <c r="H77" s="27">
        <v>744984</v>
      </c>
      <c r="I77" s="24">
        <v>576</v>
      </c>
      <c r="J77" s="24">
        <v>-576</v>
      </c>
      <c r="K77" s="30">
        <v>5</v>
      </c>
      <c r="L77" s="30">
        <v>199</v>
      </c>
      <c r="M77" s="30">
        <v>85</v>
      </c>
      <c r="N77" s="30">
        <v>0</v>
      </c>
      <c r="O77" s="30">
        <v>6471</v>
      </c>
      <c r="P77" s="29" t="s">
        <v>461</v>
      </c>
      <c r="Q77" s="29" t="s">
        <v>462</v>
      </c>
      <c r="R77" s="140" t="s">
        <v>463</v>
      </c>
    </row>
    <row r="78" spans="1:18">
      <c r="A78" s="139">
        <v>1</v>
      </c>
      <c r="B78" s="30">
        <v>3</v>
      </c>
      <c r="C78" s="1">
        <v>42825</v>
      </c>
      <c r="D78" s="27">
        <v>748988</v>
      </c>
      <c r="E78" s="30">
        <v>2017</v>
      </c>
      <c r="F78" s="30">
        <v>1</v>
      </c>
      <c r="G78" s="1">
        <v>42776</v>
      </c>
      <c r="H78" s="27">
        <v>744978</v>
      </c>
      <c r="I78" s="24">
        <v>2093.3000000000002</v>
      </c>
      <c r="J78" s="24">
        <v>-2093.3000000000002</v>
      </c>
      <c r="K78" s="30">
        <v>16</v>
      </c>
      <c r="L78" s="30">
        <v>514</v>
      </c>
      <c r="M78" s="30">
        <v>60</v>
      </c>
      <c r="N78" s="30">
        <v>0</v>
      </c>
      <c r="O78" s="30">
        <v>38140</v>
      </c>
      <c r="P78" s="29" t="s">
        <v>464</v>
      </c>
      <c r="Q78" s="29" t="s">
        <v>465</v>
      </c>
      <c r="R78" s="140" t="s">
        <v>466</v>
      </c>
    </row>
    <row r="79" spans="1:18">
      <c r="A79" s="139">
        <v>1</v>
      </c>
      <c r="B79" s="30">
        <v>3</v>
      </c>
      <c r="C79" s="1">
        <v>42825</v>
      </c>
      <c r="D79" s="27">
        <v>748988</v>
      </c>
      <c r="E79" s="30">
        <v>2017</v>
      </c>
      <c r="F79" s="30">
        <v>1</v>
      </c>
      <c r="G79" s="1">
        <v>42776</v>
      </c>
      <c r="H79" s="27">
        <v>744978</v>
      </c>
      <c r="I79" s="24">
        <v>272</v>
      </c>
      <c r="J79" s="24">
        <v>-272</v>
      </c>
      <c r="K79" s="30">
        <v>16</v>
      </c>
      <c r="L79" s="30">
        <v>514</v>
      </c>
      <c r="M79" s="30">
        <v>85</v>
      </c>
      <c r="N79" s="30">
        <v>0</v>
      </c>
      <c r="O79" s="30">
        <v>38140</v>
      </c>
      <c r="P79" s="29" t="s">
        <v>464</v>
      </c>
      <c r="Q79" s="29" t="s">
        <v>465</v>
      </c>
      <c r="R79" s="140" t="s">
        <v>466</v>
      </c>
    </row>
    <row r="80" spans="1:18">
      <c r="A80" s="139">
        <v>1</v>
      </c>
      <c r="B80" s="30">
        <v>3</v>
      </c>
      <c r="C80" s="1">
        <v>42825</v>
      </c>
      <c r="D80" s="27">
        <v>748988</v>
      </c>
      <c r="E80" s="30">
        <v>2017</v>
      </c>
      <c r="F80" s="30">
        <v>1</v>
      </c>
      <c r="G80" s="1">
        <v>42776</v>
      </c>
      <c r="H80" s="27">
        <v>744984</v>
      </c>
      <c r="I80" s="24">
        <v>2534.9700000000003</v>
      </c>
      <c r="J80" s="24">
        <v>-2534.9699999999998</v>
      </c>
      <c r="K80" s="30">
        <v>57</v>
      </c>
      <c r="L80" s="30">
        <v>246</v>
      </c>
      <c r="M80" s="30">
        <v>60</v>
      </c>
      <c r="N80" s="30">
        <v>0</v>
      </c>
      <c r="O80" s="30">
        <v>40981</v>
      </c>
      <c r="P80" s="29" t="s">
        <v>467</v>
      </c>
      <c r="Q80" s="29" t="s">
        <v>468</v>
      </c>
      <c r="R80" s="140" t="s">
        <v>469</v>
      </c>
    </row>
    <row r="81" spans="1:18">
      <c r="A81" s="139">
        <v>1</v>
      </c>
      <c r="B81" s="30">
        <v>3</v>
      </c>
      <c r="C81" s="1">
        <v>42825</v>
      </c>
      <c r="D81" s="27">
        <v>748988</v>
      </c>
      <c r="E81" s="30">
        <v>2017</v>
      </c>
      <c r="F81" s="30">
        <v>1</v>
      </c>
      <c r="G81" s="1">
        <v>42776</v>
      </c>
      <c r="H81" s="27">
        <v>744984</v>
      </c>
      <c r="I81" s="24">
        <v>329</v>
      </c>
      <c r="J81" s="24">
        <v>-329</v>
      </c>
      <c r="K81" s="30">
        <v>57</v>
      </c>
      <c r="L81" s="30">
        <v>246</v>
      </c>
      <c r="M81" s="30">
        <v>85</v>
      </c>
      <c r="N81" s="30">
        <v>0</v>
      </c>
      <c r="O81" s="30">
        <v>40981</v>
      </c>
      <c r="P81" s="29" t="s">
        <v>467</v>
      </c>
      <c r="Q81" s="29" t="s">
        <v>468</v>
      </c>
      <c r="R81" s="140" t="s">
        <v>469</v>
      </c>
    </row>
    <row r="82" spans="1:18">
      <c r="A82" s="139">
        <v>2</v>
      </c>
      <c r="B82" s="30">
        <v>4</v>
      </c>
      <c r="C82" s="1">
        <v>42832</v>
      </c>
      <c r="D82" s="27">
        <v>755072</v>
      </c>
      <c r="E82" s="30">
        <v>2016</v>
      </c>
      <c r="F82" s="30">
        <v>4</v>
      </c>
      <c r="G82" s="1">
        <v>42727</v>
      </c>
      <c r="H82" s="27">
        <v>738354</v>
      </c>
      <c r="I82" s="24">
        <v>7000</v>
      </c>
      <c r="J82" s="24">
        <v>-7000</v>
      </c>
      <c r="K82" s="30">
        <v>991</v>
      </c>
      <c r="L82" s="30">
        <v>72333</v>
      </c>
      <c r="M82" s="30">
        <v>55</v>
      </c>
      <c r="N82" s="30">
        <v>1</v>
      </c>
      <c r="O82" s="30">
        <v>1196704</v>
      </c>
      <c r="P82" s="29" t="s">
        <v>470</v>
      </c>
      <c r="Q82" s="29" t="s">
        <v>431</v>
      </c>
      <c r="R82" s="140" t="s">
        <v>471</v>
      </c>
    </row>
    <row r="83" spans="1:18">
      <c r="A83" s="139">
        <v>2</v>
      </c>
      <c r="B83" s="30">
        <v>4</v>
      </c>
      <c r="C83" s="1">
        <v>42832</v>
      </c>
      <c r="D83" s="27">
        <v>755072</v>
      </c>
      <c r="E83" s="30">
        <v>2016</v>
      </c>
      <c r="F83" s="30">
        <v>4</v>
      </c>
      <c r="G83" s="1">
        <v>42727</v>
      </c>
      <c r="H83" s="27">
        <v>738354</v>
      </c>
      <c r="I83" s="24">
        <v>987</v>
      </c>
      <c r="J83" s="24">
        <v>-910</v>
      </c>
      <c r="K83" s="30">
        <v>991</v>
      </c>
      <c r="L83" s="30">
        <v>72333</v>
      </c>
      <c r="M83" s="30">
        <v>85</v>
      </c>
      <c r="N83" s="30">
        <v>2</v>
      </c>
      <c r="O83" s="30">
        <v>1196704</v>
      </c>
      <c r="P83" s="29" t="s">
        <v>470</v>
      </c>
      <c r="Q83" s="29" t="s">
        <v>431</v>
      </c>
      <c r="R83" s="140" t="s">
        <v>471</v>
      </c>
    </row>
    <row r="84" spans="1:18">
      <c r="A84" s="139">
        <v>2</v>
      </c>
      <c r="B84" s="30">
        <v>4</v>
      </c>
      <c r="C84" s="1">
        <v>42839</v>
      </c>
      <c r="D84" s="27">
        <v>757558</v>
      </c>
      <c r="E84" s="30">
        <v>2016</v>
      </c>
      <c r="F84" s="30">
        <v>4</v>
      </c>
      <c r="G84" s="1">
        <v>42702</v>
      </c>
      <c r="H84" s="27">
        <v>732729</v>
      </c>
      <c r="I84" s="24">
        <v>20000</v>
      </c>
      <c r="J84" s="24">
        <v>-20000</v>
      </c>
      <c r="K84" s="30">
        <v>991</v>
      </c>
      <c r="L84" s="30">
        <v>36197</v>
      </c>
      <c r="M84" s="30">
        <v>55</v>
      </c>
      <c r="N84" s="30">
        <v>1</v>
      </c>
      <c r="O84" s="30">
        <v>560223</v>
      </c>
      <c r="P84" s="29" t="s">
        <v>472</v>
      </c>
      <c r="Q84" s="29" t="s">
        <v>473</v>
      </c>
      <c r="R84" s="140" t="s">
        <v>474</v>
      </c>
    </row>
    <row r="85" spans="1:18">
      <c r="A85" s="139">
        <v>2</v>
      </c>
      <c r="B85" s="30">
        <v>4</v>
      </c>
      <c r="C85" s="1">
        <v>42839</v>
      </c>
      <c r="D85" s="27">
        <v>757558</v>
      </c>
      <c r="E85" s="30">
        <v>2016</v>
      </c>
      <c r="F85" s="30">
        <v>4</v>
      </c>
      <c r="G85" s="1">
        <v>42702</v>
      </c>
      <c r="H85" s="27">
        <v>732729</v>
      </c>
      <c r="I85" s="24">
        <v>6397</v>
      </c>
      <c r="J85" s="24">
        <v>-2600</v>
      </c>
      <c r="K85" s="30">
        <v>991</v>
      </c>
      <c r="L85" s="30">
        <v>36197</v>
      </c>
      <c r="M85" s="30">
        <v>85</v>
      </c>
      <c r="N85" s="30">
        <v>2</v>
      </c>
      <c r="O85" s="30">
        <v>560223</v>
      </c>
      <c r="P85" s="29" t="s">
        <v>472</v>
      </c>
      <c r="Q85" s="29" t="s">
        <v>473</v>
      </c>
      <c r="R85" s="140" t="s">
        <v>474</v>
      </c>
    </row>
    <row r="86" spans="1:18">
      <c r="A86" s="139">
        <v>2</v>
      </c>
      <c r="B86" s="30">
        <v>4</v>
      </c>
      <c r="C86" s="1">
        <v>42839</v>
      </c>
      <c r="D86" s="27">
        <v>757559</v>
      </c>
      <c r="E86" s="30">
        <v>2016</v>
      </c>
      <c r="F86" s="30">
        <v>4</v>
      </c>
      <c r="G86" s="1">
        <v>42716</v>
      </c>
      <c r="H86" s="27">
        <v>735484</v>
      </c>
      <c r="I86" s="24">
        <v>10000</v>
      </c>
      <c r="J86" s="24">
        <v>-10000</v>
      </c>
      <c r="K86" s="30">
        <v>991</v>
      </c>
      <c r="L86" s="30">
        <v>36195</v>
      </c>
      <c r="M86" s="30">
        <v>55</v>
      </c>
      <c r="N86" s="30">
        <v>1</v>
      </c>
      <c r="O86" s="30">
        <v>560224</v>
      </c>
      <c r="P86" s="29" t="s">
        <v>472</v>
      </c>
      <c r="Q86" s="29" t="s">
        <v>475</v>
      </c>
      <c r="R86" s="140" t="s">
        <v>396</v>
      </c>
    </row>
    <row r="87" spans="1:18">
      <c r="A87" s="139">
        <v>2</v>
      </c>
      <c r="B87" s="30">
        <v>4</v>
      </c>
      <c r="C87" s="1">
        <v>42839</v>
      </c>
      <c r="D87" s="27">
        <v>757559</v>
      </c>
      <c r="E87" s="30">
        <v>2016</v>
      </c>
      <c r="F87" s="30">
        <v>4</v>
      </c>
      <c r="G87" s="1">
        <v>42716</v>
      </c>
      <c r="H87" s="27">
        <v>735484</v>
      </c>
      <c r="I87" s="24">
        <v>3281</v>
      </c>
      <c r="J87" s="24">
        <v>-1300</v>
      </c>
      <c r="K87" s="30">
        <v>991</v>
      </c>
      <c r="L87" s="30">
        <v>36195</v>
      </c>
      <c r="M87" s="30">
        <v>85</v>
      </c>
      <c r="N87" s="30">
        <v>2</v>
      </c>
      <c r="O87" s="30">
        <v>560224</v>
      </c>
      <c r="P87" s="29" t="s">
        <v>472</v>
      </c>
      <c r="Q87" s="29" t="s">
        <v>475</v>
      </c>
      <c r="R87" s="140" t="s">
        <v>396</v>
      </c>
    </row>
    <row r="88" spans="1:18">
      <c r="A88" s="139">
        <v>2</v>
      </c>
      <c r="B88" s="30">
        <v>4</v>
      </c>
      <c r="C88" s="1">
        <v>42839</v>
      </c>
      <c r="D88" s="27">
        <v>757562</v>
      </c>
      <c r="E88" s="30">
        <v>2017</v>
      </c>
      <c r="F88" s="30">
        <v>2</v>
      </c>
      <c r="G88" s="1">
        <v>42832</v>
      </c>
      <c r="H88" s="27">
        <v>755034</v>
      </c>
      <c r="I88" s="24">
        <v>51000</v>
      </c>
      <c r="J88" s="24">
        <v>-51000</v>
      </c>
      <c r="K88" s="30">
        <v>991</v>
      </c>
      <c r="L88" s="30">
        <v>23578</v>
      </c>
      <c r="M88" s="30">
        <v>55</v>
      </c>
      <c r="N88" s="30">
        <v>1</v>
      </c>
      <c r="O88" s="30">
        <v>300685</v>
      </c>
      <c r="P88" s="29" t="s">
        <v>476</v>
      </c>
      <c r="Q88" s="29" t="s">
        <v>477</v>
      </c>
      <c r="R88" s="140" t="s">
        <v>387</v>
      </c>
    </row>
    <row r="89" spans="1:18">
      <c r="A89" s="139">
        <v>2</v>
      </c>
      <c r="B89" s="30">
        <v>4</v>
      </c>
      <c r="C89" s="1">
        <v>42839</v>
      </c>
      <c r="D89" s="27">
        <v>757562</v>
      </c>
      <c r="E89" s="30">
        <v>2017</v>
      </c>
      <c r="F89" s="30">
        <v>2</v>
      </c>
      <c r="G89" s="1">
        <v>42832</v>
      </c>
      <c r="H89" s="27">
        <v>755034</v>
      </c>
      <c r="I89" s="24">
        <v>9348</v>
      </c>
      <c r="J89" s="24">
        <v>-6630</v>
      </c>
      <c r="K89" s="30">
        <v>991</v>
      </c>
      <c r="L89" s="30">
        <v>23578</v>
      </c>
      <c r="M89" s="30">
        <v>85</v>
      </c>
      <c r="N89" s="30">
        <v>2</v>
      </c>
      <c r="O89" s="30">
        <v>300685</v>
      </c>
      <c r="P89" s="29" t="s">
        <v>476</v>
      </c>
      <c r="Q89" s="29" t="s">
        <v>477</v>
      </c>
      <c r="R89" s="140" t="s">
        <v>387</v>
      </c>
    </row>
    <row r="90" spans="1:18">
      <c r="A90" s="139">
        <v>2</v>
      </c>
      <c r="B90" s="30">
        <v>4</v>
      </c>
      <c r="C90" s="1">
        <v>42839</v>
      </c>
      <c r="D90" s="27">
        <v>757560</v>
      </c>
      <c r="E90" s="30">
        <v>2017</v>
      </c>
      <c r="F90" s="30">
        <v>2</v>
      </c>
      <c r="G90" s="1">
        <v>42832</v>
      </c>
      <c r="H90" s="27">
        <v>755031</v>
      </c>
      <c r="I90" s="24">
        <v>51000</v>
      </c>
      <c r="J90" s="24">
        <v>-51000</v>
      </c>
      <c r="K90" s="30">
        <v>991</v>
      </c>
      <c r="L90" s="30">
        <v>7462</v>
      </c>
      <c r="M90" s="30">
        <v>55</v>
      </c>
      <c r="N90" s="30">
        <v>1</v>
      </c>
      <c r="O90" s="30">
        <v>185082</v>
      </c>
      <c r="P90" s="29" t="s">
        <v>478</v>
      </c>
      <c r="Q90" s="29" t="s">
        <v>475</v>
      </c>
      <c r="R90" s="140" t="s">
        <v>479</v>
      </c>
    </row>
    <row r="91" spans="1:18">
      <c r="A91" s="139">
        <v>2</v>
      </c>
      <c r="B91" s="30">
        <v>4</v>
      </c>
      <c r="C91" s="1">
        <v>42839</v>
      </c>
      <c r="D91" s="27">
        <v>757560</v>
      </c>
      <c r="E91" s="30">
        <v>2017</v>
      </c>
      <c r="F91" s="30">
        <v>2</v>
      </c>
      <c r="G91" s="1">
        <v>42832</v>
      </c>
      <c r="H91" s="27">
        <v>755031</v>
      </c>
      <c r="I91" s="24">
        <v>10727</v>
      </c>
      <c r="J91" s="24">
        <v>-6630</v>
      </c>
      <c r="K91" s="30">
        <v>991</v>
      </c>
      <c r="L91" s="30">
        <v>7462</v>
      </c>
      <c r="M91" s="30">
        <v>85</v>
      </c>
      <c r="N91" s="30">
        <v>2</v>
      </c>
      <c r="O91" s="30">
        <v>185082</v>
      </c>
      <c r="P91" s="29" t="s">
        <v>478</v>
      </c>
      <c r="Q91" s="29" t="s">
        <v>475</v>
      </c>
      <c r="R91" s="140" t="s">
        <v>479</v>
      </c>
    </row>
    <row r="92" spans="1:18">
      <c r="A92" s="139">
        <v>2</v>
      </c>
      <c r="B92" s="30">
        <v>4</v>
      </c>
      <c r="C92" s="1">
        <v>42839</v>
      </c>
      <c r="D92" s="27">
        <v>757579</v>
      </c>
      <c r="E92" s="30">
        <v>2017</v>
      </c>
      <c r="F92" s="30">
        <v>2</v>
      </c>
      <c r="G92" s="1">
        <v>42832</v>
      </c>
      <c r="H92" s="27">
        <v>755079</v>
      </c>
      <c r="I92" s="24">
        <v>5500</v>
      </c>
      <c r="J92" s="24">
        <v>-5500</v>
      </c>
      <c r="K92" s="30">
        <v>991</v>
      </c>
      <c r="L92" s="30">
        <v>60575</v>
      </c>
      <c r="M92" s="30">
        <v>55</v>
      </c>
      <c r="N92" s="30">
        <v>1</v>
      </c>
      <c r="O92" s="30">
        <v>1003384</v>
      </c>
      <c r="P92" s="29" t="s">
        <v>480</v>
      </c>
      <c r="Q92" s="29" t="s">
        <v>481</v>
      </c>
      <c r="R92" s="140" t="s">
        <v>482</v>
      </c>
    </row>
    <row r="93" spans="1:18">
      <c r="A93" s="139">
        <v>2</v>
      </c>
      <c r="B93" s="30">
        <v>4</v>
      </c>
      <c r="C93" s="1">
        <v>42839</v>
      </c>
      <c r="D93" s="27">
        <v>757579</v>
      </c>
      <c r="E93" s="30">
        <v>2017</v>
      </c>
      <c r="F93" s="30">
        <v>2</v>
      </c>
      <c r="G93" s="1">
        <v>42832</v>
      </c>
      <c r="H93" s="27">
        <v>755079</v>
      </c>
      <c r="I93" s="24">
        <v>979</v>
      </c>
      <c r="J93" s="24">
        <v>-715</v>
      </c>
      <c r="K93" s="30">
        <v>991</v>
      </c>
      <c r="L93" s="30">
        <v>60575</v>
      </c>
      <c r="M93" s="30">
        <v>85</v>
      </c>
      <c r="N93" s="30">
        <v>2</v>
      </c>
      <c r="O93" s="30">
        <v>1003384</v>
      </c>
      <c r="P93" s="29" t="s">
        <v>480</v>
      </c>
      <c r="Q93" s="29" t="s">
        <v>481</v>
      </c>
      <c r="R93" s="140" t="s">
        <v>482</v>
      </c>
    </row>
    <row r="94" spans="1:18">
      <c r="A94" s="139">
        <v>2</v>
      </c>
      <c r="B94" s="30">
        <v>4</v>
      </c>
      <c r="C94" s="1">
        <v>42839</v>
      </c>
      <c r="D94" s="27">
        <v>757580</v>
      </c>
      <c r="E94" s="30">
        <v>2017</v>
      </c>
      <c r="F94" s="30">
        <v>2</v>
      </c>
      <c r="G94" s="1">
        <v>42832</v>
      </c>
      <c r="H94" s="27">
        <v>755080</v>
      </c>
      <c r="I94" s="24">
        <v>6500</v>
      </c>
      <c r="J94" s="24">
        <v>-6500</v>
      </c>
      <c r="K94" s="30">
        <v>991</v>
      </c>
      <c r="L94" s="30">
        <v>62444</v>
      </c>
      <c r="M94" s="30">
        <v>55</v>
      </c>
      <c r="N94" s="30">
        <v>1</v>
      </c>
      <c r="O94" s="30">
        <v>1006423</v>
      </c>
      <c r="P94" s="29" t="s">
        <v>480</v>
      </c>
      <c r="Q94" s="29" t="s">
        <v>481</v>
      </c>
      <c r="R94" s="140" t="s">
        <v>482</v>
      </c>
    </row>
    <row r="95" spans="1:18">
      <c r="A95" s="139">
        <v>2</v>
      </c>
      <c r="B95" s="30">
        <v>4</v>
      </c>
      <c r="C95" s="1">
        <v>42839</v>
      </c>
      <c r="D95" s="27">
        <v>757580</v>
      </c>
      <c r="E95" s="30">
        <v>2017</v>
      </c>
      <c r="F95" s="30">
        <v>2</v>
      </c>
      <c r="G95" s="1">
        <v>42832</v>
      </c>
      <c r="H95" s="27">
        <v>755080</v>
      </c>
      <c r="I95" s="24">
        <v>1131</v>
      </c>
      <c r="J95" s="24">
        <v>-845</v>
      </c>
      <c r="K95" s="30">
        <v>991</v>
      </c>
      <c r="L95" s="30">
        <v>62444</v>
      </c>
      <c r="M95" s="30">
        <v>85</v>
      </c>
      <c r="N95" s="30">
        <v>2</v>
      </c>
      <c r="O95" s="30">
        <v>1006423</v>
      </c>
      <c r="P95" s="29" t="s">
        <v>480</v>
      </c>
      <c r="Q95" s="29" t="s">
        <v>481</v>
      </c>
      <c r="R95" s="140" t="s">
        <v>482</v>
      </c>
    </row>
    <row r="96" spans="1:18">
      <c r="A96" s="139">
        <v>2</v>
      </c>
      <c r="B96" s="30">
        <v>4</v>
      </c>
      <c r="C96" s="1">
        <v>42839</v>
      </c>
      <c r="D96" s="27">
        <v>757568</v>
      </c>
      <c r="E96" s="30">
        <v>2017</v>
      </c>
      <c r="F96" s="30">
        <v>2</v>
      </c>
      <c r="G96" s="1">
        <v>42832</v>
      </c>
      <c r="H96" s="27">
        <v>755063</v>
      </c>
      <c r="I96" s="24">
        <v>50000</v>
      </c>
      <c r="J96" s="24">
        <v>-50000</v>
      </c>
      <c r="K96" s="30">
        <v>991</v>
      </c>
      <c r="L96" s="30">
        <v>24739</v>
      </c>
      <c r="M96" s="30">
        <v>55</v>
      </c>
      <c r="N96" s="30">
        <v>1</v>
      </c>
      <c r="O96" s="30">
        <v>304842</v>
      </c>
      <c r="P96" s="29" t="s">
        <v>483</v>
      </c>
      <c r="Q96" s="29" t="s">
        <v>457</v>
      </c>
      <c r="R96" s="140" t="s">
        <v>384</v>
      </c>
    </row>
    <row r="97" spans="1:18">
      <c r="A97" s="139">
        <v>2</v>
      </c>
      <c r="B97" s="30">
        <v>4</v>
      </c>
      <c r="C97" s="1">
        <v>42839</v>
      </c>
      <c r="D97" s="27">
        <v>757568</v>
      </c>
      <c r="E97" s="30">
        <v>2017</v>
      </c>
      <c r="F97" s="30">
        <v>2</v>
      </c>
      <c r="G97" s="1">
        <v>42832</v>
      </c>
      <c r="H97" s="27">
        <v>755063</v>
      </c>
      <c r="I97" s="24">
        <v>9086</v>
      </c>
      <c r="J97" s="24">
        <v>-6500</v>
      </c>
      <c r="K97" s="30">
        <v>991</v>
      </c>
      <c r="L97" s="30">
        <v>24739</v>
      </c>
      <c r="M97" s="30">
        <v>85</v>
      </c>
      <c r="N97" s="30">
        <v>2</v>
      </c>
      <c r="O97" s="30">
        <v>304842</v>
      </c>
      <c r="P97" s="29" t="s">
        <v>483</v>
      </c>
      <c r="Q97" s="29" t="s">
        <v>457</v>
      </c>
      <c r="R97" s="140" t="s">
        <v>384</v>
      </c>
    </row>
    <row r="98" spans="1:18">
      <c r="A98" s="139">
        <v>2</v>
      </c>
      <c r="B98" s="30">
        <v>4</v>
      </c>
      <c r="C98" s="1">
        <v>42839</v>
      </c>
      <c r="D98" s="27">
        <v>757567</v>
      </c>
      <c r="E98" s="30">
        <v>2015</v>
      </c>
      <c r="F98" s="30">
        <v>3</v>
      </c>
      <c r="G98" s="1">
        <v>42216</v>
      </c>
      <c r="H98" s="27">
        <v>640071</v>
      </c>
      <c r="I98" s="24">
        <v>24000</v>
      </c>
      <c r="J98" s="24">
        <v>-24000</v>
      </c>
      <c r="K98" s="30">
        <v>991</v>
      </c>
      <c r="L98" s="30">
        <v>50993</v>
      </c>
      <c r="M98" s="30">
        <v>55</v>
      </c>
      <c r="N98" s="30">
        <v>1</v>
      </c>
      <c r="O98" s="30">
        <v>797736</v>
      </c>
      <c r="P98" s="29" t="s">
        <v>484</v>
      </c>
      <c r="Q98" s="29" t="s">
        <v>431</v>
      </c>
      <c r="R98" s="140" t="s">
        <v>485</v>
      </c>
    </row>
    <row r="99" spans="1:18">
      <c r="A99" s="139">
        <v>2</v>
      </c>
      <c r="B99" s="30">
        <v>4</v>
      </c>
      <c r="C99" s="1">
        <v>42839</v>
      </c>
      <c r="D99" s="27">
        <v>757567</v>
      </c>
      <c r="E99" s="30">
        <v>2015</v>
      </c>
      <c r="F99" s="30">
        <v>3</v>
      </c>
      <c r="G99" s="1">
        <v>42216</v>
      </c>
      <c r="H99" s="27">
        <v>640071</v>
      </c>
      <c r="I99" s="24">
        <v>3319</v>
      </c>
      <c r="J99" s="24">
        <v>-3120</v>
      </c>
      <c r="K99" s="30">
        <v>991</v>
      </c>
      <c r="L99" s="30">
        <v>50993</v>
      </c>
      <c r="M99" s="30">
        <v>85</v>
      </c>
      <c r="N99" s="30">
        <v>2</v>
      </c>
      <c r="O99" s="30">
        <v>797736</v>
      </c>
      <c r="P99" s="29" t="s">
        <v>484</v>
      </c>
      <c r="Q99" s="29" t="s">
        <v>431</v>
      </c>
      <c r="R99" s="140" t="s">
        <v>485</v>
      </c>
    </row>
    <row r="100" spans="1:18">
      <c r="A100" s="139">
        <v>2</v>
      </c>
      <c r="B100" s="30">
        <v>4</v>
      </c>
      <c r="C100" s="1">
        <v>42846</v>
      </c>
      <c r="D100" s="27">
        <v>759158</v>
      </c>
      <c r="E100" s="30">
        <v>2017</v>
      </c>
      <c r="F100" s="30">
        <v>2</v>
      </c>
      <c r="G100" s="1">
        <v>42839</v>
      </c>
      <c r="H100" s="27">
        <v>757549</v>
      </c>
      <c r="I100" s="24">
        <v>26000</v>
      </c>
      <c r="J100" s="24">
        <v>-25500</v>
      </c>
      <c r="K100" s="30">
        <v>991</v>
      </c>
      <c r="L100" s="30">
        <v>49876</v>
      </c>
      <c r="M100" s="30">
        <v>55</v>
      </c>
      <c r="N100" s="30">
        <v>1</v>
      </c>
      <c r="O100" s="30">
        <v>793618</v>
      </c>
      <c r="P100" s="29" t="s">
        <v>486</v>
      </c>
      <c r="Q100" s="29" t="s">
        <v>487</v>
      </c>
      <c r="R100" s="140" t="s">
        <v>471</v>
      </c>
    </row>
    <row r="101" spans="1:18">
      <c r="A101" s="139">
        <v>2</v>
      </c>
      <c r="B101" s="30">
        <v>4</v>
      </c>
      <c r="C101" s="1">
        <v>42846</v>
      </c>
      <c r="D101" s="27">
        <v>759158</v>
      </c>
      <c r="E101" s="30">
        <v>2017</v>
      </c>
      <c r="F101" s="30">
        <v>2</v>
      </c>
      <c r="G101" s="1">
        <v>42839</v>
      </c>
      <c r="H101" s="27">
        <v>757549</v>
      </c>
      <c r="I101" s="24">
        <v>4436</v>
      </c>
      <c r="J101" s="24">
        <v>-3315</v>
      </c>
      <c r="K101" s="30">
        <v>991</v>
      </c>
      <c r="L101" s="30">
        <v>49876</v>
      </c>
      <c r="M101" s="30">
        <v>85</v>
      </c>
      <c r="N101" s="30">
        <v>2</v>
      </c>
      <c r="O101" s="30">
        <v>793618</v>
      </c>
      <c r="P101" s="29" t="s">
        <v>486</v>
      </c>
      <c r="Q101" s="29" t="s">
        <v>487</v>
      </c>
      <c r="R101" s="140" t="s">
        <v>471</v>
      </c>
    </row>
    <row r="102" spans="1:18">
      <c r="A102" s="139">
        <v>2</v>
      </c>
      <c r="B102" s="30">
        <v>4</v>
      </c>
      <c r="C102" s="1">
        <v>42846</v>
      </c>
      <c r="D102" s="27">
        <v>759159</v>
      </c>
      <c r="E102" s="30">
        <v>2017</v>
      </c>
      <c r="F102" s="30">
        <v>2</v>
      </c>
      <c r="G102" s="1">
        <v>42839</v>
      </c>
      <c r="H102" s="27">
        <v>757550</v>
      </c>
      <c r="I102" s="24">
        <v>30500</v>
      </c>
      <c r="J102" s="24">
        <v>-30000</v>
      </c>
      <c r="K102" s="30">
        <v>991</v>
      </c>
      <c r="L102" s="30">
        <v>49875</v>
      </c>
      <c r="M102" s="30">
        <v>55</v>
      </c>
      <c r="N102" s="30">
        <v>1</v>
      </c>
      <c r="O102" s="30">
        <v>793630</v>
      </c>
      <c r="P102" s="29" t="s">
        <v>488</v>
      </c>
      <c r="Q102" s="29" t="s">
        <v>383</v>
      </c>
      <c r="R102" s="140" t="s">
        <v>489</v>
      </c>
    </row>
    <row r="103" spans="1:18">
      <c r="A103" s="139">
        <v>2</v>
      </c>
      <c r="B103" s="30">
        <v>4</v>
      </c>
      <c r="C103" s="1">
        <v>42846</v>
      </c>
      <c r="D103" s="27">
        <v>759159</v>
      </c>
      <c r="E103" s="30">
        <v>2017</v>
      </c>
      <c r="F103" s="30">
        <v>2</v>
      </c>
      <c r="G103" s="1">
        <v>42839</v>
      </c>
      <c r="H103" s="27">
        <v>757550</v>
      </c>
      <c r="I103" s="24">
        <v>5021</v>
      </c>
      <c r="J103" s="24">
        <v>-3900</v>
      </c>
      <c r="K103" s="30">
        <v>991</v>
      </c>
      <c r="L103" s="30">
        <v>49875</v>
      </c>
      <c r="M103" s="30">
        <v>85</v>
      </c>
      <c r="N103" s="30">
        <v>2</v>
      </c>
      <c r="O103" s="30">
        <v>793630</v>
      </c>
      <c r="P103" s="29" t="s">
        <v>488</v>
      </c>
      <c r="Q103" s="29" t="s">
        <v>383</v>
      </c>
      <c r="R103" s="140" t="s">
        <v>489</v>
      </c>
    </row>
    <row r="104" spans="1:18">
      <c r="A104" s="139">
        <v>2</v>
      </c>
      <c r="B104" s="30">
        <v>4</v>
      </c>
      <c r="C104" s="1">
        <v>42846</v>
      </c>
      <c r="D104" s="27">
        <v>759161</v>
      </c>
      <c r="E104" s="30">
        <v>2017</v>
      </c>
      <c r="F104" s="30">
        <v>2</v>
      </c>
      <c r="G104" s="1">
        <v>42832</v>
      </c>
      <c r="H104" s="27">
        <v>755029</v>
      </c>
      <c r="I104" s="24">
        <v>121000</v>
      </c>
      <c r="J104" s="24">
        <v>-109000</v>
      </c>
      <c r="K104" s="30">
        <v>991</v>
      </c>
      <c r="L104" s="30">
        <v>2365</v>
      </c>
      <c r="M104" s="30">
        <v>55</v>
      </c>
      <c r="N104" s="30">
        <v>1</v>
      </c>
      <c r="O104" s="30">
        <v>140245</v>
      </c>
      <c r="P104" s="29" t="s">
        <v>490</v>
      </c>
      <c r="Q104" s="29" t="s">
        <v>462</v>
      </c>
      <c r="R104" s="140" t="s">
        <v>491</v>
      </c>
    </row>
    <row r="105" spans="1:18">
      <c r="A105" s="139">
        <v>2</v>
      </c>
      <c r="B105" s="30">
        <v>4</v>
      </c>
      <c r="C105" s="1">
        <v>42846</v>
      </c>
      <c r="D105" s="27">
        <v>759161</v>
      </c>
      <c r="E105" s="30">
        <v>2017</v>
      </c>
      <c r="F105" s="30">
        <v>2</v>
      </c>
      <c r="G105" s="1">
        <v>42832</v>
      </c>
      <c r="H105" s="27">
        <v>755029</v>
      </c>
      <c r="I105" s="24">
        <v>26711</v>
      </c>
      <c r="J105" s="24">
        <v>-14170</v>
      </c>
      <c r="K105" s="30">
        <v>991</v>
      </c>
      <c r="L105" s="30">
        <v>2365</v>
      </c>
      <c r="M105" s="30">
        <v>85</v>
      </c>
      <c r="N105" s="30">
        <v>2</v>
      </c>
      <c r="O105" s="30">
        <v>140245</v>
      </c>
      <c r="P105" s="29" t="s">
        <v>490</v>
      </c>
      <c r="Q105" s="29" t="s">
        <v>462</v>
      </c>
      <c r="R105" s="140" t="s">
        <v>491</v>
      </c>
    </row>
    <row r="106" spans="1:18">
      <c r="A106" s="139">
        <v>2</v>
      </c>
      <c r="B106" s="30">
        <v>4</v>
      </c>
      <c r="C106" s="1">
        <v>42853</v>
      </c>
      <c r="D106" s="27">
        <v>759641</v>
      </c>
      <c r="E106" s="30">
        <v>2016</v>
      </c>
      <c r="F106" s="30">
        <v>2</v>
      </c>
      <c r="G106" s="1">
        <v>42461</v>
      </c>
      <c r="H106" s="27">
        <v>687830</v>
      </c>
      <c r="I106" s="24">
        <v>65000</v>
      </c>
      <c r="J106" s="24">
        <v>-65000</v>
      </c>
      <c r="K106" s="30">
        <v>991</v>
      </c>
      <c r="L106" s="30">
        <v>34191</v>
      </c>
      <c r="M106" s="30">
        <v>55</v>
      </c>
      <c r="N106" s="30">
        <v>1</v>
      </c>
      <c r="O106" s="30">
        <v>500951</v>
      </c>
      <c r="P106" s="29" t="s">
        <v>492</v>
      </c>
      <c r="Q106" s="29" t="s">
        <v>493</v>
      </c>
      <c r="R106" s="140" t="s">
        <v>471</v>
      </c>
    </row>
    <row r="107" spans="1:18">
      <c r="A107" s="139">
        <v>2</v>
      </c>
      <c r="B107" s="30">
        <v>4</v>
      </c>
      <c r="C107" s="1">
        <v>42853</v>
      </c>
      <c r="D107" s="27">
        <v>759641</v>
      </c>
      <c r="E107" s="30">
        <v>2016</v>
      </c>
      <c r="F107" s="30">
        <v>2</v>
      </c>
      <c r="G107" s="1">
        <v>42461</v>
      </c>
      <c r="H107" s="27">
        <v>687830</v>
      </c>
      <c r="I107" s="24">
        <v>10443</v>
      </c>
      <c r="J107" s="24">
        <v>-8450</v>
      </c>
      <c r="K107" s="30">
        <v>991</v>
      </c>
      <c r="L107" s="30">
        <v>34191</v>
      </c>
      <c r="M107" s="30">
        <v>85</v>
      </c>
      <c r="N107" s="30">
        <v>2</v>
      </c>
      <c r="O107" s="30">
        <v>500951</v>
      </c>
      <c r="P107" s="29" t="s">
        <v>492</v>
      </c>
      <c r="Q107" s="29" t="s">
        <v>493</v>
      </c>
      <c r="R107" s="140" t="s">
        <v>471</v>
      </c>
    </row>
    <row r="108" spans="1:18">
      <c r="A108" s="139">
        <v>2</v>
      </c>
      <c r="B108" s="30">
        <v>4</v>
      </c>
      <c r="C108" s="1">
        <v>42855</v>
      </c>
      <c r="D108" s="27">
        <v>754786</v>
      </c>
      <c r="E108" s="30">
        <v>2017</v>
      </c>
      <c r="F108" s="30">
        <v>1</v>
      </c>
      <c r="G108" s="1">
        <v>42804</v>
      </c>
      <c r="H108" s="27">
        <v>749816</v>
      </c>
      <c r="I108" s="24">
        <v>5490.89</v>
      </c>
      <c r="J108" s="24">
        <v>-5490.89</v>
      </c>
      <c r="K108" s="30">
        <v>12</v>
      </c>
      <c r="L108" s="30">
        <v>4067</v>
      </c>
      <c r="M108" s="30">
        <v>60</v>
      </c>
      <c r="N108" s="30">
        <v>0</v>
      </c>
      <c r="O108" s="30">
        <v>41385</v>
      </c>
      <c r="P108" s="29" t="s">
        <v>494</v>
      </c>
      <c r="Q108" s="29" t="s">
        <v>446</v>
      </c>
      <c r="R108" s="140" t="s">
        <v>426</v>
      </c>
    </row>
    <row r="109" spans="1:18">
      <c r="A109" s="139">
        <v>2</v>
      </c>
      <c r="B109" s="30">
        <v>4</v>
      </c>
      <c r="C109" s="1">
        <v>42855</v>
      </c>
      <c r="D109" s="27">
        <v>754786</v>
      </c>
      <c r="E109" s="30">
        <v>2017</v>
      </c>
      <c r="F109" s="30">
        <v>1</v>
      </c>
      <c r="G109" s="1">
        <v>42804</v>
      </c>
      <c r="H109" s="27">
        <v>749816</v>
      </c>
      <c r="I109" s="24">
        <v>713</v>
      </c>
      <c r="J109" s="24">
        <v>-713</v>
      </c>
      <c r="K109" s="30">
        <v>12</v>
      </c>
      <c r="L109" s="30">
        <v>4067</v>
      </c>
      <c r="M109" s="30">
        <v>85</v>
      </c>
      <c r="N109" s="30">
        <v>0</v>
      </c>
      <c r="O109" s="30">
        <v>41385</v>
      </c>
      <c r="P109" s="29" t="s">
        <v>494</v>
      </c>
      <c r="Q109" s="29" t="s">
        <v>446</v>
      </c>
      <c r="R109" s="140" t="s">
        <v>426</v>
      </c>
    </row>
    <row r="110" spans="1:18">
      <c r="A110" s="139">
        <v>2</v>
      </c>
      <c r="B110" s="30">
        <v>4</v>
      </c>
      <c r="C110" s="1">
        <v>42855</v>
      </c>
      <c r="D110" s="27">
        <v>754786</v>
      </c>
      <c r="E110" s="30">
        <v>2017</v>
      </c>
      <c r="F110" s="30">
        <v>2</v>
      </c>
      <c r="G110" s="1">
        <v>42835</v>
      </c>
      <c r="H110" s="27">
        <v>755291</v>
      </c>
      <c r="I110" s="24">
        <v>4308.3999999999996</v>
      </c>
      <c r="J110" s="24">
        <v>-4308.3999999999996</v>
      </c>
      <c r="K110" s="30">
        <v>75</v>
      </c>
      <c r="L110" s="30">
        <v>2945</v>
      </c>
      <c r="M110" s="30">
        <v>60</v>
      </c>
      <c r="N110" s="30">
        <v>0</v>
      </c>
      <c r="O110" s="30">
        <v>97249</v>
      </c>
      <c r="P110" s="29" t="s">
        <v>495</v>
      </c>
      <c r="Q110" s="29" t="s">
        <v>496</v>
      </c>
      <c r="R110" s="140" t="s">
        <v>497</v>
      </c>
    </row>
    <row r="111" spans="1:18">
      <c r="A111" s="139">
        <v>2</v>
      </c>
      <c r="B111" s="30">
        <v>4</v>
      </c>
      <c r="C111" s="1">
        <v>42855</v>
      </c>
      <c r="D111" s="27">
        <v>754786</v>
      </c>
      <c r="E111" s="30">
        <v>2017</v>
      </c>
      <c r="F111" s="30">
        <v>2</v>
      </c>
      <c r="G111" s="1">
        <v>42835</v>
      </c>
      <c r="H111" s="27">
        <v>755291</v>
      </c>
      <c r="I111" s="24">
        <v>560</v>
      </c>
      <c r="J111" s="24">
        <v>-560</v>
      </c>
      <c r="K111" s="30">
        <v>75</v>
      </c>
      <c r="L111" s="30">
        <v>2945</v>
      </c>
      <c r="M111" s="30">
        <v>85</v>
      </c>
      <c r="N111" s="30">
        <v>0</v>
      </c>
      <c r="O111" s="30">
        <v>97249</v>
      </c>
      <c r="P111" s="29" t="s">
        <v>495</v>
      </c>
      <c r="Q111" s="29" t="s">
        <v>496</v>
      </c>
      <c r="R111" s="140" t="s">
        <v>497</v>
      </c>
    </row>
    <row r="112" spans="1:18">
      <c r="A112" s="139">
        <v>2</v>
      </c>
      <c r="B112" s="30">
        <v>4</v>
      </c>
      <c r="C112" s="1">
        <v>42855</v>
      </c>
      <c r="D112" s="27">
        <v>754786</v>
      </c>
      <c r="E112" s="30">
        <v>2017</v>
      </c>
      <c r="F112" s="30">
        <v>2</v>
      </c>
      <c r="G112" s="1">
        <v>42835</v>
      </c>
      <c r="H112" s="27">
        <v>755297</v>
      </c>
      <c r="I112" s="24">
        <v>8294.48</v>
      </c>
      <c r="J112" s="24">
        <v>-8294.48</v>
      </c>
      <c r="K112" s="30">
        <v>7</v>
      </c>
      <c r="L112" s="30">
        <v>857</v>
      </c>
      <c r="M112" s="30">
        <v>60</v>
      </c>
      <c r="N112" s="30">
        <v>0</v>
      </c>
      <c r="O112" s="30">
        <v>3417</v>
      </c>
      <c r="P112" s="29" t="s">
        <v>498</v>
      </c>
      <c r="Q112" s="29" t="s">
        <v>401</v>
      </c>
      <c r="R112" s="140" t="s">
        <v>499</v>
      </c>
    </row>
    <row r="113" spans="1:18">
      <c r="A113" s="139">
        <v>2</v>
      </c>
      <c r="B113" s="30">
        <v>4</v>
      </c>
      <c r="C113" s="1">
        <v>42855</v>
      </c>
      <c r="D113" s="27">
        <v>754786</v>
      </c>
      <c r="E113" s="30">
        <v>2017</v>
      </c>
      <c r="F113" s="30">
        <v>2</v>
      </c>
      <c r="G113" s="1">
        <v>42835</v>
      </c>
      <c r="H113" s="27">
        <v>755297</v>
      </c>
      <c r="I113" s="24">
        <v>1078</v>
      </c>
      <c r="J113" s="24">
        <v>-1078</v>
      </c>
      <c r="K113" s="30">
        <v>7</v>
      </c>
      <c r="L113" s="30">
        <v>857</v>
      </c>
      <c r="M113" s="30">
        <v>85</v>
      </c>
      <c r="N113" s="30">
        <v>0</v>
      </c>
      <c r="O113" s="30">
        <v>3417</v>
      </c>
      <c r="P113" s="29" t="s">
        <v>498</v>
      </c>
      <c r="Q113" s="29" t="s">
        <v>401</v>
      </c>
      <c r="R113" s="140" t="s">
        <v>499</v>
      </c>
    </row>
    <row r="114" spans="1:18">
      <c r="A114" s="139">
        <v>2</v>
      </c>
      <c r="B114" s="30">
        <v>4</v>
      </c>
      <c r="C114" s="1">
        <v>42855</v>
      </c>
      <c r="D114" s="27">
        <v>754786</v>
      </c>
      <c r="E114" s="30">
        <v>2017</v>
      </c>
      <c r="F114" s="30">
        <v>1</v>
      </c>
      <c r="G114" s="1">
        <v>42776</v>
      </c>
      <c r="H114" s="27">
        <v>744978</v>
      </c>
      <c r="I114" s="24">
        <v>2557.89</v>
      </c>
      <c r="J114" s="24">
        <v>-2557.89</v>
      </c>
      <c r="K114" s="30">
        <v>65</v>
      </c>
      <c r="L114" s="30">
        <v>1104</v>
      </c>
      <c r="M114" s="30">
        <v>60</v>
      </c>
      <c r="N114" s="30">
        <v>0</v>
      </c>
      <c r="O114" s="30">
        <v>39923</v>
      </c>
      <c r="P114" s="29" t="s">
        <v>500</v>
      </c>
      <c r="Q114" s="29" t="s">
        <v>501</v>
      </c>
      <c r="R114" s="140" t="s">
        <v>502</v>
      </c>
    </row>
    <row r="115" spans="1:18">
      <c r="A115" s="139">
        <v>2</v>
      </c>
      <c r="B115" s="30">
        <v>4</v>
      </c>
      <c r="C115" s="1">
        <v>42855</v>
      </c>
      <c r="D115" s="27">
        <v>754786</v>
      </c>
      <c r="E115" s="30">
        <v>2017</v>
      </c>
      <c r="F115" s="30">
        <v>1</v>
      </c>
      <c r="G115" s="1">
        <v>42776</v>
      </c>
      <c r="H115" s="27">
        <v>744978</v>
      </c>
      <c r="I115" s="24">
        <v>332</v>
      </c>
      <c r="J115" s="24">
        <v>-332</v>
      </c>
      <c r="K115" s="30">
        <v>65</v>
      </c>
      <c r="L115" s="30">
        <v>1104</v>
      </c>
      <c r="M115" s="30">
        <v>85</v>
      </c>
      <c r="N115" s="30">
        <v>0</v>
      </c>
      <c r="O115" s="30">
        <v>39923</v>
      </c>
      <c r="P115" s="29" t="s">
        <v>500</v>
      </c>
      <c r="Q115" s="29" t="s">
        <v>501</v>
      </c>
      <c r="R115" s="140" t="s">
        <v>502</v>
      </c>
    </row>
    <row r="116" spans="1:18">
      <c r="A116" s="139">
        <v>2</v>
      </c>
      <c r="B116" s="30">
        <v>4</v>
      </c>
      <c r="C116" s="1">
        <v>42855</v>
      </c>
      <c r="D116" s="27">
        <v>754786</v>
      </c>
      <c r="E116" s="30">
        <v>2017</v>
      </c>
      <c r="F116" s="30">
        <v>1</v>
      </c>
      <c r="G116" s="1">
        <v>42804</v>
      </c>
      <c r="H116" s="27">
        <v>749816</v>
      </c>
      <c r="I116" s="24">
        <v>3244.3</v>
      </c>
      <c r="J116" s="24">
        <v>-3244.3</v>
      </c>
      <c r="K116" s="30">
        <v>101</v>
      </c>
      <c r="L116" s="30">
        <v>506</v>
      </c>
      <c r="M116" s="30">
        <v>60</v>
      </c>
      <c r="N116" s="30">
        <v>0</v>
      </c>
      <c r="O116" s="30">
        <v>152024</v>
      </c>
      <c r="P116" s="29" t="s">
        <v>503</v>
      </c>
      <c r="Q116" s="29" t="s">
        <v>413</v>
      </c>
      <c r="R116" s="140" t="s">
        <v>504</v>
      </c>
    </row>
    <row r="117" spans="1:18">
      <c r="A117" s="139">
        <v>2</v>
      </c>
      <c r="B117" s="30">
        <v>4</v>
      </c>
      <c r="C117" s="1">
        <v>42855</v>
      </c>
      <c r="D117" s="27">
        <v>754786</v>
      </c>
      <c r="E117" s="30">
        <v>2017</v>
      </c>
      <c r="F117" s="30">
        <v>1</v>
      </c>
      <c r="G117" s="1">
        <v>42804</v>
      </c>
      <c r="H117" s="27">
        <v>749816</v>
      </c>
      <c r="I117" s="24">
        <v>421</v>
      </c>
      <c r="J117" s="24">
        <v>-421</v>
      </c>
      <c r="K117" s="30">
        <v>101</v>
      </c>
      <c r="L117" s="30">
        <v>506</v>
      </c>
      <c r="M117" s="30">
        <v>85</v>
      </c>
      <c r="N117" s="30">
        <v>0</v>
      </c>
      <c r="O117" s="30">
        <v>152024</v>
      </c>
      <c r="P117" s="29" t="s">
        <v>503</v>
      </c>
      <c r="Q117" s="29" t="s">
        <v>413</v>
      </c>
      <c r="R117" s="140" t="s">
        <v>504</v>
      </c>
    </row>
    <row r="118" spans="1:18">
      <c r="A118" s="139">
        <v>2</v>
      </c>
      <c r="B118" s="30">
        <v>4</v>
      </c>
      <c r="C118" s="1">
        <v>42855</v>
      </c>
      <c r="D118" s="27">
        <v>754786</v>
      </c>
      <c r="E118" s="30">
        <v>2017</v>
      </c>
      <c r="F118" s="30">
        <v>2</v>
      </c>
      <c r="G118" s="1">
        <v>42835</v>
      </c>
      <c r="H118" s="27">
        <v>755293</v>
      </c>
      <c r="I118" s="24">
        <v>41.57</v>
      </c>
      <c r="J118" s="24">
        <v>-41.57</v>
      </c>
      <c r="K118" s="30">
        <v>61</v>
      </c>
      <c r="L118" s="30">
        <v>91</v>
      </c>
      <c r="M118" s="30">
        <v>60</v>
      </c>
      <c r="N118" s="30">
        <v>0</v>
      </c>
      <c r="O118" s="30">
        <v>189442</v>
      </c>
      <c r="P118" s="29" t="s">
        <v>505</v>
      </c>
      <c r="Q118" s="29" t="s">
        <v>506</v>
      </c>
      <c r="R118" s="140" t="s">
        <v>507</v>
      </c>
    </row>
    <row r="119" spans="1:18">
      <c r="A119" s="139">
        <v>2</v>
      </c>
      <c r="B119" s="30">
        <v>4</v>
      </c>
      <c r="C119" s="1">
        <v>42855</v>
      </c>
      <c r="D119" s="27">
        <v>754786</v>
      </c>
      <c r="E119" s="30">
        <v>2017</v>
      </c>
      <c r="F119" s="30">
        <v>2</v>
      </c>
      <c r="G119" s="1">
        <v>42835</v>
      </c>
      <c r="H119" s="27">
        <v>755293</v>
      </c>
      <c r="I119" s="24">
        <v>5</v>
      </c>
      <c r="J119" s="24">
        <v>-5</v>
      </c>
      <c r="K119" s="30">
        <v>61</v>
      </c>
      <c r="L119" s="30">
        <v>91</v>
      </c>
      <c r="M119" s="30">
        <v>85</v>
      </c>
      <c r="N119" s="30">
        <v>0</v>
      </c>
      <c r="O119" s="30">
        <v>189442</v>
      </c>
      <c r="P119" s="29" t="s">
        <v>505</v>
      </c>
      <c r="Q119" s="29" t="s">
        <v>506</v>
      </c>
      <c r="R119" s="140" t="s">
        <v>507</v>
      </c>
    </row>
    <row r="120" spans="1:18">
      <c r="A120" s="139">
        <v>2</v>
      </c>
      <c r="B120" s="30">
        <v>4</v>
      </c>
      <c r="C120" s="1">
        <v>42855</v>
      </c>
      <c r="D120" s="27">
        <v>754786</v>
      </c>
      <c r="E120" s="30">
        <v>2017</v>
      </c>
      <c r="F120" s="30">
        <v>1</v>
      </c>
      <c r="G120" s="1">
        <v>42804</v>
      </c>
      <c r="H120" s="27">
        <v>749823</v>
      </c>
      <c r="I120" s="24">
        <v>2077</v>
      </c>
      <c r="J120" s="24">
        <v>-2077</v>
      </c>
      <c r="K120" s="30">
        <v>427</v>
      </c>
      <c r="L120" s="30">
        <v>563</v>
      </c>
      <c r="M120" s="30">
        <v>60</v>
      </c>
      <c r="N120" s="30">
        <v>0</v>
      </c>
      <c r="O120" s="30">
        <v>1191670</v>
      </c>
      <c r="P120" s="29" t="s">
        <v>508</v>
      </c>
      <c r="Q120" s="29" t="s">
        <v>386</v>
      </c>
      <c r="R120" s="140" t="s">
        <v>509</v>
      </c>
    </row>
    <row r="121" spans="1:18">
      <c r="A121" s="139">
        <v>2</v>
      </c>
      <c r="B121" s="30">
        <v>4</v>
      </c>
      <c r="C121" s="1">
        <v>42855</v>
      </c>
      <c r="D121" s="27">
        <v>754786</v>
      </c>
      <c r="E121" s="30">
        <v>2017</v>
      </c>
      <c r="F121" s="30">
        <v>1</v>
      </c>
      <c r="G121" s="1">
        <v>42804</v>
      </c>
      <c r="H121" s="27">
        <v>749823</v>
      </c>
      <c r="I121" s="24">
        <v>270</v>
      </c>
      <c r="J121" s="24">
        <v>-270</v>
      </c>
      <c r="K121" s="30">
        <v>427</v>
      </c>
      <c r="L121" s="30">
        <v>563</v>
      </c>
      <c r="M121" s="30">
        <v>85</v>
      </c>
      <c r="N121" s="30">
        <v>0</v>
      </c>
      <c r="O121" s="30">
        <v>1191670</v>
      </c>
      <c r="P121" s="29" t="s">
        <v>508</v>
      </c>
      <c r="Q121" s="29" t="s">
        <v>386</v>
      </c>
      <c r="R121" s="140" t="s">
        <v>509</v>
      </c>
    </row>
    <row r="122" spans="1:18">
      <c r="A122" s="139">
        <v>2</v>
      </c>
      <c r="B122" s="30">
        <v>4</v>
      </c>
      <c r="C122" s="1">
        <v>42855</v>
      </c>
      <c r="D122" s="27">
        <v>754786</v>
      </c>
      <c r="E122" s="30">
        <v>2017</v>
      </c>
      <c r="F122" s="30">
        <v>1</v>
      </c>
      <c r="G122" s="1">
        <v>42804</v>
      </c>
      <c r="H122" s="27">
        <v>749816</v>
      </c>
      <c r="I122" s="24">
        <v>1255.5</v>
      </c>
      <c r="J122" s="24">
        <v>-1255.5</v>
      </c>
      <c r="K122" s="30">
        <v>161</v>
      </c>
      <c r="L122" s="30">
        <v>28</v>
      </c>
      <c r="M122" s="30">
        <v>60</v>
      </c>
      <c r="N122" s="30">
        <v>0</v>
      </c>
      <c r="O122" s="30">
        <v>78981</v>
      </c>
      <c r="P122" s="29" t="s">
        <v>510</v>
      </c>
      <c r="Q122" s="29" t="s">
        <v>511</v>
      </c>
      <c r="R122" s="140" t="s">
        <v>381</v>
      </c>
    </row>
    <row r="123" spans="1:18">
      <c r="A123" s="139">
        <v>2</v>
      </c>
      <c r="B123" s="30">
        <v>4</v>
      </c>
      <c r="C123" s="1">
        <v>42855</v>
      </c>
      <c r="D123" s="27">
        <v>754786</v>
      </c>
      <c r="E123" s="30">
        <v>2017</v>
      </c>
      <c r="F123" s="30">
        <v>1</v>
      </c>
      <c r="G123" s="1">
        <v>42804</v>
      </c>
      <c r="H123" s="27">
        <v>749816</v>
      </c>
      <c r="I123" s="24">
        <v>164</v>
      </c>
      <c r="J123" s="24">
        <v>-164</v>
      </c>
      <c r="K123" s="30">
        <v>161</v>
      </c>
      <c r="L123" s="30">
        <v>28</v>
      </c>
      <c r="M123" s="30">
        <v>85</v>
      </c>
      <c r="N123" s="30">
        <v>0</v>
      </c>
      <c r="O123" s="30">
        <v>78981</v>
      </c>
      <c r="P123" s="29" t="s">
        <v>510</v>
      </c>
      <c r="Q123" s="29" t="s">
        <v>511</v>
      </c>
      <c r="R123" s="140" t="s">
        <v>381</v>
      </c>
    </row>
    <row r="124" spans="1:18">
      <c r="A124" s="139">
        <v>2</v>
      </c>
      <c r="B124" s="30">
        <v>4</v>
      </c>
      <c r="C124" s="1">
        <v>42855</v>
      </c>
      <c r="D124" s="27">
        <v>754786</v>
      </c>
      <c r="E124" s="30">
        <v>2017</v>
      </c>
      <c r="F124" s="30">
        <v>1</v>
      </c>
      <c r="G124" s="1">
        <v>42804</v>
      </c>
      <c r="H124" s="27">
        <v>750081</v>
      </c>
      <c r="I124" s="24">
        <v>6650.01</v>
      </c>
      <c r="J124" s="24">
        <v>-6650.01</v>
      </c>
      <c r="K124" s="30">
        <v>9</v>
      </c>
      <c r="L124" s="30">
        <v>33</v>
      </c>
      <c r="M124" s="30">
        <v>60</v>
      </c>
      <c r="N124" s="30">
        <v>0</v>
      </c>
      <c r="O124" s="30">
        <v>7372</v>
      </c>
      <c r="P124" s="29" t="s">
        <v>512</v>
      </c>
      <c r="Q124" s="29" t="s">
        <v>513</v>
      </c>
      <c r="R124" s="140" t="s">
        <v>514</v>
      </c>
    </row>
    <row r="125" spans="1:18">
      <c r="A125" s="139">
        <v>2</v>
      </c>
      <c r="B125" s="30">
        <v>4</v>
      </c>
      <c r="C125" s="1">
        <v>42855</v>
      </c>
      <c r="D125" s="27">
        <v>754786</v>
      </c>
      <c r="E125" s="30">
        <v>2017</v>
      </c>
      <c r="F125" s="30">
        <v>1</v>
      </c>
      <c r="G125" s="1">
        <v>42804</v>
      </c>
      <c r="H125" s="27">
        <v>750081</v>
      </c>
      <c r="I125" s="24">
        <v>865</v>
      </c>
      <c r="J125" s="24">
        <v>-865</v>
      </c>
      <c r="K125" s="30">
        <v>9</v>
      </c>
      <c r="L125" s="30">
        <v>33</v>
      </c>
      <c r="M125" s="30">
        <v>85</v>
      </c>
      <c r="N125" s="30">
        <v>0</v>
      </c>
      <c r="O125" s="30">
        <v>7372</v>
      </c>
      <c r="P125" s="29" t="s">
        <v>512</v>
      </c>
      <c r="Q125" s="29" t="s">
        <v>513</v>
      </c>
      <c r="R125" s="140" t="s">
        <v>514</v>
      </c>
    </row>
    <row r="126" spans="1:18">
      <c r="A126" s="139">
        <v>2</v>
      </c>
      <c r="B126" s="30">
        <v>4</v>
      </c>
      <c r="C126" s="1">
        <v>42855</v>
      </c>
      <c r="D126" s="27">
        <v>754786</v>
      </c>
      <c r="E126" s="30">
        <v>2017</v>
      </c>
      <c r="F126" s="30">
        <v>1</v>
      </c>
      <c r="G126" s="1">
        <v>42745</v>
      </c>
      <c r="H126" s="27">
        <v>740276</v>
      </c>
      <c r="I126" s="24">
        <v>11450.4</v>
      </c>
      <c r="J126" s="24">
        <v>-11450.4</v>
      </c>
      <c r="K126" s="30">
        <v>13</v>
      </c>
      <c r="L126" s="30">
        <v>6272</v>
      </c>
      <c r="M126" s="30">
        <v>60</v>
      </c>
      <c r="N126" s="30">
        <v>0</v>
      </c>
      <c r="O126" s="30">
        <v>316403</v>
      </c>
      <c r="P126" s="29" t="s">
        <v>515</v>
      </c>
      <c r="Q126" s="29" t="s">
        <v>513</v>
      </c>
      <c r="R126" s="140" t="s">
        <v>516</v>
      </c>
    </row>
    <row r="127" spans="1:18">
      <c r="A127" s="139">
        <v>2</v>
      </c>
      <c r="B127" s="30">
        <v>4</v>
      </c>
      <c r="C127" s="1">
        <v>42855</v>
      </c>
      <c r="D127" s="27">
        <v>754786</v>
      </c>
      <c r="E127" s="30">
        <v>2017</v>
      </c>
      <c r="F127" s="30">
        <v>1</v>
      </c>
      <c r="G127" s="1">
        <v>42745</v>
      </c>
      <c r="H127" s="27">
        <v>740276</v>
      </c>
      <c r="I127" s="24">
        <v>1489</v>
      </c>
      <c r="J127" s="24">
        <v>-1489</v>
      </c>
      <c r="K127" s="30">
        <v>13</v>
      </c>
      <c r="L127" s="30">
        <v>6272</v>
      </c>
      <c r="M127" s="30">
        <v>85</v>
      </c>
      <c r="N127" s="30">
        <v>0</v>
      </c>
      <c r="O127" s="30">
        <v>316403</v>
      </c>
      <c r="P127" s="29" t="s">
        <v>515</v>
      </c>
      <c r="Q127" s="29" t="s">
        <v>513</v>
      </c>
      <c r="R127" s="140" t="s">
        <v>516</v>
      </c>
    </row>
    <row r="128" spans="1:18">
      <c r="A128" s="139">
        <v>2</v>
      </c>
      <c r="B128" s="30">
        <v>4</v>
      </c>
      <c r="C128" s="1">
        <v>42855</v>
      </c>
      <c r="D128" s="27">
        <v>754786</v>
      </c>
      <c r="E128" s="30">
        <v>2017</v>
      </c>
      <c r="F128" s="30">
        <v>1</v>
      </c>
      <c r="G128" s="1">
        <v>42776</v>
      </c>
      <c r="H128" s="27">
        <v>744978</v>
      </c>
      <c r="I128" s="24">
        <v>4459</v>
      </c>
      <c r="J128" s="24">
        <v>-4459</v>
      </c>
      <c r="K128" s="30">
        <v>22</v>
      </c>
      <c r="L128" s="30">
        <v>2787</v>
      </c>
      <c r="M128" s="30">
        <v>60</v>
      </c>
      <c r="N128" s="30">
        <v>0</v>
      </c>
      <c r="O128" s="30">
        <v>103997</v>
      </c>
      <c r="P128" s="29" t="s">
        <v>517</v>
      </c>
      <c r="Q128" s="29" t="s">
        <v>518</v>
      </c>
      <c r="R128" s="140" t="s">
        <v>509</v>
      </c>
    </row>
    <row r="129" spans="1:18">
      <c r="A129" s="139">
        <v>2</v>
      </c>
      <c r="B129" s="30">
        <v>4</v>
      </c>
      <c r="C129" s="1">
        <v>42855</v>
      </c>
      <c r="D129" s="27">
        <v>754786</v>
      </c>
      <c r="E129" s="30">
        <v>2017</v>
      </c>
      <c r="F129" s="30">
        <v>1</v>
      </c>
      <c r="G129" s="1">
        <v>42776</v>
      </c>
      <c r="H129" s="27">
        <v>744978</v>
      </c>
      <c r="I129" s="24">
        <v>579</v>
      </c>
      <c r="J129" s="24">
        <v>-579</v>
      </c>
      <c r="K129" s="30">
        <v>22</v>
      </c>
      <c r="L129" s="30">
        <v>2787</v>
      </c>
      <c r="M129" s="30">
        <v>85</v>
      </c>
      <c r="N129" s="30">
        <v>0</v>
      </c>
      <c r="O129" s="30">
        <v>103997</v>
      </c>
      <c r="P129" s="29" t="s">
        <v>517</v>
      </c>
      <c r="Q129" s="29" t="s">
        <v>518</v>
      </c>
      <c r="R129" s="140" t="s">
        <v>509</v>
      </c>
    </row>
    <row r="130" spans="1:18">
      <c r="A130" s="139">
        <v>2</v>
      </c>
      <c r="B130" s="30">
        <v>5</v>
      </c>
      <c r="C130" s="1">
        <v>42858</v>
      </c>
      <c r="D130" s="27">
        <v>391832</v>
      </c>
      <c r="E130" s="30">
        <v>2016</v>
      </c>
      <c r="F130" s="30">
        <v>4</v>
      </c>
      <c r="G130" s="1">
        <v>42735</v>
      </c>
      <c r="H130" s="27">
        <v>736258</v>
      </c>
      <c r="I130" s="24">
        <v>0</v>
      </c>
      <c r="J130" s="24">
        <v>-2184</v>
      </c>
      <c r="K130" s="30">
        <v>37</v>
      </c>
      <c r="L130" s="30">
        <v>2120</v>
      </c>
      <c r="M130" s="30">
        <v>85</v>
      </c>
      <c r="N130" s="30">
        <v>0</v>
      </c>
      <c r="O130" s="30">
        <v>1191424</v>
      </c>
      <c r="P130" s="29" t="s">
        <v>519</v>
      </c>
      <c r="Q130" s="29" t="s">
        <v>520</v>
      </c>
      <c r="R130" s="140" t="s">
        <v>521</v>
      </c>
    </row>
    <row r="131" spans="1:18">
      <c r="A131" s="139">
        <v>2</v>
      </c>
      <c r="B131" s="30">
        <v>5</v>
      </c>
      <c r="C131" s="1">
        <v>42858</v>
      </c>
      <c r="D131" s="27">
        <v>391832</v>
      </c>
      <c r="E131" s="30">
        <v>2016</v>
      </c>
      <c r="F131" s="30">
        <v>4</v>
      </c>
      <c r="G131" s="1">
        <v>42735</v>
      </c>
      <c r="H131" s="27">
        <v>736258</v>
      </c>
      <c r="I131" s="24">
        <v>16800</v>
      </c>
      <c r="J131" s="24">
        <v>0</v>
      </c>
      <c r="K131" s="30">
        <v>37</v>
      </c>
      <c r="L131" s="30">
        <v>2120</v>
      </c>
      <c r="M131" s="30">
        <v>1021</v>
      </c>
      <c r="N131" s="30">
        <v>0</v>
      </c>
      <c r="O131" s="30">
        <v>1191424</v>
      </c>
      <c r="P131" s="29" t="s">
        <v>519</v>
      </c>
      <c r="Q131" s="29" t="s">
        <v>520</v>
      </c>
      <c r="R131" s="140" t="s">
        <v>521</v>
      </c>
    </row>
    <row r="132" spans="1:18">
      <c r="A132" s="139">
        <v>2</v>
      </c>
      <c r="B132" s="30">
        <v>5</v>
      </c>
      <c r="C132" s="1">
        <v>42881</v>
      </c>
      <c r="D132" s="27">
        <v>764462</v>
      </c>
      <c r="E132" s="30">
        <v>2017</v>
      </c>
      <c r="F132" s="30">
        <v>2</v>
      </c>
      <c r="G132" s="1">
        <v>42865</v>
      </c>
      <c r="H132" s="27">
        <v>761405</v>
      </c>
      <c r="I132" s="24">
        <v>40500</v>
      </c>
      <c r="J132" s="24">
        <v>-40000</v>
      </c>
      <c r="K132" s="30">
        <v>991</v>
      </c>
      <c r="L132" s="30">
        <v>35615</v>
      </c>
      <c r="M132" s="30">
        <v>55</v>
      </c>
      <c r="N132" s="30">
        <v>1</v>
      </c>
      <c r="O132" s="30">
        <v>552268</v>
      </c>
      <c r="P132" s="29" t="s">
        <v>522</v>
      </c>
      <c r="Q132" s="29" t="s">
        <v>475</v>
      </c>
      <c r="R132" s="140" t="s">
        <v>523</v>
      </c>
    </row>
    <row r="133" spans="1:18">
      <c r="A133" s="139">
        <v>2</v>
      </c>
      <c r="B133" s="30">
        <v>5</v>
      </c>
      <c r="C133" s="1">
        <v>42881</v>
      </c>
      <c r="D133" s="27">
        <v>764462</v>
      </c>
      <c r="E133" s="30">
        <v>2017</v>
      </c>
      <c r="F133" s="30">
        <v>2</v>
      </c>
      <c r="G133" s="1">
        <v>42865</v>
      </c>
      <c r="H133" s="27">
        <v>761405</v>
      </c>
      <c r="I133" s="24">
        <v>6877</v>
      </c>
      <c r="J133" s="24">
        <v>-5200</v>
      </c>
      <c r="K133" s="30">
        <v>991</v>
      </c>
      <c r="L133" s="30">
        <v>35615</v>
      </c>
      <c r="M133" s="30">
        <v>85</v>
      </c>
      <c r="N133" s="30">
        <v>2</v>
      </c>
      <c r="O133" s="30">
        <v>552268</v>
      </c>
      <c r="P133" s="29" t="s">
        <v>522</v>
      </c>
      <c r="Q133" s="29" t="s">
        <v>475</v>
      </c>
      <c r="R133" s="140" t="s">
        <v>523</v>
      </c>
    </row>
    <row r="134" spans="1:18">
      <c r="A134" s="139">
        <v>2</v>
      </c>
      <c r="B134" s="30">
        <v>5</v>
      </c>
      <c r="C134" s="1">
        <v>42881</v>
      </c>
      <c r="D134" s="27">
        <v>764463</v>
      </c>
      <c r="E134" s="30">
        <v>2017</v>
      </c>
      <c r="F134" s="30">
        <v>2</v>
      </c>
      <c r="G134" s="1">
        <v>42839</v>
      </c>
      <c r="H134" s="27">
        <v>757569</v>
      </c>
      <c r="I134" s="24">
        <v>56500</v>
      </c>
      <c r="J134" s="24">
        <v>-52500</v>
      </c>
      <c r="K134" s="30">
        <v>991</v>
      </c>
      <c r="L134" s="30">
        <v>2645</v>
      </c>
      <c r="M134" s="30">
        <v>55</v>
      </c>
      <c r="N134" s="30">
        <v>1</v>
      </c>
      <c r="O134" s="30">
        <v>140532</v>
      </c>
      <c r="P134" s="29" t="s">
        <v>524</v>
      </c>
      <c r="Q134" s="29" t="s">
        <v>525</v>
      </c>
      <c r="R134" s="140" t="s">
        <v>482</v>
      </c>
    </row>
    <row r="135" spans="1:18">
      <c r="A135" s="139">
        <v>2</v>
      </c>
      <c r="B135" s="30">
        <v>5</v>
      </c>
      <c r="C135" s="1">
        <v>42881</v>
      </c>
      <c r="D135" s="27">
        <v>764463</v>
      </c>
      <c r="E135" s="30">
        <v>2017</v>
      </c>
      <c r="F135" s="30">
        <v>2</v>
      </c>
      <c r="G135" s="1">
        <v>42839</v>
      </c>
      <c r="H135" s="27">
        <v>757569</v>
      </c>
      <c r="I135" s="24">
        <v>12645</v>
      </c>
      <c r="J135" s="24">
        <v>-6825</v>
      </c>
      <c r="K135" s="30">
        <v>991</v>
      </c>
      <c r="L135" s="30">
        <v>2645</v>
      </c>
      <c r="M135" s="30">
        <v>85</v>
      </c>
      <c r="N135" s="30">
        <v>2</v>
      </c>
      <c r="O135" s="30">
        <v>140532</v>
      </c>
      <c r="P135" s="29" t="s">
        <v>524</v>
      </c>
      <c r="Q135" s="29" t="s">
        <v>525</v>
      </c>
      <c r="R135" s="140" t="s">
        <v>482</v>
      </c>
    </row>
    <row r="136" spans="1:18">
      <c r="A136" s="139">
        <v>2</v>
      </c>
      <c r="B136" s="30">
        <v>5</v>
      </c>
      <c r="C136" s="1">
        <v>42886</v>
      </c>
      <c r="D136" s="27">
        <v>761448</v>
      </c>
      <c r="E136" s="30">
        <v>2017</v>
      </c>
      <c r="F136" s="30">
        <v>1</v>
      </c>
      <c r="G136" s="1">
        <v>42745</v>
      </c>
      <c r="H136" s="27">
        <v>740276</v>
      </c>
      <c r="I136" s="24">
        <v>5490.89</v>
      </c>
      <c r="J136" s="24">
        <v>-5490.89</v>
      </c>
      <c r="K136" s="30">
        <v>12</v>
      </c>
      <c r="L136" s="30">
        <v>4067</v>
      </c>
      <c r="M136" s="30">
        <v>60</v>
      </c>
      <c r="N136" s="30">
        <v>0</v>
      </c>
      <c r="O136" s="30">
        <v>41385</v>
      </c>
      <c r="P136" s="29" t="s">
        <v>494</v>
      </c>
      <c r="Q136" s="29" t="s">
        <v>446</v>
      </c>
      <c r="R136" s="140" t="s">
        <v>426</v>
      </c>
    </row>
    <row r="137" spans="1:18">
      <c r="A137" s="139">
        <v>2</v>
      </c>
      <c r="B137" s="30">
        <v>5</v>
      </c>
      <c r="C137" s="1">
        <v>42886</v>
      </c>
      <c r="D137" s="27">
        <v>761448</v>
      </c>
      <c r="E137" s="30">
        <v>2017</v>
      </c>
      <c r="F137" s="30">
        <v>1</v>
      </c>
      <c r="G137" s="1">
        <v>42745</v>
      </c>
      <c r="H137" s="27">
        <v>740276</v>
      </c>
      <c r="I137" s="24">
        <v>714</v>
      </c>
      <c r="J137" s="24">
        <v>-714</v>
      </c>
      <c r="K137" s="30">
        <v>12</v>
      </c>
      <c r="L137" s="30">
        <v>4067</v>
      </c>
      <c r="M137" s="30">
        <v>85</v>
      </c>
      <c r="N137" s="30">
        <v>0</v>
      </c>
      <c r="O137" s="30">
        <v>41385</v>
      </c>
      <c r="P137" s="29" t="s">
        <v>494</v>
      </c>
      <c r="Q137" s="29" t="s">
        <v>446</v>
      </c>
      <c r="R137" s="140" t="s">
        <v>426</v>
      </c>
    </row>
    <row r="138" spans="1:18">
      <c r="A138" s="139">
        <v>2</v>
      </c>
      <c r="B138" s="30">
        <v>5</v>
      </c>
      <c r="C138" s="1">
        <v>42886</v>
      </c>
      <c r="D138" s="27">
        <v>761448</v>
      </c>
      <c r="E138" s="30">
        <v>2017</v>
      </c>
      <c r="F138" s="30">
        <v>1</v>
      </c>
      <c r="G138" s="1">
        <v>42776</v>
      </c>
      <c r="H138" s="27">
        <v>744978</v>
      </c>
      <c r="I138" s="24">
        <v>5490.89</v>
      </c>
      <c r="J138" s="24">
        <v>-5490.89</v>
      </c>
      <c r="K138" s="30">
        <v>12</v>
      </c>
      <c r="L138" s="30">
        <v>4067</v>
      </c>
      <c r="M138" s="30">
        <v>60</v>
      </c>
      <c r="N138" s="30">
        <v>0</v>
      </c>
      <c r="O138" s="30">
        <v>41385</v>
      </c>
      <c r="P138" s="29" t="s">
        <v>494</v>
      </c>
      <c r="Q138" s="29" t="s">
        <v>446</v>
      </c>
      <c r="R138" s="140" t="s">
        <v>426</v>
      </c>
    </row>
    <row r="139" spans="1:18">
      <c r="A139" s="139">
        <v>2</v>
      </c>
      <c r="B139" s="30">
        <v>5</v>
      </c>
      <c r="C139" s="1">
        <v>42886</v>
      </c>
      <c r="D139" s="27">
        <v>761448</v>
      </c>
      <c r="E139" s="30">
        <v>2017</v>
      </c>
      <c r="F139" s="30">
        <v>1</v>
      </c>
      <c r="G139" s="1">
        <v>42776</v>
      </c>
      <c r="H139" s="27">
        <v>744978</v>
      </c>
      <c r="I139" s="24">
        <v>714</v>
      </c>
      <c r="J139" s="24">
        <v>-714</v>
      </c>
      <c r="K139" s="30">
        <v>12</v>
      </c>
      <c r="L139" s="30">
        <v>4067</v>
      </c>
      <c r="M139" s="30">
        <v>85</v>
      </c>
      <c r="N139" s="30">
        <v>0</v>
      </c>
      <c r="O139" s="30">
        <v>41385</v>
      </c>
      <c r="P139" s="29" t="s">
        <v>494</v>
      </c>
      <c r="Q139" s="29" t="s">
        <v>446</v>
      </c>
      <c r="R139" s="140" t="s">
        <v>426</v>
      </c>
    </row>
    <row r="140" spans="1:18">
      <c r="A140" s="139">
        <v>2</v>
      </c>
      <c r="B140" s="30">
        <v>5</v>
      </c>
      <c r="C140" s="1">
        <v>42886</v>
      </c>
      <c r="D140" s="27">
        <v>761448</v>
      </c>
      <c r="E140" s="30">
        <v>2017</v>
      </c>
      <c r="F140" s="30">
        <v>2</v>
      </c>
      <c r="G140" s="1">
        <v>42835</v>
      </c>
      <c r="H140" s="27">
        <v>755297</v>
      </c>
      <c r="I140" s="24">
        <v>2738.92</v>
      </c>
      <c r="J140" s="24">
        <v>-2738.92</v>
      </c>
      <c r="K140" s="30">
        <v>39</v>
      </c>
      <c r="L140" s="30">
        <v>45</v>
      </c>
      <c r="M140" s="30">
        <v>60</v>
      </c>
      <c r="N140" s="30">
        <v>0</v>
      </c>
      <c r="O140" s="30">
        <v>31064</v>
      </c>
      <c r="P140" s="29" t="s">
        <v>526</v>
      </c>
      <c r="Q140" s="29" t="s">
        <v>431</v>
      </c>
      <c r="R140" s="140" t="s">
        <v>381</v>
      </c>
    </row>
    <row r="141" spans="1:18">
      <c r="A141" s="139">
        <v>2</v>
      </c>
      <c r="B141" s="30">
        <v>5</v>
      </c>
      <c r="C141" s="1">
        <v>42886</v>
      </c>
      <c r="D141" s="27">
        <v>761448</v>
      </c>
      <c r="E141" s="30">
        <v>2017</v>
      </c>
      <c r="F141" s="30">
        <v>2</v>
      </c>
      <c r="G141" s="1">
        <v>42835</v>
      </c>
      <c r="H141" s="27">
        <v>755297</v>
      </c>
      <c r="I141" s="24">
        <v>291</v>
      </c>
      <c r="J141" s="24">
        <v>-291</v>
      </c>
      <c r="K141" s="30">
        <v>39</v>
      </c>
      <c r="L141" s="30">
        <v>45</v>
      </c>
      <c r="M141" s="30">
        <v>85</v>
      </c>
      <c r="N141" s="30">
        <v>0</v>
      </c>
      <c r="O141" s="30">
        <v>31064</v>
      </c>
      <c r="P141" s="29" t="s">
        <v>526</v>
      </c>
      <c r="Q141" s="29" t="s">
        <v>431</v>
      </c>
      <c r="R141" s="140" t="s">
        <v>381</v>
      </c>
    </row>
    <row r="142" spans="1:18">
      <c r="A142" s="139">
        <v>2</v>
      </c>
      <c r="B142" s="30">
        <v>5</v>
      </c>
      <c r="C142" s="1">
        <v>42886</v>
      </c>
      <c r="D142" s="27">
        <v>761448</v>
      </c>
      <c r="E142" s="30">
        <v>2017</v>
      </c>
      <c r="F142" s="30">
        <v>2</v>
      </c>
      <c r="G142" s="1">
        <v>42835</v>
      </c>
      <c r="H142" s="27">
        <v>755297</v>
      </c>
      <c r="I142" s="24">
        <v>500</v>
      </c>
      <c r="J142" s="24">
        <v>-500</v>
      </c>
      <c r="K142" s="30">
        <v>39</v>
      </c>
      <c r="L142" s="30">
        <v>45</v>
      </c>
      <c r="M142" s="30">
        <v>1025</v>
      </c>
      <c r="N142" s="30">
        <v>0</v>
      </c>
      <c r="O142" s="30">
        <v>31064</v>
      </c>
      <c r="P142" s="29" t="s">
        <v>526</v>
      </c>
      <c r="Q142" s="29" t="s">
        <v>431</v>
      </c>
      <c r="R142" s="140" t="s">
        <v>381</v>
      </c>
    </row>
    <row r="143" spans="1:18">
      <c r="A143" s="139">
        <v>2</v>
      </c>
      <c r="B143" s="30">
        <v>5</v>
      </c>
      <c r="C143" s="1">
        <v>42886</v>
      </c>
      <c r="D143" s="27">
        <v>761448</v>
      </c>
      <c r="E143" s="30">
        <v>2017</v>
      </c>
      <c r="F143" s="30">
        <v>1</v>
      </c>
      <c r="G143" s="1">
        <v>42745</v>
      </c>
      <c r="H143" s="27">
        <v>740276</v>
      </c>
      <c r="I143" s="24">
        <v>2596.39</v>
      </c>
      <c r="J143" s="24">
        <v>-2596.39</v>
      </c>
      <c r="K143" s="30">
        <v>13</v>
      </c>
      <c r="L143" s="30">
        <v>1688</v>
      </c>
      <c r="M143" s="30">
        <v>60</v>
      </c>
      <c r="N143" s="30">
        <v>0</v>
      </c>
      <c r="O143" s="30">
        <v>33710</v>
      </c>
      <c r="P143" s="29" t="s">
        <v>527</v>
      </c>
      <c r="Q143" s="29" t="s">
        <v>383</v>
      </c>
      <c r="R143" s="140" t="s">
        <v>528</v>
      </c>
    </row>
    <row r="144" spans="1:18">
      <c r="A144" s="139">
        <v>2</v>
      </c>
      <c r="B144" s="30">
        <v>5</v>
      </c>
      <c r="C144" s="1">
        <v>42886</v>
      </c>
      <c r="D144" s="27">
        <v>761448</v>
      </c>
      <c r="E144" s="30">
        <v>2017</v>
      </c>
      <c r="F144" s="30">
        <v>1</v>
      </c>
      <c r="G144" s="1">
        <v>42745</v>
      </c>
      <c r="H144" s="27">
        <v>740276</v>
      </c>
      <c r="I144" s="24">
        <v>338</v>
      </c>
      <c r="J144" s="24">
        <v>-338</v>
      </c>
      <c r="K144" s="30">
        <v>13</v>
      </c>
      <c r="L144" s="30">
        <v>1688</v>
      </c>
      <c r="M144" s="30">
        <v>85</v>
      </c>
      <c r="N144" s="30">
        <v>0</v>
      </c>
      <c r="O144" s="30">
        <v>33710</v>
      </c>
      <c r="P144" s="29" t="s">
        <v>527</v>
      </c>
      <c r="Q144" s="29" t="s">
        <v>383</v>
      </c>
      <c r="R144" s="140" t="s">
        <v>528</v>
      </c>
    </row>
    <row r="145" spans="1:18">
      <c r="A145" s="139">
        <v>2</v>
      </c>
      <c r="B145" s="30">
        <v>5</v>
      </c>
      <c r="C145" s="1">
        <v>42886</v>
      </c>
      <c r="D145" s="27">
        <v>761448</v>
      </c>
      <c r="E145" s="30">
        <v>2017</v>
      </c>
      <c r="F145" s="30">
        <v>1</v>
      </c>
      <c r="G145" s="1">
        <v>42776</v>
      </c>
      <c r="H145" s="27">
        <v>744978</v>
      </c>
      <c r="I145" s="24">
        <v>2596.39</v>
      </c>
      <c r="J145" s="24">
        <v>-2596.39</v>
      </c>
      <c r="K145" s="30">
        <v>13</v>
      </c>
      <c r="L145" s="30">
        <v>1688</v>
      </c>
      <c r="M145" s="30">
        <v>60</v>
      </c>
      <c r="N145" s="30">
        <v>0</v>
      </c>
      <c r="O145" s="30">
        <v>33710</v>
      </c>
      <c r="P145" s="29" t="s">
        <v>527</v>
      </c>
      <c r="Q145" s="29" t="s">
        <v>383</v>
      </c>
      <c r="R145" s="140" t="s">
        <v>528</v>
      </c>
    </row>
    <row r="146" spans="1:18">
      <c r="A146" s="139">
        <v>2</v>
      </c>
      <c r="B146" s="30">
        <v>5</v>
      </c>
      <c r="C146" s="1">
        <v>42886</v>
      </c>
      <c r="D146" s="27">
        <v>761448</v>
      </c>
      <c r="E146" s="30">
        <v>2017</v>
      </c>
      <c r="F146" s="30">
        <v>1</v>
      </c>
      <c r="G146" s="1">
        <v>42776</v>
      </c>
      <c r="H146" s="27">
        <v>744978</v>
      </c>
      <c r="I146" s="24">
        <v>337</v>
      </c>
      <c r="J146" s="24">
        <v>-337</v>
      </c>
      <c r="K146" s="30">
        <v>13</v>
      </c>
      <c r="L146" s="30">
        <v>1688</v>
      </c>
      <c r="M146" s="30">
        <v>85</v>
      </c>
      <c r="N146" s="30">
        <v>0</v>
      </c>
      <c r="O146" s="30">
        <v>33710</v>
      </c>
      <c r="P146" s="29" t="s">
        <v>527</v>
      </c>
      <c r="Q146" s="29" t="s">
        <v>383</v>
      </c>
      <c r="R146" s="140" t="s">
        <v>528</v>
      </c>
    </row>
    <row r="147" spans="1:18">
      <c r="A147" s="139">
        <v>2</v>
      </c>
      <c r="B147" s="30">
        <v>5</v>
      </c>
      <c r="C147" s="1">
        <v>42886</v>
      </c>
      <c r="D147" s="27">
        <v>761448</v>
      </c>
      <c r="E147" s="30">
        <v>2017</v>
      </c>
      <c r="F147" s="30">
        <v>1</v>
      </c>
      <c r="G147" s="1">
        <v>42804</v>
      </c>
      <c r="H147" s="27">
        <v>749816</v>
      </c>
      <c r="I147" s="24">
        <v>2596.39</v>
      </c>
      <c r="J147" s="24">
        <v>-2596.39</v>
      </c>
      <c r="K147" s="30">
        <v>13</v>
      </c>
      <c r="L147" s="30">
        <v>1688</v>
      </c>
      <c r="M147" s="30">
        <v>60</v>
      </c>
      <c r="N147" s="30">
        <v>0</v>
      </c>
      <c r="O147" s="30">
        <v>33710</v>
      </c>
      <c r="P147" s="29" t="s">
        <v>527</v>
      </c>
      <c r="Q147" s="29" t="s">
        <v>383</v>
      </c>
      <c r="R147" s="140" t="s">
        <v>528</v>
      </c>
    </row>
    <row r="148" spans="1:18">
      <c r="A148" s="139">
        <v>2</v>
      </c>
      <c r="B148" s="30">
        <v>5</v>
      </c>
      <c r="C148" s="1">
        <v>42886</v>
      </c>
      <c r="D148" s="27">
        <v>761448</v>
      </c>
      <c r="E148" s="30">
        <v>2017</v>
      </c>
      <c r="F148" s="30">
        <v>1</v>
      </c>
      <c r="G148" s="1">
        <v>42804</v>
      </c>
      <c r="H148" s="27">
        <v>749816</v>
      </c>
      <c r="I148" s="24">
        <v>338</v>
      </c>
      <c r="J148" s="24">
        <v>-338</v>
      </c>
      <c r="K148" s="30">
        <v>13</v>
      </c>
      <c r="L148" s="30">
        <v>1688</v>
      </c>
      <c r="M148" s="30">
        <v>85</v>
      </c>
      <c r="N148" s="30">
        <v>0</v>
      </c>
      <c r="O148" s="30">
        <v>33710</v>
      </c>
      <c r="P148" s="29" t="s">
        <v>527</v>
      </c>
      <c r="Q148" s="29" t="s">
        <v>383</v>
      </c>
      <c r="R148" s="140" t="s">
        <v>528</v>
      </c>
    </row>
    <row r="149" spans="1:18">
      <c r="A149" s="139">
        <v>2</v>
      </c>
      <c r="B149" s="30">
        <v>5</v>
      </c>
      <c r="C149" s="1">
        <v>42886</v>
      </c>
      <c r="D149" s="27">
        <v>761448</v>
      </c>
      <c r="E149" s="30">
        <v>2017</v>
      </c>
      <c r="F149" s="30">
        <v>2</v>
      </c>
      <c r="G149" s="1">
        <v>42835</v>
      </c>
      <c r="H149" s="27">
        <v>755291</v>
      </c>
      <c r="I149" s="24">
        <v>2596.39</v>
      </c>
      <c r="J149" s="24">
        <v>-2596.39</v>
      </c>
      <c r="K149" s="30">
        <v>13</v>
      </c>
      <c r="L149" s="30">
        <v>1688</v>
      </c>
      <c r="M149" s="30">
        <v>60</v>
      </c>
      <c r="N149" s="30">
        <v>0</v>
      </c>
      <c r="O149" s="30">
        <v>33710</v>
      </c>
      <c r="P149" s="29" t="s">
        <v>527</v>
      </c>
      <c r="Q149" s="29" t="s">
        <v>383</v>
      </c>
      <c r="R149" s="140" t="s">
        <v>528</v>
      </c>
    </row>
    <row r="150" spans="1:18">
      <c r="A150" s="139">
        <v>2</v>
      </c>
      <c r="B150" s="30">
        <v>5</v>
      </c>
      <c r="C150" s="1">
        <v>42886</v>
      </c>
      <c r="D150" s="27">
        <v>761448</v>
      </c>
      <c r="E150" s="30">
        <v>2017</v>
      </c>
      <c r="F150" s="30">
        <v>2</v>
      </c>
      <c r="G150" s="1">
        <v>42835</v>
      </c>
      <c r="H150" s="27">
        <v>755291</v>
      </c>
      <c r="I150" s="24">
        <v>337</v>
      </c>
      <c r="J150" s="24">
        <v>-337</v>
      </c>
      <c r="K150" s="30">
        <v>13</v>
      </c>
      <c r="L150" s="30">
        <v>1688</v>
      </c>
      <c r="M150" s="30">
        <v>85</v>
      </c>
      <c r="N150" s="30">
        <v>0</v>
      </c>
      <c r="O150" s="30">
        <v>33710</v>
      </c>
      <c r="P150" s="29" t="s">
        <v>527</v>
      </c>
      <c r="Q150" s="29" t="s">
        <v>383</v>
      </c>
      <c r="R150" s="140" t="s">
        <v>528</v>
      </c>
    </row>
    <row r="151" spans="1:18">
      <c r="A151" s="139">
        <v>2</v>
      </c>
      <c r="B151" s="30">
        <v>5</v>
      </c>
      <c r="C151" s="1">
        <v>42886</v>
      </c>
      <c r="D151" s="27">
        <v>761448</v>
      </c>
      <c r="E151" s="30">
        <v>2017</v>
      </c>
      <c r="F151" s="30">
        <v>1</v>
      </c>
      <c r="G151" s="1">
        <v>42745</v>
      </c>
      <c r="H151" s="27">
        <v>740276</v>
      </c>
      <c r="I151" s="24">
        <v>5881.7</v>
      </c>
      <c r="J151" s="24">
        <v>-5881.7</v>
      </c>
      <c r="K151" s="30">
        <v>12</v>
      </c>
      <c r="L151" s="30">
        <v>6203</v>
      </c>
      <c r="M151" s="30">
        <v>60</v>
      </c>
      <c r="N151" s="30">
        <v>0</v>
      </c>
      <c r="O151" s="30">
        <v>57964</v>
      </c>
      <c r="P151" s="29" t="s">
        <v>529</v>
      </c>
      <c r="Q151" s="29" t="s">
        <v>457</v>
      </c>
      <c r="R151" s="140" t="s">
        <v>387</v>
      </c>
    </row>
    <row r="152" spans="1:18">
      <c r="A152" s="139">
        <v>2</v>
      </c>
      <c r="B152" s="30">
        <v>5</v>
      </c>
      <c r="C152" s="1">
        <v>42886</v>
      </c>
      <c r="D152" s="27">
        <v>761448</v>
      </c>
      <c r="E152" s="30">
        <v>2017</v>
      </c>
      <c r="F152" s="30">
        <v>1</v>
      </c>
      <c r="G152" s="1">
        <v>42745</v>
      </c>
      <c r="H152" s="27">
        <v>740276</v>
      </c>
      <c r="I152" s="24">
        <v>765</v>
      </c>
      <c r="J152" s="24">
        <v>-765</v>
      </c>
      <c r="K152" s="30">
        <v>12</v>
      </c>
      <c r="L152" s="30">
        <v>6203</v>
      </c>
      <c r="M152" s="30">
        <v>85</v>
      </c>
      <c r="N152" s="30">
        <v>0</v>
      </c>
      <c r="O152" s="30">
        <v>57964</v>
      </c>
      <c r="P152" s="29" t="s">
        <v>529</v>
      </c>
      <c r="Q152" s="29" t="s">
        <v>457</v>
      </c>
      <c r="R152" s="140" t="s">
        <v>387</v>
      </c>
    </row>
    <row r="153" spans="1:18">
      <c r="A153" s="139">
        <v>2</v>
      </c>
      <c r="B153" s="30">
        <v>5</v>
      </c>
      <c r="C153" s="1">
        <v>42886</v>
      </c>
      <c r="D153" s="27">
        <v>761448</v>
      </c>
      <c r="E153" s="30">
        <v>2017</v>
      </c>
      <c r="F153" s="30">
        <v>1</v>
      </c>
      <c r="G153" s="1">
        <v>42776</v>
      </c>
      <c r="H153" s="27">
        <v>744978</v>
      </c>
      <c r="I153" s="24">
        <v>5881.7</v>
      </c>
      <c r="J153" s="24">
        <v>-5881.7</v>
      </c>
      <c r="K153" s="30">
        <v>12</v>
      </c>
      <c r="L153" s="30">
        <v>6203</v>
      </c>
      <c r="M153" s="30">
        <v>60</v>
      </c>
      <c r="N153" s="30">
        <v>0</v>
      </c>
      <c r="O153" s="30">
        <v>57964</v>
      </c>
      <c r="P153" s="29" t="s">
        <v>529</v>
      </c>
      <c r="Q153" s="29" t="s">
        <v>457</v>
      </c>
      <c r="R153" s="140" t="s">
        <v>387</v>
      </c>
    </row>
    <row r="154" spans="1:18">
      <c r="A154" s="139">
        <v>2</v>
      </c>
      <c r="B154" s="30">
        <v>5</v>
      </c>
      <c r="C154" s="1">
        <v>42886</v>
      </c>
      <c r="D154" s="27">
        <v>761448</v>
      </c>
      <c r="E154" s="30">
        <v>2017</v>
      </c>
      <c r="F154" s="30">
        <v>1</v>
      </c>
      <c r="G154" s="1">
        <v>42776</v>
      </c>
      <c r="H154" s="27">
        <v>744978</v>
      </c>
      <c r="I154" s="24">
        <v>764</v>
      </c>
      <c r="J154" s="24">
        <v>-764</v>
      </c>
      <c r="K154" s="30">
        <v>12</v>
      </c>
      <c r="L154" s="30">
        <v>6203</v>
      </c>
      <c r="M154" s="30">
        <v>85</v>
      </c>
      <c r="N154" s="30">
        <v>0</v>
      </c>
      <c r="O154" s="30">
        <v>57964</v>
      </c>
      <c r="P154" s="29" t="s">
        <v>529</v>
      </c>
      <c r="Q154" s="29" t="s">
        <v>457</v>
      </c>
      <c r="R154" s="140" t="s">
        <v>387</v>
      </c>
    </row>
    <row r="155" spans="1:18">
      <c r="A155" s="139">
        <v>2</v>
      </c>
      <c r="B155" s="30">
        <v>5</v>
      </c>
      <c r="C155" s="1">
        <v>42886</v>
      </c>
      <c r="D155" s="27">
        <v>761448</v>
      </c>
      <c r="E155" s="30">
        <v>2017</v>
      </c>
      <c r="F155" s="30">
        <v>1</v>
      </c>
      <c r="G155" s="1">
        <v>42804</v>
      </c>
      <c r="H155" s="27">
        <v>749816</v>
      </c>
      <c r="I155" s="24">
        <v>5881.7</v>
      </c>
      <c r="J155" s="24">
        <v>-5881.7</v>
      </c>
      <c r="K155" s="30">
        <v>12</v>
      </c>
      <c r="L155" s="30">
        <v>6203</v>
      </c>
      <c r="M155" s="30">
        <v>60</v>
      </c>
      <c r="N155" s="30">
        <v>0</v>
      </c>
      <c r="O155" s="30">
        <v>57964</v>
      </c>
      <c r="P155" s="29" t="s">
        <v>529</v>
      </c>
      <c r="Q155" s="29" t="s">
        <v>457</v>
      </c>
      <c r="R155" s="140" t="s">
        <v>387</v>
      </c>
    </row>
    <row r="156" spans="1:18">
      <c r="A156" s="139">
        <v>2</v>
      </c>
      <c r="B156" s="30">
        <v>5</v>
      </c>
      <c r="C156" s="1">
        <v>42886</v>
      </c>
      <c r="D156" s="27">
        <v>761448</v>
      </c>
      <c r="E156" s="30">
        <v>2017</v>
      </c>
      <c r="F156" s="30">
        <v>1</v>
      </c>
      <c r="G156" s="1">
        <v>42804</v>
      </c>
      <c r="H156" s="27">
        <v>749816</v>
      </c>
      <c r="I156" s="24">
        <v>765</v>
      </c>
      <c r="J156" s="24">
        <v>-765</v>
      </c>
      <c r="K156" s="30">
        <v>12</v>
      </c>
      <c r="L156" s="30">
        <v>6203</v>
      </c>
      <c r="M156" s="30">
        <v>85</v>
      </c>
      <c r="N156" s="30">
        <v>0</v>
      </c>
      <c r="O156" s="30">
        <v>57964</v>
      </c>
      <c r="P156" s="29" t="s">
        <v>529</v>
      </c>
      <c r="Q156" s="29" t="s">
        <v>457</v>
      </c>
      <c r="R156" s="140" t="s">
        <v>387</v>
      </c>
    </row>
    <row r="157" spans="1:18">
      <c r="A157" s="139">
        <v>2</v>
      </c>
      <c r="B157" s="30">
        <v>5</v>
      </c>
      <c r="C157" s="1">
        <v>42886</v>
      </c>
      <c r="D157" s="27">
        <v>761448</v>
      </c>
      <c r="E157" s="30">
        <v>2017</v>
      </c>
      <c r="F157" s="30">
        <v>2</v>
      </c>
      <c r="G157" s="1">
        <v>42835</v>
      </c>
      <c r="H157" s="27">
        <v>755291</v>
      </c>
      <c r="I157" s="24">
        <v>5881.7</v>
      </c>
      <c r="J157" s="24">
        <v>-5881.7</v>
      </c>
      <c r="K157" s="30">
        <v>12</v>
      </c>
      <c r="L157" s="30">
        <v>6203</v>
      </c>
      <c r="M157" s="30">
        <v>60</v>
      </c>
      <c r="N157" s="30">
        <v>0</v>
      </c>
      <c r="O157" s="30">
        <v>57964</v>
      </c>
      <c r="P157" s="29" t="s">
        <v>529</v>
      </c>
      <c r="Q157" s="29" t="s">
        <v>457</v>
      </c>
      <c r="R157" s="140" t="s">
        <v>387</v>
      </c>
    </row>
    <row r="158" spans="1:18">
      <c r="A158" s="139">
        <v>2</v>
      </c>
      <c r="B158" s="30">
        <v>5</v>
      </c>
      <c r="C158" s="1">
        <v>42886</v>
      </c>
      <c r="D158" s="27">
        <v>761448</v>
      </c>
      <c r="E158" s="30">
        <v>2017</v>
      </c>
      <c r="F158" s="30">
        <v>2</v>
      </c>
      <c r="G158" s="1">
        <v>42835</v>
      </c>
      <c r="H158" s="27">
        <v>755291</v>
      </c>
      <c r="I158" s="24">
        <v>764</v>
      </c>
      <c r="J158" s="24">
        <v>-764</v>
      </c>
      <c r="K158" s="30">
        <v>12</v>
      </c>
      <c r="L158" s="30">
        <v>6203</v>
      </c>
      <c r="M158" s="30">
        <v>85</v>
      </c>
      <c r="N158" s="30">
        <v>0</v>
      </c>
      <c r="O158" s="30">
        <v>57964</v>
      </c>
      <c r="P158" s="29" t="s">
        <v>529</v>
      </c>
      <c r="Q158" s="29" t="s">
        <v>457</v>
      </c>
      <c r="R158" s="140" t="s">
        <v>387</v>
      </c>
    </row>
    <row r="159" spans="1:18">
      <c r="A159" s="139">
        <v>2</v>
      </c>
      <c r="B159" s="30">
        <v>5</v>
      </c>
      <c r="C159" s="1">
        <v>42886</v>
      </c>
      <c r="D159" s="27">
        <v>761448</v>
      </c>
      <c r="E159" s="30">
        <v>2017</v>
      </c>
      <c r="F159" s="30">
        <v>2</v>
      </c>
      <c r="G159" s="1">
        <v>42835</v>
      </c>
      <c r="H159" s="27">
        <v>755297</v>
      </c>
      <c r="I159" s="24">
        <v>2170.06</v>
      </c>
      <c r="J159" s="24">
        <v>-2170.06</v>
      </c>
      <c r="K159" s="30">
        <v>18</v>
      </c>
      <c r="L159" s="30">
        <v>1442</v>
      </c>
      <c r="M159" s="30">
        <v>60</v>
      </c>
      <c r="N159" s="30">
        <v>0</v>
      </c>
      <c r="O159" s="30">
        <v>40340</v>
      </c>
      <c r="P159" s="29" t="s">
        <v>530</v>
      </c>
      <c r="Q159" s="29" t="s">
        <v>531</v>
      </c>
      <c r="R159" s="140" t="s">
        <v>528</v>
      </c>
    </row>
    <row r="160" spans="1:18">
      <c r="A160" s="139">
        <v>2</v>
      </c>
      <c r="B160" s="30">
        <v>5</v>
      </c>
      <c r="C160" s="1">
        <v>42886</v>
      </c>
      <c r="D160" s="27">
        <v>761448</v>
      </c>
      <c r="E160" s="30">
        <v>2017</v>
      </c>
      <c r="F160" s="30">
        <v>2</v>
      </c>
      <c r="G160" s="1">
        <v>42835</v>
      </c>
      <c r="H160" s="27">
        <v>755297</v>
      </c>
      <c r="I160" s="24">
        <v>282</v>
      </c>
      <c r="J160" s="24">
        <v>-282</v>
      </c>
      <c r="K160" s="30">
        <v>18</v>
      </c>
      <c r="L160" s="30">
        <v>1442</v>
      </c>
      <c r="M160" s="30">
        <v>85</v>
      </c>
      <c r="N160" s="30">
        <v>0</v>
      </c>
      <c r="O160" s="30">
        <v>40340</v>
      </c>
      <c r="P160" s="29" t="s">
        <v>530</v>
      </c>
      <c r="Q160" s="29" t="s">
        <v>531</v>
      </c>
      <c r="R160" s="140" t="s">
        <v>528</v>
      </c>
    </row>
    <row r="161" spans="1:18">
      <c r="A161" s="139">
        <v>2</v>
      </c>
      <c r="B161" s="30">
        <v>5</v>
      </c>
      <c r="C161" s="1">
        <v>42886</v>
      </c>
      <c r="D161" s="27">
        <v>761448</v>
      </c>
      <c r="E161" s="30">
        <v>2017</v>
      </c>
      <c r="F161" s="30">
        <v>2</v>
      </c>
      <c r="G161" s="1">
        <v>42835</v>
      </c>
      <c r="H161" s="27">
        <v>755297</v>
      </c>
      <c r="I161" s="24">
        <v>9099.2000000000007</v>
      </c>
      <c r="J161" s="24">
        <v>-9099.2000000000007</v>
      </c>
      <c r="K161" s="30">
        <v>37</v>
      </c>
      <c r="L161" s="30">
        <v>462</v>
      </c>
      <c r="M161" s="30">
        <v>60</v>
      </c>
      <c r="N161" s="30">
        <v>0</v>
      </c>
      <c r="O161" s="30">
        <v>77664</v>
      </c>
      <c r="P161" s="29" t="s">
        <v>532</v>
      </c>
      <c r="Q161" s="29" t="s">
        <v>533</v>
      </c>
      <c r="R161" s="140" t="s">
        <v>414</v>
      </c>
    </row>
    <row r="162" spans="1:18">
      <c r="A162" s="139">
        <v>2</v>
      </c>
      <c r="B162" s="30">
        <v>5</v>
      </c>
      <c r="C162" s="1">
        <v>42886</v>
      </c>
      <c r="D162" s="27">
        <v>761448</v>
      </c>
      <c r="E162" s="30">
        <v>2017</v>
      </c>
      <c r="F162" s="30">
        <v>2</v>
      </c>
      <c r="G162" s="1">
        <v>42835</v>
      </c>
      <c r="H162" s="27">
        <v>755297</v>
      </c>
      <c r="I162" s="24">
        <v>1183</v>
      </c>
      <c r="J162" s="24">
        <v>-1183</v>
      </c>
      <c r="K162" s="30">
        <v>37</v>
      </c>
      <c r="L162" s="30">
        <v>462</v>
      </c>
      <c r="M162" s="30">
        <v>85</v>
      </c>
      <c r="N162" s="30">
        <v>0</v>
      </c>
      <c r="O162" s="30">
        <v>77664</v>
      </c>
      <c r="P162" s="29" t="s">
        <v>532</v>
      </c>
      <c r="Q162" s="29" t="s">
        <v>533</v>
      </c>
      <c r="R162" s="140" t="s">
        <v>414</v>
      </c>
    </row>
    <row r="163" spans="1:18">
      <c r="A163" s="139">
        <v>2</v>
      </c>
      <c r="B163" s="30">
        <v>5</v>
      </c>
      <c r="C163" s="1">
        <v>42886</v>
      </c>
      <c r="D163" s="27">
        <v>761448</v>
      </c>
      <c r="E163" s="30">
        <v>2017</v>
      </c>
      <c r="F163" s="30">
        <v>1</v>
      </c>
      <c r="G163" s="1">
        <v>42745</v>
      </c>
      <c r="H163" s="27">
        <v>740276</v>
      </c>
      <c r="I163" s="24">
        <v>1255.5</v>
      </c>
      <c r="J163" s="24">
        <v>-1255.5</v>
      </c>
      <c r="K163" s="30">
        <v>161</v>
      </c>
      <c r="L163" s="30">
        <v>28</v>
      </c>
      <c r="M163" s="30">
        <v>60</v>
      </c>
      <c r="N163" s="30">
        <v>0</v>
      </c>
      <c r="O163" s="30">
        <v>78981</v>
      </c>
      <c r="P163" s="29" t="s">
        <v>510</v>
      </c>
      <c r="Q163" s="29" t="s">
        <v>511</v>
      </c>
      <c r="R163" s="140" t="s">
        <v>381</v>
      </c>
    </row>
    <row r="164" spans="1:18">
      <c r="A164" s="139">
        <v>2</v>
      </c>
      <c r="B164" s="30">
        <v>5</v>
      </c>
      <c r="C164" s="1">
        <v>42886</v>
      </c>
      <c r="D164" s="27">
        <v>761448</v>
      </c>
      <c r="E164" s="30">
        <v>2017</v>
      </c>
      <c r="F164" s="30">
        <v>1</v>
      </c>
      <c r="G164" s="1">
        <v>42745</v>
      </c>
      <c r="H164" s="27">
        <v>740276</v>
      </c>
      <c r="I164" s="24">
        <v>163</v>
      </c>
      <c r="J164" s="24">
        <v>-163</v>
      </c>
      <c r="K164" s="30">
        <v>161</v>
      </c>
      <c r="L164" s="30">
        <v>28</v>
      </c>
      <c r="M164" s="30">
        <v>85</v>
      </c>
      <c r="N164" s="30">
        <v>0</v>
      </c>
      <c r="O164" s="30">
        <v>78981</v>
      </c>
      <c r="P164" s="29" t="s">
        <v>510</v>
      </c>
      <c r="Q164" s="29" t="s">
        <v>511</v>
      </c>
      <c r="R164" s="140" t="s">
        <v>381</v>
      </c>
    </row>
    <row r="165" spans="1:18">
      <c r="A165" s="139">
        <v>2</v>
      </c>
      <c r="B165" s="30">
        <v>5</v>
      </c>
      <c r="C165" s="1">
        <v>42886</v>
      </c>
      <c r="D165" s="27">
        <v>761448</v>
      </c>
      <c r="E165" s="30">
        <v>2017</v>
      </c>
      <c r="F165" s="30">
        <v>1</v>
      </c>
      <c r="G165" s="1">
        <v>42776</v>
      </c>
      <c r="H165" s="27">
        <v>744978</v>
      </c>
      <c r="I165" s="24">
        <v>1255.5</v>
      </c>
      <c r="J165" s="24">
        <v>-1255.5</v>
      </c>
      <c r="K165" s="30">
        <v>161</v>
      </c>
      <c r="L165" s="30">
        <v>28</v>
      </c>
      <c r="M165" s="30">
        <v>60</v>
      </c>
      <c r="N165" s="30">
        <v>0</v>
      </c>
      <c r="O165" s="30">
        <v>78981</v>
      </c>
      <c r="P165" s="29" t="s">
        <v>510</v>
      </c>
      <c r="Q165" s="29" t="s">
        <v>511</v>
      </c>
      <c r="R165" s="140" t="s">
        <v>381</v>
      </c>
    </row>
    <row r="166" spans="1:18">
      <c r="A166" s="139">
        <v>2</v>
      </c>
      <c r="B166" s="30">
        <v>5</v>
      </c>
      <c r="C166" s="1">
        <v>42886</v>
      </c>
      <c r="D166" s="27">
        <v>761448</v>
      </c>
      <c r="E166" s="30">
        <v>2017</v>
      </c>
      <c r="F166" s="30">
        <v>1</v>
      </c>
      <c r="G166" s="1">
        <v>42776</v>
      </c>
      <c r="H166" s="27">
        <v>744978</v>
      </c>
      <c r="I166" s="24">
        <v>163</v>
      </c>
      <c r="J166" s="24">
        <v>-163</v>
      </c>
      <c r="K166" s="30">
        <v>161</v>
      </c>
      <c r="L166" s="30">
        <v>28</v>
      </c>
      <c r="M166" s="30">
        <v>85</v>
      </c>
      <c r="N166" s="30">
        <v>0</v>
      </c>
      <c r="O166" s="30">
        <v>78981</v>
      </c>
      <c r="P166" s="29" t="s">
        <v>510</v>
      </c>
      <c r="Q166" s="29" t="s">
        <v>511</v>
      </c>
      <c r="R166" s="140" t="s">
        <v>381</v>
      </c>
    </row>
    <row r="167" spans="1:18">
      <c r="A167" s="139">
        <v>2</v>
      </c>
      <c r="B167" s="30">
        <v>5</v>
      </c>
      <c r="C167" s="1">
        <v>42886</v>
      </c>
      <c r="D167" s="27">
        <v>761448</v>
      </c>
      <c r="E167" s="30">
        <v>2017</v>
      </c>
      <c r="F167" s="30">
        <v>1</v>
      </c>
      <c r="G167" s="1">
        <v>42745</v>
      </c>
      <c r="H167" s="27">
        <v>740276</v>
      </c>
      <c r="I167" s="24">
        <v>5002.6000000000004</v>
      </c>
      <c r="J167" s="24">
        <v>-5002.6000000000004</v>
      </c>
      <c r="K167" s="30">
        <v>13</v>
      </c>
      <c r="L167" s="30">
        <v>3324</v>
      </c>
      <c r="M167" s="30">
        <v>60</v>
      </c>
      <c r="N167" s="30">
        <v>0</v>
      </c>
      <c r="O167" s="30">
        <v>69070</v>
      </c>
      <c r="P167" s="29" t="s">
        <v>534</v>
      </c>
      <c r="Q167" s="29" t="s">
        <v>506</v>
      </c>
      <c r="R167" s="140" t="s">
        <v>479</v>
      </c>
    </row>
    <row r="168" spans="1:18">
      <c r="A168" s="139">
        <v>2</v>
      </c>
      <c r="B168" s="30">
        <v>5</v>
      </c>
      <c r="C168" s="1">
        <v>42886</v>
      </c>
      <c r="D168" s="27">
        <v>761448</v>
      </c>
      <c r="E168" s="30">
        <v>2017</v>
      </c>
      <c r="F168" s="30">
        <v>1</v>
      </c>
      <c r="G168" s="1">
        <v>42745</v>
      </c>
      <c r="H168" s="27">
        <v>740276</v>
      </c>
      <c r="I168" s="24">
        <v>650</v>
      </c>
      <c r="J168" s="24">
        <v>-650</v>
      </c>
      <c r="K168" s="30">
        <v>13</v>
      </c>
      <c r="L168" s="30">
        <v>3324</v>
      </c>
      <c r="M168" s="30">
        <v>85</v>
      </c>
      <c r="N168" s="30">
        <v>0</v>
      </c>
      <c r="O168" s="30">
        <v>69070</v>
      </c>
      <c r="P168" s="29" t="s">
        <v>534</v>
      </c>
      <c r="Q168" s="29" t="s">
        <v>506</v>
      </c>
      <c r="R168" s="140" t="s">
        <v>479</v>
      </c>
    </row>
    <row r="169" spans="1:18">
      <c r="A169" s="139">
        <v>2</v>
      </c>
      <c r="B169" s="30">
        <v>5</v>
      </c>
      <c r="C169" s="1">
        <v>42886</v>
      </c>
      <c r="D169" s="27">
        <v>761448</v>
      </c>
      <c r="E169" s="30">
        <v>2017</v>
      </c>
      <c r="F169" s="30">
        <v>1</v>
      </c>
      <c r="G169" s="1">
        <v>42776</v>
      </c>
      <c r="H169" s="27">
        <v>744978</v>
      </c>
      <c r="I169" s="24">
        <v>5002.6000000000004</v>
      </c>
      <c r="J169" s="24">
        <v>-5002.6000000000004</v>
      </c>
      <c r="K169" s="30">
        <v>13</v>
      </c>
      <c r="L169" s="30">
        <v>3324</v>
      </c>
      <c r="M169" s="30">
        <v>60</v>
      </c>
      <c r="N169" s="30">
        <v>0</v>
      </c>
      <c r="O169" s="30">
        <v>69070</v>
      </c>
      <c r="P169" s="29" t="s">
        <v>534</v>
      </c>
      <c r="Q169" s="29" t="s">
        <v>506</v>
      </c>
      <c r="R169" s="140" t="s">
        <v>479</v>
      </c>
    </row>
    <row r="170" spans="1:18">
      <c r="A170" s="139">
        <v>2</v>
      </c>
      <c r="B170" s="30">
        <v>5</v>
      </c>
      <c r="C170" s="1">
        <v>42886</v>
      </c>
      <c r="D170" s="27">
        <v>761448</v>
      </c>
      <c r="E170" s="30">
        <v>2017</v>
      </c>
      <c r="F170" s="30">
        <v>1</v>
      </c>
      <c r="G170" s="1">
        <v>42776</v>
      </c>
      <c r="H170" s="27">
        <v>744978</v>
      </c>
      <c r="I170" s="24">
        <v>651</v>
      </c>
      <c r="J170" s="24">
        <v>-651</v>
      </c>
      <c r="K170" s="30">
        <v>13</v>
      </c>
      <c r="L170" s="30">
        <v>3324</v>
      </c>
      <c r="M170" s="30">
        <v>85</v>
      </c>
      <c r="N170" s="30">
        <v>0</v>
      </c>
      <c r="O170" s="30">
        <v>69070</v>
      </c>
      <c r="P170" s="29" t="s">
        <v>534</v>
      </c>
      <c r="Q170" s="29" t="s">
        <v>506</v>
      </c>
      <c r="R170" s="140" t="s">
        <v>479</v>
      </c>
    </row>
    <row r="171" spans="1:18">
      <c r="A171" s="139">
        <v>2</v>
      </c>
      <c r="B171" s="30">
        <v>5</v>
      </c>
      <c r="C171" s="1">
        <v>42886</v>
      </c>
      <c r="D171" s="27">
        <v>761448</v>
      </c>
      <c r="E171" s="30">
        <v>2017</v>
      </c>
      <c r="F171" s="30">
        <v>1</v>
      </c>
      <c r="G171" s="1">
        <v>42804</v>
      </c>
      <c r="H171" s="27">
        <v>749816</v>
      </c>
      <c r="I171" s="24">
        <v>5002.6000000000004</v>
      </c>
      <c r="J171" s="24">
        <v>-5002.6000000000004</v>
      </c>
      <c r="K171" s="30">
        <v>13</v>
      </c>
      <c r="L171" s="30">
        <v>3324</v>
      </c>
      <c r="M171" s="30">
        <v>60</v>
      </c>
      <c r="N171" s="30">
        <v>0</v>
      </c>
      <c r="O171" s="30">
        <v>69070</v>
      </c>
      <c r="P171" s="29" t="s">
        <v>534</v>
      </c>
      <c r="Q171" s="29" t="s">
        <v>506</v>
      </c>
      <c r="R171" s="140" t="s">
        <v>479</v>
      </c>
    </row>
    <row r="172" spans="1:18">
      <c r="A172" s="139">
        <v>2</v>
      </c>
      <c r="B172" s="30">
        <v>5</v>
      </c>
      <c r="C172" s="1">
        <v>42886</v>
      </c>
      <c r="D172" s="27">
        <v>761448</v>
      </c>
      <c r="E172" s="30">
        <v>2017</v>
      </c>
      <c r="F172" s="30">
        <v>1</v>
      </c>
      <c r="G172" s="1">
        <v>42804</v>
      </c>
      <c r="H172" s="27">
        <v>749816</v>
      </c>
      <c r="I172" s="24">
        <v>650</v>
      </c>
      <c r="J172" s="24">
        <v>-650</v>
      </c>
      <c r="K172" s="30">
        <v>13</v>
      </c>
      <c r="L172" s="30">
        <v>3324</v>
      </c>
      <c r="M172" s="30">
        <v>85</v>
      </c>
      <c r="N172" s="30">
        <v>0</v>
      </c>
      <c r="O172" s="30">
        <v>69070</v>
      </c>
      <c r="P172" s="29" t="s">
        <v>534</v>
      </c>
      <c r="Q172" s="29" t="s">
        <v>506</v>
      </c>
      <c r="R172" s="140" t="s">
        <v>479</v>
      </c>
    </row>
    <row r="173" spans="1:18">
      <c r="A173" s="139">
        <v>2</v>
      </c>
      <c r="B173" s="30">
        <v>5</v>
      </c>
      <c r="C173" s="1">
        <v>42886</v>
      </c>
      <c r="D173" s="27">
        <v>761448</v>
      </c>
      <c r="E173" s="30">
        <v>2017</v>
      </c>
      <c r="F173" s="30">
        <v>2</v>
      </c>
      <c r="G173" s="1">
        <v>42835</v>
      </c>
      <c r="H173" s="27">
        <v>755291</v>
      </c>
      <c r="I173" s="24">
        <v>5002.6000000000004</v>
      </c>
      <c r="J173" s="24">
        <v>-5002.6000000000004</v>
      </c>
      <c r="K173" s="30">
        <v>13</v>
      </c>
      <c r="L173" s="30">
        <v>3324</v>
      </c>
      <c r="M173" s="30">
        <v>60</v>
      </c>
      <c r="N173" s="30">
        <v>0</v>
      </c>
      <c r="O173" s="30">
        <v>69070</v>
      </c>
      <c r="P173" s="29" t="s">
        <v>534</v>
      </c>
      <c r="Q173" s="29" t="s">
        <v>506</v>
      </c>
      <c r="R173" s="140" t="s">
        <v>479</v>
      </c>
    </row>
    <row r="174" spans="1:18">
      <c r="A174" s="139">
        <v>2</v>
      </c>
      <c r="B174" s="30">
        <v>5</v>
      </c>
      <c r="C174" s="1">
        <v>42886</v>
      </c>
      <c r="D174" s="27">
        <v>761448</v>
      </c>
      <c r="E174" s="30">
        <v>2017</v>
      </c>
      <c r="F174" s="30">
        <v>2</v>
      </c>
      <c r="G174" s="1">
        <v>42835</v>
      </c>
      <c r="H174" s="27">
        <v>755291</v>
      </c>
      <c r="I174" s="24">
        <v>650</v>
      </c>
      <c r="J174" s="24">
        <v>-650</v>
      </c>
      <c r="K174" s="30">
        <v>13</v>
      </c>
      <c r="L174" s="30">
        <v>3324</v>
      </c>
      <c r="M174" s="30">
        <v>85</v>
      </c>
      <c r="N174" s="30">
        <v>0</v>
      </c>
      <c r="O174" s="30">
        <v>69070</v>
      </c>
      <c r="P174" s="29" t="s">
        <v>534</v>
      </c>
      <c r="Q174" s="29" t="s">
        <v>506</v>
      </c>
      <c r="R174" s="140" t="s">
        <v>479</v>
      </c>
    </row>
    <row r="175" spans="1:18">
      <c r="A175" s="139">
        <v>2</v>
      </c>
      <c r="B175" s="30">
        <v>5</v>
      </c>
      <c r="C175" s="1">
        <v>42886</v>
      </c>
      <c r="D175" s="27">
        <v>761448</v>
      </c>
      <c r="E175" s="30">
        <v>2017</v>
      </c>
      <c r="F175" s="30">
        <v>2</v>
      </c>
      <c r="G175" s="1">
        <v>42835</v>
      </c>
      <c r="H175" s="27">
        <v>755297</v>
      </c>
      <c r="I175" s="24">
        <v>3416.76</v>
      </c>
      <c r="J175" s="24">
        <v>-3416.76</v>
      </c>
      <c r="K175" s="30">
        <v>24</v>
      </c>
      <c r="L175" s="30">
        <v>1692</v>
      </c>
      <c r="M175" s="30">
        <v>60</v>
      </c>
      <c r="N175" s="30">
        <v>0</v>
      </c>
      <c r="O175" s="30">
        <v>28502</v>
      </c>
      <c r="P175" s="29" t="s">
        <v>535</v>
      </c>
      <c r="Q175" s="29" t="s">
        <v>536</v>
      </c>
      <c r="R175" s="140" t="s">
        <v>435</v>
      </c>
    </row>
    <row r="176" spans="1:18">
      <c r="A176" s="139">
        <v>2</v>
      </c>
      <c r="B176" s="30">
        <v>5</v>
      </c>
      <c r="C176" s="1">
        <v>42886</v>
      </c>
      <c r="D176" s="27">
        <v>761448</v>
      </c>
      <c r="E176" s="30">
        <v>2017</v>
      </c>
      <c r="F176" s="30">
        <v>2</v>
      </c>
      <c r="G176" s="1">
        <v>42835</v>
      </c>
      <c r="H176" s="27">
        <v>755297</v>
      </c>
      <c r="I176" s="24">
        <v>444</v>
      </c>
      <c r="J176" s="24">
        <v>-444</v>
      </c>
      <c r="K176" s="30">
        <v>24</v>
      </c>
      <c r="L176" s="30">
        <v>1692</v>
      </c>
      <c r="M176" s="30">
        <v>85</v>
      </c>
      <c r="N176" s="30">
        <v>0</v>
      </c>
      <c r="O176" s="30">
        <v>28502</v>
      </c>
      <c r="P176" s="29" t="s">
        <v>535</v>
      </c>
      <c r="Q176" s="29" t="s">
        <v>536</v>
      </c>
      <c r="R176" s="140" t="s">
        <v>435</v>
      </c>
    </row>
    <row r="177" spans="1:18">
      <c r="A177" s="139">
        <v>2</v>
      </c>
      <c r="B177" s="30">
        <v>5</v>
      </c>
      <c r="C177" s="1">
        <v>42886</v>
      </c>
      <c r="D177" s="27">
        <v>761448</v>
      </c>
      <c r="E177" s="30">
        <v>2017</v>
      </c>
      <c r="F177" s="30">
        <v>2</v>
      </c>
      <c r="G177" s="1">
        <v>42835</v>
      </c>
      <c r="H177" s="27">
        <v>755291</v>
      </c>
      <c r="I177" s="24">
        <v>19381.98</v>
      </c>
      <c r="J177" s="24">
        <v>-19381.98</v>
      </c>
      <c r="K177" s="30">
        <v>9</v>
      </c>
      <c r="L177" s="30">
        <v>80</v>
      </c>
      <c r="M177" s="30">
        <v>60</v>
      </c>
      <c r="N177" s="30">
        <v>0</v>
      </c>
      <c r="O177" s="30">
        <v>7419</v>
      </c>
      <c r="P177" s="29" t="s">
        <v>537</v>
      </c>
      <c r="Q177" s="29" t="s">
        <v>413</v>
      </c>
      <c r="R177" s="140" t="s">
        <v>402</v>
      </c>
    </row>
    <row r="178" spans="1:18">
      <c r="A178" s="139">
        <v>2</v>
      </c>
      <c r="B178" s="30">
        <v>5</v>
      </c>
      <c r="C178" s="1">
        <v>42886</v>
      </c>
      <c r="D178" s="27">
        <v>761448</v>
      </c>
      <c r="E178" s="30">
        <v>2017</v>
      </c>
      <c r="F178" s="30">
        <v>2</v>
      </c>
      <c r="G178" s="1">
        <v>42835</v>
      </c>
      <c r="H178" s="27">
        <v>755291</v>
      </c>
      <c r="I178" s="24">
        <v>2520</v>
      </c>
      <c r="J178" s="24">
        <v>-2520</v>
      </c>
      <c r="K178" s="30">
        <v>9</v>
      </c>
      <c r="L178" s="30">
        <v>80</v>
      </c>
      <c r="M178" s="30">
        <v>85</v>
      </c>
      <c r="N178" s="30">
        <v>0</v>
      </c>
      <c r="O178" s="30">
        <v>7419</v>
      </c>
      <c r="P178" s="29" t="s">
        <v>537</v>
      </c>
      <c r="Q178" s="29" t="s">
        <v>413</v>
      </c>
      <c r="R178" s="140" t="s">
        <v>402</v>
      </c>
    </row>
    <row r="179" spans="1:18">
      <c r="A179" s="139">
        <v>2</v>
      </c>
      <c r="B179" s="30">
        <v>5</v>
      </c>
      <c r="C179" s="1">
        <v>42886</v>
      </c>
      <c r="D179" s="27">
        <v>761448</v>
      </c>
      <c r="E179" s="30">
        <v>2017</v>
      </c>
      <c r="F179" s="30">
        <v>1</v>
      </c>
      <c r="G179" s="1">
        <v>42804</v>
      </c>
      <c r="H179" s="27">
        <v>749821</v>
      </c>
      <c r="I179" s="24">
        <v>3026.2000000000003</v>
      </c>
      <c r="J179" s="24">
        <v>-3026.2</v>
      </c>
      <c r="K179" s="30">
        <v>140</v>
      </c>
      <c r="L179" s="30">
        <v>823</v>
      </c>
      <c r="M179" s="30">
        <v>60</v>
      </c>
      <c r="N179" s="30">
        <v>0</v>
      </c>
      <c r="O179" s="30">
        <v>60290</v>
      </c>
      <c r="P179" s="29" t="s">
        <v>538</v>
      </c>
      <c r="Q179" s="29" t="s">
        <v>539</v>
      </c>
      <c r="R179" s="140" t="s">
        <v>540</v>
      </c>
    </row>
    <row r="180" spans="1:18">
      <c r="A180" s="139">
        <v>2</v>
      </c>
      <c r="B180" s="30">
        <v>5</v>
      </c>
      <c r="C180" s="1">
        <v>42886</v>
      </c>
      <c r="D180" s="27">
        <v>761448</v>
      </c>
      <c r="E180" s="30">
        <v>2017</v>
      </c>
      <c r="F180" s="30">
        <v>1</v>
      </c>
      <c r="G180" s="1">
        <v>42804</v>
      </c>
      <c r="H180" s="27">
        <v>749821</v>
      </c>
      <c r="I180" s="24">
        <v>393</v>
      </c>
      <c r="J180" s="24">
        <v>-393</v>
      </c>
      <c r="K180" s="30">
        <v>140</v>
      </c>
      <c r="L180" s="30">
        <v>823</v>
      </c>
      <c r="M180" s="30">
        <v>85</v>
      </c>
      <c r="N180" s="30">
        <v>0</v>
      </c>
      <c r="O180" s="30">
        <v>60290</v>
      </c>
      <c r="P180" s="29" t="s">
        <v>538</v>
      </c>
      <c r="Q180" s="29" t="s">
        <v>539</v>
      </c>
      <c r="R180" s="140" t="s">
        <v>540</v>
      </c>
    </row>
    <row r="181" spans="1:18">
      <c r="A181" s="139">
        <v>2</v>
      </c>
      <c r="B181" s="30">
        <v>5</v>
      </c>
      <c r="C181" s="1">
        <v>42886</v>
      </c>
      <c r="D181" s="27">
        <v>761448</v>
      </c>
      <c r="E181" s="30">
        <v>2017</v>
      </c>
      <c r="F181" s="30">
        <v>2</v>
      </c>
      <c r="G181" s="1">
        <v>42835</v>
      </c>
      <c r="H181" s="27">
        <v>755299</v>
      </c>
      <c r="I181" s="24">
        <v>1880.9</v>
      </c>
      <c r="J181" s="24">
        <v>-1880.9</v>
      </c>
      <c r="K181" s="30">
        <v>297</v>
      </c>
      <c r="L181" s="30">
        <v>175</v>
      </c>
      <c r="M181" s="30">
        <v>60</v>
      </c>
      <c r="N181" s="30">
        <v>0</v>
      </c>
      <c r="O181" s="30">
        <v>798044</v>
      </c>
      <c r="P181" s="29" t="s">
        <v>541</v>
      </c>
      <c r="Q181" s="29" t="s">
        <v>434</v>
      </c>
      <c r="R181" s="140" t="s">
        <v>444</v>
      </c>
    </row>
    <row r="182" spans="1:18">
      <c r="A182" s="139">
        <v>2</v>
      </c>
      <c r="B182" s="30">
        <v>5</v>
      </c>
      <c r="C182" s="1">
        <v>42886</v>
      </c>
      <c r="D182" s="27">
        <v>761448</v>
      </c>
      <c r="E182" s="30">
        <v>2017</v>
      </c>
      <c r="F182" s="30">
        <v>2</v>
      </c>
      <c r="G182" s="1">
        <v>42835</v>
      </c>
      <c r="H182" s="27">
        <v>755299</v>
      </c>
      <c r="I182" s="24">
        <v>245</v>
      </c>
      <c r="J182" s="24">
        <v>-245</v>
      </c>
      <c r="K182" s="30">
        <v>297</v>
      </c>
      <c r="L182" s="30">
        <v>175</v>
      </c>
      <c r="M182" s="30">
        <v>85</v>
      </c>
      <c r="N182" s="30">
        <v>0</v>
      </c>
      <c r="O182" s="30">
        <v>798044</v>
      </c>
      <c r="P182" s="29" t="s">
        <v>541</v>
      </c>
      <c r="Q182" s="29" t="s">
        <v>434</v>
      </c>
      <c r="R182" s="140" t="s">
        <v>444</v>
      </c>
    </row>
    <row r="183" spans="1:18">
      <c r="A183" s="139">
        <v>2</v>
      </c>
      <c r="B183" s="30">
        <v>5</v>
      </c>
      <c r="C183" s="1">
        <v>42886</v>
      </c>
      <c r="D183" s="27">
        <v>761448</v>
      </c>
      <c r="E183" s="30">
        <v>2017</v>
      </c>
      <c r="F183" s="30">
        <v>2</v>
      </c>
      <c r="G183" s="1">
        <v>42835</v>
      </c>
      <c r="H183" s="27">
        <v>755291</v>
      </c>
      <c r="I183" s="24">
        <v>1328.4</v>
      </c>
      <c r="J183" s="24">
        <v>-1328.4</v>
      </c>
      <c r="K183" s="30">
        <v>15</v>
      </c>
      <c r="L183" s="30">
        <v>460</v>
      </c>
      <c r="M183" s="30">
        <v>60</v>
      </c>
      <c r="N183" s="30">
        <v>0</v>
      </c>
      <c r="O183" s="30">
        <v>8790</v>
      </c>
      <c r="P183" s="29" t="s">
        <v>542</v>
      </c>
      <c r="Q183" s="29" t="s">
        <v>413</v>
      </c>
      <c r="R183" s="140" t="s">
        <v>387</v>
      </c>
    </row>
    <row r="184" spans="1:18">
      <c r="A184" s="139">
        <v>2</v>
      </c>
      <c r="B184" s="30">
        <v>5</v>
      </c>
      <c r="C184" s="1">
        <v>42886</v>
      </c>
      <c r="D184" s="27">
        <v>761448</v>
      </c>
      <c r="E184" s="30">
        <v>2017</v>
      </c>
      <c r="F184" s="30">
        <v>2</v>
      </c>
      <c r="G184" s="1">
        <v>42835</v>
      </c>
      <c r="H184" s="27">
        <v>755291</v>
      </c>
      <c r="I184" s="24">
        <v>173</v>
      </c>
      <c r="J184" s="24">
        <v>-173</v>
      </c>
      <c r="K184" s="30">
        <v>15</v>
      </c>
      <c r="L184" s="30">
        <v>460</v>
      </c>
      <c r="M184" s="30">
        <v>85</v>
      </c>
      <c r="N184" s="30">
        <v>0</v>
      </c>
      <c r="O184" s="30">
        <v>8790</v>
      </c>
      <c r="P184" s="29" t="s">
        <v>542</v>
      </c>
      <c r="Q184" s="29" t="s">
        <v>413</v>
      </c>
      <c r="R184" s="140" t="s">
        <v>387</v>
      </c>
    </row>
    <row r="185" spans="1:18">
      <c r="A185" s="139">
        <v>2</v>
      </c>
      <c r="B185" s="30">
        <v>5</v>
      </c>
      <c r="C185" s="1">
        <v>42886</v>
      </c>
      <c r="D185" s="27">
        <v>761448</v>
      </c>
      <c r="E185" s="30">
        <v>2017</v>
      </c>
      <c r="F185" s="30">
        <v>2</v>
      </c>
      <c r="G185" s="1">
        <v>42858</v>
      </c>
      <c r="H185" s="27">
        <v>759733</v>
      </c>
      <c r="I185" s="24">
        <v>5440.1</v>
      </c>
      <c r="J185" s="24">
        <v>-5440.1</v>
      </c>
      <c r="K185" s="30">
        <v>140</v>
      </c>
      <c r="L185" s="30">
        <v>1057</v>
      </c>
      <c r="M185" s="30">
        <v>60</v>
      </c>
      <c r="N185" s="30">
        <v>0</v>
      </c>
      <c r="O185" s="30">
        <v>63756</v>
      </c>
      <c r="P185" s="29" t="s">
        <v>543</v>
      </c>
      <c r="Q185" s="29" t="s">
        <v>446</v>
      </c>
      <c r="R185" s="140" t="s">
        <v>544</v>
      </c>
    </row>
    <row r="186" spans="1:18">
      <c r="A186" s="139">
        <v>2</v>
      </c>
      <c r="B186" s="30">
        <v>5</v>
      </c>
      <c r="C186" s="1">
        <v>42886</v>
      </c>
      <c r="D186" s="27">
        <v>761448</v>
      </c>
      <c r="E186" s="30">
        <v>2017</v>
      </c>
      <c r="F186" s="30">
        <v>2</v>
      </c>
      <c r="G186" s="1">
        <v>42858</v>
      </c>
      <c r="H186" s="27">
        <v>759733</v>
      </c>
      <c r="I186" s="24">
        <v>707</v>
      </c>
      <c r="J186" s="24">
        <v>-707</v>
      </c>
      <c r="K186" s="30">
        <v>140</v>
      </c>
      <c r="L186" s="30">
        <v>1057</v>
      </c>
      <c r="M186" s="30">
        <v>85</v>
      </c>
      <c r="N186" s="30">
        <v>0</v>
      </c>
      <c r="O186" s="30">
        <v>63756</v>
      </c>
      <c r="P186" s="29" t="s">
        <v>543</v>
      </c>
      <c r="Q186" s="29" t="s">
        <v>446</v>
      </c>
      <c r="R186" s="140" t="s">
        <v>544</v>
      </c>
    </row>
    <row r="187" spans="1:18">
      <c r="A187" s="139">
        <v>2</v>
      </c>
      <c r="B187" s="30">
        <v>5</v>
      </c>
      <c r="C187" s="1">
        <v>42886</v>
      </c>
      <c r="D187" s="27">
        <v>761448</v>
      </c>
      <c r="E187" s="30">
        <v>2017</v>
      </c>
      <c r="F187" s="30">
        <v>2</v>
      </c>
      <c r="G187" s="1">
        <v>42859</v>
      </c>
      <c r="H187" s="27">
        <v>759727</v>
      </c>
      <c r="I187" s="24">
        <v>14887.7</v>
      </c>
      <c r="J187" s="24">
        <v>-14887.7</v>
      </c>
      <c r="K187" s="30">
        <v>7</v>
      </c>
      <c r="L187" s="30">
        <v>184</v>
      </c>
      <c r="M187" s="30">
        <v>60</v>
      </c>
      <c r="N187" s="30">
        <v>0</v>
      </c>
      <c r="O187" s="30">
        <v>2744</v>
      </c>
      <c r="P187" s="29" t="s">
        <v>545</v>
      </c>
      <c r="Q187" s="29" t="s">
        <v>493</v>
      </c>
      <c r="R187" s="140" t="s">
        <v>479</v>
      </c>
    </row>
    <row r="188" spans="1:18">
      <c r="A188" s="139">
        <v>2</v>
      </c>
      <c r="B188" s="30">
        <v>5</v>
      </c>
      <c r="C188" s="1">
        <v>42886</v>
      </c>
      <c r="D188" s="27">
        <v>761448</v>
      </c>
      <c r="E188" s="30">
        <v>2017</v>
      </c>
      <c r="F188" s="30">
        <v>2</v>
      </c>
      <c r="G188" s="1">
        <v>42859</v>
      </c>
      <c r="H188" s="27">
        <v>759727</v>
      </c>
      <c r="I188" s="24">
        <v>1935</v>
      </c>
      <c r="J188" s="24">
        <v>-1935</v>
      </c>
      <c r="K188" s="30">
        <v>7</v>
      </c>
      <c r="L188" s="30">
        <v>184</v>
      </c>
      <c r="M188" s="30">
        <v>85</v>
      </c>
      <c r="N188" s="30">
        <v>0</v>
      </c>
      <c r="O188" s="30">
        <v>2744</v>
      </c>
      <c r="P188" s="29" t="s">
        <v>545</v>
      </c>
      <c r="Q188" s="29" t="s">
        <v>493</v>
      </c>
      <c r="R188" s="140" t="s">
        <v>479</v>
      </c>
    </row>
    <row r="189" spans="1:18">
      <c r="A189" s="139">
        <v>2</v>
      </c>
      <c r="B189" s="30">
        <v>5</v>
      </c>
      <c r="C189" s="1">
        <v>42886</v>
      </c>
      <c r="D189" s="27">
        <v>761448</v>
      </c>
      <c r="E189" s="30">
        <v>2017</v>
      </c>
      <c r="F189" s="30">
        <v>1</v>
      </c>
      <c r="G189" s="1">
        <v>42804</v>
      </c>
      <c r="H189" s="27">
        <v>749816</v>
      </c>
      <c r="I189" s="24">
        <v>9154.4</v>
      </c>
      <c r="J189" s="24">
        <v>-9154.4</v>
      </c>
      <c r="K189" s="30">
        <v>343</v>
      </c>
      <c r="L189" s="30">
        <v>669</v>
      </c>
      <c r="M189" s="30">
        <v>60</v>
      </c>
      <c r="N189" s="30">
        <v>0</v>
      </c>
      <c r="O189" s="30">
        <v>67615</v>
      </c>
      <c r="P189" s="29" t="s">
        <v>546</v>
      </c>
      <c r="Q189" s="29" t="s">
        <v>410</v>
      </c>
      <c r="R189" s="140" t="s">
        <v>411</v>
      </c>
    </row>
    <row r="190" spans="1:18">
      <c r="A190" s="139">
        <v>2</v>
      </c>
      <c r="B190" s="30">
        <v>5</v>
      </c>
      <c r="C190" s="1">
        <v>42886</v>
      </c>
      <c r="D190" s="27">
        <v>761448</v>
      </c>
      <c r="E190" s="30">
        <v>2017</v>
      </c>
      <c r="F190" s="30">
        <v>1</v>
      </c>
      <c r="G190" s="1">
        <v>42804</v>
      </c>
      <c r="H190" s="27">
        <v>749816</v>
      </c>
      <c r="I190" s="24">
        <v>1190</v>
      </c>
      <c r="J190" s="24">
        <v>-1190</v>
      </c>
      <c r="K190" s="30">
        <v>343</v>
      </c>
      <c r="L190" s="30">
        <v>669</v>
      </c>
      <c r="M190" s="30">
        <v>85</v>
      </c>
      <c r="N190" s="30">
        <v>0</v>
      </c>
      <c r="O190" s="30">
        <v>67615</v>
      </c>
      <c r="P190" s="29" t="s">
        <v>546</v>
      </c>
      <c r="Q190" s="29" t="s">
        <v>410</v>
      </c>
      <c r="R190" s="140" t="s">
        <v>411</v>
      </c>
    </row>
    <row r="191" spans="1:18">
      <c r="A191" s="139">
        <v>2</v>
      </c>
      <c r="B191" s="30">
        <v>6</v>
      </c>
      <c r="C191" s="1">
        <v>42888</v>
      </c>
      <c r="D191" s="27">
        <v>764887</v>
      </c>
      <c r="E191" s="30">
        <v>2016</v>
      </c>
      <c r="F191" s="30">
        <v>3</v>
      </c>
      <c r="G191" s="1">
        <v>42636</v>
      </c>
      <c r="H191" s="27">
        <v>722118</v>
      </c>
      <c r="I191" s="24">
        <v>277000</v>
      </c>
      <c r="J191" s="24">
        <v>-259000</v>
      </c>
      <c r="K191" s="30">
        <v>991</v>
      </c>
      <c r="L191" s="30">
        <v>6163</v>
      </c>
      <c r="M191" s="30">
        <v>55</v>
      </c>
      <c r="N191" s="30">
        <v>1</v>
      </c>
      <c r="O191" s="30">
        <v>181196</v>
      </c>
      <c r="P191" s="29" t="s">
        <v>547</v>
      </c>
      <c r="Q191" s="29" t="s">
        <v>383</v>
      </c>
      <c r="R191" s="140" t="s">
        <v>548</v>
      </c>
    </row>
    <row r="192" spans="1:18">
      <c r="A192" s="139">
        <v>2</v>
      </c>
      <c r="B192" s="30">
        <v>6</v>
      </c>
      <c r="C192" s="1">
        <v>42888</v>
      </c>
      <c r="D192" s="27">
        <v>764887</v>
      </c>
      <c r="E192" s="30">
        <v>2016</v>
      </c>
      <c r="F192" s="30">
        <v>3</v>
      </c>
      <c r="G192" s="1">
        <v>42636</v>
      </c>
      <c r="H192" s="27">
        <v>722118</v>
      </c>
      <c r="I192" s="24">
        <v>47746</v>
      </c>
      <c r="J192" s="24">
        <v>-33670</v>
      </c>
      <c r="K192" s="30">
        <v>991</v>
      </c>
      <c r="L192" s="30">
        <v>6163</v>
      </c>
      <c r="M192" s="30">
        <v>85</v>
      </c>
      <c r="N192" s="30">
        <v>2</v>
      </c>
      <c r="O192" s="30">
        <v>181196</v>
      </c>
      <c r="P192" s="29" t="s">
        <v>547</v>
      </c>
      <c r="Q192" s="29" t="s">
        <v>383</v>
      </c>
      <c r="R192" s="140" t="s">
        <v>548</v>
      </c>
    </row>
    <row r="193" spans="1:18">
      <c r="A193" s="139">
        <v>2</v>
      </c>
      <c r="B193" s="30">
        <v>6</v>
      </c>
      <c r="C193" s="1">
        <v>42888</v>
      </c>
      <c r="D193" s="27">
        <v>764859</v>
      </c>
      <c r="E193" s="30">
        <v>2016</v>
      </c>
      <c r="F193" s="30">
        <v>3</v>
      </c>
      <c r="G193" s="1">
        <v>42580</v>
      </c>
      <c r="H193" s="27">
        <v>712095</v>
      </c>
      <c r="I193" s="24">
        <v>76000</v>
      </c>
      <c r="J193" s="24">
        <v>-6000</v>
      </c>
      <c r="K193" s="30">
        <v>991</v>
      </c>
      <c r="L193" s="30">
        <v>26626</v>
      </c>
      <c r="M193" s="30">
        <v>55</v>
      </c>
      <c r="N193" s="30">
        <v>1</v>
      </c>
      <c r="O193" s="30">
        <v>309540</v>
      </c>
      <c r="P193" s="29" t="s">
        <v>549</v>
      </c>
      <c r="Q193" s="29" t="s">
        <v>413</v>
      </c>
      <c r="R193" s="140" t="s">
        <v>387</v>
      </c>
    </row>
    <row r="194" spans="1:18">
      <c r="A194" s="139">
        <v>2</v>
      </c>
      <c r="B194" s="30">
        <v>6</v>
      </c>
      <c r="C194" s="1">
        <v>42888</v>
      </c>
      <c r="D194" s="27">
        <v>764859</v>
      </c>
      <c r="E194" s="30">
        <v>2016</v>
      </c>
      <c r="F194" s="30">
        <v>3</v>
      </c>
      <c r="G194" s="1">
        <v>42580</v>
      </c>
      <c r="H194" s="27">
        <v>712095</v>
      </c>
      <c r="I194" s="24">
        <v>15904</v>
      </c>
      <c r="J194" s="24">
        <v>-780</v>
      </c>
      <c r="K194" s="30">
        <v>991</v>
      </c>
      <c r="L194" s="30">
        <v>26626</v>
      </c>
      <c r="M194" s="30">
        <v>85</v>
      </c>
      <c r="N194" s="30">
        <v>2</v>
      </c>
      <c r="O194" s="30">
        <v>309540</v>
      </c>
      <c r="P194" s="29" t="s">
        <v>549</v>
      </c>
      <c r="Q194" s="29" t="s">
        <v>413</v>
      </c>
      <c r="R194" s="140" t="s">
        <v>387</v>
      </c>
    </row>
    <row r="195" spans="1:18">
      <c r="A195" s="139">
        <v>2</v>
      </c>
      <c r="B195" s="30">
        <v>6</v>
      </c>
      <c r="C195" s="1">
        <v>42899</v>
      </c>
      <c r="D195" s="27">
        <v>767317</v>
      </c>
      <c r="E195" s="30">
        <v>2016</v>
      </c>
      <c r="F195" s="30">
        <v>3</v>
      </c>
      <c r="G195" s="1">
        <v>42636</v>
      </c>
      <c r="H195" s="27">
        <v>722108</v>
      </c>
      <c r="I195" s="24">
        <v>445000</v>
      </c>
      <c r="J195" s="24">
        <v>-445000</v>
      </c>
      <c r="K195" s="30">
        <v>991</v>
      </c>
      <c r="L195" s="30">
        <v>2325</v>
      </c>
      <c r="M195" s="30">
        <v>55</v>
      </c>
      <c r="N195" s="30">
        <v>1</v>
      </c>
      <c r="O195" s="30">
        <v>140164</v>
      </c>
      <c r="P195" s="29" t="s">
        <v>550</v>
      </c>
      <c r="Q195" s="29" t="s">
        <v>386</v>
      </c>
      <c r="R195" s="140" t="s">
        <v>408</v>
      </c>
    </row>
    <row r="196" spans="1:18">
      <c r="A196" s="139">
        <v>2</v>
      </c>
      <c r="B196" s="30">
        <v>6</v>
      </c>
      <c r="C196" s="1">
        <v>42899</v>
      </c>
      <c r="D196" s="27">
        <v>767317</v>
      </c>
      <c r="E196" s="30">
        <v>2016</v>
      </c>
      <c r="F196" s="30">
        <v>3</v>
      </c>
      <c r="G196" s="1">
        <v>42636</v>
      </c>
      <c r="H196" s="27">
        <v>722108</v>
      </c>
      <c r="I196" s="24">
        <v>91305</v>
      </c>
      <c r="J196" s="24">
        <v>-57850</v>
      </c>
      <c r="K196" s="30">
        <v>991</v>
      </c>
      <c r="L196" s="30">
        <v>2325</v>
      </c>
      <c r="M196" s="30">
        <v>85</v>
      </c>
      <c r="N196" s="30">
        <v>2</v>
      </c>
      <c r="O196" s="30">
        <v>140164</v>
      </c>
      <c r="P196" s="29" t="s">
        <v>550</v>
      </c>
      <c r="Q196" s="29" t="s">
        <v>386</v>
      </c>
      <c r="R196" s="140" t="s">
        <v>408</v>
      </c>
    </row>
    <row r="197" spans="1:18">
      <c r="A197" s="139">
        <v>2</v>
      </c>
      <c r="B197" s="30">
        <v>6</v>
      </c>
      <c r="C197" s="1">
        <v>42902</v>
      </c>
      <c r="D197" s="27">
        <v>768422</v>
      </c>
      <c r="E197" s="30">
        <v>2016</v>
      </c>
      <c r="F197" s="30">
        <v>2</v>
      </c>
      <c r="G197" s="1">
        <v>42517</v>
      </c>
      <c r="H197" s="27">
        <v>699657</v>
      </c>
      <c r="I197" s="24">
        <v>53500</v>
      </c>
      <c r="J197" s="24">
        <v>-53500</v>
      </c>
      <c r="K197" s="30">
        <v>991</v>
      </c>
      <c r="L197" s="30">
        <v>3534</v>
      </c>
      <c r="M197" s="30">
        <v>55</v>
      </c>
      <c r="N197" s="30">
        <v>1</v>
      </c>
      <c r="O197" s="30">
        <v>145851</v>
      </c>
      <c r="P197" s="29" t="s">
        <v>551</v>
      </c>
      <c r="Q197" s="29" t="s">
        <v>552</v>
      </c>
      <c r="R197" s="140" t="s">
        <v>387</v>
      </c>
    </row>
    <row r="198" spans="1:18">
      <c r="A198" s="139">
        <v>2</v>
      </c>
      <c r="B198" s="30">
        <v>6</v>
      </c>
      <c r="C198" s="1">
        <v>42902</v>
      </c>
      <c r="D198" s="27">
        <v>768422</v>
      </c>
      <c r="E198" s="30">
        <v>2016</v>
      </c>
      <c r="F198" s="30">
        <v>2</v>
      </c>
      <c r="G198" s="1">
        <v>42517</v>
      </c>
      <c r="H198" s="27">
        <v>699657</v>
      </c>
      <c r="I198" s="24">
        <v>10809</v>
      </c>
      <c r="J198" s="24">
        <v>-6955</v>
      </c>
      <c r="K198" s="30">
        <v>991</v>
      </c>
      <c r="L198" s="30">
        <v>3534</v>
      </c>
      <c r="M198" s="30">
        <v>85</v>
      </c>
      <c r="N198" s="30">
        <v>2</v>
      </c>
      <c r="O198" s="30">
        <v>145851</v>
      </c>
      <c r="P198" s="29" t="s">
        <v>551</v>
      </c>
      <c r="Q198" s="29" t="s">
        <v>552</v>
      </c>
      <c r="R198" s="140" t="s">
        <v>387</v>
      </c>
    </row>
    <row r="199" spans="1:18">
      <c r="A199" s="139">
        <v>2</v>
      </c>
      <c r="B199" s="30">
        <v>6</v>
      </c>
      <c r="C199" s="1">
        <v>42907</v>
      </c>
      <c r="D199" s="27">
        <v>769500</v>
      </c>
      <c r="E199" s="30">
        <v>2016</v>
      </c>
      <c r="F199" s="30">
        <v>4</v>
      </c>
      <c r="G199" s="1">
        <v>42706</v>
      </c>
      <c r="H199" s="27">
        <v>733172</v>
      </c>
      <c r="I199" s="24">
        <v>4000</v>
      </c>
      <c r="J199" s="24">
        <v>-4000</v>
      </c>
      <c r="K199" s="30">
        <v>991</v>
      </c>
      <c r="L199" s="30">
        <v>64983</v>
      </c>
      <c r="M199" s="30">
        <v>55</v>
      </c>
      <c r="N199" s="30">
        <v>1</v>
      </c>
      <c r="O199" s="30">
        <v>1023212</v>
      </c>
      <c r="P199" s="29" t="s">
        <v>553</v>
      </c>
      <c r="Q199" s="29" t="s">
        <v>554</v>
      </c>
      <c r="R199" s="140" t="s">
        <v>555</v>
      </c>
    </row>
    <row r="200" spans="1:18">
      <c r="A200" s="139">
        <v>2</v>
      </c>
      <c r="B200" s="30">
        <v>6</v>
      </c>
      <c r="C200" s="1">
        <v>42907</v>
      </c>
      <c r="D200" s="27">
        <v>769500</v>
      </c>
      <c r="E200" s="30">
        <v>2016</v>
      </c>
      <c r="F200" s="30">
        <v>4</v>
      </c>
      <c r="G200" s="1">
        <v>42706</v>
      </c>
      <c r="H200" s="27">
        <v>733172</v>
      </c>
      <c r="I200" s="24">
        <v>832</v>
      </c>
      <c r="J200" s="24">
        <v>-520</v>
      </c>
      <c r="K200" s="30">
        <v>991</v>
      </c>
      <c r="L200" s="30">
        <v>64983</v>
      </c>
      <c r="M200" s="30">
        <v>85</v>
      </c>
      <c r="N200" s="30">
        <v>2</v>
      </c>
      <c r="O200" s="30">
        <v>1023212</v>
      </c>
      <c r="P200" s="29" t="s">
        <v>553</v>
      </c>
      <c r="Q200" s="29" t="s">
        <v>554</v>
      </c>
      <c r="R200" s="140" t="s">
        <v>555</v>
      </c>
    </row>
    <row r="201" spans="1:18">
      <c r="A201" s="139">
        <v>2</v>
      </c>
      <c r="B201" s="30">
        <v>6</v>
      </c>
      <c r="C201" s="1">
        <v>42907</v>
      </c>
      <c r="D201" s="27">
        <v>769482</v>
      </c>
      <c r="E201" s="30">
        <v>2017</v>
      </c>
      <c r="F201" s="30">
        <v>2</v>
      </c>
      <c r="G201" s="1">
        <v>42853</v>
      </c>
      <c r="H201" s="27">
        <v>759615</v>
      </c>
      <c r="I201" s="24">
        <v>12000</v>
      </c>
      <c r="J201" s="24">
        <v>-12000</v>
      </c>
      <c r="K201" s="30">
        <v>991</v>
      </c>
      <c r="L201" s="30">
        <v>6779</v>
      </c>
      <c r="M201" s="30">
        <v>55</v>
      </c>
      <c r="N201" s="30">
        <v>1</v>
      </c>
      <c r="O201" s="30">
        <v>183799</v>
      </c>
      <c r="P201" s="29" t="s">
        <v>556</v>
      </c>
      <c r="Q201" s="29" t="s">
        <v>425</v>
      </c>
      <c r="R201" s="140" t="s">
        <v>482</v>
      </c>
    </row>
    <row r="202" spans="1:18">
      <c r="A202" s="139">
        <v>2</v>
      </c>
      <c r="B202" s="30">
        <v>6</v>
      </c>
      <c r="C202" s="1">
        <v>42907</v>
      </c>
      <c r="D202" s="27">
        <v>769482</v>
      </c>
      <c r="E202" s="30">
        <v>2017</v>
      </c>
      <c r="F202" s="30">
        <v>2</v>
      </c>
      <c r="G202" s="1">
        <v>42853</v>
      </c>
      <c r="H202" s="27">
        <v>759615</v>
      </c>
      <c r="I202" s="24">
        <v>10316</v>
      </c>
      <c r="J202" s="24">
        <v>-1560</v>
      </c>
      <c r="K202" s="30">
        <v>991</v>
      </c>
      <c r="L202" s="30">
        <v>6779</v>
      </c>
      <c r="M202" s="30">
        <v>85</v>
      </c>
      <c r="N202" s="30">
        <v>2</v>
      </c>
      <c r="O202" s="30">
        <v>183799</v>
      </c>
      <c r="P202" s="29" t="s">
        <v>556</v>
      </c>
      <c r="Q202" s="29" t="s">
        <v>425</v>
      </c>
      <c r="R202" s="140" t="s">
        <v>482</v>
      </c>
    </row>
    <row r="203" spans="1:18">
      <c r="A203" s="139">
        <v>2</v>
      </c>
      <c r="B203" s="30">
        <v>6</v>
      </c>
      <c r="C203" s="1">
        <v>42916</v>
      </c>
      <c r="D203" s="27">
        <v>770339</v>
      </c>
      <c r="E203" s="30">
        <v>2017</v>
      </c>
      <c r="F203" s="30">
        <v>2</v>
      </c>
      <c r="G203" s="1">
        <v>42907</v>
      </c>
      <c r="H203" s="27">
        <v>769491</v>
      </c>
      <c r="I203" s="24">
        <v>10000</v>
      </c>
      <c r="J203" s="24">
        <v>-10000</v>
      </c>
      <c r="K203" s="30">
        <v>991</v>
      </c>
      <c r="L203" s="30">
        <v>39098</v>
      </c>
      <c r="M203" s="30">
        <v>55</v>
      </c>
      <c r="N203" s="30">
        <v>1</v>
      </c>
      <c r="O203" s="30">
        <v>570476</v>
      </c>
      <c r="P203" s="29" t="s">
        <v>557</v>
      </c>
      <c r="Q203" s="29" t="s">
        <v>558</v>
      </c>
      <c r="R203" s="140" t="s">
        <v>559</v>
      </c>
    </row>
    <row r="204" spans="1:18">
      <c r="A204" s="139">
        <v>2</v>
      </c>
      <c r="B204" s="30">
        <v>6</v>
      </c>
      <c r="C204" s="1">
        <v>42916</v>
      </c>
      <c r="D204" s="27">
        <v>770339</v>
      </c>
      <c r="E204" s="30">
        <v>2017</v>
      </c>
      <c r="F204" s="30">
        <v>2</v>
      </c>
      <c r="G204" s="1">
        <v>42907</v>
      </c>
      <c r="H204" s="27">
        <v>769491</v>
      </c>
      <c r="I204" s="24">
        <v>4087</v>
      </c>
      <c r="J204" s="24">
        <v>-1300</v>
      </c>
      <c r="K204" s="30">
        <v>991</v>
      </c>
      <c r="L204" s="30">
        <v>39098</v>
      </c>
      <c r="M204" s="30">
        <v>85</v>
      </c>
      <c r="N204" s="30">
        <v>2</v>
      </c>
      <c r="O204" s="30">
        <v>570476</v>
      </c>
      <c r="P204" s="29" t="s">
        <v>557</v>
      </c>
      <c r="Q204" s="29" t="s">
        <v>558</v>
      </c>
      <c r="R204" s="140" t="s">
        <v>559</v>
      </c>
    </row>
    <row r="205" spans="1:18">
      <c r="A205" s="139">
        <v>2</v>
      </c>
      <c r="B205" s="30">
        <v>6</v>
      </c>
      <c r="C205" s="1">
        <v>42916</v>
      </c>
      <c r="D205" s="27">
        <v>770340</v>
      </c>
      <c r="E205" s="30">
        <v>2017</v>
      </c>
      <c r="F205" s="30">
        <v>2</v>
      </c>
      <c r="G205" s="1">
        <v>42907</v>
      </c>
      <c r="H205" s="27">
        <v>769492</v>
      </c>
      <c r="I205" s="24">
        <v>25000</v>
      </c>
      <c r="J205" s="24">
        <v>-12000</v>
      </c>
      <c r="K205" s="30">
        <v>991</v>
      </c>
      <c r="L205" s="30">
        <v>53114</v>
      </c>
      <c r="M205" s="30">
        <v>55</v>
      </c>
      <c r="N205" s="30">
        <v>1</v>
      </c>
      <c r="O205" s="30">
        <v>802124</v>
      </c>
      <c r="P205" s="29" t="s">
        <v>560</v>
      </c>
      <c r="Q205" s="29" t="s">
        <v>425</v>
      </c>
      <c r="R205" s="140" t="s">
        <v>561</v>
      </c>
    </row>
    <row r="206" spans="1:18">
      <c r="A206" s="139">
        <v>2</v>
      </c>
      <c r="B206" s="30">
        <v>6</v>
      </c>
      <c r="C206" s="1">
        <v>42916</v>
      </c>
      <c r="D206" s="27">
        <v>770340</v>
      </c>
      <c r="E206" s="30">
        <v>2017</v>
      </c>
      <c r="F206" s="30">
        <v>2</v>
      </c>
      <c r="G206" s="1">
        <v>42907</v>
      </c>
      <c r="H206" s="27">
        <v>769492</v>
      </c>
      <c r="I206" s="24">
        <v>5249</v>
      </c>
      <c r="J206" s="24">
        <v>-1560</v>
      </c>
      <c r="K206" s="30">
        <v>991</v>
      </c>
      <c r="L206" s="30">
        <v>53114</v>
      </c>
      <c r="M206" s="30">
        <v>85</v>
      </c>
      <c r="N206" s="30">
        <v>2</v>
      </c>
      <c r="O206" s="30">
        <v>802124</v>
      </c>
      <c r="P206" s="29" t="s">
        <v>560</v>
      </c>
      <c r="Q206" s="29" t="s">
        <v>425</v>
      </c>
      <c r="R206" s="140" t="s">
        <v>561</v>
      </c>
    </row>
    <row r="207" spans="1:18">
      <c r="A207" s="139">
        <v>2</v>
      </c>
      <c r="B207" s="30">
        <v>6</v>
      </c>
      <c r="C207" s="1">
        <v>42916</v>
      </c>
      <c r="D207" s="27">
        <v>765499</v>
      </c>
      <c r="E207" s="30">
        <v>2017</v>
      </c>
      <c r="F207" s="30">
        <v>2</v>
      </c>
      <c r="G207" s="1">
        <v>42835</v>
      </c>
      <c r="H207" s="27">
        <v>755302</v>
      </c>
      <c r="I207" s="24">
        <v>5328.1</v>
      </c>
      <c r="J207" s="24">
        <v>-5328.1</v>
      </c>
      <c r="K207" s="30">
        <v>335</v>
      </c>
      <c r="L207" s="30">
        <v>76</v>
      </c>
      <c r="M207" s="30">
        <v>60</v>
      </c>
      <c r="N207" s="30">
        <v>0</v>
      </c>
      <c r="O207" s="30">
        <v>225423</v>
      </c>
      <c r="P207" s="29" t="s">
        <v>562</v>
      </c>
      <c r="Q207" s="29" t="s">
        <v>563</v>
      </c>
      <c r="R207" s="140" t="s">
        <v>564</v>
      </c>
    </row>
    <row r="208" spans="1:18">
      <c r="A208" s="139">
        <v>2</v>
      </c>
      <c r="B208" s="30">
        <v>6</v>
      </c>
      <c r="C208" s="1">
        <v>42916</v>
      </c>
      <c r="D208" s="27">
        <v>765499</v>
      </c>
      <c r="E208" s="30">
        <v>2017</v>
      </c>
      <c r="F208" s="30">
        <v>2</v>
      </c>
      <c r="G208" s="1">
        <v>42835</v>
      </c>
      <c r="H208" s="27">
        <v>755302</v>
      </c>
      <c r="I208" s="24">
        <v>628</v>
      </c>
      <c r="J208" s="24">
        <v>-628</v>
      </c>
      <c r="K208" s="30">
        <v>335</v>
      </c>
      <c r="L208" s="30">
        <v>76</v>
      </c>
      <c r="M208" s="30">
        <v>85</v>
      </c>
      <c r="N208" s="30">
        <v>0</v>
      </c>
      <c r="O208" s="30">
        <v>225423</v>
      </c>
      <c r="P208" s="29" t="s">
        <v>562</v>
      </c>
      <c r="Q208" s="29" t="s">
        <v>563</v>
      </c>
      <c r="R208" s="140" t="s">
        <v>564</v>
      </c>
    </row>
    <row r="209" spans="1:18">
      <c r="A209" s="139">
        <v>2</v>
      </c>
      <c r="B209" s="30">
        <v>6</v>
      </c>
      <c r="C209" s="1">
        <v>42916</v>
      </c>
      <c r="D209" s="27">
        <v>765499</v>
      </c>
      <c r="E209" s="30">
        <v>2017</v>
      </c>
      <c r="F209" s="30">
        <v>2</v>
      </c>
      <c r="G209" s="1">
        <v>42835</v>
      </c>
      <c r="H209" s="27">
        <v>755302</v>
      </c>
      <c r="I209" s="24">
        <v>500</v>
      </c>
      <c r="J209" s="24">
        <v>-500</v>
      </c>
      <c r="K209" s="30">
        <v>335</v>
      </c>
      <c r="L209" s="30">
        <v>76</v>
      </c>
      <c r="M209" s="30">
        <v>1025</v>
      </c>
      <c r="N209" s="30">
        <v>0</v>
      </c>
      <c r="O209" s="30">
        <v>225423</v>
      </c>
      <c r="P209" s="29" t="s">
        <v>562</v>
      </c>
      <c r="Q209" s="29" t="s">
        <v>563</v>
      </c>
      <c r="R209" s="140" t="s">
        <v>564</v>
      </c>
    </row>
    <row r="210" spans="1:18">
      <c r="A210" s="139">
        <v>2</v>
      </c>
      <c r="B210" s="30">
        <v>6</v>
      </c>
      <c r="C210" s="1">
        <v>42916</v>
      </c>
      <c r="D210" s="27">
        <v>765499</v>
      </c>
      <c r="E210" s="30">
        <v>2017</v>
      </c>
      <c r="F210" s="30">
        <v>1</v>
      </c>
      <c r="G210" s="1">
        <v>42745</v>
      </c>
      <c r="H210" s="27">
        <v>740276</v>
      </c>
      <c r="I210" s="24">
        <v>6521</v>
      </c>
      <c r="J210" s="24">
        <v>-6521</v>
      </c>
      <c r="K210" s="30">
        <v>140</v>
      </c>
      <c r="L210" s="30">
        <v>2806</v>
      </c>
      <c r="M210" s="30">
        <v>60</v>
      </c>
      <c r="N210" s="30">
        <v>0</v>
      </c>
      <c r="O210" s="30">
        <v>183169</v>
      </c>
      <c r="P210" s="29" t="s">
        <v>565</v>
      </c>
      <c r="Q210" s="29" t="s">
        <v>566</v>
      </c>
      <c r="R210" s="140" t="s">
        <v>458</v>
      </c>
    </row>
    <row r="211" spans="1:18">
      <c r="A211" s="139">
        <v>2</v>
      </c>
      <c r="B211" s="30">
        <v>6</v>
      </c>
      <c r="C211" s="1">
        <v>42916</v>
      </c>
      <c r="D211" s="27">
        <v>765499</v>
      </c>
      <c r="E211" s="30">
        <v>2017</v>
      </c>
      <c r="F211" s="30">
        <v>1</v>
      </c>
      <c r="G211" s="1">
        <v>42745</v>
      </c>
      <c r="H211" s="27">
        <v>740276</v>
      </c>
      <c r="I211" s="24">
        <v>848</v>
      </c>
      <c r="J211" s="24">
        <v>-848</v>
      </c>
      <c r="K211" s="30">
        <v>140</v>
      </c>
      <c r="L211" s="30">
        <v>2806</v>
      </c>
      <c r="M211" s="30">
        <v>85</v>
      </c>
      <c r="N211" s="30">
        <v>0</v>
      </c>
      <c r="O211" s="30">
        <v>183169</v>
      </c>
      <c r="P211" s="29" t="s">
        <v>565</v>
      </c>
      <c r="Q211" s="29" t="s">
        <v>566</v>
      </c>
      <c r="R211" s="140" t="s">
        <v>458</v>
      </c>
    </row>
    <row r="212" spans="1:18">
      <c r="A212" s="139">
        <v>2</v>
      </c>
      <c r="B212" s="30">
        <v>6</v>
      </c>
      <c r="C212" s="1">
        <v>42916</v>
      </c>
      <c r="D212" s="27">
        <v>765499</v>
      </c>
      <c r="E212" s="30">
        <v>2017</v>
      </c>
      <c r="F212" s="30">
        <v>1</v>
      </c>
      <c r="G212" s="1">
        <v>42745</v>
      </c>
      <c r="H212" s="27">
        <v>740284</v>
      </c>
      <c r="I212" s="24">
        <v>2774</v>
      </c>
      <c r="J212" s="24">
        <v>-2774</v>
      </c>
      <c r="K212" s="30">
        <v>511</v>
      </c>
      <c r="L212" s="30">
        <v>516</v>
      </c>
      <c r="M212" s="30">
        <v>60</v>
      </c>
      <c r="N212" s="30">
        <v>0</v>
      </c>
      <c r="O212" s="30">
        <v>577697</v>
      </c>
      <c r="P212" s="29" t="s">
        <v>567</v>
      </c>
      <c r="Q212" s="29" t="s">
        <v>410</v>
      </c>
      <c r="R212" s="140" t="s">
        <v>402</v>
      </c>
    </row>
    <row r="213" spans="1:18">
      <c r="A213" s="139">
        <v>2</v>
      </c>
      <c r="B213" s="30">
        <v>6</v>
      </c>
      <c r="C213" s="1">
        <v>42916</v>
      </c>
      <c r="D213" s="27">
        <v>765499</v>
      </c>
      <c r="E213" s="30">
        <v>2017</v>
      </c>
      <c r="F213" s="30">
        <v>1</v>
      </c>
      <c r="G213" s="1">
        <v>42745</v>
      </c>
      <c r="H213" s="27">
        <v>740284</v>
      </c>
      <c r="I213" s="24">
        <v>361</v>
      </c>
      <c r="J213" s="24">
        <v>-361</v>
      </c>
      <c r="K213" s="30">
        <v>511</v>
      </c>
      <c r="L213" s="30">
        <v>516</v>
      </c>
      <c r="M213" s="30">
        <v>85</v>
      </c>
      <c r="N213" s="30">
        <v>0</v>
      </c>
      <c r="O213" s="30">
        <v>577697</v>
      </c>
      <c r="P213" s="29" t="s">
        <v>567</v>
      </c>
      <c r="Q213" s="29" t="s">
        <v>410</v>
      </c>
      <c r="R213" s="140" t="s">
        <v>402</v>
      </c>
    </row>
    <row r="214" spans="1:18">
      <c r="A214" s="139">
        <v>2</v>
      </c>
      <c r="B214" s="30">
        <v>6</v>
      </c>
      <c r="C214" s="1">
        <v>42916</v>
      </c>
      <c r="D214" s="27">
        <v>765499</v>
      </c>
      <c r="E214" s="30">
        <v>2017</v>
      </c>
      <c r="F214" s="30">
        <v>2</v>
      </c>
      <c r="G214" s="1">
        <v>42859</v>
      </c>
      <c r="H214" s="27">
        <v>759727</v>
      </c>
      <c r="I214" s="24">
        <v>5727.8</v>
      </c>
      <c r="J214" s="24">
        <v>-5727.8</v>
      </c>
      <c r="K214" s="30">
        <v>16</v>
      </c>
      <c r="L214" s="30">
        <v>982</v>
      </c>
      <c r="M214" s="30">
        <v>60</v>
      </c>
      <c r="N214" s="30">
        <v>0</v>
      </c>
      <c r="O214" s="30">
        <v>96235</v>
      </c>
      <c r="P214" s="29" t="s">
        <v>568</v>
      </c>
      <c r="Q214" s="29" t="s">
        <v>413</v>
      </c>
      <c r="R214" s="140" t="s">
        <v>384</v>
      </c>
    </row>
    <row r="215" spans="1:18">
      <c r="A215" s="139">
        <v>2</v>
      </c>
      <c r="B215" s="30">
        <v>6</v>
      </c>
      <c r="C215" s="1">
        <v>42916</v>
      </c>
      <c r="D215" s="27">
        <v>765499</v>
      </c>
      <c r="E215" s="30">
        <v>2017</v>
      </c>
      <c r="F215" s="30">
        <v>2</v>
      </c>
      <c r="G215" s="1">
        <v>42859</v>
      </c>
      <c r="H215" s="27">
        <v>759727</v>
      </c>
      <c r="I215" s="24">
        <v>745</v>
      </c>
      <c r="J215" s="24">
        <v>-745</v>
      </c>
      <c r="K215" s="30">
        <v>16</v>
      </c>
      <c r="L215" s="30">
        <v>982</v>
      </c>
      <c r="M215" s="30">
        <v>85</v>
      </c>
      <c r="N215" s="30">
        <v>0</v>
      </c>
      <c r="O215" s="30">
        <v>96235</v>
      </c>
      <c r="P215" s="29" t="s">
        <v>568</v>
      </c>
      <c r="Q215" s="29" t="s">
        <v>413</v>
      </c>
      <c r="R215" s="140" t="s">
        <v>384</v>
      </c>
    </row>
    <row r="216" spans="1:18">
      <c r="A216" s="139">
        <v>2</v>
      </c>
      <c r="B216" s="30">
        <v>6</v>
      </c>
      <c r="C216" s="1">
        <v>42916</v>
      </c>
      <c r="D216" s="27">
        <v>770349</v>
      </c>
      <c r="E216" s="30">
        <v>2017</v>
      </c>
      <c r="F216" s="30">
        <v>2</v>
      </c>
      <c r="G216" s="1">
        <v>42839</v>
      </c>
      <c r="H216" s="27">
        <v>757564</v>
      </c>
      <c r="I216" s="24">
        <v>252000</v>
      </c>
      <c r="J216" s="24">
        <v>-252000</v>
      </c>
      <c r="K216" s="30">
        <v>991</v>
      </c>
      <c r="L216" s="30">
        <v>63422</v>
      </c>
      <c r="M216" s="30">
        <v>55</v>
      </c>
      <c r="N216" s="30">
        <v>1</v>
      </c>
      <c r="O216" s="30">
        <v>1013476</v>
      </c>
      <c r="P216" s="29" t="s">
        <v>569</v>
      </c>
      <c r="Q216" s="29" t="s">
        <v>570</v>
      </c>
      <c r="R216" s="140" t="s">
        <v>384</v>
      </c>
    </row>
    <row r="217" spans="1:18">
      <c r="A217" s="139">
        <v>2</v>
      </c>
      <c r="B217" s="30">
        <v>6</v>
      </c>
      <c r="C217" s="1">
        <v>42916</v>
      </c>
      <c r="D217" s="27">
        <v>770349</v>
      </c>
      <c r="E217" s="30">
        <v>2017</v>
      </c>
      <c r="F217" s="30">
        <v>2</v>
      </c>
      <c r="G217" s="1">
        <v>42839</v>
      </c>
      <c r="H217" s="27">
        <v>757564</v>
      </c>
      <c r="I217" s="24">
        <v>43849</v>
      </c>
      <c r="J217" s="24">
        <v>-32760</v>
      </c>
      <c r="K217" s="30">
        <v>991</v>
      </c>
      <c r="L217" s="30">
        <v>63422</v>
      </c>
      <c r="M217" s="30">
        <v>85</v>
      </c>
      <c r="N217" s="30">
        <v>2</v>
      </c>
      <c r="O217" s="30">
        <v>1013476</v>
      </c>
      <c r="P217" s="29" t="s">
        <v>569</v>
      </c>
      <c r="Q217" s="29" t="s">
        <v>570</v>
      </c>
      <c r="R217" s="140" t="s">
        <v>384</v>
      </c>
    </row>
    <row r="218" spans="1:18">
      <c r="A218" s="139">
        <v>2</v>
      </c>
      <c r="B218" s="30">
        <v>6</v>
      </c>
      <c r="C218" s="1">
        <v>42916</v>
      </c>
      <c r="D218" s="27">
        <v>765499</v>
      </c>
      <c r="E218" s="30">
        <v>2017</v>
      </c>
      <c r="F218" s="30">
        <v>2</v>
      </c>
      <c r="G218" s="1">
        <v>42835</v>
      </c>
      <c r="H218" s="27">
        <v>755297</v>
      </c>
      <c r="I218" s="24">
        <v>13964.9</v>
      </c>
      <c r="J218" s="24">
        <v>-13964.9</v>
      </c>
      <c r="K218" s="30">
        <v>140</v>
      </c>
      <c r="L218" s="30">
        <v>1678</v>
      </c>
      <c r="M218" s="30">
        <v>60</v>
      </c>
      <c r="N218" s="30">
        <v>0</v>
      </c>
      <c r="O218" s="30">
        <v>84047</v>
      </c>
      <c r="P218" s="29" t="s">
        <v>571</v>
      </c>
      <c r="Q218" s="29" t="s">
        <v>401</v>
      </c>
      <c r="R218" s="140" t="s">
        <v>384</v>
      </c>
    </row>
    <row r="219" spans="1:18">
      <c r="A219" s="139">
        <v>2</v>
      </c>
      <c r="B219" s="30">
        <v>6</v>
      </c>
      <c r="C219" s="1">
        <v>42916</v>
      </c>
      <c r="D219" s="27">
        <v>765499</v>
      </c>
      <c r="E219" s="30">
        <v>2017</v>
      </c>
      <c r="F219" s="30">
        <v>2</v>
      </c>
      <c r="G219" s="1">
        <v>42835</v>
      </c>
      <c r="H219" s="27">
        <v>755297</v>
      </c>
      <c r="I219" s="24">
        <v>1816</v>
      </c>
      <c r="J219" s="24">
        <v>-1816</v>
      </c>
      <c r="K219" s="30">
        <v>140</v>
      </c>
      <c r="L219" s="30">
        <v>1678</v>
      </c>
      <c r="M219" s="30">
        <v>85</v>
      </c>
      <c r="N219" s="30">
        <v>0</v>
      </c>
      <c r="O219" s="30">
        <v>84047</v>
      </c>
      <c r="P219" s="29" t="s">
        <v>571</v>
      </c>
      <c r="Q219" s="29" t="s">
        <v>401</v>
      </c>
      <c r="R219" s="140" t="s">
        <v>384</v>
      </c>
    </row>
    <row r="220" spans="1:18">
      <c r="A220" s="139">
        <v>2</v>
      </c>
      <c r="B220" s="30">
        <v>6</v>
      </c>
      <c r="C220" s="1">
        <v>42916</v>
      </c>
      <c r="D220" s="27">
        <v>765499</v>
      </c>
      <c r="E220" s="30">
        <v>2017</v>
      </c>
      <c r="F220" s="30">
        <v>2</v>
      </c>
      <c r="G220" s="1">
        <v>42858</v>
      </c>
      <c r="H220" s="27">
        <v>759733</v>
      </c>
      <c r="I220" s="24">
        <v>9381</v>
      </c>
      <c r="J220" s="24">
        <v>-9381</v>
      </c>
      <c r="K220" s="30">
        <v>445</v>
      </c>
      <c r="L220" s="30">
        <v>50</v>
      </c>
      <c r="M220" s="30">
        <v>60</v>
      </c>
      <c r="N220" s="30">
        <v>0</v>
      </c>
      <c r="O220" s="30">
        <v>129190</v>
      </c>
      <c r="P220" s="29" t="s">
        <v>565</v>
      </c>
      <c r="Q220" s="29" t="s">
        <v>572</v>
      </c>
      <c r="R220" s="140" t="s">
        <v>429</v>
      </c>
    </row>
    <row r="221" spans="1:18">
      <c r="A221" s="139">
        <v>2</v>
      </c>
      <c r="B221" s="30">
        <v>6</v>
      </c>
      <c r="C221" s="1">
        <v>42916</v>
      </c>
      <c r="D221" s="27">
        <v>765499</v>
      </c>
      <c r="E221" s="30">
        <v>2017</v>
      </c>
      <c r="F221" s="30">
        <v>2</v>
      </c>
      <c r="G221" s="1">
        <v>42858</v>
      </c>
      <c r="H221" s="27">
        <v>759733</v>
      </c>
      <c r="I221" s="24">
        <v>1220</v>
      </c>
      <c r="J221" s="24">
        <v>-1220</v>
      </c>
      <c r="K221" s="30">
        <v>445</v>
      </c>
      <c r="L221" s="30">
        <v>50</v>
      </c>
      <c r="M221" s="30">
        <v>85</v>
      </c>
      <c r="N221" s="30">
        <v>0</v>
      </c>
      <c r="O221" s="30">
        <v>129190</v>
      </c>
      <c r="P221" s="29" t="s">
        <v>565</v>
      </c>
      <c r="Q221" s="29" t="s">
        <v>572</v>
      </c>
      <c r="R221" s="140" t="s">
        <v>429</v>
      </c>
    </row>
    <row r="222" spans="1:18">
      <c r="A222" s="139">
        <v>2</v>
      </c>
      <c r="B222" s="30">
        <v>6</v>
      </c>
      <c r="C222" s="1">
        <v>42916</v>
      </c>
      <c r="D222" s="27">
        <v>765499</v>
      </c>
      <c r="E222" s="30">
        <v>2017</v>
      </c>
      <c r="F222" s="30">
        <v>1</v>
      </c>
      <c r="G222" s="1">
        <v>42745</v>
      </c>
      <c r="H222" s="27">
        <v>740276</v>
      </c>
      <c r="I222" s="24">
        <v>5931.8</v>
      </c>
      <c r="J222" s="24">
        <v>-5931.8</v>
      </c>
      <c r="K222" s="30">
        <v>7</v>
      </c>
      <c r="L222" s="30">
        <v>3870</v>
      </c>
      <c r="M222" s="30">
        <v>60</v>
      </c>
      <c r="N222" s="30">
        <v>0</v>
      </c>
      <c r="O222" s="30">
        <v>35430</v>
      </c>
      <c r="P222" s="29" t="s">
        <v>573</v>
      </c>
      <c r="Q222" s="29" t="s">
        <v>574</v>
      </c>
      <c r="R222" s="140" t="s">
        <v>575</v>
      </c>
    </row>
    <row r="223" spans="1:18">
      <c r="A223" s="139">
        <v>2</v>
      </c>
      <c r="B223" s="30">
        <v>6</v>
      </c>
      <c r="C223" s="1">
        <v>42916</v>
      </c>
      <c r="D223" s="27">
        <v>765499</v>
      </c>
      <c r="E223" s="30">
        <v>2017</v>
      </c>
      <c r="F223" s="30">
        <v>1</v>
      </c>
      <c r="G223" s="1">
        <v>42745</v>
      </c>
      <c r="H223" s="27">
        <v>740276</v>
      </c>
      <c r="I223" s="24">
        <v>771</v>
      </c>
      <c r="J223" s="24">
        <v>-771</v>
      </c>
      <c r="K223" s="30">
        <v>7</v>
      </c>
      <c r="L223" s="30">
        <v>3870</v>
      </c>
      <c r="M223" s="30">
        <v>85</v>
      </c>
      <c r="N223" s="30">
        <v>0</v>
      </c>
      <c r="O223" s="30">
        <v>35430</v>
      </c>
      <c r="P223" s="29" t="s">
        <v>573</v>
      </c>
      <c r="Q223" s="29" t="s">
        <v>574</v>
      </c>
      <c r="R223" s="140" t="s">
        <v>575</v>
      </c>
    </row>
    <row r="224" spans="1:18">
      <c r="A224" s="139">
        <v>2</v>
      </c>
      <c r="B224" s="30">
        <v>6</v>
      </c>
      <c r="C224" s="1">
        <v>42916</v>
      </c>
      <c r="D224" s="27">
        <v>765499</v>
      </c>
      <c r="E224" s="30">
        <v>2017</v>
      </c>
      <c r="F224" s="30">
        <v>1</v>
      </c>
      <c r="G224" s="1">
        <v>42776</v>
      </c>
      <c r="H224" s="27">
        <v>744978</v>
      </c>
      <c r="I224" s="24">
        <v>5931.8</v>
      </c>
      <c r="J224" s="24">
        <v>-5931.8</v>
      </c>
      <c r="K224" s="30">
        <v>7</v>
      </c>
      <c r="L224" s="30">
        <v>3870</v>
      </c>
      <c r="M224" s="30">
        <v>60</v>
      </c>
      <c r="N224" s="30">
        <v>0</v>
      </c>
      <c r="O224" s="30">
        <v>35430</v>
      </c>
      <c r="P224" s="29" t="s">
        <v>573</v>
      </c>
      <c r="Q224" s="29" t="s">
        <v>574</v>
      </c>
      <c r="R224" s="140" t="s">
        <v>575</v>
      </c>
    </row>
    <row r="225" spans="1:18">
      <c r="A225" s="139">
        <v>2</v>
      </c>
      <c r="B225" s="30">
        <v>6</v>
      </c>
      <c r="C225" s="1">
        <v>42916</v>
      </c>
      <c r="D225" s="27">
        <v>765499</v>
      </c>
      <c r="E225" s="30">
        <v>2017</v>
      </c>
      <c r="F225" s="30">
        <v>1</v>
      </c>
      <c r="G225" s="1">
        <v>42776</v>
      </c>
      <c r="H225" s="27">
        <v>744978</v>
      </c>
      <c r="I225" s="24">
        <v>771</v>
      </c>
      <c r="J225" s="24">
        <v>-771</v>
      </c>
      <c r="K225" s="30">
        <v>7</v>
      </c>
      <c r="L225" s="30">
        <v>3870</v>
      </c>
      <c r="M225" s="30">
        <v>85</v>
      </c>
      <c r="N225" s="30">
        <v>0</v>
      </c>
      <c r="O225" s="30">
        <v>35430</v>
      </c>
      <c r="P225" s="29" t="s">
        <v>573</v>
      </c>
      <c r="Q225" s="29" t="s">
        <v>574</v>
      </c>
      <c r="R225" s="140" t="s">
        <v>575</v>
      </c>
    </row>
    <row r="226" spans="1:18">
      <c r="A226" s="139">
        <v>2</v>
      </c>
      <c r="B226" s="30">
        <v>6</v>
      </c>
      <c r="C226" s="1">
        <v>42916</v>
      </c>
      <c r="D226" s="27">
        <v>765499</v>
      </c>
      <c r="E226" s="30">
        <v>2017</v>
      </c>
      <c r="F226" s="30">
        <v>1</v>
      </c>
      <c r="G226" s="1">
        <v>42804</v>
      </c>
      <c r="H226" s="27">
        <v>749816</v>
      </c>
      <c r="I226" s="24">
        <v>5931.8</v>
      </c>
      <c r="J226" s="24">
        <v>-5931.8</v>
      </c>
      <c r="K226" s="30">
        <v>7</v>
      </c>
      <c r="L226" s="30">
        <v>3870</v>
      </c>
      <c r="M226" s="30">
        <v>60</v>
      </c>
      <c r="N226" s="30">
        <v>0</v>
      </c>
      <c r="O226" s="30">
        <v>35430</v>
      </c>
      <c r="P226" s="29" t="s">
        <v>573</v>
      </c>
      <c r="Q226" s="29" t="s">
        <v>574</v>
      </c>
      <c r="R226" s="140" t="s">
        <v>575</v>
      </c>
    </row>
    <row r="227" spans="1:18">
      <c r="A227" s="139">
        <v>2</v>
      </c>
      <c r="B227" s="30">
        <v>6</v>
      </c>
      <c r="C227" s="1">
        <v>42916</v>
      </c>
      <c r="D227" s="27">
        <v>765499</v>
      </c>
      <c r="E227" s="30">
        <v>2017</v>
      </c>
      <c r="F227" s="30">
        <v>1</v>
      </c>
      <c r="G227" s="1">
        <v>42804</v>
      </c>
      <c r="H227" s="27">
        <v>749816</v>
      </c>
      <c r="I227" s="24">
        <v>771</v>
      </c>
      <c r="J227" s="24">
        <v>-771</v>
      </c>
      <c r="K227" s="30">
        <v>7</v>
      </c>
      <c r="L227" s="30">
        <v>3870</v>
      </c>
      <c r="M227" s="30">
        <v>85</v>
      </c>
      <c r="N227" s="30">
        <v>0</v>
      </c>
      <c r="O227" s="30">
        <v>35430</v>
      </c>
      <c r="P227" s="29" t="s">
        <v>573</v>
      </c>
      <c r="Q227" s="29" t="s">
        <v>574</v>
      </c>
      <c r="R227" s="140" t="s">
        <v>575</v>
      </c>
    </row>
    <row r="228" spans="1:18">
      <c r="A228" s="139">
        <v>2</v>
      </c>
      <c r="B228" s="30">
        <v>6</v>
      </c>
      <c r="C228" s="1">
        <v>42916</v>
      </c>
      <c r="D228" s="27">
        <v>765499</v>
      </c>
      <c r="E228" s="30">
        <v>2017</v>
      </c>
      <c r="F228" s="30">
        <v>2</v>
      </c>
      <c r="G228" s="1">
        <v>42835</v>
      </c>
      <c r="H228" s="27">
        <v>755291</v>
      </c>
      <c r="I228" s="24">
        <v>5931.8</v>
      </c>
      <c r="J228" s="24">
        <v>-5931.8</v>
      </c>
      <c r="K228" s="30">
        <v>7</v>
      </c>
      <c r="L228" s="30">
        <v>3870</v>
      </c>
      <c r="M228" s="30">
        <v>60</v>
      </c>
      <c r="N228" s="30">
        <v>0</v>
      </c>
      <c r="O228" s="30">
        <v>35430</v>
      </c>
      <c r="P228" s="29" t="s">
        <v>573</v>
      </c>
      <c r="Q228" s="29" t="s">
        <v>574</v>
      </c>
      <c r="R228" s="140" t="s">
        <v>575</v>
      </c>
    </row>
    <row r="229" spans="1:18">
      <c r="A229" s="139">
        <v>2</v>
      </c>
      <c r="B229" s="30">
        <v>6</v>
      </c>
      <c r="C229" s="1">
        <v>42916</v>
      </c>
      <c r="D229" s="27">
        <v>765499</v>
      </c>
      <c r="E229" s="30">
        <v>2017</v>
      </c>
      <c r="F229" s="30">
        <v>2</v>
      </c>
      <c r="G229" s="1">
        <v>42835</v>
      </c>
      <c r="H229" s="27">
        <v>755291</v>
      </c>
      <c r="I229" s="24">
        <v>772</v>
      </c>
      <c r="J229" s="24">
        <v>-772</v>
      </c>
      <c r="K229" s="30">
        <v>7</v>
      </c>
      <c r="L229" s="30">
        <v>3870</v>
      </c>
      <c r="M229" s="30">
        <v>85</v>
      </c>
      <c r="N229" s="30">
        <v>0</v>
      </c>
      <c r="O229" s="30">
        <v>35430</v>
      </c>
      <c r="P229" s="29" t="s">
        <v>573</v>
      </c>
      <c r="Q229" s="29" t="s">
        <v>574</v>
      </c>
      <c r="R229" s="140" t="s">
        <v>575</v>
      </c>
    </row>
    <row r="230" spans="1:18">
      <c r="A230" s="139">
        <v>2</v>
      </c>
      <c r="B230" s="30">
        <v>6</v>
      </c>
      <c r="C230" s="1">
        <v>42916</v>
      </c>
      <c r="D230" s="27">
        <v>765499</v>
      </c>
      <c r="E230" s="30">
        <v>2017</v>
      </c>
      <c r="F230" s="30">
        <v>1</v>
      </c>
      <c r="G230" s="1">
        <v>42804</v>
      </c>
      <c r="H230" s="27">
        <v>749816</v>
      </c>
      <c r="I230" s="24">
        <v>6578.62</v>
      </c>
      <c r="J230" s="24">
        <v>-6578.62</v>
      </c>
      <c r="K230" s="30">
        <v>14</v>
      </c>
      <c r="L230" s="30">
        <v>340</v>
      </c>
      <c r="M230" s="30">
        <v>60</v>
      </c>
      <c r="N230" s="30">
        <v>0</v>
      </c>
      <c r="O230" s="30">
        <v>10738</v>
      </c>
      <c r="P230" s="29" t="s">
        <v>576</v>
      </c>
      <c r="Q230" s="29" t="s">
        <v>577</v>
      </c>
      <c r="R230" s="140" t="s">
        <v>575</v>
      </c>
    </row>
    <row r="231" spans="1:18">
      <c r="A231" s="139">
        <v>2</v>
      </c>
      <c r="B231" s="30">
        <v>6</v>
      </c>
      <c r="C231" s="1">
        <v>42916</v>
      </c>
      <c r="D231" s="27">
        <v>765499</v>
      </c>
      <c r="E231" s="30">
        <v>2017</v>
      </c>
      <c r="F231" s="30">
        <v>1</v>
      </c>
      <c r="G231" s="1">
        <v>42804</v>
      </c>
      <c r="H231" s="27">
        <v>749816</v>
      </c>
      <c r="I231" s="24">
        <v>856</v>
      </c>
      <c r="J231" s="24">
        <v>-856</v>
      </c>
      <c r="K231" s="30">
        <v>14</v>
      </c>
      <c r="L231" s="30">
        <v>340</v>
      </c>
      <c r="M231" s="30">
        <v>85</v>
      </c>
      <c r="N231" s="30">
        <v>0</v>
      </c>
      <c r="O231" s="30">
        <v>10738</v>
      </c>
      <c r="P231" s="29" t="s">
        <v>576</v>
      </c>
      <c r="Q231" s="29" t="s">
        <v>577</v>
      </c>
      <c r="R231" s="140" t="s">
        <v>575</v>
      </c>
    </row>
    <row r="232" spans="1:18">
      <c r="A232" s="139">
        <v>2</v>
      </c>
      <c r="B232" s="30">
        <v>6</v>
      </c>
      <c r="C232" s="1">
        <v>42916</v>
      </c>
      <c r="D232" s="27">
        <v>765499</v>
      </c>
      <c r="E232" s="30">
        <v>2017</v>
      </c>
      <c r="F232" s="30">
        <v>2</v>
      </c>
      <c r="G232" s="1">
        <v>42859</v>
      </c>
      <c r="H232" s="27">
        <v>759727</v>
      </c>
      <c r="I232" s="24">
        <v>8631.41</v>
      </c>
      <c r="J232" s="24">
        <v>-8631.41</v>
      </c>
      <c r="K232" s="30">
        <v>65</v>
      </c>
      <c r="L232" s="30">
        <v>990</v>
      </c>
      <c r="M232" s="30">
        <v>60</v>
      </c>
      <c r="N232" s="30">
        <v>0</v>
      </c>
      <c r="O232" s="30">
        <v>37676</v>
      </c>
      <c r="P232" s="29" t="s">
        <v>578</v>
      </c>
      <c r="Q232" s="29" t="s">
        <v>579</v>
      </c>
      <c r="R232" s="140" t="s">
        <v>387</v>
      </c>
    </row>
    <row r="233" spans="1:18">
      <c r="A233" s="139">
        <v>2</v>
      </c>
      <c r="B233" s="30">
        <v>6</v>
      </c>
      <c r="C233" s="1">
        <v>42916</v>
      </c>
      <c r="D233" s="27">
        <v>765499</v>
      </c>
      <c r="E233" s="30">
        <v>2017</v>
      </c>
      <c r="F233" s="30">
        <v>2</v>
      </c>
      <c r="G233" s="1">
        <v>42859</v>
      </c>
      <c r="H233" s="27">
        <v>759727</v>
      </c>
      <c r="I233" s="24">
        <v>1057</v>
      </c>
      <c r="J233" s="24">
        <v>-1057</v>
      </c>
      <c r="K233" s="30">
        <v>65</v>
      </c>
      <c r="L233" s="30">
        <v>990</v>
      </c>
      <c r="M233" s="30">
        <v>85</v>
      </c>
      <c r="N233" s="30">
        <v>0</v>
      </c>
      <c r="O233" s="30">
        <v>37676</v>
      </c>
      <c r="P233" s="29" t="s">
        <v>578</v>
      </c>
      <c r="Q233" s="29" t="s">
        <v>579</v>
      </c>
      <c r="R233" s="140" t="s">
        <v>387</v>
      </c>
    </row>
    <row r="234" spans="1:18">
      <c r="A234" s="139">
        <v>2</v>
      </c>
      <c r="B234" s="30">
        <v>6</v>
      </c>
      <c r="C234" s="1">
        <v>42916</v>
      </c>
      <c r="D234" s="27">
        <v>765499</v>
      </c>
      <c r="E234" s="30">
        <v>2017</v>
      </c>
      <c r="F234" s="30">
        <v>2</v>
      </c>
      <c r="G234" s="1">
        <v>42859</v>
      </c>
      <c r="H234" s="27">
        <v>759727</v>
      </c>
      <c r="I234" s="24">
        <v>500</v>
      </c>
      <c r="J234" s="24">
        <v>-500</v>
      </c>
      <c r="K234" s="30">
        <v>65</v>
      </c>
      <c r="L234" s="30">
        <v>990</v>
      </c>
      <c r="M234" s="30">
        <v>1025</v>
      </c>
      <c r="N234" s="30">
        <v>0</v>
      </c>
      <c r="O234" s="30">
        <v>37676</v>
      </c>
      <c r="P234" s="29" t="s">
        <v>578</v>
      </c>
      <c r="Q234" s="29" t="s">
        <v>579</v>
      </c>
      <c r="R234" s="140" t="s">
        <v>387</v>
      </c>
    </row>
    <row r="235" spans="1:18">
      <c r="A235" s="139">
        <v>2</v>
      </c>
      <c r="B235" s="30">
        <v>6</v>
      </c>
      <c r="C235" s="1">
        <v>42916</v>
      </c>
      <c r="D235" s="27">
        <v>765499</v>
      </c>
      <c r="E235" s="30">
        <v>2017</v>
      </c>
      <c r="F235" s="30">
        <v>2</v>
      </c>
      <c r="G235" s="1">
        <v>42895</v>
      </c>
      <c r="H235" s="27">
        <v>765704</v>
      </c>
      <c r="I235" s="24">
        <v>8631.41</v>
      </c>
      <c r="J235" s="24">
        <v>-8631.41</v>
      </c>
      <c r="K235" s="30">
        <v>65</v>
      </c>
      <c r="L235" s="30">
        <v>990</v>
      </c>
      <c r="M235" s="30">
        <v>60</v>
      </c>
      <c r="N235" s="30">
        <v>0</v>
      </c>
      <c r="O235" s="30">
        <v>37676</v>
      </c>
      <c r="P235" s="29" t="s">
        <v>578</v>
      </c>
      <c r="Q235" s="29" t="s">
        <v>579</v>
      </c>
      <c r="R235" s="140" t="s">
        <v>387</v>
      </c>
    </row>
    <row r="236" spans="1:18">
      <c r="A236" s="139">
        <v>2</v>
      </c>
      <c r="B236" s="30">
        <v>6</v>
      </c>
      <c r="C236" s="1">
        <v>42916</v>
      </c>
      <c r="D236" s="27">
        <v>765499</v>
      </c>
      <c r="E236" s="30">
        <v>2017</v>
      </c>
      <c r="F236" s="30">
        <v>2</v>
      </c>
      <c r="G236" s="1">
        <v>42895</v>
      </c>
      <c r="H236" s="27">
        <v>765704</v>
      </c>
      <c r="I236" s="24">
        <v>1057</v>
      </c>
      <c r="J236" s="24">
        <v>-1057</v>
      </c>
      <c r="K236" s="30">
        <v>65</v>
      </c>
      <c r="L236" s="30">
        <v>990</v>
      </c>
      <c r="M236" s="30">
        <v>85</v>
      </c>
      <c r="N236" s="30">
        <v>0</v>
      </c>
      <c r="O236" s="30">
        <v>37676</v>
      </c>
      <c r="P236" s="29" t="s">
        <v>578</v>
      </c>
      <c r="Q236" s="29" t="s">
        <v>579</v>
      </c>
      <c r="R236" s="140" t="s">
        <v>387</v>
      </c>
    </row>
    <row r="237" spans="1:18">
      <c r="A237" s="139">
        <v>2</v>
      </c>
      <c r="B237" s="30">
        <v>6</v>
      </c>
      <c r="C237" s="1">
        <v>42916</v>
      </c>
      <c r="D237" s="27">
        <v>765499</v>
      </c>
      <c r="E237" s="30">
        <v>2017</v>
      </c>
      <c r="F237" s="30">
        <v>2</v>
      </c>
      <c r="G237" s="1">
        <v>42895</v>
      </c>
      <c r="H237" s="27">
        <v>765704</v>
      </c>
      <c r="I237" s="24">
        <v>500</v>
      </c>
      <c r="J237" s="24">
        <v>-500</v>
      </c>
      <c r="K237" s="30">
        <v>65</v>
      </c>
      <c r="L237" s="30">
        <v>990</v>
      </c>
      <c r="M237" s="30">
        <v>1025</v>
      </c>
      <c r="N237" s="30">
        <v>0</v>
      </c>
      <c r="O237" s="30">
        <v>37676</v>
      </c>
      <c r="P237" s="29" t="s">
        <v>578</v>
      </c>
      <c r="Q237" s="29" t="s">
        <v>579</v>
      </c>
      <c r="R237" s="140" t="s">
        <v>387</v>
      </c>
    </row>
    <row r="238" spans="1:18">
      <c r="A238" s="139">
        <v>3</v>
      </c>
      <c r="B238" s="30">
        <v>7</v>
      </c>
      <c r="C238" s="1">
        <v>42947</v>
      </c>
      <c r="D238" s="27">
        <v>773093</v>
      </c>
      <c r="E238" s="30">
        <v>2017</v>
      </c>
      <c r="F238" s="30">
        <v>3</v>
      </c>
      <c r="G238" s="1">
        <v>42926</v>
      </c>
      <c r="H238" s="27">
        <v>771245</v>
      </c>
      <c r="I238" s="24">
        <v>10236</v>
      </c>
      <c r="J238" s="24">
        <v>-10236</v>
      </c>
      <c r="K238" s="30">
        <v>71</v>
      </c>
      <c r="L238" s="30">
        <v>8506</v>
      </c>
      <c r="M238" s="30">
        <v>60</v>
      </c>
      <c r="N238" s="30">
        <v>0</v>
      </c>
      <c r="O238" s="30">
        <v>2185050</v>
      </c>
      <c r="P238" s="29" t="s">
        <v>580</v>
      </c>
      <c r="Q238" s="29" t="s">
        <v>581</v>
      </c>
      <c r="R238" s="140" t="s">
        <v>414</v>
      </c>
    </row>
    <row r="239" spans="1:18">
      <c r="A239" s="139">
        <v>3</v>
      </c>
      <c r="B239" s="30">
        <v>7</v>
      </c>
      <c r="C239" s="1">
        <v>42947</v>
      </c>
      <c r="D239" s="27">
        <v>773093</v>
      </c>
      <c r="E239" s="30">
        <v>2017</v>
      </c>
      <c r="F239" s="30">
        <v>3</v>
      </c>
      <c r="G239" s="1">
        <v>42926</v>
      </c>
      <c r="H239" s="27">
        <v>771245</v>
      </c>
      <c r="I239" s="24">
        <v>1331</v>
      </c>
      <c r="J239" s="24">
        <v>-1331</v>
      </c>
      <c r="K239" s="30">
        <v>71</v>
      </c>
      <c r="L239" s="30">
        <v>8506</v>
      </c>
      <c r="M239" s="30">
        <v>85</v>
      </c>
      <c r="N239" s="30">
        <v>0</v>
      </c>
      <c r="O239" s="30">
        <v>2185050</v>
      </c>
      <c r="P239" s="29" t="s">
        <v>580</v>
      </c>
      <c r="Q239" s="29" t="s">
        <v>581</v>
      </c>
      <c r="R239" s="140" t="s">
        <v>414</v>
      </c>
    </row>
    <row r="240" spans="1:18">
      <c r="A240" s="139">
        <v>3</v>
      </c>
      <c r="B240" s="30">
        <v>7</v>
      </c>
      <c r="C240" s="1">
        <v>42947</v>
      </c>
      <c r="D240" s="27">
        <v>773093</v>
      </c>
      <c r="E240" s="30">
        <v>2017</v>
      </c>
      <c r="F240" s="30">
        <v>2</v>
      </c>
      <c r="G240" s="1">
        <v>42835</v>
      </c>
      <c r="H240" s="27">
        <v>755302</v>
      </c>
      <c r="I240" s="24">
        <v>9291.4</v>
      </c>
      <c r="J240" s="24">
        <v>-9291.4</v>
      </c>
      <c r="K240" s="30">
        <v>335</v>
      </c>
      <c r="L240" s="30">
        <v>1320</v>
      </c>
      <c r="M240" s="30">
        <v>60</v>
      </c>
      <c r="N240" s="30">
        <v>0</v>
      </c>
      <c r="O240" s="30">
        <v>1192358</v>
      </c>
      <c r="P240" s="29" t="s">
        <v>582</v>
      </c>
      <c r="Q240" s="29" t="s">
        <v>434</v>
      </c>
      <c r="R240" s="140" t="s">
        <v>402</v>
      </c>
    </row>
    <row r="241" spans="1:18">
      <c r="A241" s="139">
        <v>3</v>
      </c>
      <c r="B241" s="30">
        <v>7</v>
      </c>
      <c r="C241" s="1">
        <v>42947</v>
      </c>
      <c r="D241" s="27">
        <v>773093</v>
      </c>
      <c r="E241" s="30">
        <v>2017</v>
      </c>
      <c r="F241" s="30">
        <v>2</v>
      </c>
      <c r="G241" s="1">
        <v>42835</v>
      </c>
      <c r="H241" s="27">
        <v>755302</v>
      </c>
      <c r="I241" s="24">
        <v>1208</v>
      </c>
      <c r="J241" s="24">
        <v>-1208</v>
      </c>
      <c r="K241" s="30">
        <v>335</v>
      </c>
      <c r="L241" s="30">
        <v>1320</v>
      </c>
      <c r="M241" s="30">
        <v>85</v>
      </c>
      <c r="N241" s="30">
        <v>0</v>
      </c>
      <c r="O241" s="30">
        <v>1192358</v>
      </c>
      <c r="P241" s="29" t="s">
        <v>582</v>
      </c>
      <c r="Q241" s="29" t="s">
        <v>434</v>
      </c>
      <c r="R241" s="140" t="s">
        <v>402</v>
      </c>
    </row>
    <row r="242" spans="1:18">
      <c r="A242" s="139">
        <v>3</v>
      </c>
      <c r="B242" s="30">
        <v>7</v>
      </c>
      <c r="C242" s="1">
        <v>42947</v>
      </c>
      <c r="D242" s="27">
        <v>773093</v>
      </c>
      <c r="E242" s="30">
        <v>2017</v>
      </c>
      <c r="F242" s="30">
        <v>2</v>
      </c>
      <c r="G242" s="1">
        <v>42858</v>
      </c>
      <c r="H242" s="27">
        <v>759733</v>
      </c>
      <c r="I242" s="24">
        <v>949.5</v>
      </c>
      <c r="J242" s="24">
        <v>-949.5</v>
      </c>
      <c r="K242" s="30">
        <v>36</v>
      </c>
      <c r="L242" s="30">
        <v>210</v>
      </c>
      <c r="M242" s="30">
        <v>60</v>
      </c>
      <c r="N242" s="30">
        <v>0</v>
      </c>
      <c r="O242" s="30">
        <v>57133</v>
      </c>
      <c r="P242" s="29" t="s">
        <v>583</v>
      </c>
      <c r="Q242" s="29" t="s">
        <v>401</v>
      </c>
      <c r="R242" s="140" t="s">
        <v>402</v>
      </c>
    </row>
    <row r="243" spans="1:18">
      <c r="A243" s="139">
        <v>3</v>
      </c>
      <c r="B243" s="30">
        <v>7</v>
      </c>
      <c r="C243" s="1">
        <v>42947</v>
      </c>
      <c r="D243" s="27">
        <v>773093</v>
      </c>
      <c r="E243" s="30">
        <v>2017</v>
      </c>
      <c r="F243" s="30">
        <v>2</v>
      </c>
      <c r="G243" s="1">
        <v>42858</v>
      </c>
      <c r="H243" s="27">
        <v>759733</v>
      </c>
      <c r="I243" s="24">
        <v>123</v>
      </c>
      <c r="J243" s="24">
        <v>-123</v>
      </c>
      <c r="K243" s="30">
        <v>36</v>
      </c>
      <c r="L243" s="30">
        <v>210</v>
      </c>
      <c r="M243" s="30">
        <v>85</v>
      </c>
      <c r="N243" s="30">
        <v>0</v>
      </c>
      <c r="O243" s="30">
        <v>57133</v>
      </c>
      <c r="P243" s="29" t="s">
        <v>583</v>
      </c>
      <c r="Q243" s="29" t="s">
        <v>401</v>
      </c>
      <c r="R243" s="140" t="s">
        <v>402</v>
      </c>
    </row>
    <row r="244" spans="1:18">
      <c r="A244" s="139">
        <v>3</v>
      </c>
      <c r="B244" s="30">
        <v>7</v>
      </c>
      <c r="C244" s="1">
        <v>42947</v>
      </c>
      <c r="D244" s="27">
        <v>773093</v>
      </c>
      <c r="E244" s="30">
        <v>2017</v>
      </c>
      <c r="F244" s="30">
        <v>3</v>
      </c>
      <c r="G244" s="1">
        <v>42927</v>
      </c>
      <c r="H244" s="27">
        <v>771243</v>
      </c>
      <c r="I244" s="24">
        <v>9346.74</v>
      </c>
      <c r="J244" s="24">
        <v>-9346.74</v>
      </c>
      <c r="K244" s="30">
        <v>110</v>
      </c>
      <c r="L244" s="30">
        <v>101</v>
      </c>
      <c r="M244" s="30">
        <v>60</v>
      </c>
      <c r="N244" s="30">
        <v>0</v>
      </c>
      <c r="O244" s="30">
        <v>30821</v>
      </c>
      <c r="P244" s="29" t="s">
        <v>584</v>
      </c>
      <c r="Q244" s="29" t="s">
        <v>536</v>
      </c>
      <c r="R244" s="140" t="s">
        <v>509</v>
      </c>
    </row>
    <row r="245" spans="1:18">
      <c r="A245" s="139">
        <v>3</v>
      </c>
      <c r="B245" s="30">
        <v>7</v>
      </c>
      <c r="C245" s="1">
        <v>42947</v>
      </c>
      <c r="D245" s="27">
        <v>773093</v>
      </c>
      <c r="E245" s="30">
        <v>2017</v>
      </c>
      <c r="F245" s="30">
        <v>3</v>
      </c>
      <c r="G245" s="1">
        <v>42927</v>
      </c>
      <c r="H245" s="27">
        <v>771243</v>
      </c>
      <c r="I245" s="24">
        <v>1216</v>
      </c>
      <c r="J245" s="24">
        <v>-1216</v>
      </c>
      <c r="K245" s="30">
        <v>110</v>
      </c>
      <c r="L245" s="30">
        <v>101</v>
      </c>
      <c r="M245" s="30">
        <v>85</v>
      </c>
      <c r="N245" s="30">
        <v>0</v>
      </c>
      <c r="O245" s="30">
        <v>30821</v>
      </c>
      <c r="P245" s="29" t="s">
        <v>584</v>
      </c>
      <c r="Q245" s="29" t="s">
        <v>536</v>
      </c>
      <c r="R245" s="140" t="s">
        <v>509</v>
      </c>
    </row>
    <row r="246" spans="1:18">
      <c r="A246" s="139">
        <v>3</v>
      </c>
      <c r="B246" s="30">
        <v>7</v>
      </c>
      <c r="C246" s="1">
        <v>42947</v>
      </c>
      <c r="D246" s="27">
        <v>773093</v>
      </c>
      <c r="E246" s="30">
        <v>2017</v>
      </c>
      <c r="F246" s="30">
        <v>2</v>
      </c>
      <c r="G246" s="1">
        <v>42895</v>
      </c>
      <c r="H246" s="27">
        <v>765712</v>
      </c>
      <c r="I246" s="24">
        <v>2095.0100000000002</v>
      </c>
      <c r="J246" s="24">
        <v>-2095.0100000000002</v>
      </c>
      <c r="K246" s="30">
        <v>12</v>
      </c>
      <c r="L246" s="30">
        <v>1882</v>
      </c>
      <c r="M246" s="30">
        <v>60</v>
      </c>
      <c r="N246" s="30">
        <v>0</v>
      </c>
      <c r="O246" s="30">
        <v>22451</v>
      </c>
      <c r="P246" s="29" t="s">
        <v>585</v>
      </c>
      <c r="Q246" s="29" t="s">
        <v>586</v>
      </c>
      <c r="R246" s="140" t="s">
        <v>381</v>
      </c>
    </row>
    <row r="247" spans="1:18">
      <c r="A247" s="139">
        <v>3</v>
      </c>
      <c r="B247" s="30">
        <v>7</v>
      </c>
      <c r="C247" s="1">
        <v>42947</v>
      </c>
      <c r="D247" s="27">
        <v>773093</v>
      </c>
      <c r="E247" s="30">
        <v>2017</v>
      </c>
      <c r="F247" s="30">
        <v>2</v>
      </c>
      <c r="G247" s="1">
        <v>42895</v>
      </c>
      <c r="H247" s="27">
        <v>765712</v>
      </c>
      <c r="I247" s="24">
        <v>207</v>
      </c>
      <c r="J247" s="24">
        <v>-207</v>
      </c>
      <c r="K247" s="30">
        <v>12</v>
      </c>
      <c r="L247" s="30">
        <v>1882</v>
      </c>
      <c r="M247" s="30">
        <v>85</v>
      </c>
      <c r="N247" s="30">
        <v>0</v>
      </c>
      <c r="O247" s="30">
        <v>22451</v>
      </c>
      <c r="P247" s="29" t="s">
        <v>585</v>
      </c>
      <c r="Q247" s="29" t="s">
        <v>586</v>
      </c>
      <c r="R247" s="140" t="s">
        <v>381</v>
      </c>
    </row>
    <row r="248" spans="1:18">
      <c r="A248" s="139">
        <v>3</v>
      </c>
      <c r="B248" s="30">
        <v>7</v>
      </c>
      <c r="C248" s="1">
        <v>42947</v>
      </c>
      <c r="D248" s="27">
        <v>773093</v>
      </c>
      <c r="E248" s="30">
        <v>2017</v>
      </c>
      <c r="F248" s="30">
        <v>2</v>
      </c>
      <c r="G248" s="1">
        <v>42895</v>
      </c>
      <c r="H248" s="27">
        <v>765712</v>
      </c>
      <c r="I248" s="24">
        <v>500</v>
      </c>
      <c r="J248" s="24">
        <v>-500</v>
      </c>
      <c r="K248" s="30">
        <v>12</v>
      </c>
      <c r="L248" s="30">
        <v>1882</v>
      </c>
      <c r="M248" s="30">
        <v>1025</v>
      </c>
      <c r="N248" s="30">
        <v>0</v>
      </c>
      <c r="O248" s="30">
        <v>22451</v>
      </c>
      <c r="P248" s="29" t="s">
        <v>585</v>
      </c>
      <c r="Q248" s="29" t="s">
        <v>586</v>
      </c>
      <c r="R248" s="140" t="s">
        <v>381</v>
      </c>
    </row>
    <row r="249" spans="1:18">
      <c r="A249" s="139">
        <v>3</v>
      </c>
      <c r="B249" s="30">
        <v>7</v>
      </c>
      <c r="C249" s="1">
        <v>42947</v>
      </c>
      <c r="D249" s="27">
        <v>773093</v>
      </c>
      <c r="E249" s="30">
        <v>2017</v>
      </c>
      <c r="F249" s="30">
        <v>1</v>
      </c>
      <c r="G249" s="1">
        <v>42745</v>
      </c>
      <c r="H249" s="27">
        <v>740287</v>
      </c>
      <c r="I249" s="24">
        <v>1810.5</v>
      </c>
      <c r="J249" s="24">
        <v>-1810.5</v>
      </c>
      <c r="K249" s="30">
        <v>335</v>
      </c>
      <c r="L249" s="30">
        <v>498</v>
      </c>
      <c r="M249" s="30">
        <v>60</v>
      </c>
      <c r="N249" s="30">
        <v>0</v>
      </c>
      <c r="O249" s="30">
        <v>500478</v>
      </c>
      <c r="P249" s="29" t="s">
        <v>587</v>
      </c>
      <c r="Q249" s="29" t="s">
        <v>434</v>
      </c>
      <c r="R249" s="140" t="s">
        <v>429</v>
      </c>
    </row>
    <row r="250" spans="1:18">
      <c r="A250" s="139">
        <v>3</v>
      </c>
      <c r="B250" s="30">
        <v>7</v>
      </c>
      <c r="C250" s="1">
        <v>42947</v>
      </c>
      <c r="D250" s="27">
        <v>773093</v>
      </c>
      <c r="E250" s="30">
        <v>2017</v>
      </c>
      <c r="F250" s="30">
        <v>1</v>
      </c>
      <c r="G250" s="1">
        <v>42745</v>
      </c>
      <c r="H250" s="27">
        <v>740287</v>
      </c>
      <c r="I250" s="24">
        <v>235</v>
      </c>
      <c r="J250" s="24">
        <v>-235</v>
      </c>
      <c r="K250" s="30">
        <v>335</v>
      </c>
      <c r="L250" s="30">
        <v>498</v>
      </c>
      <c r="M250" s="30">
        <v>85</v>
      </c>
      <c r="N250" s="30">
        <v>0</v>
      </c>
      <c r="O250" s="30">
        <v>500478</v>
      </c>
      <c r="P250" s="29" t="s">
        <v>587</v>
      </c>
      <c r="Q250" s="29" t="s">
        <v>434</v>
      </c>
      <c r="R250" s="140" t="s">
        <v>429</v>
      </c>
    </row>
    <row r="251" spans="1:18">
      <c r="A251" s="139">
        <v>3</v>
      </c>
      <c r="B251" s="30">
        <v>7</v>
      </c>
      <c r="C251" s="1">
        <v>42947</v>
      </c>
      <c r="D251" s="27">
        <v>773093</v>
      </c>
      <c r="E251" s="30">
        <v>2017</v>
      </c>
      <c r="F251" s="30">
        <v>1</v>
      </c>
      <c r="G251" s="1">
        <v>42776</v>
      </c>
      <c r="H251" s="27">
        <v>744989</v>
      </c>
      <c r="I251" s="24">
        <v>1784.7</v>
      </c>
      <c r="J251" s="24">
        <v>-1784.7</v>
      </c>
      <c r="K251" s="30">
        <v>335</v>
      </c>
      <c r="L251" s="30">
        <v>164</v>
      </c>
      <c r="M251" s="30">
        <v>60</v>
      </c>
      <c r="N251" s="30">
        <v>0</v>
      </c>
      <c r="O251" s="30">
        <v>300373</v>
      </c>
      <c r="P251" s="29" t="s">
        <v>588</v>
      </c>
      <c r="Q251" s="29" t="s">
        <v>586</v>
      </c>
      <c r="R251" s="140" t="s">
        <v>589</v>
      </c>
    </row>
    <row r="252" spans="1:18">
      <c r="A252" s="139">
        <v>3</v>
      </c>
      <c r="B252" s="30">
        <v>7</v>
      </c>
      <c r="C252" s="1">
        <v>42947</v>
      </c>
      <c r="D252" s="27">
        <v>773093</v>
      </c>
      <c r="E252" s="30">
        <v>2017</v>
      </c>
      <c r="F252" s="30">
        <v>1</v>
      </c>
      <c r="G252" s="1">
        <v>42776</v>
      </c>
      <c r="H252" s="27">
        <v>744989</v>
      </c>
      <c r="I252" s="24">
        <v>232</v>
      </c>
      <c r="J252" s="24">
        <v>-232</v>
      </c>
      <c r="K252" s="30">
        <v>335</v>
      </c>
      <c r="L252" s="30">
        <v>164</v>
      </c>
      <c r="M252" s="30">
        <v>85</v>
      </c>
      <c r="N252" s="30">
        <v>0</v>
      </c>
      <c r="O252" s="30">
        <v>300373</v>
      </c>
      <c r="P252" s="29" t="s">
        <v>588</v>
      </c>
      <c r="Q252" s="29" t="s">
        <v>586</v>
      </c>
      <c r="R252" s="140" t="s">
        <v>589</v>
      </c>
    </row>
    <row r="253" spans="1:18">
      <c r="A253" s="139">
        <v>3</v>
      </c>
      <c r="B253" s="30">
        <v>7</v>
      </c>
      <c r="C253" s="1">
        <v>42947</v>
      </c>
      <c r="D253" s="27">
        <v>773093</v>
      </c>
      <c r="E253" s="30">
        <v>2017</v>
      </c>
      <c r="F253" s="30">
        <v>1</v>
      </c>
      <c r="G253" s="1">
        <v>42804</v>
      </c>
      <c r="H253" s="27">
        <v>749826</v>
      </c>
      <c r="I253" s="24">
        <v>12285</v>
      </c>
      <c r="J253" s="24">
        <v>-12285</v>
      </c>
      <c r="K253" s="30">
        <v>302</v>
      </c>
      <c r="L253" s="30">
        <v>4520</v>
      </c>
      <c r="M253" s="30">
        <v>60</v>
      </c>
      <c r="N253" s="30">
        <v>0</v>
      </c>
      <c r="O253" s="30">
        <v>1523438</v>
      </c>
      <c r="P253" s="29" t="s">
        <v>590</v>
      </c>
      <c r="Q253" s="29" t="s">
        <v>536</v>
      </c>
      <c r="R253" s="140" t="s">
        <v>384</v>
      </c>
    </row>
    <row r="254" spans="1:18">
      <c r="A254" s="139">
        <v>3</v>
      </c>
      <c r="B254" s="30">
        <v>7</v>
      </c>
      <c r="C254" s="1">
        <v>42947</v>
      </c>
      <c r="D254" s="27">
        <v>773093</v>
      </c>
      <c r="E254" s="30">
        <v>2017</v>
      </c>
      <c r="F254" s="30">
        <v>1</v>
      </c>
      <c r="G254" s="1">
        <v>42804</v>
      </c>
      <c r="H254" s="27">
        <v>749826</v>
      </c>
      <c r="I254" s="24">
        <v>1597</v>
      </c>
      <c r="J254" s="24">
        <v>-1597</v>
      </c>
      <c r="K254" s="30">
        <v>302</v>
      </c>
      <c r="L254" s="30">
        <v>4520</v>
      </c>
      <c r="M254" s="30">
        <v>85</v>
      </c>
      <c r="N254" s="30">
        <v>0</v>
      </c>
      <c r="O254" s="30">
        <v>1523438</v>
      </c>
      <c r="P254" s="29" t="s">
        <v>590</v>
      </c>
      <c r="Q254" s="29" t="s">
        <v>536</v>
      </c>
      <c r="R254" s="140" t="s">
        <v>384</v>
      </c>
    </row>
    <row r="255" spans="1:18">
      <c r="A255" s="139">
        <v>3</v>
      </c>
      <c r="B255" s="30">
        <v>7</v>
      </c>
      <c r="C255" s="1">
        <v>42947</v>
      </c>
      <c r="D255" s="27">
        <v>773093</v>
      </c>
      <c r="E255" s="30">
        <v>2017</v>
      </c>
      <c r="F255" s="30">
        <v>2</v>
      </c>
      <c r="G255" s="1">
        <v>42895</v>
      </c>
      <c r="H255" s="27">
        <v>765712</v>
      </c>
      <c r="I255" s="24">
        <v>1676.3</v>
      </c>
      <c r="J255" s="24">
        <v>-1676.3</v>
      </c>
      <c r="K255" s="30">
        <v>57</v>
      </c>
      <c r="L255" s="30">
        <v>3098</v>
      </c>
      <c r="M255" s="30">
        <v>60</v>
      </c>
      <c r="N255" s="30">
        <v>0</v>
      </c>
      <c r="O255" s="30">
        <v>136851</v>
      </c>
      <c r="P255" s="29" t="s">
        <v>591</v>
      </c>
      <c r="Q255" s="29" t="s">
        <v>592</v>
      </c>
      <c r="R255" s="140" t="s">
        <v>593</v>
      </c>
    </row>
    <row r="256" spans="1:18">
      <c r="A256" s="139">
        <v>3</v>
      </c>
      <c r="B256" s="30">
        <v>7</v>
      </c>
      <c r="C256" s="1">
        <v>42947</v>
      </c>
      <c r="D256" s="27">
        <v>773093</v>
      </c>
      <c r="E256" s="30">
        <v>2017</v>
      </c>
      <c r="F256" s="30">
        <v>2</v>
      </c>
      <c r="G256" s="1">
        <v>42895</v>
      </c>
      <c r="H256" s="27">
        <v>765712</v>
      </c>
      <c r="I256" s="24">
        <v>218</v>
      </c>
      <c r="J256" s="24">
        <v>-218</v>
      </c>
      <c r="K256" s="30">
        <v>57</v>
      </c>
      <c r="L256" s="30">
        <v>3098</v>
      </c>
      <c r="M256" s="30">
        <v>85</v>
      </c>
      <c r="N256" s="30">
        <v>0</v>
      </c>
      <c r="O256" s="30">
        <v>136851</v>
      </c>
      <c r="P256" s="29" t="s">
        <v>591</v>
      </c>
      <c r="Q256" s="29" t="s">
        <v>592</v>
      </c>
      <c r="R256" s="140" t="s">
        <v>593</v>
      </c>
    </row>
    <row r="257" spans="1:18">
      <c r="A257" s="139">
        <v>3</v>
      </c>
      <c r="B257" s="30">
        <v>7</v>
      </c>
      <c r="C257" s="1">
        <v>42947</v>
      </c>
      <c r="D257" s="27">
        <v>773093</v>
      </c>
      <c r="E257" s="30">
        <v>2017</v>
      </c>
      <c r="F257" s="30">
        <v>2</v>
      </c>
      <c r="G257" s="1">
        <v>42895</v>
      </c>
      <c r="H257" s="27">
        <v>765712</v>
      </c>
      <c r="I257" s="24">
        <v>1251.8</v>
      </c>
      <c r="J257" s="24">
        <v>-1251.8</v>
      </c>
      <c r="K257" s="30">
        <v>77</v>
      </c>
      <c r="L257" s="30">
        <v>823</v>
      </c>
      <c r="M257" s="30">
        <v>60</v>
      </c>
      <c r="N257" s="30">
        <v>0</v>
      </c>
      <c r="O257" s="30">
        <v>47100</v>
      </c>
      <c r="P257" s="29" t="s">
        <v>594</v>
      </c>
      <c r="Q257" s="29" t="s">
        <v>586</v>
      </c>
      <c r="R257" s="140" t="s">
        <v>595</v>
      </c>
    </row>
    <row r="258" spans="1:18">
      <c r="A258" s="139">
        <v>3</v>
      </c>
      <c r="B258" s="30">
        <v>7</v>
      </c>
      <c r="C258" s="1">
        <v>42947</v>
      </c>
      <c r="D258" s="27">
        <v>773093</v>
      </c>
      <c r="E258" s="30">
        <v>2017</v>
      </c>
      <c r="F258" s="30">
        <v>2</v>
      </c>
      <c r="G258" s="1">
        <v>42895</v>
      </c>
      <c r="H258" s="27">
        <v>765712</v>
      </c>
      <c r="I258" s="24">
        <v>162</v>
      </c>
      <c r="J258" s="24">
        <v>-162</v>
      </c>
      <c r="K258" s="30">
        <v>77</v>
      </c>
      <c r="L258" s="30">
        <v>823</v>
      </c>
      <c r="M258" s="30">
        <v>85</v>
      </c>
      <c r="N258" s="30">
        <v>0</v>
      </c>
      <c r="O258" s="30">
        <v>47100</v>
      </c>
      <c r="P258" s="29" t="s">
        <v>594</v>
      </c>
      <c r="Q258" s="29" t="s">
        <v>586</v>
      </c>
      <c r="R258" s="140" t="s">
        <v>595</v>
      </c>
    </row>
    <row r="259" spans="1:18">
      <c r="A259" s="139">
        <v>3</v>
      </c>
      <c r="B259" s="30">
        <v>7</v>
      </c>
      <c r="C259" s="1">
        <v>42947</v>
      </c>
      <c r="D259" s="27">
        <v>773093</v>
      </c>
      <c r="E259" s="30">
        <v>2017</v>
      </c>
      <c r="F259" s="30">
        <v>2</v>
      </c>
      <c r="G259" s="1">
        <v>42895</v>
      </c>
      <c r="H259" s="27">
        <v>765712</v>
      </c>
      <c r="I259" s="24">
        <v>5925.5</v>
      </c>
      <c r="J259" s="24">
        <v>-5925.5</v>
      </c>
      <c r="K259" s="30">
        <v>364</v>
      </c>
      <c r="L259" s="30">
        <v>1868</v>
      </c>
      <c r="M259" s="30">
        <v>60</v>
      </c>
      <c r="N259" s="30">
        <v>0</v>
      </c>
      <c r="O259" s="30">
        <v>142352</v>
      </c>
      <c r="P259" s="29" t="s">
        <v>596</v>
      </c>
      <c r="Q259" s="29" t="s">
        <v>386</v>
      </c>
      <c r="R259" s="140" t="s">
        <v>597</v>
      </c>
    </row>
    <row r="260" spans="1:18">
      <c r="A260" s="139">
        <v>3</v>
      </c>
      <c r="B260" s="30">
        <v>7</v>
      </c>
      <c r="C260" s="1">
        <v>42947</v>
      </c>
      <c r="D260" s="27">
        <v>773093</v>
      </c>
      <c r="E260" s="30">
        <v>2017</v>
      </c>
      <c r="F260" s="30">
        <v>2</v>
      </c>
      <c r="G260" s="1">
        <v>42895</v>
      </c>
      <c r="H260" s="27">
        <v>765712</v>
      </c>
      <c r="I260" s="24">
        <v>770</v>
      </c>
      <c r="J260" s="24">
        <v>-770</v>
      </c>
      <c r="K260" s="30">
        <v>364</v>
      </c>
      <c r="L260" s="30">
        <v>1868</v>
      </c>
      <c r="M260" s="30">
        <v>85</v>
      </c>
      <c r="N260" s="30">
        <v>0</v>
      </c>
      <c r="O260" s="30">
        <v>142352</v>
      </c>
      <c r="P260" s="29" t="s">
        <v>596</v>
      </c>
      <c r="Q260" s="29" t="s">
        <v>386</v>
      </c>
      <c r="R260" s="140" t="s">
        <v>597</v>
      </c>
    </row>
    <row r="261" spans="1:18">
      <c r="A261" s="139">
        <v>3</v>
      </c>
      <c r="B261" s="30">
        <v>7</v>
      </c>
      <c r="C261" s="1">
        <v>42947</v>
      </c>
      <c r="D261" s="27">
        <v>773093</v>
      </c>
      <c r="E261" s="30">
        <v>2017</v>
      </c>
      <c r="F261" s="30">
        <v>1</v>
      </c>
      <c r="G261" s="1">
        <v>42745</v>
      </c>
      <c r="H261" s="27">
        <v>740287</v>
      </c>
      <c r="I261" s="24">
        <v>8910</v>
      </c>
      <c r="J261" s="24">
        <v>-8910</v>
      </c>
      <c r="K261" s="30">
        <v>335</v>
      </c>
      <c r="L261" s="30">
        <v>1584</v>
      </c>
      <c r="M261" s="30">
        <v>60</v>
      </c>
      <c r="N261" s="30">
        <v>0</v>
      </c>
      <c r="O261" s="30">
        <v>1657987</v>
      </c>
      <c r="P261" s="29" t="s">
        <v>598</v>
      </c>
      <c r="Q261" s="29" t="s">
        <v>425</v>
      </c>
      <c r="R261" s="140" t="s">
        <v>381</v>
      </c>
    </row>
    <row r="262" spans="1:18">
      <c r="A262" s="141">
        <v>3</v>
      </c>
      <c r="B262" s="142">
        <v>7</v>
      </c>
      <c r="C262" s="13">
        <v>42947</v>
      </c>
      <c r="D262" s="143">
        <v>773093</v>
      </c>
      <c r="E262" s="142">
        <v>2017</v>
      </c>
      <c r="F262" s="142">
        <v>1</v>
      </c>
      <c r="G262" s="13">
        <v>42745</v>
      </c>
      <c r="H262" s="143">
        <v>740287</v>
      </c>
      <c r="I262" s="16">
        <v>1158</v>
      </c>
      <c r="J262" s="16">
        <v>-1158</v>
      </c>
      <c r="K262" s="142">
        <v>335</v>
      </c>
      <c r="L262" s="142">
        <v>1584</v>
      </c>
      <c r="M262" s="142">
        <v>85</v>
      </c>
      <c r="N262" s="142">
        <v>0</v>
      </c>
      <c r="O262" s="142">
        <v>1657987</v>
      </c>
      <c r="P262" s="144" t="s">
        <v>598</v>
      </c>
      <c r="Q262" s="144" t="s">
        <v>425</v>
      </c>
      <c r="R262" s="145" t="s">
        <v>381</v>
      </c>
    </row>
    <row r="263" spans="1:18">
      <c r="A263" s="119" t="s">
        <v>229</v>
      </c>
      <c r="B263" s="120"/>
      <c r="C263" s="120"/>
      <c r="D263" s="120"/>
      <c r="E263" s="120"/>
      <c r="F263" s="120"/>
      <c r="G263" s="120"/>
      <c r="H263" s="120"/>
      <c r="I263" s="123">
        <f>SUBTOTAL(109,[9])</f>
        <v>3624428.4399999981</v>
      </c>
      <c r="J263" s="123">
        <f>SUBTOTAL(109,[10])</f>
        <v>-3265685.4399999981</v>
      </c>
      <c r="K263" s="120"/>
      <c r="L263" s="120"/>
      <c r="M263" s="120"/>
      <c r="N263" s="120"/>
      <c r="O263" s="120"/>
      <c r="P263" s="130"/>
      <c r="Q263" s="130"/>
      <c r="R263" s="146">
        <f>SUBTOTAL(103,[18])</f>
        <v>259</v>
      </c>
    </row>
  </sheetData>
  <mergeCells count="7">
    <mergeCell ref="O1:R1"/>
    <mergeCell ref="A1:D1"/>
    <mergeCell ref="E1:J1"/>
    <mergeCell ref="K1:K2"/>
    <mergeCell ref="L1:L2"/>
    <mergeCell ref="M1:M2"/>
    <mergeCell ref="N1:N2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>
  <sheetPr codeName="Лист11"/>
  <dimension ref="A1:P206"/>
  <sheetViews>
    <sheetView tabSelected="1" topLeftCell="A184" workbookViewId="0">
      <selection activeCell="E205" sqref="E205"/>
    </sheetView>
  </sheetViews>
  <sheetFormatPr defaultRowHeight="15"/>
  <cols>
    <col min="1" max="1" width="13.5703125" customWidth="1"/>
    <col min="2" max="2" width="12.42578125" customWidth="1"/>
    <col min="3" max="3" width="20.85546875" customWidth="1"/>
    <col min="4" max="4" width="13.140625" customWidth="1"/>
    <col min="5" max="9" width="16.7109375" customWidth="1"/>
    <col min="10" max="11" width="13.5703125" customWidth="1"/>
    <col min="12" max="16" width="16.7109375" customWidth="1"/>
  </cols>
  <sheetData>
    <row r="1" spans="1:16" ht="31.5" customHeight="1">
      <c r="A1" s="163" t="s">
        <v>4</v>
      </c>
      <c r="B1" s="164"/>
      <c r="C1" s="164"/>
      <c r="D1" s="164"/>
      <c r="E1" s="164"/>
      <c r="F1" s="164"/>
      <c r="G1" s="164"/>
      <c r="H1" s="164"/>
      <c r="I1" s="165"/>
      <c r="J1" s="166" t="s">
        <v>23</v>
      </c>
      <c r="K1" s="167"/>
      <c r="L1" s="167"/>
      <c r="M1" s="167"/>
      <c r="N1" s="167"/>
      <c r="O1" s="167"/>
      <c r="P1" s="168"/>
    </row>
    <row r="2" spans="1:16" ht="24" customHeight="1">
      <c r="A2" s="169" t="s">
        <v>0</v>
      </c>
      <c r="B2" s="171" t="s">
        <v>30</v>
      </c>
      <c r="C2" s="171" t="s">
        <v>3</v>
      </c>
      <c r="D2" s="171" t="s">
        <v>31</v>
      </c>
      <c r="E2" s="173" t="s">
        <v>5</v>
      </c>
      <c r="F2" s="174"/>
      <c r="G2" s="175"/>
      <c r="H2" s="173" t="s">
        <v>6</v>
      </c>
      <c r="I2" s="176"/>
      <c r="J2" s="177" t="s">
        <v>29</v>
      </c>
      <c r="K2" s="177" t="s">
        <v>33</v>
      </c>
      <c r="L2" s="159" t="s">
        <v>5</v>
      </c>
      <c r="M2" s="160"/>
      <c r="N2" s="161"/>
      <c r="O2" s="159" t="s">
        <v>6</v>
      </c>
      <c r="P2" s="162"/>
    </row>
    <row r="3" spans="1:16" ht="38.25" customHeight="1">
      <c r="A3" s="170"/>
      <c r="B3" s="172"/>
      <c r="C3" s="172"/>
      <c r="D3" s="172"/>
      <c r="E3" s="2" t="s">
        <v>1</v>
      </c>
      <c r="F3" s="2" t="s">
        <v>2</v>
      </c>
      <c r="G3" s="135" t="s">
        <v>22</v>
      </c>
      <c r="H3" s="2" t="s">
        <v>1</v>
      </c>
      <c r="I3" s="3" t="s">
        <v>22</v>
      </c>
      <c r="J3" s="178"/>
      <c r="K3" s="178"/>
      <c r="L3" s="4" t="s">
        <v>1</v>
      </c>
      <c r="M3" s="4" t="s">
        <v>2</v>
      </c>
      <c r="N3" s="4" t="s">
        <v>22</v>
      </c>
      <c r="O3" s="4" t="s">
        <v>1</v>
      </c>
      <c r="P3" s="5" t="s">
        <v>22</v>
      </c>
    </row>
    <row r="4" spans="1:16">
      <c r="A4" s="10" t="s">
        <v>7</v>
      </c>
      <c r="B4" s="8" t="s">
        <v>8</v>
      </c>
      <c r="C4" s="8" t="s">
        <v>9</v>
      </c>
      <c r="D4" s="8" t="s">
        <v>10</v>
      </c>
      <c r="E4" s="8" t="s">
        <v>11</v>
      </c>
      <c r="F4" s="8" t="s">
        <v>12</v>
      </c>
      <c r="G4" s="8" t="s">
        <v>13</v>
      </c>
      <c r="H4" s="8" t="s">
        <v>14</v>
      </c>
      <c r="I4" s="8" t="s">
        <v>15</v>
      </c>
      <c r="J4" s="9" t="s">
        <v>16</v>
      </c>
      <c r="K4" s="9" t="s">
        <v>17</v>
      </c>
      <c r="L4" s="9" t="s">
        <v>18</v>
      </c>
      <c r="M4" s="9" t="s">
        <v>19</v>
      </c>
      <c r="N4" s="9" t="s">
        <v>20</v>
      </c>
      <c r="O4" s="9" t="s">
        <v>21</v>
      </c>
      <c r="P4" s="11" t="s">
        <v>24</v>
      </c>
    </row>
    <row r="5" spans="1:16">
      <c r="A5" s="12">
        <v>42745</v>
      </c>
      <c r="B5" s="13">
        <v>42746</v>
      </c>
      <c r="C5" s="14" t="s">
        <v>362</v>
      </c>
      <c r="D5" s="15" t="s">
        <v>7</v>
      </c>
      <c r="E5" s="16">
        <v>1109814254.3699999</v>
      </c>
      <c r="F5" s="16">
        <v>5399100</v>
      </c>
      <c r="G5" s="16">
        <v>143653261</v>
      </c>
      <c r="H5" s="16">
        <v>2573994.65</v>
      </c>
      <c r="I5" s="16">
        <v>772203</v>
      </c>
      <c r="J5" s="13">
        <v>42745</v>
      </c>
      <c r="K5" s="13"/>
      <c r="L5" s="16"/>
      <c r="M5" s="16"/>
      <c r="N5" s="16"/>
      <c r="O5" s="16"/>
      <c r="P5" s="17"/>
    </row>
    <row r="6" spans="1:16">
      <c r="A6" s="12">
        <v>42745</v>
      </c>
      <c r="B6" s="13">
        <v>42746</v>
      </c>
      <c r="C6" s="14" t="s">
        <v>362</v>
      </c>
      <c r="D6" s="15" t="s">
        <v>8</v>
      </c>
      <c r="E6" s="16">
        <v>36474311.719999999</v>
      </c>
      <c r="F6" s="16">
        <v>132600</v>
      </c>
      <c r="G6" s="16">
        <v>4726591</v>
      </c>
      <c r="H6" s="16">
        <v>25748</v>
      </c>
      <c r="I6" s="16">
        <v>7725</v>
      </c>
      <c r="J6" s="13">
        <v>42745</v>
      </c>
      <c r="K6" s="13"/>
      <c r="L6" s="16"/>
      <c r="M6" s="16"/>
      <c r="N6" s="16"/>
      <c r="O6" s="16"/>
      <c r="P6" s="17"/>
    </row>
    <row r="7" spans="1:16">
      <c r="A7" s="125">
        <v>42745</v>
      </c>
      <c r="B7" s="126">
        <v>42746</v>
      </c>
      <c r="C7" s="127" t="s">
        <v>362</v>
      </c>
      <c r="D7" s="117" t="s">
        <v>9</v>
      </c>
      <c r="E7" s="118">
        <v>19448481.859999999</v>
      </c>
      <c r="F7" s="118">
        <v>21600</v>
      </c>
      <c r="G7" s="118">
        <v>2525757</v>
      </c>
      <c r="H7" s="118">
        <v>2463</v>
      </c>
      <c r="I7" s="118">
        <v>739</v>
      </c>
      <c r="J7" s="126">
        <v>42745</v>
      </c>
      <c r="K7" s="126"/>
      <c r="L7" s="118"/>
      <c r="M7" s="118"/>
      <c r="N7" s="118"/>
      <c r="O7" s="118"/>
      <c r="P7" s="128"/>
    </row>
    <row r="8" spans="1:16">
      <c r="A8" s="125">
        <v>42745</v>
      </c>
      <c r="B8" s="126">
        <v>42746</v>
      </c>
      <c r="C8" s="127" t="s">
        <v>362</v>
      </c>
      <c r="D8" s="117" t="s">
        <v>11</v>
      </c>
      <c r="E8" s="118">
        <v>3364175.14</v>
      </c>
      <c r="F8" s="118">
        <v>11000</v>
      </c>
      <c r="G8" s="118">
        <v>435906</v>
      </c>
      <c r="H8" s="118">
        <v>4428.5</v>
      </c>
      <c r="I8" s="118">
        <v>1329</v>
      </c>
      <c r="J8" s="126">
        <v>42745</v>
      </c>
      <c r="K8" s="126"/>
      <c r="L8" s="118"/>
      <c r="M8" s="118"/>
      <c r="N8" s="118"/>
      <c r="O8" s="118"/>
      <c r="P8" s="128"/>
    </row>
    <row r="9" spans="1:16">
      <c r="A9" s="125">
        <v>42745</v>
      </c>
      <c r="B9" s="126">
        <v>42746</v>
      </c>
      <c r="C9" s="127" t="s">
        <v>362</v>
      </c>
      <c r="D9" s="117" t="s">
        <v>12</v>
      </c>
      <c r="E9" s="118">
        <v>30643009.879999999</v>
      </c>
      <c r="F9" s="118">
        <v>293900</v>
      </c>
      <c r="G9" s="118">
        <v>3951717</v>
      </c>
      <c r="H9" s="118">
        <v>67450.48</v>
      </c>
      <c r="I9" s="118">
        <v>20235</v>
      </c>
      <c r="J9" s="126">
        <v>42745</v>
      </c>
      <c r="K9" s="126"/>
      <c r="L9" s="118"/>
      <c r="M9" s="118"/>
      <c r="N9" s="118"/>
      <c r="O9" s="118"/>
      <c r="P9" s="128"/>
    </row>
    <row r="10" spans="1:16">
      <c r="A10" s="125">
        <v>42745</v>
      </c>
      <c r="B10" s="126">
        <v>42746</v>
      </c>
      <c r="C10" s="127" t="s">
        <v>362</v>
      </c>
      <c r="D10" s="117" t="s">
        <v>13</v>
      </c>
      <c r="E10" s="118">
        <v>80891708.25</v>
      </c>
      <c r="F10" s="118">
        <v>449800</v>
      </c>
      <c r="G10" s="118">
        <v>10478729</v>
      </c>
      <c r="H10" s="118">
        <v>25384</v>
      </c>
      <c r="I10" s="118">
        <v>7615</v>
      </c>
      <c r="J10" s="126">
        <v>42745</v>
      </c>
      <c r="K10" s="126"/>
      <c r="L10" s="118"/>
      <c r="M10" s="118"/>
      <c r="N10" s="118"/>
      <c r="O10" s="118"/>
      <c r="P10" s="128"/>
    </row>
    <row r="11" spans="1:16">
      <c r="A11" s="125">
        <v>42748</v>
      </c>
      <c r="B11" s="126">
        <v>42749</v>
      </c>
      <c r="C11" s="127" t="s">
        <v>363</v>
      </c>
      <c r="D11" s="117" t="s">
        <v>7</v>
      </c>
      <c r="E11" s="118">
        <v>5153171.72</v>
      </c>
      <c r="F11" s="118">
        <v>0</v>
      </c>
      <c r="G11" s="118">
        <v>669913</v>
      </c>
      <c r="H11" s="118">
        <v>0</v>
      </c>
      <c r="I11" s="118">
        <v>0</v>
      </c>
      <c r="J11" s="126">
        <v>42748</v>
      </c>
      <c r="K11" s="126"/>
      <c r="L11" s="118"/>
      <c r="M11" s="118"/>
      <c r="N11" s="118"/>
      <c r="O11" s="118"/>
      <c r="P11" s="128"/>
    </row>
    <row r="12" spans="1:16">
      <c r="A12" s="125">
        <v>42755</v>
      </c>
      <c r="B12" s="126"/>
      <c r="C12" s="127" t="s">
        <v>364</v>
      </c>
      <c r="D12" s="117" t="s">
        <v>8</v>
      </c>
      <c r="E12" s="118"/>
      <c r="F12" s="118"/>
      <c r="G12" s="118"/>
      <c r="H12" s="118"/>
      <c r="I12" s="118"/>
      <c r="J12" s="126">
        <v>42755</v>
      </c>
      <c r="K12" s="126">
        <v>42643</v>
      </c>
      <c r="L12" s="118">
        <v>-82000</v>
      </c>
      <c r="M12" s="118">
        <v>0</v>
      </c>
      <c r="N12" s="118">
        <v>-10660</v>
      </c>
      <c r="O12" s="118">
        <v>0</v>
      </c>
      <c r="P12" s="128">
        <v>0</v>
      </c>
    </row>
    <row r="13" spans="1:16">
      <c r="A13" s="125">
        <v>42755</v>
      </c>
      <c r="B13" s="126"/>
      <c r="C13" s="127" t="s">
        <v>364</v>
      </c>
      <c r="D13" s="117" t="s">
        <v>9</v>
      </c>
      <c r="E13" s="118"/>
      <c r="F13" s="118"/>
      <c r="G13" s="118"/>
      <c r="H13" s="118"/>
      <c r="I13" s="118"/>
      <c r="J13" s="126">
        <v>42755</v>
      </c>
      <c r="K13" s="126">
        <v>42706</v>
      </c>
      <c r="L13" s="118">
        <v>-45000</v>
      </c>
      <c r="M13" s="118">
        <v>0</v>
      </c>
      <c r="N13" s="118">
        <v>-5850</v>
      </c>
      <c r="O13" s="118">
        <v>0</v>
      </c>
      <c r="P13" s="128">
        <v>0</v>
      </c>
    </row>
    <row r="14" spans="1:16">
      <c r="A14" s="125">
        <v>42755</v>
      </c>
      <c r="B14" s="126"/>
      <c r="C14" s="127" t="s">
        <v>364</v>
      </c>
      <c r="D14" s="117" t="s">
        <v>9</v>
      </c>
      <c r="E14" s="118"/>
      <c r="F14" s="118"/>
      <c r="G14" s="118"/>
      <c r="H14" s="118"/>
      <c r="I14" s="118"/>
      <c r="J14" s="126">
        <v>42755</v>
      </c>
      <c r="K14" s="126">
        <v>42720</v>
      </c>
      <c r="L14" s="118">
        <v>-53000</v>
      </c>
      <c r="M14" s="118">
        <v>0</v>
      </c>
      <c r="N14" s="118">
        <v>-6890</v>
      </c>
      <c r="O14" s="118">
        <v>0</v>
      </c>
      <c r="P14" s="128">
        <v>0</v>
      </c>
    </row>
    <row r="15" spans="1:16">
      <c r="A15" s="125">
        <v>42760</v>
      </c>
      <c r="B15" s="126">
        <v>42761</v>
      </c>
      <c r="C15" s="127" t="s">
        <v>362</v>
      </c>
      <c r="D15" s="117" t="s">
        <v>7</v>
      </c>
      <c r="E15" s="118">
        <v>8066875.4800000004</v>
      </c>
      <c r="F15" s="118">
        <v>14500</v>
      </c>
      <c r="G15" s="118">
        <v>1046808</v>
      </c>
      <c r="H15" s="118">
        <v>2508.1999999999998</v>
      </c>
      <c r="I15" s="118">
        <v>752</v>
      </c>
      <c r="J15" s="126">
        <v>42760</v>
      </c>
      <c r="K15" s="126"/>
      <c r="L15" s="118"/>
      <c r="M15" s="118"/>
      <c r="N15" s="118"/>
      <c r="O15" s="118"/>
      <c r="P15" s="128"/>
    </row>
    <row r="16" spans="1:16">
      <c r="A16" s="125">
        <v>42760</v>
      </c>
      <c r="B16" s="126">
        <v>42761</v>
      </c>
      <c r="C16" s="127" t="s">
        <v>362</v>
      </c>
      <c r="D16" s="117" t="s">
        <v>8</v>
      </c>
      <c r="E16" s="118">
        <v>1255973.58</v>
      </c>
      <c r="F16" s="118">
        <v>0</v>
      </c>
      <c r="G16" s="118">
        <v>163281</v>
      </c>
      <c r="H16" s="118">
        <v>0</v>
      </c>
      <c r="I16" s="118">
        <v>0</v>
      </c>
      <c r="J16" s="126">
        <v>42760</v>
      </c>
      <c r="K16" s="126"/>
      <c r="L16" s="118"/>
      <c r="M16" s="118"/>
      <c r="N16" s="118"/>
      <c r="O16" s="118"/>
      <c r="P16" s="128"/>
    </row>
    <row r="17" spans="1:16">
      <c r="A17" s="125">
        <v>42760</v>
      </c>
      <c r="B17" s="126">
        <v>42761</v>
      </c>
      <c r="C17" s="127" t="s">
        <v>362</v>
      </c>
      <c r="D17" s="117" t="s">
        <v>9</v>
      </c>
      <c r="E17" s="118">
        <v>113028.53</v>
      </c>
      <c r="F17" s="118">
        <v>0</v>
      </c>
      <c r="G17" s="118">
        <v>14694</v>
      </c>
      <c r="H17" s="118">
        <v>6990</v>
      </c>
      <c r="I17" s="118">
        <v>2097</v>
      </c>
      <c r="J17" s="126">
        <v>42760</v>
      </c>
      <c r="K17" s="126"/>
      <c r="L17" s="118"/>
      <c r="M17" s="118"/>
      <c r="N17" s="118"/>
      <c r="O17" s="118"/>
      <c r="P17" s="128"/>
    </row>
    <row r="18" spans="1:16">
      <c r="A18" s="125">
        <v>42760</v>
      </c>
      <c r="B18" s="126">
        <v>42761</v>
      </c>
      <c r="C18" s="127" t="s">
        <v>362</v>
      </c>
      <c r="D18" s="117" t="s">
        <v>11</v>
      </c>
      <c r="E18" s="118">
        <v>55019.5</v>
      </c>
      <c r="F18" s="118">
        <v>0</v>
      </c>
      <c r="G18" s="118">
        <v>7153</v>
      </c>
      <c r="H18" s="118">
        <v>0</v>
      </c>
      <c r="I18" s="118">
        <v>0</v>
      </c>
      <c r="J18" s="126">
        <v>42760</v>
      </c>
      <c r="K18" s="126"/>
      <c r="L18" s="118"/>
      <c r="M18" s="118"/>
      <c r="N18" s="118"/>
      <c r="O18" s="118"/>
      <c r="P18" s="128"/>
    </row>
    <row r="19" spans="1:16">
      <c r="A19" s="125">
        <v>42760</v>
      </c>
      <c r="B19" s="126">
        <v>42761</v>
      </c>
      <c r="C19" s="127" t="s">
        <v>362</v>
      </c>
      <c r="D19" s="117" t="s">
        <v>12</v>
      </c>
      <c r="E19" s="118">
        <v>699777.7</v>
      </c>
      <c r="F19" s="118">
        <v>1000</v>
      </c>
      <c r="G19" s="118">
        <v>90845</v>
      </c>
      <c r="H19" s="118">
        <v>0</v>
      </c>
      <c r="I19" s="118">
        <v>0</v>
      </c>
      <c r="J19" s="126">
        <v>42760</v>
      </c>
      <c r="K19" s="126"/>
      <c r="L19" s="118"/>
      <c r="M19" s="118"/>
      <c r="N19" s="118"/>
      <c r="O19" s="118"/>
      <c r="P19" s="128"/>
    </row>
    <row r="20" spans="1:16">
      <c r="A20" s="125">
        <v>42760</v>
      </c>
      <c r="B20" s="126">
        <v>42761</v>
      </c>
      <c r="C20" s="127" t="s">
        <v>362</v>
      </c>
      <c r="D20" s="117" t="s">
        <v>13</v>
      </c>
      <c r="E20" s="118">
        <v>2350912.63</v>
      </c>
      <c r="F20" s="118">
        <v>4900</v>
      </c>
      <c r="G20" s="118">
        <v>304980</v>
      </c>
      <c r="H20" s="118">
        <v>0</v>
      </c>
      <c r="I20" s="118">
        <v>0</v>
      </c>
      <c r="J20" s="126">
        <v>42760</v>
      </c>
      <c r="K20" s="126"/>
      <c r="L20" s="118"/>
      <c r="M20" s="118"/>
      <c r="N20" s="118"/>
      <c r="O20" s="118"/>
      <c r="P20" s="128"/>
    </row>
    <row r="21" spans="1:16">
      <c r="A21" s="125">
        <v>42762</v>
      </c>
      <c r="B21" s="126"/>
      <c r="C21" s="127" t="s">
        <v>364</v>
      </c>
      <c r="D21" s="117" t="s">
        <v>8</v>
      </c>
      <c r="E21" s="118"/>
      <c r="F21" s="118"/>
      <c r="G21" s="118"/>
      <c r="H21" s="118"/>
      <c r="I21" s="118"/>
      <c r="J21" s="126">
        <v>42762</v>
      </c>
      <c r="K21" s="126">
        <v>42716</v>
      </c>
      <c r="L21" s="118">
        <v>-62000</v>
      </c>
      <c r="M21" s="118">
        <v>0</v>
      </c>
      <c r="N21" s="118">
        <v>-8060</v>
      </c>
      <c r="O21" s="118">
        <v>0</v>
      </c>
      <c r="P21" s="128">
        <v>0</v>
      </c>
    </row>
    <row r="22" spans="1:16">
      <c r="A22" s="125">
        <v>42762</v>
      </c>
      <c r="B22" s="126"/>
      <c r="C22" s="127" t="s">
        <v>364</v>
      </c>
      <c r="D22" s="117" t="s">
        <v>8</v>
      </c>
      <c r="E22" s="118"/>
      <c r="F22" s="118"/>
      <c r="G22" s="118"/>
      <c r="H22" s="118"/>
      <c r="I22" s="118"/>
      <c r="J22" s="126">
        <v>42762</v>
      </c>
      <c r="K22" s="126">
        <v>42727</v>
      </c>
      <c r="L22" s="118">
        <v>-23500</v>
      </c>
      <c r="M22" s="118">
        <v>0</v>
      </c>
      <c r="N22" s="118">
        <v>-3055</v>
      </c>
      <c r="O22" s="118">
        <v>0</v>
      </c>
      <c r="P22" s="128">
        <v>0</v>
      </c>
    </row>
    <row r="23" spans="1:16">
      <c r="A23" s="125">
        <v>42762</v>
      </c>
      <c r="B23" s="126"/>
      <c r="C23" s="127" t="s">
        <v>364</v>
      </c>
      <c r="D23" s="117" t="s">
        <v>9</v>
      </c>
      <c r="E23" s="118"/>
      <c r="F23" s="118"/>
      <c r="G23" s="118"/>
      <c r="H23" s="118"/>
      <c r="I23" s="118"/>
      <c r="J23" s="126">
        <v>42762</v>
      </c>
      <c r="K23" s="126">
        <v>42671</v>
      </c>
      <c r="L23" s="118">
        <v>-66000</v>
      </c>
      <c r="M23" s="118">
        <v>0</v>
      </c>
      <c r="N23" s="118">
        <v>-8580</v>
      </c>
      <c r="O23" s="118">
        <v>0</v>
      </c>
      <c r="P23" s="128">
        <v>0</v>
      </c>
    </row>
    <row r="24" spans="1:16">
      <c r="A24" s="125">
        <v>42762</v>
      </c>
      <c r="B24" s="126"/>
      <c r="C24" s="127" t="s">
        <v>364</v>
      </c>
      <c r="D24" s="117" t="s">
        <v>9</v>
      </c>
      <c r="E24" s="118"/>
      <c r="F24" s="118"/>
      <c r="G24" s="118"/>
      <c r="H24" s="118"/>
      <c r="I24" s="118"/>
      <c r="J24" s="126">
        <v>42762</v>
      </c>
      <c r="K24" s="126">
        <v>42727</v>
      </c>
      <c r="L24" s="118">
        <v>-26000</v>
      </c>
      <c r="M24" s="118">
        <v>0</v>
      </c>
      <c r="N24" s="118">
        <v>-3380</v>
      </c>
      <c r="O24" s="118">
        <v>0</v>
      </c>
      <c r="P24" s="128">
        <v>0</v>
      </c>
    </row>
    <row r="25" spans="1:16">
      <c r="A25" s="125">
        <v>42762</v>
      </c>
      <c r="B25" s="126">
        <v>42763</v>
      </c>
      <c r="C25" s="127" t="s">
        <v>363</v>
      </c>
      <c r="D25" s="117" t="s">
        <v>7</v>
      </c>
      <c r="E25" s="118">
        <v>4780922.18</v>
      </c>
      <c r="F25" s="118">
        <v>0</v>
      </c>
      <c r="G25" s="118">
        <v>621518</v>
      </c>
      <c r="H25" s="118">
        <v>165477.6</v>
      </c>
      <c r="I25" s="118">
        <v>49643</v>
      </c>
      <c r="J25" s="126">
        <v>42762</v>
      </c>
      <c r="K25" s="126"/>
      <c r="L25" s="118"/>
      <c r="M25" s="118"/>
      <c r="N25" s="118"/>
      <c r="O25" s="118"/>
      <c r="P25" s="128"/>
    </row>
    <row r="26" spans="1:16">
      <c r="A26" s="125">
        <v>42766</v>
      </c>
      <c r="B26" s="126"/>
      <c r="C26" s="127" t="s">
        <v>362</v>
      </c>
      <c r="D26" s="117" t="s">
        <v>7</v>
      </c>
      <c r="E26" s="118"/>
      <c r="F26" s="118"/>
      <c r="G26" s="118"/>
      <c r="H26" s="118"/>
      <c r="I26" s="118"/>
      <c r="J26" s="126">
        <v>42766</v>
      </c>
      <c r="K26" s="126">
        <v>42745</v>
      </c>
      <c r="L26" s="118">
        <v>-20595.02</v>
      </c>
      <c r="M26" s="118">
        <v>-500</v>
      </c>
      <c r="N26" s="118">
        <v>-2612</v>
      </c>
      <c r="O26" s="118">
        <v>0</v>
      </c>
      <c r="P26" s="128">
        <v>0</v>
      </c>
    </row>
    <row r="27" spans="1:16">
      <c r="A27" s="125">
        <v>42766</v>
      </c>
      <c r="B27" s="126"/>
      <c r="C27" s="127" t="s">
        <v>362</v>
      </c>
      <c r="D27" s="117" t="s">
        <v>8</v>
      </c>
      <c r="E27" s="118"/>
      <c r="F27" s="118"/>
      <c r="G27" s="118"/>
      <c r="H27" s="118"/>
      <c r="I27" s="118"/>
      <c r="J27" s="126">
        <v>42766</v>
      </c>
      <c r="K27" s="126">
        <v>42745</v>
      </c>
      <c r="L27" s="118">
        <v>-6400</v>
      </c>
      <c r="M27" s="118">
        <v>0</v>
      </c>
      <c r="N27" s="118">
        <v>-832</v>
      </c>
      <c r="O27" s="118">
        <v>0</v>
      </c>
      <c r="P27" s="128">
        <v>0</v>
      </c>
    </row>
    <row r="28" spans="1:16">
      <c r="A28" s="125">
        <v>42769</v>
      </c>
      <c r="B28" s="126"/>
      <c r="C28" s="127" t="s">
        <v>364</v>
      </c>
      <c r="D28" s="117" t="s">
        <v>9</v>
      </c>
      <c r="E28" s="118"/>
      <c r="F28" s="118"/>
      <c r="G28" s="118"/>
      <c r="H28" s="118"/>
      <c r="I28" s="118"/>
      <c r="J28" s="126">
        <v>42769</v>
      </c>
      <c r="K28" s="126">
        <v>42731</v>
      </c>
      <c r="L28" s="118">
        <v>-210000</v>
      </c>
      <c r="M28" s="118">
        <v>0</v>
      </c>
      <c r="N28" s="118">
        <v>-27300</v>
      </c>
      <c r="O28" s="118">
        <v>0</v>
      </c>
      <c r="P28" s="128">
        <v>0</v>
      </c>
    </row>
    <row r="29" spans="1:16">
      <c r="A29" s="125">
        <v>42776</v>
      </c>
      <c r="B29" s="126">
        <v>42777</v>
      </c>
      <c r="C29" s="127" t="s">
        <v>362</v>
      </c>
      <c r="D29" s="117" t="s">
        <v>7</v>
      </c>
      <c r="E29" s="118">
        <v>1109545596.1600001</v>
      </c>
      <c r="F29" s="118">
        <v>5447100</v>
      </c>
      <c r="G29" s="118">
        <v>143562769</v>
      </c>
      <c r="H29" s="118">
        <v>2523959.12</v>
      </c>
      <c r="I29" s="118">
        <v>757190</v>
      </c>
      <c r="J29" s="126">
        <v>42776</v>
      </c>
      <c r="K29" s="126">
        <v>42745</v>
      </c>
      <c r="L29" s="118">
        <v>0</v>
      </c>
      <c r="M29" s="118">
        <v>0</v>
      </c>
      <c r="N29" s="118">
        <v>0</v>
      </c>
      <c r="O29" s="118">
        <v>0</v>
      </c>
      <c r="P29" s="128">
        <v>-3504</v>
      </c>
    </row>
    <row r="30" spans="1:16">
      <c r="A30" s="125">
        <v>42776</v>
      </c>
      <c r="B30" s="126">
        <v>42777</v>
      </c>
      <c r="C30" s="127" t="s">
        <v>362</v>
      </c>
      <c r="D30" s="117" t="s">
        <v>8</v>
      </c>
      <c r="E30" s="118">
        <v>36546838.439999998</v>
      </c>
      <c r="F30" s="118">
        <v>132900</v>
      </c>
      <c r="G30" s="118">
        <v>4735925</v>
      </c>
      <c r="H30" s="118">
        <v>29568</v>
      </c>
      <c r="I30" s="118">
        <v>8871</v>
      </c>
      <c r="J30" s="126">
        <v>42776</v>
      </c>
      <c r="K30" s="126"/>
      <c r="L30" s="118"/>
      <c r="M30" s="118"/>
      <c r="N30" s="118"/>
      <c r="O30" s="118"/>
      <c r="P30" s="128"/>
    </row>
    <row r="31" spans="1:16">
      <c r="A31" s="125">
        <v>42776</v>
      </c>
      <c r="B31" s="126">
        <v>42777</v>
      </c>
      <c r="C31" s="127" t="s">
        <v>362</v>
      </c>
      <c r="D31" s="117" t="s">
        <v>9</v>
      </c>
      <c r="E31" s="118">
        <v>18213993.25</v>
      </c>
      <c r="F31" s="118">
        <v>21100</v>
      </c>
      <c r="G31" s="118">
        <v>2365269</v>
      </c>
      <c r="H31" s="118">
        <v>2463</v>
      </c>
      <c r="I31" s="118">
        <v>739</v>
      </c>
      <c r="J31" s="126">
        <v>42776</v>
      </c>
      <c r="K31" s="126"/>
      <c r="L31" s="118"/>
      <c r="M31" s="118"/>
      <c r="N31" s="118"/>
      <c r="O31" s="118"/>
      <c r="P31" s="128"/>
    </row>
    <row r="32" spans="1:16">
      <c r="A32" s="125">
        <v>42776</v>
      </c>
      <c r="B32" s="126">
        <v>42777</v>
      </c>
      <c r="C32" s="127" t="s">
        <v>362</v>
      </c>
      <c r="D32" s="117" t="s">
        <v>11</v>
      </c>
      <c r="E32" s="118">
        <v>3356274.36</v>
      </c>
      <c r="F32" s="118">
        <v>11000</v>
      </c>
      <c r="G32" s="118">
        <v>434890</v>
      </c>
      <c r="H32" s="118">
        <v>4428.5</v>
      </c>
      <c r="I32" s="118">
        <v>1329</v>
      </c>
      <c r="J32" s="126">
        <v>42776</v>
      </c>
      <c r="K32" s="126"/>
      <c r="L32" s="118"/>
      <c r="M32" s="118"/>
      <c r="N32" s="118"/>
      <c r="O32" s="118"/>
      <c r="P32" s="128"/>
    </row>
    <row r="33" spans="1:16">
      <c r="A33" s="125">
        <v>42776</v>
      </c>
      <c r="B33" s="126">
        <v>42777</v>
      </c>
      <c r="C33" s="127" t="s">
        <v>362</v>
      </c>
      <c r="D33" s="117" t="s">
        <v>12</v>
      </c>
      <c r="E33" s="118">
        <v>31671711.18</v>
      </c>
      <c r="F33" s="118">
        <v>294900</v>
      </c>
      <c r="G33" s="118">
        <v>4081971</v>
      </c>
      <c r="H33" s="118">
        <v>65348.58</v>
      </c>
      <c r="I33" s="118">
        <v>19605</v>
      </c>
      <c r="J33" s="126">
        <v>42776</v>
      </c>
      <c r="K33" s="126"/>
      <c r="L33" s="118"/>
      <c r="M33" s="118"/>
      <c r="N33" s="118"/>
      <c r="O33" s="118"/>
      <c r="P33" s="128"/>
    </row>
    <row r="34" spans="1:16">
      <c r="A34" s="125">
        <v>42776</v>
      </c>
      <c r="B34" s="126">
        <v>42777</v>
      </c>
      <c r="C34" s="127" t="s">
        <v>362</v>
      </c>
      <c r="D34" s="117" t="s">
        <v>13</v>
      </c>
      <c r="E34" s="118">
        <v>85677412.859999999</v>
      </c>
      <c r="F34" s="118">
        <v>466800</v>
      </c>
      <c r="G34" s="118">
        <v>11080991</v>
      </c>
      <c r="H34" s="118">
        <v>17161</v>
      </c>
      <c r="I34" s="118">
        <v>5148</v>
      </c>
      <c r="J34" s="126">
        <v>42776</v>
      </c>
      <c r="K34" s="126"/>
      <c r="L34" s="118"/>
      <c r="M34" s="118"/>
      <c r="N34" s="118"/>
      <c r="O34" s="118"/>
      <c r="P34" s="128"/>
    </row>
    <row r="35" spans="1:16">
      <c r="A35" s="125">
        <v>42779</v>
      </c>
      <c r="B35" s="126"/>
      <c r="C35" s="127" t="s">
        <v>364</v>
      </c>
      <c r="D35" s="117" t="s">
        <v>9</v>
      </c>
      <c r="E35" s="118"/>
      <c r="F35" s="118"/>
      <c r="G35" s="118"/>
      <c r="H35" s="118"/>
      <c r="I35" s="118"/>
      <c r="J35" s="126">
        <v>42779</v>
      </c>
      <c r="K35" s="126">
        <v>42657</v>
      </c>
      <c r="L35" s="118">
        <v>-10000</v>
      </c>
      <c r="M35" s="118">
        <v>0</v>
      </c>
      <c r="N35" s="118">
        <v>-1300</v>
      </c>
      <c r="O35" s="118">
        <v>0</v>
      </c>
      <c r="P35" s="128">
        <v>0</v>
      </c>
    </row>
    <row r="36" spans="1:16">
      <c r="A36" s="125">
        <v>42779</v>
      </c>
      <c r="B36" s="126"/>
      <c r="C36" s="127" t="s">
        <v>364</v>
      </c>
      <c r="D36" s="117" t="s">
        <v>9</v>
      </c>
      <c r="E36" s="118"/>
      <c r="F36" s="118"/>
      <c r="G36" s="118"/>
      <c r="H36" s="118"/>
      <c r="I36" s="118"/>
      <c r="J36" s="126">
        <v>42779</v>
      </c>
      <c r="K36" s="126">
        <v>42692</v>
      </c>
      <c r="L36" s="118">
        <v>-40000</v>
      </c>
      <c r="M36" s="118">
        <v>0</v>
      </c>
      <c r="N36" s="118">
        <v>-5200</v>
      </c>
      <c r="O36" s="118">
        <v>0</v>
      </c>
      <c r="P36" s="128">
        <v>0</v>
      </c>
    </row>
    <row r="37" spans="1:16">
      <c r="A37" s="125">
        <v>42779</v>
      </c>
      <c r="B37" s="126"/>
      <c r="C37" s="127" t="s">
        <v>364</v>
      </c>
      <c r="D37" s="117" t="s">
        <v>9</v>
      </c>
      <c r="E37" s="118"/>
      <c r="F37" s="118"/>
      <c r="G37" s="118"/>
      <c r="H37" s="118"/>
      <c r="I37" s="118"/>
      <c r="J37" s="126">
        <v>42779</v>
      </c>
      <c r="K37" s="126">
        <v>42702</v>
      </c>
      <c r="L37" s="118">
        <v>-104000</v>
      </c>
      <c r="M37" s="118">
        <v>0</v>
      </c>
      <c r="N37" s="118">
        <v>-13520</v>
      </c>
      <c r="O37" s="118">
        <v>0</v>
      </c>
      <c r="P37" s="128">
        <v>0</v>
      </c>
    </row>
    <row r="38" spans="1:16">
      <c r="A38" s="125">
        <v>42779</v>
      </c>
      <c r="B38" s="126"/>
      <c r="C38" s="127" t="s">
        <v>364</v>
      </c>
      <c r="D38" s="117" t="s">
        <v>9</v>
      </c>
      <c r="E38" s="118"/>
      <c r="F38" s="118"/>
      <c r="G38" s="118"/>
      <c r="H38" s="118"/>
      <c r="I38" s="118"/>
      <c r="J38" s="126">
        <v>42779</v>
      </c>
      <c r="K38" s="126">
        <v>42727</v>
      </c>
      <c r="L38" s="118">
        <v>-28500</v>
      </c>
      <c r="M38" s="118">
        <v>0</v>
      </c>
      <c r="N38" s="118">
        <v>-3705</v>
      </c>
      <c r="O38" s="118">
        <v>0</v>
      </c>
      <c r="P38" s="128">
        <v>0</v>
      </c>
    </row>
    <row r="39" spans="1:16">
      <c r="A39" s="125">
        <v>42779</v>
      </c>
      <c r="B39" s="126">
        <v>42780</v>
      </c>
      <c r="C39" s="127" t="s">
        <v>363</v>
      </c>
      <c r="D39" s="117" t="s">
        <v>7</v>
      </c>
      <c r="E39" s="118">
        <v>4711740.97</v>
      </c>
      <c r="F39" s="118">
        <v>0</v>
      </c>
      <c r="G39" s="118">
        <v>612527</v>
      </c>
      <c r="H39" s="118">
        <v>113468.96</v>
      </c>
      <c r="I39" s="118">
        <v>34041</v>
      </c>
      <c r="J39" s="126">
        <v>42779</v>
      </c>
      <c r="K39" s="126"/>
      <c r="L39" s="118"/>
      <c r="M39" s="118"/>
      <c r="N39" s="118"/>
      <c r="O39" s="118"/>
      <c r="P39" s="128"/>
    </row>
    <row r="40" spans="1:16">
      <c r="A40" s="125">
        <v>42793</v>
      </c>
      <c r="B40" s="126">
        <v>42794</v>
      </c>
      <c r="C40" s="127" t="s">
        <v>362</v>
      </c>
      <c r="D40" s="117" t="s">
        <v>7</v>
      </c>
      <c r="E40" s="118">
        <v>3870705.12</v>
      </c>
      <c r="F40" s="118">
        <v>-500</v>
      </c>
      <c r="G40" s="118">
        <v>503264</v>
      </c>
      <c r="H40" s="118">
        <v>26951.78</v>
      </c>
      <c r="I40" s="118">
        <v>8086</v>
      </c>
      <c r="J40" s="126">
        <v>42793</v>
      </c>
      <c r="K40" s="126"/>
      <c r="L40" s="118"/>
      <c r="M40" s="118"/>
      <c r="N40" s="118"/>
      <c r="O40" s="118"/>
      <c r="P40" s="128"/>
    </row>
    <row r="41" spans="1:16">
      <c r="A41" s="125">
        <v>42793</v>
      </c>
      <c r="B41" s="126">
        <v>42794</v>
      </c>
      <c r="C41" s="127" t="s">
        <v>362</v>
      </c>
      <c r="D41" s="117" t="s">
        <v>8</v>
      </c>
      <c r="E41" s="118">
        <v>339218.09</v>
      </c>
      <c r="F41" s="118">
        <v>1000</v>
      </c>
      <c r="G41" s="118">
        <v>43969</v>
      </c>
      <c r="H41" s="118">
        <v>0</v>
      </c>
      <c r="I41" s="118">
        <v>0</v>
      </c>
      <c r="J41" s="126">
        <v>42793</v>
      </c>
      <c r="K41" s="126"/>
      <c r="L41" s="118"/>
      <c r="M41" s="118"/>
      <c r="N41" s="118"/>
      <c r="O41" s="118"/>
      <c r="P41" s="128"/>
    </row>
    <row r="42" spans="1:16">
      <c r="A42" s="125">
        <v>42793</v>
      </c>
      <c r="B42" s="126">
        <v>42794</v>
      </c>
      <c r="C42" s="127" t="s">
        <v>362</v>
      </c>
      <c r="D42" s="117" t="s">
        <v>9</v>
      </c>
      <c r="E42" s="118">
        <v>29886</v>
      </c>
      <c r="F42" s="118">
        <v>0</v>
      </c>
      <c r="G42" s="118">
        <v>3884</v>
      </c>
      <c r="H42" s="118">
        <v>0</v>
      </c>
      <c r="I42" s="118">
        <v>0</v>
      </c>
      <c r="J42" s="126">
        <v>42793</v>
      </c>
      <c r="K42" s="126"/>
      <c r="L42" s="118"/>
      <c r="M42" s="118"/>
      <c r="N42" s="118"/>
      <c r="O42" s="118"/>
      <c r="P42" s="128"/>
    </row>
    <row r="43" spans="1:16">
      <c r="A43" s="125">
        <v>42793</v>
      </c>
      <c r="B43" s="126">
        <v>42794</v>
      </c>
      <c r="C43" s="127" t="s">
        <v>362</v>
      </c>
      <c r="D43" s="117" t="s">
        <v>12</v>
      </c>
      <c r="E43" s="118">
        <v>2865038.2</v>
      </c>
      <c r="F43" s="118">
        <v>1000</v>
      </c>
      <c r="G43" s="118">
        <v>372323</v>
      </c>
      <c r="H43" s="118">
        <v>2101.9</v>
      </c>
      <c r="I43" s="118">
        <v>630</v>
      </c>
      <c r="J43" s="126">
        <v>42793</v>
      </c>
      <c r="K43" s="126"/>
      <c r="L43" s="118"/>
      <c r="M43" s="118"/>
      <c r="N43" s="118"/>
      <c r="O43" s="118"/>
      <c r="P43" s="128"/>
    </row>
    <row r="44" spans="1:16">
      <c r="A44" s="125">
        <v>42793</v>
      </c>
      <c r="B44" s="126">
        <v>42794</v>
      </c>
      <c r="C44" s="127" t="s">
        <v>362</v>
      </c>
      <c r="D44" s="117" t="s">
        <v>13</v>
      </c>
      <c r="E44" s="118">
        <v>1020488.15</v>
      </c>
      <c r="F44" s="118">
        <v>2400</v>
      </c>
      <c r="G44" s="118">
        <v>132359</v>
      </c>
      <c r="H44" s="118">
        <v>0</v>
      </c>
      <c r="I44" s="118">
        <v>0</v>
      </c>
      <c r="J44" s="126">
        <v>42793</v>
      </c>
      <c r="K44" s="126"/>
      <c r="L44" s="118"/>
      <c r="M44" s="118"/>
      <c r="N44" s="118"/>
      <c r="O44" s="118"/>
      <c r="P44" s="128"/>
    </row>
    <row r="45" spans="1:16">
      <c r="A45" s="125">
        <v>42794</v>
      </c>
      <c r="B45" s="126"/>
      <c r="C45" s="127" t="s">
        <v>362</v>
      </c>
      <c r="D45" s="117" t="s">
        <v>7</v>
      </c>
      <c r="E45" s="118"/>
      <c r="F45" s="118"/>
      <c r="G45" s="118"/>
      <c r="H45" s="118"/>
      <c r="I45" s="118"/>
      <c r="J45" s="126">
        <v>42794</v>
      </c>
      <c r="K45" s="126">
        <v>42745</v>
      </c>
      <c r="L45" s="118">
        <v>-15112.68</v>
      </c>
      <c r="M45" s="118">
        <v>-500</v>
      </c>
      <c r="N45" s="118">
        <v>-1899</v>
      </c>
      <c r="O45" s="118">
        <v>0</v>
      </c>
      <c r="P45" s="128">
        <v>0</v>
      </c>
    </row>
    <row r="46" spans="1:16">
      <c r="A46" s="125">
        <v>42794</v>
      </c>
      <c r="B46" s="126"/>
      <c r="C46" s="127" t="s">
        <v>362</v>
      </c>
      <c r="D46" s="117" t="s">
        <v>7</v>
      </c>
      <c r="E46" s="118"/>
      <c r="F46" s="118"/>
      <c r="G46" s="118"/>
      <c r="H46" s="118"/>
      <c r="I46" s="118"/>
      <c r="J46" s="126">
        <v>42794</v>
      </c>
      <c r="K46" s="126">
        <v>42776</v>
      </c>
      <c r="L46" s="118">
        <v>-8935.0499999999993</v>
      </c>
      <c r="M46" s="118">
        <v>0</v>
      </c>
      <c r="N46" s="118">
        <v>-1162</v>
      </c>
      <c r="O46" s="118">
        <v>0</v>
      </c>
      <c r="P46" s="128">
        <v>0</v>
      </c>
    </row>
    <row r="47" spans="1:16">
      <c r="A47" s="125">
        <v>42794</v>
      </c>
      <c r="B47" s="126">
        <v>42795</v>
      </c>
      <c r="C47" s="127" t="s">
        <v>363</v>
      </c>
      <c r="D47" s="117" t="s">
        <v>7</v>
      </c>
      <c r="E47" s="118">
        <v>6597302.0999999996</v>
      </c>
      <c r="F47" s="118">
        <v>0</v>
      </c>
      <c r="G47" s="118">
        <v>857649</v>
      </c>
      <c r="H47" s="118">
        <v>0</v>
      </c>
      <c r="I47" s="118">
        <v>0</v>
      </c>
      <c r="J47" s="126">
        <v>42794</v>
      </c>
      <c r="K47" s="126"/>
      <c r="L47" s="118"/>
      <c r="M47" s="118"/>
      <c r="N47" s="118"/>
      <c r="O47" s="118"/>
      <c r="P47" s="128"/>
    </row>
    <row r="48" spans="1:16">
      <c r="A48" s="125">
        <v>42804</v>
      </c>
      <c r="B48" s="126">
        <v>42805</v>
      </c>
      <c r="C48" s="127" t="s">
        <v>362</v>
      </c>
      <c r="D48" s="117" t="s">
        <v>7</v>
      </c>
      <c r="E48" s="118">
        <v>1111205930.6600001</v>
      </c>
      <c r="F48" s="118">
        <v>5902600</v>
      </c>
      <c r="G48" s="118">
        <v>143717724</v>
      </c>
      <c r="H48" s="118">
        <v>2558044.63</v>
      </c>
      <c r="I48" s="118">
        <v>767419</v>
      </c>
      <c r="J48" s="126">
        <v>42804</v>
      </c>
      <c r="K48" s="126"/>
      <c r="L48" s="118"/>
      <c r="M48" s="118"/>
      <c r="N48" s="118"/>
      <c r="O48" s="118"/>
      <c r="P48" s="128"/>
    </row>
    <row r="49" spans="1:16">
      <c r="A49" s="125">
        <v>42804</v>
      </c>
      <c r="B49" s="126">
        <v>42805</v>
      </c>
      <c r="C49" s="127" t="s">
        <v>362</v>
      </c>
      <c r="D49" s="117" t="s">
        <v>8</v>
      </c>
      <c r="E49" s="118">
        <v>36827110.219999999</v>
      </c>
      <c r="F49" s="118">
        <v>138200</v>
      </c>
      <c r="G49" s="118">
        <v>4771613</v>
      </c>
      <c r="H49" s="118">
        <v>24793</v>
      </c>
      <c r="I49" s="118">
        <v>7438</v>
      </c>
      <c r="J49" s="126">
        <v>42804</v>
      </c>
      <c r="K49" s="126"/>
      <c r="L49" s="118"/>
      <c r="M49" s="118"/>
      <c r="N49" s="118"/>
      <c r="O49" s="118"/>
      <c r="P49" s="128"/>
    </row>
    <row r="50" spans="1:16">
      <c r="A50" s="125">
        <v>42804</v>
      </c>
      <c r="B50" s="126">
        <v>42805</v>
      </c>
      <c r="C50" s="127" t="s">
        <v>362</v>
      </c>
      <c r="D50" s="117" t="s">
        <v>9</v>
      </c>
      <c r="E50" s="118">
        <v>18357778</v>
      </c>
      <c r="F50" s="118">
        <v>34200</v>
      </c>
      <c r="G50" s="118">
        <v>2382300</v>
      </c>
      <c r="H50" s="118">
        <v>2463</v>
      </c>
      <c r="I50" s="118">
        <v>739</v>
      </c>
      <c r="J50" s="126">
        <v>42804</v>
      </c>
      <c r="K50" s="126"/>
      <c r="L50" s="118"/>
      <c r="M50" s="118"/>
      <c r="N50" s="118"/>
      <c r="O50" s="118"/>
      <c r="P50" s="128"/>
    </row>
    <row r="51" spans="1:16">
      <c r="A51" s="125">
        <v>42804</v>
      </c>
      <c r="B51" s="126">
        <v>42805</v>
      </c>
      <c r="C51" s="127" t="s">
        <v>362</v>
      </c>
      <c r="D51" s="117" t="s">
        <v>11</v>
      </c>
      <c r="E51" s="118">
        <v>3371026.83</v>
      </c>
      <c r="F51" s="118">
        <v>11000</v>
      </c>
      <c r="G51" s="118">
        <v>436804</v>
      </c>
      <c r="H51" s="118">
        <v>4428.5</v>
      </c>
      <c r="I51" s="118">
        <v>1329</v>
      </c>
      <c r="J51" s="126">
        <v>42804</v>
      </c>
      <c r="K51" s="126"/>
      <c r="L51" s="118"/>
      <c r="M51" s="118"/>
      <c r="N51" s="118"/>
      <c r="O51" s="118"/>
      <c r="P51" s="128"/>
    </row>
    <row r="52" spans="1:16">
      <c r="A52" s="125">
        <v>42804</v>
      </c>
      <c r="B52" s="126">
        <v>42805</v>
      </c>
      <c r="C52" s="127" t="s">
        <v>362</v>
      </c>
      <c r="D52" s="117" t="s">
        <v>12</v>
      </c>
      <c r="E52" s="118">
        <v>32229430.52</v>
      </c>
      <c r="F52" s="118">
        <v>294400</v>
      </c>
      <c r="G52" s="118">
        <v>4154693</v>
      </c>
      <c r="H52" s="118">
        <v>67450.48</v>
      </c>
      <c r="I52" s="118">
        <v>20235</v>
      </c>
      <c r="J52" s="126">
        <v>42804</v>
      </c>
      <c r="K52" s="126"/>
      <c r="L52" s="118"/>
      <c r="M52" s="118"/>
      <c r="N52" s="118"/>
      <c r="O52" s="118"/>
      <c r="P52" s="128"/>
    </row>
    <row r="53" spans="1:16">
      <c r="A53" s="125">
        <v>42804</v>
      </c>
      <c r="B53" s="126">
        <v>42805</v>
      </c>
      <c r="C53" s="127" t="s">
        <v>362</v>
      </c>
      <c r="D53" s="117" t="s">
        <v>13</v>
      </c>
      <c r="E53" s="118">
        <v>84834155.370000005</v>
      </c>
      <c r="F53" s="118">
        <v>653500</v>
      </c>
      <c r="G53" s="118">
        <v>10947692</v>
      </c>
      <c r="H53" s="118">
        <v>17161</v>
      </c>
      <c r="I53" s="118">
        <v>5148</v>
      </c>
      <c r="J53" s="126">
        <v>42804</v>
      </c>
      <c r="K53" s="126"/>
      <c r="L53" s="118"/>
      <c r="M53" s="118"/>
      <c r="N53" s="118"/>
      <c r="O53" s="118"/>
      <c r="P53" s="128"/>
    </row>
    <row r="54" spans="1:16">
      <c r="A54" s="125">
        <v>42807</v>
      </c>
      <c r="B54" s="126">
        <v>42808</v>
      </c>
      <c r="C54" s="127" t="s">
        <v>363</v>
      </c>
      <c r="D54" s="117" t="s">
        <v>7</v>
      </c>
      <c r="E54" s="118">
        <v>6888208.5700000003</v>
      </c>
      <c r="F54" s="118">
        <v>0</v>
      </c>
      <c r="G54" s="118">
        <v>895467</v>
      </c>
      <c r="H54" s="118">
        <v>0</v>
      </c>
      <c r="I54" s="118">
        <v>0</v>
      </c>
      <c r="J54" s="126">
        <v>42807</v>
      </c>
      <c r="K54" s="126"/>
      <c r="L54" s="118"/>
      <c r="M54" s="118"/>
      <c r="N54" s="118"/>
      <c r="O54" s="118"/>
      <c r="P54" s="128"/>
    </row>
    <row r="55" spans="1:16">
      <c r="A55" s="125">
        <v>42811</v>
      </c>
      <c r="B55" s="126"/>
      <c r="C55" s="127" t="s">
        <v>364</v>
      </c>
      <c r="D55" s="117" t="s">
        <v>8</v>
      </c>
      <c r="E55" s="118"/>
      <c r="F55" s="118"/>
      <c r="G55" s="118"/>
      <c r="H55" s="118"/>
      <c r="I55" s="118"/>
      <c r="J55" s="126">
        <v>42811</v>
      </c>
      <c r="K55" s="126">
        <v>42587</v>
      </c>
      <c r="L55" s="118">
        <v>-50000</v>
      </c>
      <c r="M55" s="118">
        <v>0</v>
      </c>
      <c r="N55" s="118">
        <v>-6500</v>
      </c>
      <c r="O55" s="118">
        <v>0</v>
      </c>
      <c r="P55" s="128">
        <v>0</v>
      </c>
    </row>
    <row r="56" spans="1:16">
      <c r="A56" s="125">
        <v>42818</v>
      </c>
      <c r="B56" s="126">
        <v>42819</v>
      </c>
      <c r="C56" s="127" t="s">
        <v>362</v>
      </c>
      <c r="D56" s="117" t="s">
        <v>7</v>
      </c>
      <c r="E56" s="118">
        <v>10228035.35</v>
      </c>
      <c r="F56" s="118">
        <v>6500</v>
      </c>
      <c r="G56" s="118">
        <v>1328796</v>
      </c>
      <c r="H56" s="118">
        <v>11584.85</v>
      </c>
      <c r="I56" s="118">
        <v>3475</v>
      </c>
      <c r="J56" s="126">
        <v>42818</v>
      </c>
      <c r="K56" s="126"/>
      <c r="L56" s="118"/>
      <c r="M56" s="118"/>
      <c r="N56" s="118"/>
      <c r="O56" s="118"/>
      <c r="P56" s="128"/>
    </row>
    <row r="57" spans="1:16">
      <c r="A57" s="125">
        <v>42818</v>
      </c>
      <c r="B57" s="126">
        <v>42819</v>
      </c>
      <c r="C57" s="127" t="s">
        <v>362</v>
      </c>
      <c r="D57" s="117" t="s">
        <v>8</v>
      </c>
      <c r="E57" s="118">
        <v>180474.12</v>
      </c>
      <c r="F57" s="118">
        <v>0</v>
      </c>
      <c r="G57" s="118">
        <v>23464</v>
      </c>
      <c r="H57" s="118">
        <v>0</v>
      </c>
      <c r="I57" s="118">
        <v>0</v>
      </c>
      <c r="J57" s="126">
        <v>42818</v>
      </c>
      <c r="K57" s="126"/>
      <c r="L57" s="118"/>
      <c r="M57" s="118"/>
      <c r="N57" s="118"/>
      <c r="O57" s="118"/>
      <c r="P57" s="128"/>
    </row>
    <row r="58" spans="1:16">
      <c r="A58" s="125">
        <v>42818</v>
      </c>
      <c r="B58" s="126">
        <v>42819</v>
      </c>
      <c r="C58" s="127" t="s">
        <v>362</v>
      </c>
      <c r="D58" s="117" t="s">
        <v>9</v>
      </c>
      <c r="E58" s="118">
        <v>127077.17</v>
      </c>
      <c r="F58" s="118">
        <v>0</v>
      </c>
      <c r="G58" s="118">
        <v>16520</v>
      </c>
      <c r="H58" s="118">
        <v>0</v>
      </c>
      <c r="I58" s="118">
        <v>0</v>
      </c>
      <c r="J58" s="126">
        <v>42818</v>
      </c>
      <c r="K58" s="126"/>
      <c r="L58" s="118"/>
      <c r="M58" s="118"/>
      <c r="N58" s="118"/>
      <c r="O58" s="118"/>
      <c r="P58" s="128"/>
    </row>
    <row r="59" spans="1:16">
      <c r="A59" s="125">
        <v>42818</v>
      </c>
      <c r="B59" s="126">
        <v>42819</v>
      </c>
      <c r="C59" s="127" t="s">
        <v>362</v>
      </c>
      <c r="D59" s="117" t="s">
        <v>11</v>
      </c>
      <c r="E59" s="118">
        <v>12643.68</v>
      </c>
      <c r="F59" s="118">
        <v>0</v>
      </c>
      <c r="G59" s="118">
        <v>1644</v>
      </c>
      <c r="H59" s="118">
        <v>0</v>
      </c>
      <c r="I59" s="118">
        <v>0</v>
      </c>
      <c r="J59" s="126">
        <v>42818</v>
      </c>
      <c r="K59" s="126"/>
      <c r="L59" s="118"/>
      <c r="M59" s="118"/>
      <c r="N59" s="118"/>
      <c r="O59" s="118"/>
      <c r="P59" s="128"/>
    </row>
    <row r="60" spans="1:16">
      <c r="A60" s="125">
        <v>42818</v>
      </c>
      <c r="B60" s="126">
        <v>42819</v>
      </c>
      <c r="C60" s="127" t="s">
        <v>362</v>
      </c>
      <c r="D60" s="117" t="s">
        <v>12</v>
      </c>
      <c r="E60" s="118">
        <v>267710.5</v>
      </c>
      <c r="F60" s="118">
        <v>0</v>
      </c>
      <c r="G60" s="118">
        <v>34803</v>
      </c>
      <c r="H60" s="118">
        <v>0</v>
      </c>
      <c r="I60" s="118">
        <v>0</v>
      </c>
      <c r="J60" s="126">
        <v>42818</v>
      </c>
      <c r="K60" s="126"/>
      <c r="L60" s="118"/>
      <c r="M60" s="118"/>
      <c r="N60" s="118"/>
      <c r="O60" s="118"/>
      <c r="P60" s="128"/>
    </row>
    <row r="61" spans="1:16">
      <c r="A61" s="125">
        <v>42818</v>
      </c>
      <c r="B61" s="126">
        <v>42819</v>
      </c>
      <c r="C61" s="127" t="s">
        <v>362</v>
      </c>
      <c r="D61" s="117" t="s">
        <v>13</v>
      </c>
      <c r="E61" s="118">
        <v>1204766.54</v>
      </c>
      <c r="F61" s="118">
        <v>19800</v>
      </c>
      <c r="G61" s="118">
        <v>154052</v>
      </c>
      <c r="H61" s="118">
        <v>0</v>
      </c>
      <c r="I61" s="118">
        <v>0</v>
      </c>
      <c r="J61" s="126">
        <v>42818</v>
      </c>
      <c r="K61" s="126"/>
      <c r="L61" s="118"/>
      <c r="M61" s="118"/>
      <c r="N61" s="118"/>
      <c r="O61" s="118"/>
      <c r="P61" s="128"/>
    </row>
    <row r="62" spans="1:16">
      <c r="A62" s="125">
        <v>42821</v>
      </c>
      <c r="B62" s="126"/>
      <c r="C62" s="127" t="s">
        <v>364</v>
      </c>
      <c r="D62" s="117" t="s">
        <v>8</v>
      </c>
      <c r="E62" s="118"/>
      <c r="F62" s="118"/>
      <c r="G62" s="118"/>
      <c r="H62" s="118"/>
      <c r="I62" s="118"/>
      <c r="J62" s="126">
        <v>42821</v>
      </c>
      <c r="K62" s="126">
        <v>42650</v>
      </c>
      <c r="L62" s="118">
        <v>-35000</v>
      </c>
      <c r="M62" s="118">
        <v>0</v>
      </c>
      <c r="N62" s="118">
        <v>-4550</v>
      </c>
      <c r="O62" s="118">
        <v>0</v>
      </c>
      <c r="P62" s="128">
        <v>0</v>
      </c>
    </row>
    <row r="63" spans="1:16">
      <c r="A63" s="125">
        <v>42821</v>
      </c>
      <c r="B63" s="126">
        <v>42822</v>
      </c>
      <c r="C63" s="127" t="s">
        <v>363</v>
      </c>
      <c r="D63" s="117" t="s">
        <v>7</v>
      </c>
      <c r="E63" s="118">
        <v>5543304.9900000002</v>
      </c>
      <c r="F63" s="118">
        <v>0</v>
      </c>
      <c r="G63" s="118">
        <v>720628</v>
      </c>
      <c r="H63" s="118">
        <v>52254</v>
      </c>
      <c r="I63" s="118">
        <v>15676</v>
      </c>
      <c r="J63" s="126">
        <v>42821</v>
      </c>
      <c r="K63" s="126"/>
      <c r="L63" s="118"/>
      <c r="M63" s="118"/>
      <c r="N63" s="118"/>
      <c r="O63" s="118"/>
      <c r="P63" s="128"/>
    </row>
    <row r="64" spans="1:16">
      <c r="A64" s="125">
        <v>42825</v>
      </c>
      <c r="B64" s="126"/>
      <c r="C64" s="127" t="s">
        <v>362</v>
      </c>
      <c r="D64" s="117" t="s">
        <v>7</v>
      </c>
      <c r="E64" s="118"/>
      <c r="F64" s="118"/>
      <c r="G64" s="118"/>
      <c r="H64" s="118"/>
      <c r="I64" s="118"/>
      <c r="J64" s="126">
        <v>42825</v>
      </c>
      <c r="K64" s="126">
        <v>42745</v>
      </c>
      <c r="L64" s="118">
        <v>-10090.99</v>
      </c>
      <c r="M64" s="118">
        <v>-500</v>
      </c>
      <c r="N64" s="118">
        <v>-1247</v>
      </c>
      <c r="O64" s="118">
        <v>0</v>
      </c>
      <c r="P64" s="128">
        <v>0</v>
      </c>
    </row>
    <row r="65" spans="1:16">
      <c r="A65" s="125">
        <v>42825</v>
      </c>
      <c r="B65" s="126"/>
      <c r="C65" s="127" t="s">
        <v>362</v>
      </c>
      <c r="D65" s="117" t="s">
        <v>7</v>
      </c>
      <c r="E65" s="118"/>
      <c r="F65" s="118"/>
      <c r="G65" s="118"/>
      <c r="H65" s="118"/>
      <c r="I65" s="118"/>
      <c r="J65" s="126">
        <v>42825</v>
      </c>
      <c r="K65" s="126">
        <v>42776</v>
      </c>
      <c r="L65" s="118">
        <v>-34138.81</v>
      </c>
      <c r="M65" s="118">
        <v>-1000</v>
      </c>
      <c r="N65" s="118">
        <v>-4304</v>
      </c>
      <c r="O65" s="118">
        <v>0</v>
      </c>
      <c r="P65" s="128">
        <v>0</v>
      </c>
    </row>
    <row r="66" spans="1:16">
      <c r="A66" s="125">
        <v>42825</v>
      </c>
      <c r="B66" s="126"/>
      <c r="C66" s="127" t="s">
        <v>362</v>
      </c>
      <c r="D66" s="117" t="s">
        <v>7</v>
      </c>
      <c r="E66" s="118"/>
      <c r="F66" s="118"/>
      <c r="G66" s="118"/>
      <c r="H66" s="118"/>
      <c r="I66" s="118"/>
      <c r="J66" s="126">
        <v>42825</v>
      </c>
      <c r="K66" s="126">
        <v>42804</v>
      </c>
      <c r="L66" s="118">
        <v>-3738.4</v>
      </c>
      <c r="M66" s="118">
        <v>0</v>
      </c>
      <c r="N66" s="118">
        <v>-486</v>
      </c>
      <c r="O66" s="118">
        <v>0</v>
      </c>
      <c r="P66" s="128">
        <v>0</v>
      </c>
    </row>
    <row r="67" spans="1:16">
      <c r="A67" s="125">
        <v>42832</v>
      </c>
      <c r="B67" s="126">
        <v>42833</v>
      </c>
      <c r="C67" s="127" t="s">
        <v>364</v>
      </c>
      <c r="D67" s="117" t="s">
        <v>8</v>
      </c>
      <c r="E67" s="118">
        <v>3499808.62</v>
      </c>
      <c r="F67" s="118">
        <v>0</v>
      </c>
      <c r="G67" s="118">
        <v>454975</v>
      </c>
      <c r="H67" s="118">
        <v>0</v>
      </c>
      <c r="I67" s="118">
        <v>0</v>
      </c>
      <c r="J67" s="126">
        <v>42832</v>
      </c>
      <c r="K67" s="126"/>
      <c r="L67" s="118"/>
      <c r="M67" s="118"/>
      <c r="N67" s="118"/>
      <c r="O67" s="118"/>
      <c r="P67" s="128"/>
    </row>
    <row r="68" spans="1:16">
      <c r="A68" s="125">
        <v>42832</v>
      </c>
      <c r="B68" s="126">
        <v>42833</v>
      </c>
      <c r="C68" s="127" t="s">
        <v>364</v>
      </c>
      <c r="D68" s="117" t="s">
        <v>9</v>
      </c>
      <c r="E68" s="118">
        <v>2997890.8</v>
      </c>
      <c r="F68" s="118">
        <v>0</v>
      </c>
      <c r="G68" s="118">
        <v>389728</v>
      </c>
      <c r="H68" s="118">
        <v>0</v>
      </c>
      <c r="I68" s="118">
        <v>0</v>
      </c>
      <c r="J68" s="126">
        <v>42832</v>
      </c>
      <c r="K68" s="126">
        <v>42727</v>
      </c>
      <c r="L68" s="118">
        <v>-7000</v>
      </c>
      <c r="M68" s="118">
        <v>0</v>
      </c>
      <c r="N68" s="118">
        <v>-910</v>
      </c>
      <c r="O68" s="118">
        <v>0</v>
      </c>
      <c r="P68" s="128">
        <v>0</v>
      </c>
    </row>
    <row r="69" spans="1:16">
      <c r="A69" s="125">
        <v>42832</v>
      </c>
      <c r="B69" s="126">
        <v>42833</v>
      </c>
      <c r="C69" s="127" t="s">
        <v>364</v>
      </c>
      <c r="D69" s="117" t="s">
        <v>10</v>
      </c>
      <c r="E69" s="118">
        <v>4566024.4400000004</v>
      </c>
      <c r="F69" s="118">
        <v>0</v>
      </c>
      <c r="G69" s="118">
        <v>593583</v>
      </c>
      <c r="H69" s="118">
        <v>0</v>
      </c>
      <c r="I69" s="118">
        <v>0</v>
      </c>
      <c r="J69" s="126">
        <v>42832</v>
      </c>
      <c r="K69" s="126"/>
      <c r="L69" s="118"/>
      <c r="M69" s="118"/>
      <c r="N69" s="118"/>
      <c r="O69" s="118"/>
      <c r="P69" s="128"/>
    </row>
    <row r="70" spans="1:16">
      <c r="A70" s="125">
        <v>42832</v>
      </c>
      <c r="B70" s="126">
        <v>42833</v>
      </c>
      <c r="C70" s="127" t="s">
        <v>364</v>
      </c>
      <c r="D70" s="117" t="s">
        <v>11</v>
      </c>
      <c r="E70" s="118">
        <v>1154670.76</v>
      </c>
      <c r="F70" s="118">
        <v>0</v>
      </c>
      <c r="G70" s="118">
        <v>150108</v>
      </c>
      <c r="H70" s="118">
        <v>0</v>
      </c>
      <c r="I70" s="118">
        <v>0</v>
      </c>
      <c r="J70" s="126">
        <v>42832</v>
      </c>
      <c r="K70" s="126"/>
      <c r="L70" s="118"/>
      <c r="M70" s="118"/>
      <c r="N70" s="118"/>
      <c r="O70" s="118"/>
      <c r="P70" s="128"/>
    </row>
    <row r="71" spans="1:16">
      <c r="A71" s="125">
        <v>42832</v>
      </c>
      <c r="B71" s="126">
        <v>42833</v>
      </c>
      <c r="C71" s="127" t="s">
        <v>363</v>
      </c>
      <c r="D71" s="117" t="s">
        <v>7</v>
      </c>
      <c r="E71" s="118">
        <v>4768030.78</v>
      </c>
      <c r="F71" s="118">
        <v>0</v>
      </c>
      <c r="G71" s="118">
        <v>619843</v>
      </c>
      <c r="H71" s="118">
        <v>252200.94</v>
      </c>
      <c r="I71" s="118">
        <v>75659</v>
      </c>
      <c r="J71" s="126">
        <v>42832</v>
      </c>
      <c r="K71" s="126"/>
      <c r="L71" s="118"/>
      <c r="M71" s="118"/>
      <c r="N71" s="118"/>
      <c r="O71" s="118"/>
      <c r="P71" s="128"/>
    </row>
    <row r="72" spans="1:16">
      <c r="A72" s="125">
        <v>42835</v>
      </c>
      <c r="B72" s="126">
        <v>42836</v>
      </c>
      <c r="C72" s="127" t="s">
        <v>362</v>
      </c>
      <c r="D72" s="117" t="s">
        <v>7</v>
      </c>
      <c r="E72" s="118">
        <v>1122339942.3199999</v>
      </c>
      <c r="F72" s="118">
        <v>6412300</v>
      </c>
      <c r="G72" s="118">
        <v>145095325</v>
      </c>
      <c r="H72" s="118">
        <v>2596322.44</v>
      </c>
      <c r="I72" s="118">
        <v>787476</v>
      </c>
      <c r="J72" s="126">
        <v>42835</v>
      </c>
      <c r="K72" s="126"/>
      <c r="L72" s="118"/>
      <c r="M72" s="118"/>
      <c r="N72" s="118"/>
      <c r="O72" s="118"/>
      <c r="P72" s="128"/>
    </row>
    <row r="73" spans="1:16">
      <c r="A73" s="125">
        <v>42835</v>
      </c>
      <c r="B73" s="126">
        <v>42836</v>
      </c>
      <c r="C73" s="127" t="s">
        <v>362</v>
      </c>
      <c r="D73" s="117" t="s">
        <v>8</v>
      </c>
      <c r="E73" s="118">
        <v>39955767.619999997</v>
      </c>
      <c r="F73" s="118">
        <v>220800</v>
      </c>
      <c r="G73" s="118">
        <v>5176854</v>
      </c>
      <c r="H73" s="118">
        <v>24793</v>
      </c>
      <c r="I73" s="118">
        <v>7438</v>
      </c>
      <c r="J73" s="126">
        <v>42835</v>
      </c>
      <c r="K73" s="126"/>
      <c r="L73" s="118"/>
      <c r="M73" s="118"/>
      <c r="N73" s="118"/>
      <c r="O73" s="118"/>
      <c r="P73" s="128"/>
    </row>
    <row r="74" spans="1:16">
      <c r="A74" s="125">
        <v>42835</v>
      </c>
      <c r="B74" s="126">
        <v>42836</v>
      </c>
      <c r="C74" s="127" t="s">
        <v>362</v>
      </c>
      <c r="D74" s="117" t="s">
        <v>9</v>
      </c>
      <c r="E74" s="118">
        <v>18926470.550000001</v>
      </c>
      <c r="F74" s="118">
        <v>34900</v>
      </c>
      <c r="G74" s="118">
        <v>2456831</v>
      </c>
      <c r="H74" s="118">
        <v>2463</v>
      </c>
      <c r="I74" s="118">
        <v>739</v>
      </c>
      <c r="J74" s="126">
        <v>42835</v>
      </c>
      <c r="K74" s="126"/>
      <c r="L74" s="118"/>
      <c r="M74" s="118"/>
      <c r="N74" s="118"/>
      <c r="O74" s="118"/>
      <c r="P74" s="128"/>
    </row>
    <row r="75" spans="1:16">
      <c r="A75" s="125">
        <v>42835</v>
      </c>
      <c r="B75" s="126">
        <v>42836</v>
      </c>
      <c r="C75" s="127" t="s">
        <v>362</v>
      </c>
      <c r="D75" s="117" t="s">
        <v>11</v>
      </c>
      <c r="E75" s="118">
        <v>3351691.16</v>
      </c>
      <c r="F75" s="118">
        <v>11000</v>
      </c>
      <c r="G75" s="118">
        <v>434291</v>
      </c>
      <c r="H75" s="118">
        <v>4428.5</v>
      </c>
      <c r="I75" s="118">
        <v>1329</v>
      </c>
      <c r="J75" s="126">
        <v>42835</v>
      </c>
      <c r="K75" s="126"/>
      <c r="L75" s="118"/>
      <c r="M75" s="118"/>
      <c r="N75" s="118"/>
      <c r="O75" s="118"/>
      <c r="P75" s="128"/>
    </row>
    <row r="76" spans="1:16">
      <c r="A76" s="125">
        <v>42835</v>
      </c>
      <c r="B76" s="126">
        <v>42836</v>
      </c>
      <c r="C76" s="127" t="s">
        <v>362</v>
      </c>
      <c r="D76" s="117" t="s">
        <v>12</v>
      </c>
      <c r="E76" s="118">
        <v>32009631</v>
      </c>
      <c r="F76" s="118">
        <v>316000</v>
      </c>
      <c r="G76" s="118">
        <v>4123225</v>
      </c>
      <c r="H76" s="118">
        <v>67450.48</v>
      </c>
      <c r="I76" s="118">
        <v>20235</v>
      </c>
      <c r="J76" s="126">
        <v>42835</v>
      </c>
      <c r="K76" s="126"/>
      <c r="L76" s="118"/>
      <c r="M76" s="118"/>
      <c r="N76" s="118"/>
      <c r="O76" s="118"/>
      <c r="P76" s="128"/>
    </row>
    <row r="77" spans="1:16">
      <c r="A77" s="125">
        <v>42835</v>
      </c>
      <c r="B77" s="126">
        <v>42836</v>
      </c>
      <c r="C77" s="127" t="s">
        <v>362</v>
      </c>
      <c r="D77" s="117" t="s">
        <v>13</v>
      </c>
      <c r="E77" s="118">
        <v>91115422.920000002</v>
      </c>
      <c r="F77" s="118">
        <v>643700</v>
      </c>
      <c r="G77" s="118">
        <v>11765797</v>
      </c>
      <c r="H77" s="118">
        <v>17161</v>
      </c>
      <c r="I77" s="118">
        <v>5148</v>
      </c>
      <c r="J77" s="126">
        <v>42835</v>
      </c>
      <c r="K77" s="126"/>
      <c r="L77" s="118"/>
      <c r="M77" s="118"/>
      <c r="N77" s="118"/>
      <c r="O77" s="118"/>
      <c r="P77" s="128"/>
    </row>
    <row r="78" spans="1:16">
      <c r="A78" s="125">
        <v>42839</v>
      </c>
      <c r="B78" s="126">
        <v>42840</v>
      </c>
      <c r="C78" s="127" t="s">
        <v>364</v>
      </c>
      <c r="D78" s="117" t="s">
        <v>8</v>
      </c>
      <c r="E78" s="118">
        <v>721953.93</v>
      </c>
      <c r="F78" s="118">
        <v>0</v>
      </c>
      <c r="G78" s="118">
        <v>93854</v>
      </c>
      <c r="H78" s="118">
        <v>0</v>
      </c>
      <c r="I78" s="118">
        <v>0</v>
      </c>
      <c r="J78" s="126">
        <v>42839</v>
      </c>
      <c r="K78" s="126">
        <v>42832</v>
      </c>
      <c r="L78" s="118">
        <v>-63000</v>
      </c>
      <c r="M78" s="118">
        <v>0</v>
      </c>
      <c r="N78" s="118">
        <v>-8190</v>
      </c>
      <c r="O78" s="118">
        <v>0</v>
      </c>
      <c r="P78" s="128">
        <v>0</v>
      </c>
    </row>
    <row r="79" spans="1:16">
      <c r="A79" s="125">
        <v>42839</v>
      </c>
      <c r="B79" s="126">
        <v>42840</v>
      </c>
      <c r="C79" s="127" t="s">
        <v>364</v>
      </c>
      <c r="D79" s="117" t="s">
        <v>9</v>
      </c>
      <c r="E79" s="118">
        <v>1249488.43</v>
      </c>
      <c r="F79" s="118">
        <v>0</v>
      </c>
      <c r="G79" s="118">
        <v>162433</v>
      </c>
      <c r="H79" s="118">
        <v>0</v>
      </c>
      <c r="I79" s="118">
        <v>0</v>
      </c>
      <c r="J79" s="126">
        <v>42839</v>
      </c>
      <c r="K79" s="126">
        <v>42216</v>
      </c>
      <c r="L79" s="118">
        <v>-24000</v>
      </c>
      <c r="M79" s="118">
        <v>0</v>
      </c>
      <c r="N79" s="118">
        <v>-3120</v>
      </c>
      <c r="O79" s="118">
        <v>0</v>
      </c>
      <c r="P79" s="128">
        <v>0</v>
      </c>
    </row>
    <row r="80" spans="1:16">
      <c r="A80" s="125">
        <v>42839</v>
      </c>
      <c r="B80" s="126"/>
      <c r="C80" s="127" t="s">
        <v>364</v>
      </c>
      <c r="D80" s="117" t="s">
        <v>9</v>
      </c>
      <c r="E80" s="118"/>
      <c r="F80" s="118"/>
      <c r="G80" s="118"/>
      <c r="H80" s="118"/>
      <c r="I80" s="118"/>
      <c r="J80" s="126">
        <v>42839</v>
      </c>
      <c r="K80" s="126">
        <v>42832</v>
      </c>
      <c r="L80" s="118">
        <v>-101000</v>
      </c>
      <c r="M80" s="118">
        <v>0</v>
      </c>
      <c r="N80" s="118">
        <v>-13130</v>
      </c>
      <c r="O80" s="118">
        <v>0</v>
      </c>
      <c r="P80" s="128">
        <v>0</v>
      </c>
    </row>
    <row r="81" spans="1:16">
      <c r="A81" s="125">
        <v>42839</v>
      </c>
      <c r="B81" s="126"/>
      <c r="C81" s="127" t="s">
        <v>364</v>
      </c>
      <c r="D81" s="117" t="s">
        <v>11</v>
      </c>
      <c r="E81" s="118"/>
      <c r="F81" s="118"/>
      <c r="G81" s="118"/>
      <c r="H81" s="118"/>
      <c r="I81" s="118"/>
      <c r="J81" s="126">
        <v>42839</v>
      </c>
      <c r="K81" s="126">
        <v>42702</v>
      </c>
      <c r="L81" s="118">
        <v>-20000</v>
      </c>
      <c r="M81" s="118">
        <v>0</v>
      </c>
      <c r="N81" s="118">
        <v>-2600</v>
      </c>
      <c r="O81" s="118">
        <v>0</v>
      </c>
      <c r="P81" s="128">
        <v>0</v>
      </c>
    </row>
    <row r="82" spans="1:16">
      <c r="A82" s="125">
        <v>42839</v>
      </c>
      <c r="B82" s="126"/>
      <c r="C82" s="127" t="s">
        <v>364</v>
      </c>
      <c r="D82" s="117" t="s">
        <v>11</v>
      </c>
      <c r="E82" s="118"/>
      <c r="F82" s="118"/>
      <c r="G82" s="118"/>
      <c r="H82" s="118"/>
      <c r="I82" s="118"/>
      <c r="J82" s="126">
        <v>42839</v>
      </c>
      <c r="K82" s="126">
        <v>42716</v>
      </c>
      <c r="L82" s="118">
        <v>-10000</v>
      </c>
      <c r="M82" s="118">
        <v>0</v>
      </c>
      <c r="N82" s="118">
        <v>-1300</v>
      </c>
      <c r="O82" s="118">
        <v>0</v>
      </c>
      <c r="P82" s="128">
        <v>0</v>
      </c>
    </row>
    <row r="83" spans="1:16">
      <c r="A83" s="125">
        <v>42846</v>
      </c>
      <c r="B83" s="126">
        <v>42847</v>
      </c>
      <c r="C83" s="127" t="s">
        <v>364</v>
      </c>
      <c r="D83" s="117" t="s">
        <v>8</v>
      </c>
      <c r="E83" s="118">
        <v>130056.51</v>
      </c>
      <c r="F83" s="118">
        <v>0</v>
      </c>
      <c r="G83" s="118">
        <v>16907</v>
      </c>
      <c r="H83" s="118">
        <v>0</v>
      </c>
      <c r="I83" s="118">
        <v>0</v>
      </c>
      <c r="J83" s="126">
        <v>42846</v>
      </c>
      <c r="K83" s="126">
        <v>42832</v>
      </c>
      <c r="L83" s="118">
        <v>-109000</v>
      </c>
      <c r="M83" s="118">
        <v>0</v>
      </c>
      <c r="N83" s="118">
        <v>-14170</v>
      </c>
      <c r="O83" s="118">
        <v>0</v>
      </c>
      <c r="P83" s="128">
        <v>0</v>
      </c>
    </row>
    <row r="84" spans="1:16">
      <c r="A84" s="125">
        <v>42846</v>
      </c>
      <c r="B84" s="126">
        <v>42847</v>
      </c>
      <c r="C84" s="127" t="s">
        <v>364</v>
      </c>
      <c r="D84" s="117" t="s">
        <v>9</v>
      </c>
      <c r="E84" s="118">
        <v>110141.75</v>
      </c>
      <c r="F84" s="118">
        <v>0</v>
      </c>
      <c r="G84" s="118">
        <v>14319</v>
      </c>
      <c r="H84" s="118">
        <v>0</v>
      </c>
      <c r="I84" s="118">
        <v>0</v>
      </c>
      <c r="J84" s="126">
        <v>42846</v>
      </c>
      <c r="K84" s="126">
        <v>42839</v>
      </c>
      <c r="L84" s="118">
        <v>-55500</v>
      </c>
      <c r="M84" s="118">
        <v>0</v>
      </c>
      <c r="N84" s="118">
        <v>-7215</v>
      </c>
      <c r="O84" s="118">
        <v>0</v>
      </c>
      <c r="P84" s="128">
        <v>0</v>
      </c>
    </row>
    <row r="85" spans="1:16">
      <c r="A85" s="125">
        <v>42846</v>
      </c>
      <c r="B85" s="126">
        <v>42847</v>
      </c>
      <c r="C85" s="127" t="s">
        <v>363</v>
      </c>
      <c r="D85" s="117" t="s">
        <v>7</v>
      </c>
      <c r="E85" s="118">
        <v>6083916.3399999999</v>
      </c>
      <c r="F85" s="118">
        <v>0</v>
      </c>
      <c r="G85" s="118">
        <v>790912</v>
      </c>
      <c r="H85" s="118">
        <v>0</v>
      </c>
      <c r="I85" s="118">
        <v>0</v>
      </c>
      <c r="J85" s="126">
        <v>42846</v>
      </c>
      <c r="K85" s="126"/>
      <c r="L85" s="118"/>
      <c r="M85" s="118"/>
      <c r="N85" s="118"/>
      <c r="O85" s="118"/>
      <c r="P85" s="128"/>
    </row>
    <row r="86" spans="1:16">
      <c r="A86" s="125">
        <v>42850</v>
      </c>
      <c r="B86" s="126">
        <v>42851</v>
      </c>
      <c r="C86" s="127" t="s">
        <v>362</v>
      </c>
      <c r="D86" s="117" t="s">
        <v>7</v>
      </c>
      <c r="E86" s="118">
        <v>7131989.3300000001</v>
      </c>
      <c r="F86" s="118">
        <v>2000</v>
      </c>
      <c r="G86" s="118">
        <v>926896</v>
      </c>
      <c r="H86" s="118">
        <v>0</v>
      </c>
      <c r="I86" s="118">
        <v>0</v>
      </c>
      <c r="J86" s="126">
        <v>42850</v>
      </c>
      <c r="K86" s="126"/>
      <c r="L86" s="118"/>
      <c r="M86" s="118"/>
      <c r="N86" s="118"/>
      <c r="O86" s="118"/>
      <c r="P86" s="128"/>
    </row>
    <row r="87" spans="1:16">
      <c r="A87" s="125">
        <v>42850</v>
      </c>
      <c r="B87" s="126">
        <v>42851</v>
      </c>
      <c r="C87" s="127" t="s">
        <v>362</v>
      </c>
      <c r="D87" s="117" t="s">
        <v>8</v>
      </c>
      <c r="E87" s="118">
        <v>166908.31</v>
      </c>
      <c r="F87" s="118">
        <v>0</v>
      </c>
      <c r="G87" s="118">
        <v>21696</v>
      </c>
      <c r="H87" s="118">
        <v>0</v>
      </c>
      <c r="I87" s="118">
        <v>0</v>
      </c>
      <c r="J87" s="126">
        <v>42850</v>
      </c>
      <c r="K87" s="126"/>
      <c r="L87" s="118"/>
      <c r="M87" s="118"/>
      <c r="N87" s="118"/>
      <c r="O87" s="118"/>
      <c r="P87" s="128"/>
    </row>
    <row r="88" spans="1:16">
      <c r="A88" s="125">
        <v>42850</v>
      </c>
      <c r="B88" s="126">
        <v>42851</v>
      </c>
      <c r="C88" s="127" t="s">
        <v>362</v>
      </c>
      <c r="D88" s="117" t="s">
        <v>9</v>
      </c>
      <c r="E88" s="118">
        <v>29534.34</v>
      </c>
      <c r="F88" s="118">
        <v>0</v>
      </c>
      <c r="G88" s="118">
        <v>3840</v>
      </c>
      <c r="H88" s="118">
        <v>0</v>
      </c>
      <c r="I88" s="118">
        <v>0</v>
      </c>
      <c r="J88" s="126">
        <v>42850</v>
      </c>
      <c r="K88" s="126"/>
      <c r="L88" s="118"/>
      <c r="M88" s="118"/>
      <c r="N88" s="118"/>
      <c r="O88" s="118"/>
      <c r="P88" s="128"/>
    </row>
    <row r="89" spans="1:16">
      <c r="A89" s="125">
        <v>42850</v>
      </c>
      <c r="B89" s="126">
        <v>42851</v>
      </c>
      <c r="C89" s="127" t="s">
        <v>362</v>
      </c>
      <c r="D89" s="117" t="s">
        <v>12</v>
      </c>
      <c r="E89" s="118">
        <v>280357.38</v>
      </c>
      <c r="F89" s="118">
        <v>2000</v>
      </c>
      <c r="G89" s="118">
        <v>36188</v>
      </c>
      <c r="H89" s="118">
        <v>0</v>
      </c>
      <c r="I89" s="118">
        <v>0</v>
      </c>
      <c r="J89" s="126">
        <v>42850</v>
      </c>
      <c r="K89" s="126"/>
      <c r="L89" s="118"/>
      <c r="M89" s="118"/>
      <c r="N89" s="118"/>
      <c r="O89" s="118"/>
      <c r="P89" s="128"/>
    </row>
    <row r="90" spans="1:16">
      <c r="A90" s="125">
        <v>42850</v>
      </c>
      <c r="B90" s="126">
        <v>42851</v>
      </c>
      <c r="C90" s="127" t="s">
        <v>362</v>
      </c>
      <c r="D90" s="117" t="s">
        <v>13</v>
      </c>
      <c r="E90" s="118">
        <v>2625347.23</v>
      </c>
      <c r="F90" s="118">
        <v>11300</v>
      </c>
      <c r="G90" s="118">
        <v>339825</v>
      </c>
      <c r="H90" s="118">
        <v>5846</v>
      </c>
      <c r="I90" s="118">
        <v>1754</v>
      </c>
      <c r="J90" s="126">
        <v>42850</v>
      </c>
      <c r="K90" s="126"/>
      <c r="L90" s="118"/>
      <c r="M90" s="118"/>
      <c r="N90" s="118"/>
      <c r="O90" s="118"/>
      <c r="P90" s="128"/>
    </row>
    <row r="91" spans="1:16">
      <c r="A91" s="125">
        <v>42853</v>
      </c>
      <c r="B91" s="126">
        <v>42854</v>
      </c>
      <c r="C91" s="127" t="s">
        <v>364</v>
      </c>
      <c r="D91" s="117" t="s">
        <v>8</v>
      </c>
      <c r="E91" s="118">
        <v>376904.16</v>
      </c>
      <c r="F91" s="118">
        <v>0</v>
      </c>
      <c r="G91" s="118">
        <v>48998</v>
      </c>
      <c r="H91" s="118">
        <v>0</v>
      </c>
      <c r="I91" s="118">
        <v>0</v>
      </c>
      <c r="J91" s="126">
        <v>42853</v>
      </c>
      <c r="K91" s="126"/>
      <c r="L91" s="118"/>
      <c r="M91" s="118"/>
      <c r="N91" s="118"/>
      <c r="O91" s="118"/>
      <c r="P91" s="128"/>
    </row>
    <row r="92" spans="1:16">
      <c r="A92" s="125">
        <v>42853</v>
      </c>
      <c r="B92" s="126">
        <v>42854</v>
      </c>
      <c r="C92" s="127" t="s">
        <v>364</v>
      </c>
      <c r="D92" s="117" t="s">
        <v>9</v>
      </c>
      <c r="E92" s="118">
        <v>443872.09</v>
      </c>
      <c r="F92" s="118">
        <v>0</v>
      </c>
      <c r="G92" s="118">
        <v>57703</v>
      </c>
      <c r="H92" s="118">
        <v>0</v>
      </c>
      <c r="I92" s="118">
        <v>0</v>
      </c>
      <c r="J92" s="126">
        <v>42853</v>
      </c>
      <c r="K92" s="126">
        <v>42461</v>
      </c>
      <c r="L92" s="118">
        <v>-65000</v>
      </c>
      <c r="M92" s="118">
        <v>0</v>
      </c>
      <c r="N92" s="118">
        <v>-8450</v>
      </c>
      <c r="O92" s="118">
        <v>0</v>
      </c>
      <c r="P92" s="128">
        <v>0</v>
      </c>
    </row>
    <row r="93" spans="1:16">
      <c r="A93" s="125">
        <v>42855</v>
      </c>
      <c r="B93" s="126"/>
      <c r="C93" s="127" t="s">
        <v>362</v>
      </c>
      <c r="D93" s="117" t="s">
        <v>7</v>
      </c>
      <c r="E93" s="118">
        <v>0</v>
      </c>
      <c r="F93" s="118">
        <v>0</v>
      </c>
      <c r="G93" s="118">
        <v>-20756</v>
      </c>
      <c r="H93" s="118">
        <v>0</v>
      </c>
      <c r="I93" s="118">
        <v>20756</v>
      </c>
      <c r="J93" s="126">
        <v>42855</v>
      </c>
      <c r="K93" s="126">
        <v>42745</v>
      </c>
      <c r="L93" s="118">
        <v>-11450.4</v>
      </c>
      <c r="M93" s="118">
        <v>0</v>
      </c>
      <c r="N93" s="118">
        <v>-1489</v>
      </c>
      <c r="O93" s="118">
        <v>0</v>
      </c>
      <c r="P93" s="128">
        <v>0</v>
      </c>
    </row>
    <row r="94" spans="1:16">
      <c r="A94" s="125">
        <v>42855</v>
      </c>
      <c r="B94" s="126"/>
      <c r="C94" s="127" t="s">
        <v>362</v>
      </c>
      <c r="D94" s="117" t="s">
        <v>7</v>
      </c>
      <c r="E94" s="118"/>
      <c r="F94" s="118"/>
      <c r="G94" s="118"/>
      <c r="H94" s="118"/>
      <c r="I94" s="118"/>
      <c r="J94" s="126">
        <v>42855</v>
      </c>
      <c r="K94" s="126">
        <v>42776</v>
      </c>
      <c r="L94" s="118">
        <v>-7016.89</v>
      </c>
      <c r="M94" s="118">
        <v>0</v>
      </c>
      <c r="N94" s="118">
        <v>-911</v>
      </c>
      <c r="O94" s="118">
        <v>0</v>
      </c>
      <c r="P94" s="128">
        <v>0</v>
      </c>
    </row>
    <row r="95" spans="1:16">
      <c r="A95" s="125">
        <v>42855</v>
      </c>
      <c r="B95" s="126"/>
      <c r="C95" s="127" t="s">
        <v>362</v>
      </c>
      <c r="D95" s="117" t="s">
        <v>7</v>
      </c>
      <c r="E95" s="118"/>
      <c r="F95" s="118"/>
      <c r="G95" s="118"/>
      <c r="H95" s="118"/>
      <c r="I95" s="118"/>
      <c r="J95" s="126">
        <v>42855</v>
      </c>
      <c r="K95" s="126">
        <v>42804</v>
      </c>
      <c r="L95" s="118">
        <v>-16640.7</v>
      </c>
      <c r="M95" s="118">
        <v>0</v>
      </c>
      <c r="N95" s="118">
        <v>-2163</v>
      </c>
      <c r="O95" s="118">
        <v>0</v>
      </c>
      <c r="P95" s="128">
        <v>0</v>
      </c>
    </row>
    <row r="96" spans="1:16">
      <c r="A96" s="125">
        <v>42855</v>
      </c>
      <c r="B96" s="126"/>
      <c r="C96" s="127" t="s">
        <v>362</v>
      </c>
      <c r="D96" s="117" t="s">
        <v>7</v>
      </c>
      <c r="E96" s="118"/>
      <c r="F96" s="118"/>
      <c r="G96" s="118"/>
      <c r="H96" s="118"/>
      <c r="I96" s="118"/>
      <c r="J96" s="126">
        <v>42855</v>
      </c>
      <c r="K96" s="126">
        <v>42835</v>
      </c>
      <c r="L96" s="118">
        <v>-12602.88</v>
      </c>
      <c r="M96" s="118">
        <v>0</v>
      </c>
      <c r="N96" s="118">
        <v>-1638</v>
      </c>
      <c r="O96" s="118">
        <v>0</v>
      </c>
      <c r="P96" s="128">
        <v>0</v>
      </c>
    </row>
    <row r="97" spans="1:16">
      <c r="A97" s="125">
        <v>42855</v>
      </c>
      <c r="B97" s="126"/>
      <c r="C97" s="127" t="s">
        <v>362</v>
      </c>
      <c r="D97" s="117" t="s">
        <v>8</v>
      </c>
      <c r="E97" s="118"/>
      <c r="F97" s="118"/>
      <c r="G97" s="118"/>
      <c r="H97" s="118"/>
      <c r="I97" s="118"/>
      <c r="J97" s="126">
        <v>42855</v>
      </c>
      <c r="K97" s="126">
        <v>42804</v>
      </c>
      <c r="L97" s="118">
        <v>-2077</v>
      </c>
      <c r="M97" s="118">
        <v>0</v>
      </c>
      <c r="N97" s="118">
        <v>-270</v>
      </c>
      <c r="O97" s="118">
        <v>0</v>
      </c>
      <c r="P97" s="128">
        <v>0</v>
      </c>
    </row>
    <row r="98" spans="1:16">
      <c r="A98" s="125">
        <v>42855</v>
      </c>
      <c r="B98" s="126"/>
      <c r="C98" s="127" t="s">
        <v>362</v>
      </c>
      <c r="D98" s="117" t="s">
        <v>8</v>
      </c>
      <c r="E98" s="118"/>
      <c r="F98" s="118"/>
      <c r="G98" s="118"/>
      <c r="H98" s="118"/>
      <c r="I98" s="118"/>
      <c r="J98" s="126">
        <v>42855</v>
      </c>
      <c r="K98" s="126">
        <v>42835</v>
      </c>
      <c r="L98" s="118">
        <v>-41.57</v>
      </c>
      <c r="M98" s="118">
        <v>0</v>
      </c>
      <c r="N98" s="118">
        <v>-5</v>
      </c>
      <c r="O98" s="118">
        <v>0</v>
      </c>
      <c r="P98" s="128">
        <v>0</v>
      </c>
    </row>
    <row r="99" spans="1:16">
      <c r="A99" s="125">
        <v>42857</v>
      </c>
      <c r="B99" s="126">
        <v>42858</v>
      </c>
      <c r="C99" s="127" t="s">
        <v>362</v>
      </c>
      <c r="D99" s="117" t="s">
        <v>7</v>
      </c>
      <c r="E99" s="118">
        <v>215282.35</v>
      </c>
      <c r="F99" s="118">
        <v>6600</v>
      </c>
      <c r="G99" s="118">
        <v>27132</v>
      </c>
      <c r="H99" s="118">
        <v>2095.1999999999998</v>
      </c>
      <c r="I99" s="118">
        <v>629</v>
      </c>
      <c r="J99" s="126">
        <v>42857</v>
      </c>
      <c r="K99" s="126"/>
      <c r="L99" s="118"/>
      <c r="M99" s="118"/>
      <c r="N99" s="118"/>
      <c r="O99" s="118"/>
      <c r="P99" s="128"/>
    </row>
    <row r="100" spans="1:16">
      <c r="A100" s="125">
        <v>42857</v>
      </c>
      <c r="B100" s="126">
        <v>42858</v>
      </c>
      <c r="C100" s="127" t="s">
        <v>362</v>
      </c>
      <c r="D100" s="117" t="s">
        <v>8</v>
      </c>
      <c r="E100" s="118">
        <v>3399</v>
      </c>
      <c r="F100" s="118">
        <v>0</v>
      </c>
      <c r="G100" s="118">
        <v>443</v>
      </c>
      <c r="H100" s="118">
        <v>0</v>
      </c>
      <c r="I100" s="118">
        <v>0</v>
      </c>
      <c r="J100" s="126">
        <v>42857</v>
      </c>
      <c r="K100" s="126"/>
      <c r="L100" s="118"/>
      <c r="M100" s="118"/>
      <c r="N100" s="118"/>
      <c r="O100" s="118"/>
      <c r="P100" s="128"/>
    </row>
    <row r="101" spans="1:16">
      <c r="A101" s="125">
        <v>42857</v>
      </c>
      <c r="B101" s="126">
        <v>42858</v>
      </c>
      <c r="C101" s="127" t="s">
        <v>362</v>
      </c>
      <c r="D101" s="117" t="s">
        <v>9</v>
      </c>
      <c r="E101" s="118">
        <v>3850</v>
      </c>
      <c r="F101" s="118">
        <v>0</v>
      </c>
      <c r="G101" s="118">
        <v>501</v>
      </c>
      <c r="H101" s="118">
        <v>0</v>
      </c>
      <c r="I101" s="118">
        <v>0</v>
      </c>
      <c r="J101" s="126">
        <v>42857</v>
      </c>
      <c r="K101" s="126"/>
      <c r="L101" s="118"/>
      <c r="M101" s="118"/>
      <c r="N101" s="118"/>
      <c r="O101" s="118"/>
      <c r="P101" s="128"/>
    </row>
    <row r="102" spans="1:16">
      <c r="A102" s="125">
        <v>42857</v>
      </c>
      <c r="B102" s="126">
        <v>42858</v>
      </c>
      <c r="C102" s="127" t="s">
        <v>362</v>
      </c>
      <c r="D102" s="117" t="s">
        <v>12</v>
      </c>
      <c r="E102" s="118">
        <v>27153779.940000001</v>
      </c>
      <c r="F102" s="118">
        <v>158200</v>
      </c>
      <c r="G102" s="118">
        <v>3513894</v>
      </c>
      <c r="H102" s="118">
        <v>4971.58</v>
      </c>
      <c r="I102" s="118">
        <v>1491</v>
      </c>
      <c r="J102" s="126">
        <v>42857</v>
      </c>
      <c r="K102" s="126"/>
      <c r="L102" s="118"/>
      <c r="M102" s="118"/>
      <c r="N102" s="118"/>
      <c r="O102" s="118"/>
      <c r="P102" s="128"/>
    </row>
    <row r="103" spans="1:16">
      <c r="A103" s="125">
        <v>42857</v>
      </c>
      <c r="B103" s="126">
        <v>42858</v>
      </c>
      <c r="C103" s="127" t="s">
        <v>362</v>
      </c>
      <c r="D103" s="117" t="s">
        <v>13</v>
      </c>
      <c r="E103" s="118">
        <v>20431</v>
      </c>
      <c r="F103" s="118">
        <v>5800</v>
      </c>
      <c r="G103" s="118">
        <v>1954</v>
      </c>
      <c r="H103" s="118">
        <v>0</v>
      </c>
      <c r="I103" s="118">
        <v>0</v>
      </c>
      <c r="J103" s="126">
        <v>42857</v>
      </c>
      <c r="K103" s="126"/>
      <c r="L103" s="118"/>
      <c r="M103" s="118"/>
      <c r="N103" s="118"/>
      <c r="O103" s="118"/>
      <c r="P103" s="128"/>
    </row>
    <row r="104" spans="1:16">
      <c r="A104" s="125">
        <v>42858</v>
      </c>
      <c r="B104" s="126">
        <v>42859</v>
      </c>
      <c r="C104" s="127" t="s">
        <v>362</v>
      </c>
      <c r="D104" s="117" t="s">
        <v>7</v>
      </c>
      <c r="E104" s="118">
        <v>325114717.82999998</v>
      </c>
      <c r="F104" s="118">
        <v>2346800</v>
      </c>
      <c r="G104" s="118">
        <v>41975301</v>
      </c>
      <c r="H104" s="118">
        <v>273079.43</v>
      </c>
      <c r="I104" s="118">
        <v>83871</v>
      </c>
      <c r="J104" s="126">
        <v>42858</v>
      </c>
      <c r="K104" s="126">
        <v>42735</v>
      </c>
      <c r="L104" s="118">
        <v>0</v>
      </c>
      <c r="M104" s="118">
        <v>0</v>
      </c>
      <c r="N104" s="118">
        <v>-2184</v>
      </c>
      <c r="O104" s="118">
        <v>0</v>
      </c>
      <c r="P104" s="128">
        <v>0</v>
      </c>
    </row>
    <row r="105" spans="1:16">
      <c r="A105" s="125">
        <v>42859</v>
      </c>
      <c r="B105" s="126">
        <v>42860</v>
      </c>
      <c r="C105" s="127" t="s">
        <v>362</v>
      </c>
      <c r="D105" s="117" t="s">
        <v>7</v>
      </c>
      <c r="E105" s="118">
        <v>794365315.52999997</v>
      </c>
      <c r="F105" s="118">
        <v>3489600</v>
      </c>
      <c r="G105" s="118">
        <v>102820951</v>
      </c>
      <c r="H105" s="118">
        <v>2318268.17</v>
      </c>
      <c r="I105" s="118">
        <v>707828</v>
      </c>
      <c r="J105" s="126">
        <v>42859</v>
      </c>
      <c r="K105" s="126"/>
      <c r="L105" s="118"/>
      <c r="M105" s="118"/>
      <c r="N105" s="118"/>
      <c r="O105" s="118"/>
      <c r="P105" s="128"/>
    </row>
    <row r="106" spans="1:16">
      <c r="A106" s="125">
        <v>42859</v>
      </c>
      <c r="B106" s="126">
        <v>42860</v>
      </c>
      <c r="C106" s="127" t="s">
        <v>362</v>
      </c>
      <c r="D106" s="117" t="s">
        <v>8</v>
      </c>
      <c r="E106" s="118">
        <v>37110570.189999998</v>
      </c>
      <c r="F106" s="118">
        <v>131800</v>
      </c>
      <c r="G106" s="118">
        <v>4809525</v>
      </c>
      <c r="H106" s="118">
        <v>24793</v>
      </c>
      <c r="I106" s="118">
        <v>7438</v>
      </c>
      <c r="J106" s="126">
        <v>42859</v>
      </c>
      <c r="K106" s="126"/>
      <c r="L106" s="118"/>
      <c r="M106" s="118"/>
      <c r="N106" s="118"/>
      <c r="O106" s="118"/>
      <c r="P106" s="128"/>
    </row>
    <row r="107" spans="1:16">
      <c r="A107" s="125">
        <v>42859</v>
      </c>
      <c r="B107" s="126">
        <v>42860</v>
      </c>
      <c r="C107" s="127" t="s">
        <v>362</v>
      </c>
      <c r="D107" s="117" t="s">
        <v>9</v>
      </c>
      <c r="E107" s="118">
        <v>19479506.5</v>
      </c>
      <c r="F107" s="118">
        <v>25700</v>
      </c>
      <c r="G107" s="118">
        <v>2529517</v>
      </c>
      <c r="H107" s="118">
        <v>2463</v>
      </c>
      <c r="I107" s="118">
        <v>739</v>
      </c>
      <c r="J107" s="126">
        <v>42859</v>
      </c>
      <c r="K107" s="126"/>
      <c r="L107" s="118"/>
      <c r="M107" s="118"/>
      <c r="N107" s="118"/>
      <c r="O107" s="118"/>
      <c r="P107" s="128"/>
    </row>
    <row r="108" spans="1:16">
      <c r="A108" s="125">
        <v>42859</v>
      </c>
      <c r="B108" s="126">
        <v>42860</v>
      </c>
      <c r="C108" s="127" t="s">
        <v>362</v>
      </c>
      <c r="D108" s="117" t="s">
        <v>11</v>
      </c>
      <c r="E108" s="118">
        <v>3351691.16</v>
      </c>
      <c r="F108" s="118">
        <v>11000</v>
      </c>
      <c r="G108" s="118">
        <v>434286</v>
      </c>
      <c r="H108" s="118">
        <v>4428.5</v>
      </c>
      <c r="I108" s="118">
        <v>1329</v>
      </c>
      <c r="J108" s="126">
        <v>42859</v>
      </c>
      <c r="K108" s="126"/>
      <c r="L108" s="118"/>
      <c r="M108" s="118"/>
      <c r="N108" s="118"/>
      <c r="O108" s="118"/>
      <c r="P108" s="128"/>
    </row>
    <row r="109" spans="1:16">
      <c r="A109" s="125">
        <v>42859</v>
      </c>
      <c r="B109" s="126">
        <v>42860</v>
      </c>
      <c r="C109" s="127" t="s">
        <v>362</v>
      </c>
      <c r="D109" s="117" t="s">
        <v>12</v>
      </c>
      <c r="E109" s="118">
        <v>4827392.66</v>
      </c>
      <c r="F109" s="118">
        <v>152600</v>
      </c>
      <c r="G109" s="118">
        <v>608425</v>
      </c>
      <c r="H109" s="118">
        <v>62478.9</v>
      </c>
      <c r="I109" s="118">
        <v>18744</v>
      </c>
      <c r="J109" s="126">
        <v>42859</v>
      </c>
      <c r="K109" s="126"/>
      <c r="L109" s="118"/>
      <c r="M109" s="118"/>
      <c r="N109" s="118"/>
      <c r="O109" s="118"/>
      <c r="P109" s="128"/>
    </row>
    <row r="110" spans="1:16">
      <c r="A110" s="125">
        <v>42859</v>
      </c>
      <c r="B110" s="126">
        <v>42860</v>
      </c>
      <c r="C110" s="127" t="s">
        <v>362</v>
      </c>
      <c r="D110" s="117" t="s">
        <v>13</v>
      </c>
      <c r="E110" s="118">
        <v>91190001</v>
      </c>
      <c r="F110" s="118">
        <v>570700</v>
      </c>
      <c r="G110" s="118">
        <v>11784747</v>
      </c>
      <c r="H110" s="118">
        <v>20084</v>
      </c>
      <c r="I110" s="118">
        <v>6025</v>
      </c>
      <c r="J110" s="126">
        <v>42859</v>
      </c>
      <c r="K110" s="126"/>
      <c r="L110" s="118"/>
      <c r="M110" s="118"/>
      <c r="N110" s="118"/>
      <c r="O110" s="118"/>
      <c r="P110" s="128"/>
    </row>
    <row r="111" spans="1:16">
      <c r="A111" s="125">
        <v>42865</v>
      </c>
      <c r="B111" s="126">
        <v>42866</v>
      </c>
      <c r="C111" s="127" t="s">
        <v>364</v>
      </c>
      <c r="D111" s="117" t="s">
        <v>8</v>
      </c>
      <c r="E111" s="118">
        <v>1031626.25</v>
      </c>
      <c r="F111" s="118">
        <v>0</v>
      </c>
      <c r="G111" s="118">
        <v>134113</v>
      </c>
      <c r="H111" s="118">
        <v>0</v>
      </c>
      <c r="I111" s="118">
        <v>0</v>
      </c>
      <c r="J111" s="126">
        <v>42865</v>
      </c>
      <c r="K111" s="126"/>
      <c r="L111" s="118"/>
      <c r="M111" s="118"/>
      <c r="N111" s="118"/>
      <c r="O111" s="118"/>
      <c r="P111" s="128"/>
    </row>
    <row r="112" spans="1:16">
      <c r="A112" s="125">
        <v>42865</v>
      </c>
      <c r="B112" s="126">
        <v>42866</v>
      </c>
      <c r="C112" s="127" t="s">
        <v>364</v>
      </c>
      <c r="D112" s="117" t="s">
        <v>9</v>
      </c>
      <c r="E112" s="118">
        <v>1660464.44</v>
      </c>
      <c r="F112" s="118">
        <v>0</v>
      </c>
      <c r="G112" s="118">
        <v>215861</v>
      </c>
      <c r="H112" s="118">
        <v>0</v>
      </c>
      <c r="I112" s="118">
        <v>0</v>
      </c>
      <c r="J112" s="126">
        <v>42865</v>
      </c>
      <c r="K112" s="126"/>
      <c r="L112" s="118"/>
      <c r="M112" s="118"/>
      <c r="N112" s="118"/>
      <c r="O112" s="118"/>
      <c r="P112" s="128"/>
    </row>
    <row r="113" spans="1:16">
      <c r="A113" s="125">
        <v>42865</v>
      </c>
      <c r="B113" s="126">
        <v>42866</v>
      </c>
      <c r="C113" s="127" t="s">
        <v>364</v>
      </c>
      <c r="D113" s="117" t="s">
        <v>11</v>
      </c>
      <c r="E113" s="118">
        <v>998383.22</v>
      </c>
      <c r="F113" s="118">
        <v>0</v>
      </c>
      <c r="G113" s="118">
        <v>129790</v>
      </c>
      <c r="H113" s="118">
        <v>0</v>
      </c>
      <c r="I113" s="118">
        <v>0</v>
      </c>
      <c r="J113" s="126">
        <v>42865</v>
      </c>
      <c r="K113" s="126"/>
      <c r="L113" s="118"/>
      <c r="M113" s="118"/>
      <c r="N113" s="118"/>
      <c r="O113" s="118"/>
      <c r="P113" s="128"/>
    </row>
    <row r="114" spans="1:16">
      <c r="A114" s="125">
        <v>42865</v>
      </c>
      <c r="B114" s="126">
        <v>42866</v>
      </c>
      <c r="C114" s="127" t="s">
        <v>363</v>
      </c>
      <c r="D114" s="117" t="s">
        <v>7</v>
      </c>
      <c r="E114" s="118">
        <v>7442881.0099999998</v>
      </c>
      <c r="F114" s="118">
        <v>0</v>
      </c>
      <c r="G114" s="118">
        <v>967574</v>
      </c>
      <c r="H114" s="118">
        <v>72928.800000000003</v>
      </c>
      <c r="I114" s="118">
        <v>21879</v>
      </c>
      <c r="J114" s="126">
        <v>42865</v>
      </c>
      <c r="K114" s="126"/>
      <c r="L114" s="118"/>
      <c r="M114" s="118"/>
      <c r="N114" s="118"/>
      <c r="O114" s="118"/>
      <c r="P114" s="128"/>
    </row>
    <row r="115" spans="1:16">
      <c r="A115" s="125">
        <v>42874</v>
      </c>
      <c r="B115" s="126">
        <v>42875</v>
      </c>
      <c r="C115" s="127" t="s">
        <v>364</v>
      </c>
      <c r="D115" s="117" t="s">
        <v>8</v>
      </c>
      <c r="E115" s="118">
        <v>1726399.88</v>
      </c>
      <c r="F115" s="118">
        <v>0</v>
      </c>
      <c r="G115" s="118">
        <v>224431</v>
      </c>
      <c r="H115" s="118">
        <v>0</v>
      </c>
      <c r="I115" s="118">
        <v>0</v>
      </c>
      <c r="J115" s="126">
        <v>42874</v>
      </c>
      <c r="K115" s="126"/>
      <c r="L115" s="118"/>
      <c r="M115" s="118"/>
      <c r="N115" s="118"/>
      <c r="O115" s="118"/>
      <c r="P115" s="128"/>
    </row>
    <row r="116" spans="1:16">
      <c r="A116" s="125">
        <v>42874</v>
      </c>
      <c r="B116" s="126">
        <v>42875</v>
      </c>
      <c r="C116" s="127" t="s">
        <v>364</v>
      </c>
      <c r="D116" s="117" t="s">
        <v>9</v>
      </c>
      <c r="E116" s="118">
        <v>180686.8</v>
      </c>
      <c r="F116" s="118">
        <v>0</v>
      </c>
      <c r="G116" s="118">
        <v>23490</v>
      </c>
      <c r="H116" s="118">
        <v>0</v>
      </c>
      <c r="I116" s="118">
        <v>0</v>
      </c>
      <c r="J116" s="126">
        <v>42874</v>
      </c>
      <c r="K116" s="126"/>
      <c r="L116" s="118"/>
      <c r="M116" s="118"/>
      <c r="N116" s="118"/>
      <c r="O116" s="118"/>
      <c r="P116" s="128"/>
    </row>
    <row r="117" spans="1:16">
      <c r="A117" s="125">
        <v>42874</v>
      </c>
      <c r="B117" s="126">
        <v>42875</v>
      </c>
      <c r="C117" s="127" t="s">
        <v>363</v>
      </c>
      <c r="D117" s="117" t="s">
        <v>7</v>
      </c>
      <c r="E117" s="118">
        <v>4234156.49</v>
      </c>
      <c r="F117" s="118">
        <v>0</v>
      </c>
      <c r="G117" s="118">
        <v>550443</v>
      </c>
      <c r="H117" s="118">
        <v>0</v>
      </c>
      <c r="I117" s="118">
        <v>0</v>
      </c>
      <c r="J117" s="126">
        <v>42874</v>
      </c>
      <c r="K117" s="126"/>
      <c r="L117" s="118"/>
      <c r="M117" s="118"/>
      <c r="N117" s="118"/>
      <c r="O117" s="118"/>
      <c r="P117" s="128"/>
    </row>
    <row r="118" spans="1:16">
      <c r="A118" s="125">
        <v>42880</v>
      </c>
      <c r="B118" s="126">
        <v>42881</v>
      </c>
      <c r="C118" s="127" t="s">
        <v>362</v>
      </c>
      <c r="D118" s="117" t="s">
        <v>7</v>
      </c>
      <c r="E118" s="118">
        <v>7532494.6500000004</v>
      </c>
      <c r="F118" s="118">
        <v>0</v>
      </c>
      <c r="G118" s="118">
        <v>979225</v>
      </c>
      <c r="H118" s="118">
        <v>6749.19</v>
      </c>
      <c r="I118" s="118">
        <v>2024</v>
      </c>
      <c r="J118" s="126">
        <v>42880</v>
      </c>
      <c r="K118" s="126"/>
      <c r="L118" s="118"/>
      <c r="M118" s="118"/>
      <c r="N118" s="118"/>
      <c r="O118" s="118"/>
      <c r="P118" s="128"/>
    </row>
    <row r="119" spans="1:16">
      <c r="A119" s="125">
        <v>42880</v>
      </c>
      <c r="B119" s="126">
        <v>42881</v>
      </c>
      <c r="C119" s="127" t="s">
        <v>362</v>
      </c>
      <c r="D119" s="117" t="s">
        <v>8</v>
      </c>
      <c r="E119" s="118">
        <v>388212.2</v>
      </c>
      <c r="F119" s="118">
        <v>0</v>
      </c>
      <c r="G119" s="118">
        <v>50468</v>
      </c>
      <c r="H119" s="118">
        <v>0</v>
      </c>
      <c r="I119" s="118">
        <v>0</v>
      </c>
      <c r="J119" s="126">
        <v>42880</v>
      </c>
      <c r="K119" s="126"/>
      <c r="L119" s="118"/>
      <c r="M119" s="118"/>
      <c r="N119" s="118"/>
      <c r="O119" s="118"/>
      <c r="P119" s="128"/>
    </row>
    <row r="120" spans="1:16">
      <c r="A120" s="125">
        <v>42880</v>
      </c>
      <c r="B120" s="126">
        <v>42881</v>
      </c>
      <c r="C120" s="127" t="s">
        <v>362</v>
      </c>
      <c r="D120" s="117" t="s">
        <v>9</v>
      </c>
      <c r="E120" s="118">
        <v>230935.93</v>
      </c>
      <c r="F120" s="118">
        <v>0</v>
      </c>
      <c r="G120" s="118">
        <v>30020</v>
      </c>
      <c r="H120" s="118">
        <v>0</v>
      </c>
      <c r="I120" s="118">
        <v>0</v>
      </c>
      <c r="J120" s="126">
        <v>42880</v>
      </c>
      <c r="K120" s="126"/>
      <c r="L120" s="118"/>
      <c r="M120" s="118"/>
      <c r="N120" s="118"/>
      <c r="O120" s="118"/>
      <c r="P120" s="128"/>
    </row>
    <row r="121" spans="1:16">
      <c r="A121" s="125">
        <v>42880</v>
      </c>
      <c r="B121" s="126">
        <v>42881</v>
      </c>
      <c r="C121" s="127" t="s">
        <v>362</v>
      </c>
      <c r="D121" s="117" t="s">
        <v>12</v>
      </c>
      <c r="E121" s="118">
        <v>1616591.86</v>
      </c>
      <c r="F121" s="118">
        <v>0</v>
      </c>
      <c r="G121" s="118">
        <v>210160</v>
      </c>
      <c r="H121" s="118">
        <v>0</v>
      </c>
      <c r="I121" s="118">
        <v>0</v>
      </c>
      <c r="J121" s="126">
        <v>42880</v>
      </c>
      <c r="K121" s="126"/>
      <c r="L121" s="118"/>
      <c r="M121" s="118"/>
      <c r="N121" s="118"/>
      <c r="O121" s="118"/>
      <c r="P121" s="128"/>
    </row>
    <row r="122" spans="1:16">
      <c r="A122" s="125">
        <v>42880</v>
      </c>
      <c r="B122" s="126">
        <v>42881</v>
      </c>
      <c r="C122" s="127" t="s">
        <v>362</v>
      </c>
      <c r="D122" s="117" t="s">
        <v>13</v>
      </c>
      <c r="E122" s="118">
        <v>1932350.6</v>
      </c>
      <c r="F122" s="118">
        <v>1400</v>
      </c>
      <c r="G122" s="118">
        <v>251020</v>
      </c>
      <c r="H122" s="118">
        <v>0</v>
      </c>
      <c r="I122" s="118">
        <v>0</v>
      </c>
      <c r="J122" s="126">
        <v>42880</v>
      </c>
      <c r="K122" s="126"/>
      <c r="L122" s="118"/>
      <c r="M122" s="118"/>
      <c r="N122" s="118"/>
      <c r="O122" s="118"/>
      <c r="P122" s="128"/>
    </row>
    <row r="123" spans="1:16">
      <c r="A123" s="125">
        <v>42881</v>
      </c>
      <c r="B123" s="126">
        <v>42882</v>
      </c>
      <c r="C123" s="127" t="s">
        <v>364</v>
      </c>
      <c r="D123" s="117" t="s">
        <v>8</v>
      </c>
      <c r="E123" s="118">
        <v>1794870.22</v>
      </c>
      <c r="F123" s="118">
        <v>0</v>
      </c>
      <c r="G123" s="118">
        <v>233333</v>
      </c>
      <c r="H123" s="118">
        <v>0</v>
      </c>
      <c r="I123" s="118">
        <v>0</v>
      </c>
      <c r="J123" s="126">
        <v>42881</v>
      </c>
      <c r="K123" s="126">
        <v>42865</v>
      </c>
      <c r="L123" s="118">
        <v>-40000</v>
      </c>
      <c r="M123" s="118">
        <v>0</v>
      </c>
      <c r="N123" s="118">
        <v>-5200</v>
      </c>
      <c r="O123" s="118">
        <v>0</v>
      </c>
      <c r="P123" s="128">
        <v>0</v>
      </c>
    </row>
    <row r="124" spans="1:16">
      <c r="A124" s="125">
        <v>42881</v>
      </c>
      <c r="B124" s="126">
        <v>42882</v>
      </c>
      <c r="C124" s="127" t="s">
        <v>364</v>
      </c>
      <c r="D124" s="117" t="s">
        <v>9</v>
      </c>
      <c r="E124" s="118">
        <v>557182.71</v>
      </c>
      <c r="F124" s="118">
        <v>0</v>
      </c>
      <c r="G124" s="118">
        <v>72433</v>
      </c>
      <c r="H124" s="118">
        <v>0</v>
      </c>
      <c r="I124" s="118">
        <v>0</v>
      </c>
      <c r="J124" s="126">
        <v>42881</v>
      </c>
      <c r="K124" s="126">
        <v>42839</v>
      </c>
      <c r="L124" s="118">
        <v>-52500</v>
      </c>
      <c r="M124" s="118">
        <v>0</v>
      </c>
      <c r="N124" s="118">
        <v>-6825</v>
      </c>
      <c r="O124" s="118">
        <v>0</v>
      </c>
      <c r="P124" s="128">
        <v>0</v>
      </c>
    </row>
    <row r="125" spans="1:16">
      <c r="A125" s="125">
        <v>42886</v>
      </c>
      <c r="B125" s="126"/>
      <c r="C125" s="127" t="s">
        <v>362</v>
      </c>
      <c r="D125" s="117" t="s">
        <v>7</v>
      </c>
      <c r="E125" s="118"/>
      <c r="F125" s="118"/>
      <c r="G125" s="118"/>
      <c r="H125" s="118"/>
      <c r="I125" s="118"/>
      <c r="J125" s="126">
        <v>42886</v>
      </c>
      <c r="K125" s="126">
        <v>42745</v>
      </c>
      <c r="L125" s="118">
        <v>-20227.080000000002</v>
      </c>
      <c r="M125" s="118">
        <v>0</v>
      </c>
      <c r="N125" s="118">
        <v>-2630</v>
      </c>
      <c r="O125" s="118">
        <v>0</v>
      </c>
      <c r="P125" s="128">
        <v>0</v>
      </c>
    </row>
    <row r="126" spans="1:16">
      <c r="A126" s="125">
        <v>42886</v>
      </c>
      <c r="B126" s="126"/>
      <c r="C126" s="127" t="s">
        <v>362</v>
      </c>
      <c r="D126" s="117" t="s">
        <v>7</v>
      </c>
      <c r="E126" s="118"/>
      <c r="F126" s="118"/>
      <c r="G126" s="118"/>
      <c r="H126" s="118"/>
      <c r="I126" s="118"/>
      <c r="J126" s="126">
        <v>42886</v>
      </c>
      <c r="K126" s="126">
        <v>42776</v>
      </c>
      <c r="L126" s="118">
        <v>-20227.080000000002</v>
      </c>
      <c r="M126" s="118">
        <v>0</v>
      </c>
      <c r="N126" s="118">
        <v>-2629</v>
      </c>
      <c r="O126" s="118">
        <v>0</v>
      </c>
      <c r="P126" s="128">
        <v>0</v>
      </c>
    </row>
    <row r="127" spans="1:16">
      <c r="A127" s="125">
        <v>42886</v>
      </c>
      <c r="B127" s="126"/>
      <c r="C127" s="127" t="s">
        <v>362</v>
      </c>
      <c r="D127" s="117" t="s">
        <v>7</v>
      </c>
      <c r="E127" s="118"/>
      <c r="F127" s="118"/>
      <c r="G127" s="118"/>
      <c r="H127" s="118"/>
      <c r="I127" s="118"/>
      <c r="J127" s="126">
        <v>42886</v>
      </c>
      <c r="K127" s="126">
        <v>42804</v>
      </c>
      <c r="L127" s="118">
        <v>-25661.29</v>
      </c>
      <c r="M127" s="118">
        <v>0</v>
      </c>
      <c r="N127" s="118">
        <v>-3336</v>
      </c>
      <c r="O127" s="118">
        <v>0</v>
      </c>
      <c r="P127" s="128">
        <v>0</v>
      </c>
    </row>
    <row r="128" spans="1:16">
      <c r="A128" s="125">
        <v>42886</v>
      </c>
      <c r="B128" s="126"/>
      <c r="C128" s="127" t="s">
        <v>362</v>
      </c>
      <c r="D128" s="117" t="s">
        <v>7</v>
      </c>
      <c r="E128" s="118"/>
      <c r="F128" s="118"/>
      <c r="G128" s="118"/>
      <c r="H128" s="118"/>
      <c r="I128" s="118"/>
      <c r="J128" s="126">
        <v>42886</v>
      </c>
      <c r="K128" s="126">
        <v>42835</v>
      </c>
      <c r="L128" s="118">
        <v>-51616.01</v>
      </c>
      <c r="M128" s="118">
        <v>-500</v>
      </c>
      <c r="N128" s="118">
        <v>-6644</v>
      </c>
      <c r="O128" s="118">
        <v>0</v>
      </c>
      <c r="P128" s="128">
        <v>0</v>
      </c>
    </row>
    <row r="129" spans="1:16">
      <c r="A129" s="125">
        <v>42886</v>
      </c>
      <c r="B129" s="126"/>
      <c r="C129" s="127" t="s">
        <v>362</v>
      </c>
      <c r="D129" s="117" t="s">
        <v>7</v>
      </c>
      <c r="E129" s="118"/>
      <c r="F129" s="118"/>
      <c r="G129" s="118"/>
      <c r="H129" s="118"/>
      <c r="I129" s="118"/>
      <c r="J129" s="126">
        <v>42886</v>
      </c>
      <c r="K129" s="126">
        <v>42858</v>
      </c>
      <c r="L129" s="118">
        <v>-5440.1</v>
      </c>
      <c r="M129" s="118">
        <v>0</v>
      </c>
      <c r="N129" s="118">
        <v>-707</v>
      </c>
      <c r="O129" s="118">
        <v>0</v>
      </c>
      <c r="P129" s="128">
        <v>0</v>
      </c>
    </row>
    <row r="130" spans="1:16">
      <c r="A130" s="125">
        <v>42886</v>
      </c>
      <c r="B130" s="126"/>
      <c r="C130" s="127" t="s">
        <v>362</v>
      </c>
      <c r="D130" s="117" t="s">
        <v>7</v>
      </c>
      <c r="E130" s="118"/>
      <c r="F130" s="118"/>
      <c r="G130" s="118"/>
      <c r="H130" s="118"/>
      <c r="I130" s="118"/>
      <c r="J130" s="126">
        <v>42886</v>
      </c>
      <c r="K130" s="126">
        <v>42859</v>
      </c>
      <c r="L130" s="118">
        <v>-14887.7</v>
      </c>
      <c r="M130" s="118">
        <v>0</v>
      </c>
      <c r="N130" s="118">
        <v>-1935</v>
      </c>
      <c r="O130" s="118">
        <v>0</v>
      </c>
      <c r="P130" s="128">
        <v>0</v>
      </c>
    </row>
    <row r="131" spans="1:16">
      <c r="A131" s="125">
        <v>42886</v>
      </c>
      <c r="B131" s="126"/>
      <c r="C131" s="127" t="s">
        <v>362</v>
      </c>
      <c r="D131" s="117" t="s">
        <v>8</v>
      </c>
      <c r="E131" s="118"/>
      <c r="F131" s="118"/>
      <c r="G131" s="118"/>
      <c r="H131" s="118"/>
      <c r="I131" s="118"/>
      <c r="J131" s="126">
        <v>42886</v>
      </c>
      <c r="K131" s="126">
        <v>42835</v>
      </c>
      <c r="L131" s="118">
        <v>-1880.9</v>
      </c>
      <c r="M131" s="118">
        <v>0</v>
      </c>
      <c r="N131" s="118">
        <v>-245</v>
      </c>
      <c r="O131" s="118">
        <v>0</v>
      </c>
      <c r="P131" s="128">
        <v>0</v>
      </c>
    </row>
    <row r="132" spans="1:16">
      <c r="A132" s="125">
        <v>42888</v>
      </c>
      <c r="B132" s="126">
        <v>42889</v>
      </c>
      <c r="C132" s="127" t="s">
        <v>364</v>
      </c>
      <c r="D132" s="117" t="s">
        <v>8</v>
      </c>
      <c r="E132" s="118">
        <v>893703.25</v>
      </c>
      <c r="F132" s="118">
        <v>0</v>
      </c>
      <c r="G132" s="118">
        <v>116181</v>
      </c>
      <c r="H132" s="118">
        <v>0</v>
      </c>
      <c r="I132" s="118">
        <v>0</v>
      </c>
      <c r="J132" s="126">
        <v>42888</v>
      </c>
      <c r="K132" s="126">
        <v>42636</v>
      </c>
      <c r="L132" s="118">
        <v>-259000</v>
      </c>
      <c r="M132" s="118">
        <v>0</v>
      </c>
      <c r="N132" s="118">
        <v>-33670</v>
      </c>
      <c r="O132" s="118">
        <v>0</v>
      </c>
      <c r="P132" s="128">
        <v>0</v>
      </c>
    </row>
    <row r="133" spans="1:16">
      <c r="A133" s="125">
        <v>42888</v>
      </c>
      <c r="B133" s="126">
        <v>42889</v>
      </c>
      <c r="C133" s="127" t="s">
        <v>364</v>
      </c>
      <c r="D133" s="117" t="s">
        <v>9</v>
      </c>
      <c r="E133" s="118">
        <v>231518.05</v>
      </c>
      <c r="F133" s="118">
        <v>0</v>
      </c>
      <c r="G133" s="118">
        <v>30098</v>
      </c>
      <c r="H133" s="118">
        <v>0</v>
      </c>
      <c r="I133" s="118">
        <v>0</v>
      </c>
      <c r="J133" s="126">
        <v>42888</v>
      </c>
      <c r="K133" s="126">
        <v>42580</v>
      </c>
      <c r="L133" s="118">
        <v>-6000</v>
      </c>
      <c r="M133" s="118">
        <v>0</v>
      </c>
      <c r="N133" s="118">
        <v>-780</v>
      </c>
      <c r="O133" s="118">
        <v>0</v>
      </c>
      <c r="P133" s="128">
        <v>0</v>
      </c>
    </row>
    <row r="134" spans="1:16">
      <c r="A134" s="125">
        <v>42888</v>
      </c>
      <c r="B134" s="126">
        <v>42889</v>
      </c>
      <c r="C134" s="127" t="s">
        <v>364</v>
      </c>
      <c r="D134" s="117" t="s">
        <v>10</v>
      </c>
      <c r="E134" s="118">
        <v>738920.33</v>
      </c>
      <c r="F134" s="118">
        <v>0</v>
      </c>
      <c r="G134" s="118">
        <v>96060</v>
      </c>
      <c r="H134" s="118">
        <v>0</v>
      </c>
      <c r="I134" s="118">
        <v>0</v>
      </c>
      <c r="J134" s="126">
        <v>42888</v>
      </c>
      <c r="K134" s="126"/>
      <c r="L134" s="118"/>
      <c r="M134" s="118"/>
      <c r="N134" s="118"/>
      <c r="O134" s="118"/>
      <c r="P134" s="128"/>
    </row>
    <row r="135" spans="1:16">
      <c r="A135" s="125">
        <v>42888</v>
      </c>
      <c r="B135" s="126">
        <v>42889</v>
      </c>
      <c r="C135" s="127" t="s">
        <v>364</v>
      </c>
      <c r="D135" s="117" t="s">
        <v>11</v>
      </c>
      <c r="E135" s="118">
        <v>40902.300000000003</v>
      </c>
      <c r="F135" s="118">
        <v>0</v>
      </c>
      <c r="G135" s="118">
        <v>5317</v>
      </c>
      <c r="H135" s="118">
        <v>0</v>
      </c>
      <c r="I135" s="118">
        <v>0</v>
      </c>
      <c r="J135" s="126">
        <v>42888</v>
      </c>
      <c r="K135" s="126"/>
      <c r="L135" s="118"/>
      <c r="M135" s="118"/>
      <c r="N135" s="118"/>
      <c r="O135" s="118"/>
      <c r="P135" s="128"/>
    </row>
    <row r="136" spans="1:16">
      <c r="A136" s="125">
        <v>42888</v>
      </c>
      <c r="B136" s="126">
        <v>42889</v>
      </c>
      <c r="C136" s="127" t="s">
        <v>363</v>
      </c>
      <c r="D136" s="117" t="s">
        <v>7</v>
      </c>
      <c r="E136" s="118">
        <v>4350930.09</v>
      </c>
      <c r="F136" s="118">
        <v>0</v>
      </c>
      <c r="G136" s="118">
        <v>565620</v>
      </c>
      <c r="H136" s="118">
        <v>25097.52</v>
      </c>
      <c r="I136" s="118">
        <v>7529</v>
      </c>
      <c r="J136" s="126">
        <v>42888</v>
      </c>
      <c r="K136" s="126"/>
      <c r="L136" s="118"/>
      <c r="M136" s="118"/>
      <c r="N136" s="118"/>
      <c r="O136" s="118"/>
      <c r="P136" s="128"/>
    </row>
    <row r="137" spans="1:16">
      <c r="A137" s="125">
        <v>42895</v>
      </c>
      <c r="B137" s="126">
        <v>42896</v>
      </c>
      <c r="C137" s="127" t="s">
        <v>362</v>
      </c>
      <c r="D137" s="117" t="s">
        <v>7</v>
      </c>
      <c r="E137" s="118">
        <v>1129178992.5699999</v>
      </c>
      <c r="F137" s="118">
        <v>5883800</v>
      </c>
      <c r="G137" s="118">
        <v>146054332</v>
      </c>
      <c r="H137" s="118">
        <v>2616885.08</v>
      </c>
      <c r="I137" s="118">
        <v>795855</v>
      </c>
      <c r="J137" s="126">
        <v>42895</v>
      </c>
      <c r="K137" s="126"/>
      <c r="L137" s="118"/>
      <c r="M137" s="118"/>
      <c r="N137" s="118"/>
      <c r="O137" s="118"/>
      <c r="P137" s="128"/>
    </row>
    <row r="138" spans="1:16">
      <c r="A138" s="125">
        <v>42895</v>
      </c>
      <c r="B138" s="126">
        <v>42896</v>
      </c>
      <c r="C138" s="127" t="s">
        <v>362</v>
      </c>
      <c r="D138" s="117" t="s">
        <v>8</v>
      </c>
      <c r="E138" s="118">
        <v>44777496.219999999</v>
      </c>
      <c r="F138" s="118">
        <v>129800</v>
      </c>
      <c r="G138" s="118">
        <v>5805779</v>
      </c>
      <c r="H138" s="118">
        <v>28979</v>
      </c>
      <c r="I138" s="118">
        <v>8695</v>
      </c>
      <c r="J138" s="126">
        <v>42895</v>
      </c>
      <c r="K138" s="126"/>
      <c r="L138" s="118"/>
      <c r="M138" s="118"/>
      <c r="N138" s="118"/>
      <c r="O138" s="118"/>
      <c r="P138" s="128"/>
    </row>
    <row r="139" spans="1:16">
      <c r="A139" s="125">
        <v>42895</v>
      </c>
      <c r="B139" s="126">
        <v>42896</v>
      </c>
      <c r="C139" s="127" t="s">
        <v>362</v>
      </c>
      <c r="D139" s="117" t="s">
        <v>9</v>
      </c>
      <c r="E139" s="118">
        <v>18797970.829999998</v>
      </c>
      <c r="F139" s="118">
        <v>42500</v>
      </c>
      <c r="G139" s="118">
        <v>2438480</v>
      </c>
      <c r="H139" s="118">
        <v>2463</v>
      </c>
      <c r="I139" s="118">
        <v>739</v>
      </c>
      <c r="J139" s="126">
        <v>42895</v>
      </c>
      <c r="K139" s="126"/>
      <c r="L139" s="118"/>
      <c r="M139" s="118"/>
      <c r="N139" s="118"/>
      <c r="O139" s="118"/>
      <c r="P139" s="128"/>
    </row>
    <row r="140" spans="1:16">
      <c r="A140" s="125">
        <v>42895</v>
      </c>
      <c r="B140" s="126">
        <v>42896</v>
      </c>
      <c r="C140" s="127" t="s">
        <v>362</v>
      </c>
      <c r="D140" s="117" t="s">
        <v>11</v>
      </c>
      <c r="E140" s="118">
        <v>3747292.6</v>
      </c>
      <c r="F140" s="118">
        <v>11000</v>
      </c>
      <c r="G140" s="118">
        <v>485730</v>
      </c>
      <c r="H140" s="118">
        <v>4933.8</v>
      </c>
      <c r="I140" s="118">
        <v>1480</v>
      </c>
      <c r="J140" s="126">
        <v>42895</v>
      </c>
      <c r="K140" s="126"/>
      <c r="L140" s="118"/>
      <c r="M140" s="118"/>
      <c r="N140" s="118"/>
      <c r="O140" s="118"/>
      <c r="P140" s="128"/>
    </row>
    <row r="141" spans="1:16">
      <c r="A141" s="125">
        <v>42895</v>
      </c>
      <c r="B141" s="126">
        <v>42896</v>
      </c>
      <c r="C141" s="127" t="s">
        <v>362</v>
      </c>
      <c r="D141" s="117" t="s">
        <v>12</v>
      </c>
      <c r="E141" s="118">
        <v>34731905.579999998</v>
      </c>
      <c r="F141" s="118">
        <v>318600</v>
      </c>
      <c r="G141" s="118">
        <v>4476804</v>
      </c>
      <c r="H141" s="118">
        <v>70822.98</v>
      </c>
      <c r="I141" s="118">
        <v>21247</v>
      </c>
      <c r="J141" s="126">
        <v>42895</v>
      </c>
      <c r="K141" s="126"/>
      <c r="L141" s="118"/>
      <c r="M141" s="118"/>
      <c r="N141" s="118"/>
      <c r="O141" s="118"/>
      <c r="P141" s="128"/>
    </row>
    <row r="142" spans="1:16">
      <c r="A142" s="125">
        <v>42895</v>
      </c>
      <c r="B142" s="126">
        <v>42896</v>
      </c>
      <c r="C142" s="127" t="s">
        <v>362</v>
      </c>
      <c r="D142" s="117" t="s">
        <v>13</v>
      </c>
      <c r="E142" s="118">
        <v>97429565.659999996</v>
      </c>
      <c r="F142" s="118">
        <v>649000</v>
      </c>
      <c r="G142" s="118">
        <v>12585070</v>
      </c>
      <c r="H142" s="118">
        <v>20514</v>
      </c>
      <c r="I142" s="118">
        <v>6155</v>
      </c>
      <c r="J142" s="126">
        <v>42895</v>
      </c>
      <c r="K142" s="126"/>
      <c r="L142" s="118"/>
      <c r="M142" s="118"/>
      <c r="N142" s="118"/>
      <c r="O142" s="118"/>
      <c r="P142" s="128"/>
    </row>
    <row r="143" spans="1:16">
      <c r="A143" s="125">
        <v>42899</v>
      </c>
      <c r="B143" s="126">
        <v>42900</v>
      </c>
      <c r="C143" s="127" t="s">
        <v>364</v>
      </c>
      <c r="D143" s="117" t="s">
        <v>8</v>
      </c>
      <c r="E143" s="118">
        <v>867716.7</v>
      </c>
      <c r="F143" s="118">
        <v>0</v>
      </c>
      <c r="G143" s="118">
        <v>112802</v>
      </c>
      <c r="H143" s="118">
        <v>0</v>
      </c>
      <c r="I143" s="118">
        <v>0</v>
      </c>
      <c r="J143" s="126">
        <v>42899</v>
      </c>
      <c r="K143" s="126">
        <v>42636</v>
      </c>
      <c r="L143" s="118">
        <v>-445000</v>
      </c>
      <c r="M143" s="118">
        <v>0</v>
      </c>
      <c r="N143" s="118">
        <v>-57850</v>
      </c>
      <c r="O143" s="118">
        <v>0</v>
      </c>
      <c r="P143" s="128">
        <v>0</v>
      </c>
    </row>
    <row r="144" spans="1:16">
      <c r="A144" s="125">
        <v>42899</v>
      </c>
      <c r="B144" s="126">
        <v>42900</v>
      </c>
      <c r="C144" s="127" t="s">
        <v>364</v>
      </c>
      <c r="D144" s="117" t="s">
        <v>9</v>
      </c>
      <c r="E144" s="118">
        <v>2782872.75</v>
      </c>
      <c r="F144" s="118">
        <v>0</v>
      </c>
      <c r="G144" s="118">
        <v>361774</v>
      </c>
      <c r="H144" s="118">
        <v>0</v>
      </c>
      <c r="I144" s="118">
        <v>0</v>
      </c>
      <c r="J144" s="126">
        <v>42899</v>
      </c>
      <c r="K144" s="126"/>
      <c r="L144" s="118"/>
      <c r="M144" s="118"/>
      <c r="N144" s="118"/>
      <c r="O144" s="118"/>
      <c r="P144" s="128"/>
    </row>
    <row r="145" spans="1:16">
      <c r="A145" s="125">
        <v>42902</v>
      </c>
      <c r="B145" s="126">
        <v>42903</v>
      </c>
      <c r="C145" s="127" t="s">
        <v>364</v>
      </c>
      <c r="D145" s="117" t="s">
        <v>8</v>
      </c>
      <c r="E145" s="118">
        <v>24470513.109999999</v>
      </c>
      <c r="F145" s="118">
        <v>0</v>
      </c>
      <c r="G145" s="118">
        <v>3181165</v>
      </c>
      <c r="H145" s="118">
        <v>0</v>
      </c>
      <c r="I145" s="118">
        <v>0</v>
      </c>
      <c r="J145" s="126">
        <v>42902</v>
      </c>
      <c r="K145" s="126">
        <v>42517</v>
      </c>
      <c r="L145" s="118">
        <v>-53500</v>
      </c>
      <c r="M145" s="118">
        <v>0</v>
      </c>
      <c r="N145" s="118">
        <v>-6955</v>
      </c>
      <c r="O145" s="118">
        <v>0</v>
      </c>
      <c r="P145" s="128">
        <v>0</v>
      </c>
    </row>
    <row r="146" spans="1:16">
      <c r="A146" s="125">
        <v>42902</v>
      </c>
      <c r="B146" s="126">
        <v>42903</v>
      </c>
      <c r="C146" s="127" t="s">
        <v>364</v>
      </c>
      <c r="D146" s="117" t="s">
        <v>9</v>
      </c>
      <c r="E146" s="118">
        <v>1016047.98</v>
      </c>
      <c r="F146" s="118">
        <v>0</v>
      </c>
      <c r="G146" s="118">
        <v>132087</v>
      </c>
      <c r="H146" s="118">
        <v>0</v>
      </c>
      <c r="I146" s="118">
        <v>0</v>
      </c>
      <c r="J146" s="126">
        <v>42902</v>
      </c>
      <c r="K146" s="126"/>
      <c r="L146" s="118"/>
      <c r="M146" s="118"/>
      <c r="N146" s="118"/>
      <c r="O146" s="118"/>
      <c r="P146" s="128"/>
    </row>
    <row r="147" spans="1:16">
      <c r="A147" s="125">
        <v>42902</v>
      </c>
      <c r="B147" s="126">
        <v>42903</v>
      </c>
      <c r="C147" s="127" t="s">
        <v>364</v>
      </c>
      <c r="D147" s="117" t="s">
        <v>11</v>
      </c>
      <c r="E147" s="118">
        <v>2329855.39</v>
      </c>
      <c r="F147" s="118">
        <v>0</v>
      </c>
      <c r="G147" s="118">
        <v>302881</v>
      </c>
      <c r="H147" s="118">
        <v>0</v>
      </c>
      <c r="I147" s="118">
        <v>0</v>
      </c>
      <c r="J147" s="126">
        <v>42902</v>
      </c>
      <c r="K147" s="126"/>
      <c r="L147" s="118"/>
      <c r="M147" s="118"/>
      <c r="N147" s="118"/>
      <c r="O147" s="118"/>
      <c r="P147" s="128"/>
    </row>
    <row r="148" spans="1:16">
      <c r="A148" s="125">
        <v>42902</v>
      </c>
      <c r="B148" s="126">
        <v>42903</v>
      </c>
      <c r="C148" s="127" t="s">
        <v>363</v>
      </c>
      <c r="D148" s="117" t="s">
        <v>7</v>
      </c>
      <c r="E148" s="118">
        <v>4778816.6900000004</v>
      </c>
      <c r="F148" s="118">
        <v>0</v>
      </c>
      <c r="G148" s="118">
        <v>621246</v>
      </c>
      <c r="H148" s="118">
        <v>0</v>
      </c>
      <c r="I148" s="118">
        <v>0</v>
      </c>
      <c r="J148" s="126">
        <v>42902</v>
      </c>
      <c r="K148" s="126"/>
      <c r="L148" s="118"/>
      <c r="M148" s="118"/>
      <c r="N148" s="118"/>
      <c r="O148" s="118"/>
      <c r="P148" s="128"/>
    </row>
    <row r="149" spans="1:16">
      <c r="A149" s="125">
        <v>42907</v>
      </c>
      <c r="B149" s="126">
        <v>42908</v>
      </c>
      <c r="C149" s="127" t="s">
        <v>364</v>
      </c>
      <c r="D149" s="117" t="s">
        <v>8</v>
      </c>
      <c r="E149" s="118">
        <v>1521347.44</v>
      </c>
      <c r="F149" s="118">
        <v>0</v>
      </c>
      <c r="G149" s="118">
        <v>197774</v>
      </c>
      <c r="H149" s="118">
        <v>0</v>
      </c>
      <c r="I149" s="118">
        <v>0</v>
      </c>
      <c r="J149" s="126">
        <v>42907</v>
      </c>
      <c r="K149" s="126"/>
      <c r="L149" s="118"/>
      <c r="M149" s="118"/>
      <c r="N149" s="118"/>
      <c r="O149" s="118"/>
      <c r="P149" s="128"/>
    </row>
    <row r="150" spans="1:16">
      <c r="A150" s="125">
        <v>42907</v>
      </c>
      <c r="B150" s="126">
        <v>42908</v>
      </c>
      <c r="C150" s="127" t="s">
        <v>364</v>
      </c>
      <c r="D150" s="117" t="s">
        <v>9</v>
      </c>
      <c r="E150" s="118">
        <v>673020.24</v>
      </c>
      <c r="F150" s="118">
        <v>0</v>
      </c>
      <c r="G150" s="118">
        <v>87492</v>
      </c>
      <c r="H150" s="118">
        <v>0</v>
      </c>
      <c r="I150" s="118">
        <v>0</v>
      </c>
      <c r="J150" s="126">
        <v>42907</v>
      </c>
      <c r="K150" s="126">
        <v>42706</v>
      </c>
      <c r="L150" s="118">
        <v>-4000</v>
      </c>
      <c r="M150" s="118">
        <v>0</v>
      </c>
      <c r="N150" s="118">
        <v>-520</v>
      </c>
      <c r="O150" s="118">
        <v>0</v>
      </c>
      <c r="P150" s="128">
        <v>0</v>
      </c>
    </row>
    <row r="151" spans="1:16">
      <c r="A151" s="125">
        <v>42907</v>
      </c>
      <c r="B151" s="126"/>
      <c r="C151" s="127" t="s">
        <v>364</v>
      </c>
      <c r="D151" s="117" t="s">
        <v>9</v>
      </c>
      <c r="E151" s="118"/>
      <c r="F151" s="118"/>
      <c r="G151" s="118"/>
      <c r="H151" s="118"/>
      <c r="I151" s="118"/>
      <c r="J151" s="126">
        <v>42907</v>
      </c>
      <c r="K151" s="126">
        <v>42853</v>
      </c>
      <c r="L151" s="118">
        <v>-12000</v>
      </c>
      <c r="M151" s="118">
        <v>0</v>
      </c>
      <c r="N151" s="118">
        <v>-1560</v>
      </c>
      <c r="O151" s="118">
        <v>0</v>
      </c>
      <c r="P151" s="128">
        <v>0</v>
      </c>
    </row>
    <row r="152" spans="1:16">
      <c r="A152" s="125">
        <v>42907</v>
      </c>
      <c r="B152" s="126">
        <v>42908</v>
      </c>
      <c r="C152" s="127" t="s">
        <v>364</v>
      </c>
      <c r="D152" s="117" t="s">
        <v>11</v>
      </c>
      <c r="E152" s="118">
        <v>148599.16</v>
      </c>
      <c r="F152" s="118">
        <v>0</v>
      </c>
      <c r="G152" s="118">
        <v>19318</v>
      </c>
      <c r="H152" s="118">
        <v>0</v>
      </c>
      <c r="I152" s="118">
        <v>0</v>
      </c>
      <c r="J152" s="126">
        <v>42907</v>
      </c>
      <c r="K152" s="126"/>
      <c r="L152" s="118"/>
      <c r="M152" s="118"/>
      <c r="N152" s="118"/>
      <c r="O152" s="118"/>
      <c r="P152" s="128"/>
    </row>
    <row r="153" spans="1:16">
      <c r="A153" s="125">
        <v>42912</v>
      </c>
      <c r="B153" s="126">
        <v>42913</v>
      </c>
      <c r="C153" s="127" t="s">
        <v>362</v>
      </c>
      <c r="D153" s="117" t="s">
        <v>7</v>
      </c>
      <c r="E153" s="118">
        <v>11495876.880000001</v>
      </c>
      <c r="F153" s="118">
        <v>0</v>
      </c>
      <c r="G153" s="118">
        <v>1494474</v>
      </c>
      <c r="H153" s="118">
        <v>0</v>
      </c>
      <c r="I153" s="118">
        <v>0</v>
      </c>
      <c r="J153" s="126">
        <v>42912</v>
      </c>
      <c r="K153" s="126"/>
      <c r="L153" s="118"/>
      <c r="M153" s="118"/>
      <c r="N153" s="118"/>
      <c r="O153" s="118"/>
      <c r="P153" s="128"/>
    </row>
    <row r="154" spans="1:16">
      <c r="A154" s="125">
        <v>42912</v>
      </c>
      <c r="B154" s="126">
        <v>42913</v>
      </c>
      <c r="C154" s="127" t="s">
        <v>362</v>
      </c>
      <c r="D154" s="117" t="s">
        <v>8</v>
      </c>
      <c r="E154" s="118">
        <v>506484.21</v>
      </c>
      <c r="F154" s="118">
        <v>0</v>
      </c>
      <c r="G154" s="118">
        <v>65845</v>
      </c>
      <c r="H154" s="118">
        <v>122</v>
      </c>
      <c r="I154" s="118">
        <v>37</v>
      </c>
      <c r="J154" s="126">
        <v>42912</v>
      </c>
      <c r="K154" s="126"/>
      <c r="L154" s="118"/>
      <c r="M154" s="118"/>
      <c r="N154" s="118"/>
      <c r="O154" s="118"/>
      <c r="P154" s="128"/>
    </row>
    <row r="155" spans="1:16">
      <c r="A155" s="125">
        <v>42912</v>
      </c>
      <c r="B155" s="126">
        <v>42913</v>
      </c>
      <c r="C155" s="127" t="s">
        <v>362</v>
      </c>
      <c r="D155" s="117" t="s">
        <v>9</v>
      </c>
      <c r="E155" s="118">
        <v>30299</v>
      </c>
      <c r="F155" s="118">
        <v>0</v>
      </c>
      <c r="G155" s="118">
        <v>3939</v>
      </c>
      <c r="H155" s="118">
        <v>0</v>
      </c>
      <c r="I155" s="118">
        <v>0</v>
      </c>
      <c r="J155" s="126">
        <v>42912</v>
      </c>
      <c r="K155" s="126"/>
      <c r="L155" s="118"/>
      <c r="M155" s="118"/>
      <c r="N155" s="118"/>
      <c r="O155" s="118"/>
      <c r="P155" s="128"/>
    </row>
    <row r="156" spans="1:16">
      <c r="A156" s="125">
        <v>42912</v>
      </c>
      <c r="B156" s="126">
        <v>42913</v>
      </c>
      <c r="C156" s="127" t="s">
        <v>362</v>
      </c>
      <c r="D156" s="117" t="s">
        <v>11</v>
      </c>
      <c r="E156" s="118">
        <v>6811.23</v>
      </c>
      <c r="F156" s="118">
        <v>0</v>
      </c>
      <c r="G156" s="118">
        <v>885</v>
      </c>
      <c r="H156" s="118">
        <v>0</v>
      </c>
      <c r="I156" s="118">
        <v>0</v>
      </c>
      <c r="J156" s="126">
        <v>42912</v>
      </c>
      <c r="K156" s="126"/>
      <c r="L156" s="118"/>
      <c r="M156" s="118"/>
      <c r="N156" s="118"/>
      <c r="O156" s="118"/>
      <c r="P156" s="128"/>
    </row>
    <row r="157" spans="1:16">
      <c r="A157" s="125">
        <v>42912</v>
      </c>
      <c r="B157" s="126">
        <v>42913</v>
      </c>
      <c r="C157" s="127" t="s">
        <v>362</v>
      </c>
      <c r="D157" s="117" t="s">
        <v>12</v>
      </c>
      <c r="E157" s="118">
        <v>160209.63</v>
      </c>
      <c r="F157" s="118">
        <v>3000</v>
      </c>
      <c r="G157" s="118">
        <v>20438</v>
      </c>
      <c r="H157" s="118">
        <v>0</v>
      </c>
      <c r="I157" s="118">
        <v>0</v>
      </c>
      <c r="J157" s="126">
        <v>42912</v>
      </c>
      <c r="K157" s="126"/>
      <c r="L157" s="118"/>
      <c r="M157" s="118"/>
      <c r="N157" s="118"/>
      <c r="O157" s="118"/>
      <c r="P157" s="128"/>
    </row>
    <row r="158" spans="1:16">
      <c r="A158" s="125">
        <v>42912</v>
      </c>
      <c r="B158" s="126">
        <v>42913</v>
      </c>
      <c r="C158" s="127" t="s">
        <v>362</v>
      </c>
      <c r="D158" s="117" t="s">
        <v>13</v>
      </c>
      <c r="E158" s="118">
        <v>2934486.48</v>
      </c>
      <c r="F158" s="118">
        <v>0</v>
      </c>
      <c r="G158" s="118">
        <v>381481</v>
      </c>
      <c r="H158" s="118">
        <v>0</v>
      </c>
      <c r="I158" s="118">
        <v>0</v>
      </c>
      <c r="J158" s="126">
        <v>42912</v>
      </c>
      <c r="K158" s="126"/>
      <c r="L158" s="118"/>
      <c r="M158" s="118"/>
      <c r="N158" s="118"/>
      <c r="O158" s="118"/>
      <c r="P158" s="128"/>
    </row>
    <row r="159" spans="1:16">
      <c r="A159" s="125">
        <v>42916</v>
      </c>
      <c r="B159" s="126"/>
      <c r="C159" s="127" t="s">
        <v>362</v>
      </c>
      <c r="D159" s="117" t="s">
        <v>7</v>
      </c>
      <c r="E159" s="118">
        <v>0</v>
      </c>
      <c r="F159" s="118">
        <v>0</v>
      </c>
      <c r="G159" s="118">
        <v>-14845</v>
      </c>
      <c r="H159" s="118">
        <v>0</v>
      </c>
      <c r="I159" s="118">
        <v>14845</v>
      </c>
      <c r="J159" s="126">
        <v>42916</v>
      </c>
      <c r="K159" s="126">
        <v>42745</v>
      </c>
      <c r="L159" s="118">
        <v>-12452.8</v>
      </c>
      <c r="M159" s="118">
        <v>0</v>
      </c>
      <c r="N159" s="118">
        <v>-1619</v>
      </c>
      <c r="O159" s="118">
        <v>0</v>
      </c>
      <c r="P159" s="128">
        <v>0</v>
      </c>
    </row>
    <row r="160" spans="1:16">
      <c r="A160" s="125">
        <v>42916</v>
      </c>
      <c r="B160" s="126"/>
      <c r="C160" s="127" t="s">
        <v>362</v>
      </c>
      <c r="D160" s="117" t="s">
        <v>7</v>
      </c>
      <c r="E160" s="118"/>
      <c r="F160" s="118"/>
      <c r="G160" s="118"/>
      <c r="H160" s="118"/>
      <c r="I160" s="118"/>
      <c r="J160" s="126">
        <v>42916</v>
      </c>
      <c r="K160" s="126">
        <v>42776</v>
      </c>
      <c r="L160" s="118">
        <v>-5931.8</v>
      </c>
      <c r="M160" s="118">
        <v>0</v>
      </c>
      <c r="N160" s="118">
        <v>-771</v>
      </c>
      <c r="O160" s="118">
        <v>0</v>
      </c>
      <c r="P160" s="128">
        <v>0</v>
      </c>
    </row>
    <row r="161" spans="1:16">
      <c r="A161" s="125">
        <v>42916</v>
      </c>
      <c r="B161" s="126"/>
      <c r="C161" s="127" t="s">
        <v>362</v>
      </c>
      <c r="D161" s="117" t="s">
        <v>7</v>
      </c>
      <c r="E161" s="118"/>
      <c r="F161" s="118"/>
      <c r="G161" s="118"/>
      <c r="H161" s="118"/>
      <c r="I161" s="118"/>
      <c r="J161" s="126">
        <v>42916</v>
      </c>
      <c r="K161" s="126">
        <v>42804</v>
      </c>
      <c r="L161" s="118">
        <v>-12510.42</v>
      </c>
      <c r="M161" s="118">
        <v>0</v>
      </c>
      <c r="N161" s="118">
        <v>-1627</v>
      </c>
      <c r="O161" s="118">
        <v>0</v>
      </c>
      <c r="P161" s="128">
        <v>0</v>
      </c>
    </row>
    <row r="162" spans="1:16">
      <c r="A162" s="125">
        <v>42916</v>
      </c>
      <c r="B162" s="126"/>
      <c r="C162" s="127" t="s">
        <v>362</v>
      </c>
      <c r="D162" s="117" t="s">
        <v>7</v>
      </c>
      <c r="E162" s="118"/>
      <c r="F162" s="118"/>
      <c r="G162" s="118"/>
      <c r="H162" s="118"/>
      <c r="I162" s="118"/>
      <c r="J162" s="126">
        <v>42916</v>
      </c>
      <c r="K162" s="126">
        <v>42835</v>
      </c>
      <c r="L162" s="118">
        <v>-19896.7</v>
      </c>
      <c r="M162" s="118">
        <v>0</v>
      </c>
      <c r="N162" s="118">
        <v>-2588</v>
      </c>
      <c r="O162" s="118">
        <v>0</v>
      </c>
      <c r="P162" s="128">
        <v>0</v>
      </c>
    </row>
    <row r="163" spans="1:16">
      <c r="A163" s="125">
        <v>42916</v>
      </c>
      <c r="B163" s="126"/>
      <c r="C163" s="127" t="s">
        <v>362</v>
      </c>
      <c r="D163" s="117" t="s">
        <v>7</v>
      </c>
      <c r="E163" s="118"/>
      <c r="F163" s="118"/>
      <c r="G163" s="118"/>
      <c r="H163" s="118"/>
      <c r="I163" s="118"/>
      <c r="J163" s="126">
        <v>42916</v>
      </c>
      <c r="K163" s="126">
        <v>42858</v>
      </c>
      <c r="L163" s="118">
        <v>-9381</v>
      </c>
      <c r="M163" s="118">
        <v>0</v>
      </c>
      <c r="N163" s="118">
        <v>-1220</v>
      </c>
      <c r="O163" s="118">
        <v>0</v>
      </c>
      <c r="P163" s="128">
        <v>0</v>
      </c>
    </row>
    <row r="164" spans="1:16">
      <c r="A164" s="125">
        <v>42916</v>
      </c>
      <c r="B164" s="126"/>
      <c r="C164" s="127" t="s">
        <v>362</v>
      </c>
      <c r="D164" s="117" t="s">
        <v>7</v>
      </c>
      <c r="E164" s="118"/>
      <c r="F164" s="118"/>
      <c r="G164" s="118"/>
      <c r="H164" s="118"/>
      <c r="I164" s="118"/>
      <c r="J164" s="126">
        <v>42916</v>
      </c>
      <c r="K164" s="126">
        <v>42859</v>
      </c>
      <c r="L164" s="118">
        <v>-14359.21</v>
      </c>
      <c r="M164" s="118">
        <v>-500</v>
      </c>
      <c r="N164" s="118">
        <v>-1802</v>
      </c>
      <c r="O164" s="118">
        <v>0</v>
      </c>
      <c r="P164" s="128">
        <v>0</v>
      </c>
    </row>
    <row r="165" spans="1:16">
      <c r="A165" s="125">
        <v>42916</v>
      </c>
      <c r="B165" s="126"/>
      <c r="C165" s="127" t="s">
        <v>362</v>
      </c>
      <c r="D165" s="117" t="s">
        <v>7</v>
      </c>
      <c r="E165" s="118"/>
      <c r="F165" s="118"/>
      <c r="G165" s="118"/>
      <c r="H165" s="118"/>
      <c r="I165" s="118"/>
      <c r="J165" s="126">
        <v>42916</v>
      </c>
      <c r="K165" s="126">
        <v>42895</v>
      </c>
      <c r="L165" s="118">
        <v>-8631.41</v>
      </c>
      <c r="M165" s="118">
        <v>-500</v>
      </c>
      <c r="N165" s="118">
        <v>-1057</v>
      </c>
      <c r="O165" s="118">
        <v>0</v>
      </c>
      <c r="P165" s="128">
        <v>0</v>
      </c>
    </row>
    <row r="166" spans="1:16">
      <c r="A166" s="125">
        <v>42916</v>
      </c>
      <c r="B166" s="126"/>
      <c r="C166" s="127" t="s">
        <v>362</v>
      </c>
      <c r="D166" s="117" t="s">
        <v>8</v>
      </c>
      <c r="E166" s="118"/>
      <c r="F166" s="118"/>
      <c r="G166" s="118"/>
      <c r="H166" s="118"/>
      <c r="I166" s="118"/>
      <c r="J166" s="126">
        <v>42916</v>
      </c>
      <c r="K166" s="126">
        <v>42745</v>
      </c>
      <c r="L166" s="118">
        <v>-2774</v>
      </c>
      <c r="M166" s="118">
        <v>0</v>
      </c>
      <c r="N166" s="118">
        <v>-361</v>
      </c>
      <c r="O166" s="118">
        <v>0</v>
      </c>
      <c r="P166" s="128">
        <v>0</v>
      </c>
    </row>
    <row r="167" spans="1:16">
      <c r="A167" s="125">
        <v>42916</v>
      </c>
      <c r="B167" s="126"/>
      <c r="C167" s="127" t="s">
        <v>362</v>
      </c>
      <c r="D167" s="117" t="s">
        <v>12</v>
      </c>
      <c r="E167" s="118"/>
      <c r="F167" s="118"/>
      <c r="G167" s="118"/>
      <c r="H167" s="118"/>
      <c r="I167" s="118"/>
      <c r="J167" s="126">
        <v>42916</v>
      </c>
      <c r="K167" s="126">
        <v>42835</v>
      </c>
      <c r="L167" s="118">
        <v>-5328.1</v>
      </c>
      <c r="M167" s="118">
        <v>-500</v>
      </c>
      <c r="N167" s="118">
        <v>-628</v>
      </c>
      <c r="O167" s="118">
        <v>0</v>
      </c>
      <c r="P167" s="128">
        <v>0</v>
      </c>
    </row>
    <row r="168" spans="1:16">
      <c r="A168" s="125">
        <v>42916</v>
      </c>
      <c r="B168" s="126">
        <v>42917</v>
      </c>
      <c r="C168" s="127" t="s">
        <v>364</v>
      </c>
      <c r="D168" s="117" t="s">
        <v>8</v>
      </c>
      <c r="E168" s="118">
        <v>384426.16</v>
      </c>
      <c r="F168" s="118">
        <v>0</v>
      </c>
      <c r="G168" s="118">
        <v>49976</v>
      </c>
      <c r="H168" s="118">
        <v>0</v>
      </c>
      <c r="I168" s="118">
        <v>0</v>
      </c>
      <c r="J168" s="126">
        <v>42916</v>
      </c>
      <c r="K168" s="126">
        <v>42907</v>
      </c>
      <c r="L168" s="118">
        <v>-12000</v>
      </c>
      <c r="M168" s="118">
        <v>0</v>
      </c>
      <c r="N168" s="118">
        <v>-1560</v>
      </c>
      <c r="O168" s="118">
        <v>0</v>
      </c>
      <c r="P168" s="128">
        <v>0</v>
      </c>
    </row>
    <row r="169" spans="1:16">
      <c r="A169" s="125">
        <v>42916</v>
      </c>
      <c r="B169" s="126">
        <v>42917</v>
      </c>
      <c r="C169" s="127" t="s">
        <v>364</v>
      </c>
      <c r="D169" s="117" t="s">
        <v>9</v>
      </c>
      <c r="E169" s="118">
        <v>1136499.71</v>
      </c>
      <c r="F169" s="118">
        <v>0</v>
      </c>
      <c r="G169" s="118">
        <v>147744</v>
      </c>
      <c r="H169" s="118">
        <v>0</v>
      </c>
      <c r="I169" s="118">
        <v>0</v>
      </c>
      <c r="J169" s="126">
        <v>42916</v>
      </c>
      <c r="K169" s="126">
        <v>42839</v>
      </c>
      <c r="L169" s="118">
        <v>-252000</v>
      </c>
      <c r="M169" s="118">
        <v>0</v>
      </c>
      <c r="N169" s="118">
        <v>-32760</v>
      </c>
      <c r="O169" s="118">
        <v>0</v>
      </c>
      <c r="P169" s="128">
        <v>0</v>
      </c>
    </row>
    <row r="170" spans="1:16">
      <c r="A170" s="125">
        <v>42916</v>
      </c>
      <c r="B170" s="126"/>
      <c r="C170" s="127" t="s">
        <v>364</v>
      </c>
      <c r="D170" s="117" t="s">
        <v>9</v>
      </c>
      <c r="E170" s="118"/>
      <c r="F170" s="118"/>
      <c r="G170" s="118"/>
      <c r="H170" s="118"/>
      <c r="I170" s="118"/>
      <c r="J170" s="126">
        <v>42916</v>
      </c>
      <c r="K170" s="126">
        <v>42907</v>
      </c>
      <c r="L170" s="118">
        <v>-10000</v>
      </c>
      <c r="M170" s="118">
        <v>0</v>
      </c>
      <c r="N170" s="118">
        <v>-1300</v>
      </c>
      <c r="O170" s="118">
        <v>0</v>
      </c>
      <c r="P170" s="128">
        <v>0</v>
      </c>
    </row>
    <row r="171" spans="1:16">
      <c r="A171" s="125">
        <v>42916</v>
      </c>
      <c r="B171" s="126">
        <v>42917</v>
      </c>
      <c r="C171" s="127" t="s">
        <v>363</v>
      </c>
      <c r="D171" s="117" t="s">
        <v>7</v>
      </c>
      <c r="E171" s="118">
        <v>3498970.65</v>
      </c>
      <c r="F171" s="118">
        <v>0</v>
      </c>
      <c r="G171" s="118">
        <v>454867</v>
      </c>
      <c r="H171" s="118">
        <v>88931</v>
      </c>
      <c r="I171" s="118">
        <v>26679</v>
      </c>
      <c r="J171" s="126">
        <v>42916</v>
      </c>
      <c r="K171" s="126"/>
      <c r="L171" s="118"/>
      <c r="M171" s="118"/>
      <c r="N171" s="118"/>
      <c r="O171" s="118"/>
      <c r="P171" s="128"/>
    </row>
    <row r="172" spans="1:16">
      <c r="A172" s="125">
        <v>42923</v>
      </c>
      <c r="B172" s="126">
        <v>42924</v>
      </c>
      <c r="C172" s="127" t="s">
        <v>364</v>
      </c>
      <c r="D172" s="117" t="s">
        <v>8</v>
      </c>
      <c r="E172" s="118">
        <v>1193745.8500000001</v>
      </c>
      <c r="F172" s="118">
        <v>0</v>
      </c>
      <c r="G172" s="118">
        <v>155188</v>
      </c>
      <c r="H172" s="118">
        <v>0</v>
      </c>
      <c r="I172" s="118">
        <v>0</v>
      </c>
      <c r="J172" s="126">
        <v>42923</v>
      </c>
      <c r="K172" s="126"/>
      <c r="L172" s="118"/>
      <c r="M172" s="118"/>
      <c r="N172" s="118"/>
      <c r="O172" s="118"/>
      <c r="P172" s="128"/>
    </row>
    <row r="173" spans="1:16">
      <c r="A173" s="125">
        <v>42923</v>
      </c>
      <c r="B173" s="126">
        <v>42924</v>
      </c>
      <c r="C173" s="127" t="s">
        <v>364</v>
      </c>
      <c r="D173" s="117" t="s">
        <v>9</v>
      </c>
      <c r="E173" s="118">
        <v>1308050.23</v>
      </c>
      <c r="F173" s="118">
        <v>0</v>
      </c>
      <c r="G173" s="118">
        <v>170048</v>
      </c>
      <c r="H173" s="118">
        <v>0</v>
      </c>
      <c r="I173" s="118">
        <v>0</v>
      </c>
      <c r="J173" s="126">
        <v>42923</v>
      </c>
      <c r="K173" s="126"/>
      <c r="L173" s="118"/>
      <c r="M173" s="118"/>
      <c r="N173" s="118"/>
      <c r="O173" s="118"/>
      <c r="P173" s="128"/>
    </row>
    <row r="174" spans="1:16">
      <c r="A174" s="125">
        <v>42923</v>
      </c>
      <c r="B174" s="126">
        <v>42924</v>
      </c>
      <c r="C174" s="127" t="s">
        <v>364</v>
      </c>
      <c r="D174" s="117" t="s">
        <v>11</v>
      </c>
      <c r="E174" s="118">
        <v>-47500</v>
      </c>
      <c r="F174" s="118">
        <v>0</v>
      </c>
      <c r="G174" s="118">
        <v>-6175</v>
      </c>
      <c r="H174" s="118">
        <v>0</v>
      </c>
      <c r="I174" s="118">
        <v>0</v>
      </c>
      <c r="J174" s="126">
        <v>42923</v>
      </c>
      <c r="K174" s="126"/>
      <c r="L174" s="118"/>
      <c r="M174" s="118"/>
      <c r="N174" s="118"/>
      <c r="O174" s="118"/>
      <c r="P174" s="128"/>
    </row>
    <row r="175" spans="1:16">
      <c r="A175" s="125">
        <v>42926</v>
      </c>
      <c r="B175" s="126">
        <v>42927</v>
      </c>
      <c r="C175" s="127" t="s">
        <v>362</v>
      </c>
      <c r="D175" s="117" t="s">
        <v>7</v>
      </c>
      <c r="E175" s="118">
        <v>807545432.76999998</v>
      </c>
      <c r="F175" s="118">
        <v>3390300</v>
      </c>
      <c r="G175" s="118">
        <v>104550731</v>
      </c>
      <c r="H175" s="118">
        <v>2310119.75</v>
      </c>
      <c r="I175" s="118">
        <v>698828</v>
      </c>
      <c r="J175" s="126">
        <v>42926</v>
      </c>
      <c r="K175" s="126"/>
      <c r="L175" s="118"/>
      <c r="M175" s="118"/>
      <c r="N175" s="118"/>
      <c r="O175" s="118"/>
      <c r="P175" s="128"/>
    </row>
    <row r="176" spans="1:16">
      <c r="A176" s="125">
        <v>42926</v>
      </c>
      <c r="B176" s="126">
        <v>42927</v>
      </c>
      <c r="C176" s="127" t="s">
        <v>362</v>
      </c>
      <c r="D176" s="117" t="s">
        <v>8</v>
      </c>
      <c r="E176" s="118">
        <v>45434106.82</v>
      </c>
      <c r="F176" s="118">
        <v>130400</v>
      </c>
      <c r="G176" s="118">
        <v>5891500</v>
      </c>
      <c r="H176" s="118">
        <v>77423</v>
      </c>
      <c r="I176" s="118">
        <v>23229</v>
      </c>
      <c r="J176" s="126">
        <v>42926</v>
      </c>
      <c r="K176" s="126"/>
      <c r="L176" s="118"/>
      <c r="M176" s="118"/>
      <c r="N176" s="118"/>
      <c r="O176" s="118"/>
      <c r="P176" s="128"/>
    </row>
    <row r="177" spans="1:16">
      <c r="A177" s="125">
        <v>42926</v>
      </c>
      <c r="B177" s="126">
        <v>42927</v>
      </c>
      <c r="C177" s="127" t="s">
        <v>362</v>
      </c>
      <c r="D177" s="117" t="s">
        <v>9</v>
      </c>
      <c r="E177" s="118">
        <v>23717259.530000001</v>
      </c>
      <c r="F177" s="118">
        <v>30000</v>
      </c>
      <c r="G177" s="118">
        <v>3079812</v>
      </c>
      <c r="H177" s="118">
        <v>9453</v>
      </c>
      <c r="I177" s="118">
        <v>2836</v>
      </c>
      <c r="J177" s="126">
        <v>42926</v>
      </c>
      <c r="K177" s="126"/>
      <c r="L177" s="118"/>
      <c r="M177" s="118"/>
      <c r="N177" s="118"/>
      <c r="O177" s="118"/>
      <c r="P177" s="128"/>
    </row>
    <row r="178" spans="1:16">
      <c r="A178" s="125">
        <v>42926</v>
      </c>
      <c r="B178" s="126">
        <v>42927</v>
      </c>
      <c r="C178" s="127" t="s">
        <v>362</v>
      </c>
      <c r="D178" s="117" t="s">
        <v>11</v>
      </c>
      <c r="E178" s="118">
        <v>3735232.56</v>
      </c>
      <c r="F178" s="118">
        <v>11000</v>
      </c>
      <c r="G178" s="118">
        <v>484150</v>
      </c>
      <c r="H178" s="118">
        <v>4933.8</v>
      </c>
      <c r="I178" s="118">
        <v>1480</v>
      </c>
      <c r="J178" s="126">
        <v>42926</v>
      </c>
      <c r="K178" s="126"/>
      <c r="L178" s="118"/>
      <c r="M178" s="118"/>
      <c r="N178" s="118"/>
      <c r="O178" s="118"/>
      <c r="P178" s="128"/>
    </row>
    <row r="179" spans="1:16">
      <c r="A179" s="125">
        <v>42926</v>
      </c>
      <c r="B179" s="126">
        <v>42927</v>
      </c>
      <c r="C179" s="127" t="s">
        <v>362</v>
      </c>
      <c r="D179" s="117" t="s">
        <v>12</v>
      </c>
      <c r="E179" s="118">
        <v>34695613.380000003</v>
      </c>
      <c r="F179" s="118">
        <v>296300</v>
      </c>
      <c r="G179" s="118">
        <v>4475361</v>
      </c>
      <c r="H179" s="118">
        <v>70822.98</v>
      </c>
      <c r="I179" s="118">
        <v>21247</v>
      </c>
      <c r="J179" s="126">
        <v>42926</v>
      </c>
      <c r="K179" s="126"/>
      <c r="L179" s="118"/>
      <c r="M179" s="118"/>
      <c r="N179" s="118"/>
      <c r="O179" s="118"/>
      <c r="P179" s="128"/>
    </row>
    <row r="180" spans="1:16">
      <c r="A180" s="125">
        <v>42926</v>
      </c>
      <c r="B180" s="126">
        <v>42927</v>
      </c>
      <c r="C180" s="127" t="s">
        <v>362</v>
      </c>
      <c r="D180" s="117" t="s">
        <v>13</v>
      </c>
      <c r="E180" s="118">
        <v>104244850.20999999</v>
      </c>
      <c r="F180" s="118">
        <v>577400</v>
      </c>
      <c r="G180" s="118">
        <v>13480504</v>
      </c>
      <c r="H180" s="118">
        <v>20514</v>
      </c>
      <c r="I180" s="118">
        <v>6155</v>
      </c>
      <c r="J180" s="126">
        <v>42926</v>
      </c>
      <c r="K180" s="126"/>
      <c r="L180" s="118"/>
      <c r="M180" s="118"/>
      <c r="N180" s="118"/>
      <c r="O180" s="118"/>
      <c r="P180" s="128"/>
    </row>
    <row r="181" spans="1:16">
      <c r="A181" s="125">
        <v>42927</v>
      </c>
      <c r="B181" s="126">
        <v>42928</v>
      </c>
      <c r="C181" s="127" t="s">
        <v>362</v>
      </c>
      <c r="D181" s="117" t="s">
        <v>7</v>
      </c>
      <c r="E181" s="118">
        <v>330255243.01999998</v>
      </c>
      <c r="F181" s="118">
        <v>2301100</v>
      </c>
      <c r="G181" s="118">
        <v>42648939</v>
      </c>
      <c r="H181" s="118">
        <v>283149.21999999997</v>
      </c>
      <c r="I181" s="118">
        <v>87312</v>
      </c>
      <c r="J181" s="126">
        <v>42927</v>
      </c>
      <c r="K181" s="126"/>
      <c r="L181" s="118"/>
      <c r="M181" s="118"/>
      <c r="N181" s="118"/>
      <c r="O181" s="118"/>
      <c r="P181" s="128"/>
    </row>
    <row r="182" spans="1:16">
      <c r="A182" s="125">
        <v>42928</v>
      </c>
      <c r="B182" s="126">
        <v>42929</v>
      </c>
      <c r="C182" s="127" t="s">
        <v>362</v>
      </c>
      <c r="D182" s="117" t="s">
        <v>12</v>
      </c>
      <c r="E182" s="118">
        <v>2668642.09</v>
      </c>
      <c r="F182" s="118">
        <v>0</v>
      </c>
      <c r="G182" s="118">
        <v>346922</v>
      </c>
      <c r="H182" s="118">
        <v>0</v>
      </c>
      <c r="I182" s="118">
        <v>0</v>
      </c>
      <c r="J182" s="126">
        <v>42928</v>
      </c>
      <c r="K182" s="126"/>
      <c r="L182" s="118"/>
      <c r="M182" s="118"/>
      <c r="N182" s="118"/>
      <c r="O182" s="118"/>
      <c r="P182" s="128"/>
    </row>
    <row r="183" spans="1:16">
      <c r="A183" s="125">
        <v>42930</v>
      </c>
      <c r="B183" s="126">
        <v>42931</v>
      </c>
      <c r="C183" s="127" t="s">
        <v>364</v>
      </c>
      <c r="D183" s="117" t="s">
        <v>8</v>
      </c>
      <c r="E183" s="118">
        <v>1837848.74</v>
      </c>
      <c r="F183" s="118">
        <v>0</v>
      </c>
      <c r="G183" s="118">
        <v>238922</v>
      </c>
      <c r="H183" s="118">
        <v>0</v>
      </c>
      <c r="I183" s="118">
        <v>0</v>
      </c>
      <c r="J183" s="126">
        <v>42930</v>
      </c>
      <c r="K183" s="126"/>
      <c r="L183" s="118"/>
      <c r="M183" s="118"/>
      <c r="N183" s="118"/>
      <c r="O183" s="118"/>
      <c r="P183" s="128"/>
    </row>
    <row r="184" spans="1:16">
      <c r="A184" s="125">
        <v>42930</v>
      </c>
      <c r="B184" s="126">
        <v>42931</v>
      </c>
      <c r="C184" s="127" t="s">
        <v>364</v>
      </c>
      <c r="D184" s="117" t="s">
        <v>9</v>
      </c>
      <c r="E184" s="118">
        <v>3018723.87</v>
      </c>
      <c r="F184" s="118">
        <v>0</v>
      </c>
      <c r="G184" s="118">
        <v>392434</v>
      </c>
      <c r="H184" s="118">
        <v>0</v>
      </c>
      <c r="I184" s="118">
        <v>0</v>
      </c>
      <c r="J184" s="126">
        <v>42930</v>
      </c>
      <c r="K184" s="126"/>
      <c r="L184" s="118"/>
      <c r="M184" s="118"/>
      <c r="N184" s="118"/>
      <c r="O184" s="118"/>
      <c r="P184" s="128"/>
    </row>
    <row r="185" spans="1:16">
      <c r="A185" s="125">
        <v>42930</v>
      </c>
      <c r="B185" s="126">
        <v>42931</v>
      </c>
      <c r="C185" s="127" t="s">
        <v>364</v>
      </c>
      <c r="D185" s="117" t="s">
        <v>11</v>
      </c>
      <c r="E185" s="118">
        <v>101828.61</v>
      </c>
      <c r="F185" s="118">
        <v>0</v>
      </c>
      <c r="G185" s="118">
        <v>13238</v>
      </c>
      <c r="H185" s="118">
        <v>0</v>
      </c>
      <c r="I185" s="118">
        <v>0</v>
      </c>
      <c r="J185" s="126">
        <v>42930</v>
      </c>
      <c r="K185" s="126"/>
      <c r="L185" s="118"/>
      <c r="M185" s="118"/>
      <c r="N185" s="118"/>
      <c r="O185" s="118"/>
      <c r="P185" s="128"/>
    </row>
    <row r="186" spans="1:16">
      <c r="A186" s="125">
        <v>42930</v>
      </c>
      <c r="B186" s="126">
        <v>42931</v>
      </c>
      <c r="C186" s="127" t="s">
        <v>363</v>
      </c>
      <c r="D186" s="117" t="s">
        <v>7</v>
      </c>
      <c r="E186" s="118">
        <v>6424425.7199999997</v>
      </c>
      <c r="F186" s="118">
        <v>0</v>
      </c>
      <c r="G186" s="118">
        <v>835178</v>
      </c>
      <c r="H186" s="118">
        <v>82489.440000000002</v>
      </c>
      <c r="I186" s="118">
        <v>24747</v>
      </c>
      <c r="J186" s="126">
        <v>42930</v>
      </c>
      <c r="K186" s="126"/>
      <c r="L186" s="118"/>
      <c r="M186" s="118"/>
      <c r="N186" s="118"/>
      <c r="O186" s="118"/>
      <c r="P186" s="128"/>
    </row>
    <row r="187" spans="1:16">
      <c r="A187" s="125">
        <v>42937</v>
      </c>
      <c r="B187" s="126">
        <v>42938</v>
      </c>
      <c r="C187" s="127" t="s">
        <v>364</v>
      </c>
      <c r="D187" s="117" t="s">
        <v>8</v>
      </c>
      <c r="E187" s="118">
        <v>1261363.42</v>
      </c>
      <c r="F187" s="118">
        <v>0</v>
      </c>
      <c r="G187" s="118">
        <v>163975</v>
      </c>
      <c r="H187" s="118">
        <v>0</v>
      </c>
      <c r="I187" s="118">
        <v>0</v>
      </c>
      <c r="J187" s="126">
        <v>42937</v>
      </c>
      <c r="K187" s="126"/>
      <c r="L187" s="118"/>
      <c r="M187" s="118"/>
      <c r="N187" s="118"/>
      <c r="O187" s="118"/>
      <c r="P187" s="128"/>
    </row>
    <row r="188" spans="1:16">
      <c r="A188" s="125">
        <v>42937</v>
      </c>
      <c r="B188" s="126">
        <v>42938</v>
      </c>
      <c r="C188" s="127" t="s">
        <v>364</v>
      </c>
      <c r="D188" s="117" t="s">
        <v>9</v>
      </c>
      <c r="E188" s="118">
        <v>2627126.04</v>
      </c>
      <c r="F188" s="118">
        <v>0</v>
      </c>
      <c r="G188" s="118">
        <v>341529</v>
      </c>
      <c r="H188" s="118">
        <v>0</v>
      </c>
      <c r="I188" s="118">
        <v>0</v>
      </c>
      <c r="J188" s="126">
        <v>42937</v>
      </c>
      <c r="K188" s="126"/>
      <c r="L188" s="118"/>
      <c r="M188" s="118"/>
      <c r="N188" s="118"/>
      <c r="O188" s="118"/>
      <c r="P188" s="128"/>
    </row>
    <row r="189" spans="1:16">
      <c r="A189" s="125">
        <v>42937</v>
      </c>
      <c r="B189" s="126">
        <v>42938</v>
      </c>
      <c r="C189" s="127" t="s">
        <v>364</v>
      </c>
      <c r="D189" s="117" t="s">
        <v>11</v>
      </c>
      <c r="E189" s="118">
        <v>206184.16</v>
      </c>
      <c r="F189" s="118">
        <v>0</v>
      </c>
      <c r="G189" s="118">
        <v>26805</v>
      </c>
      <c r="H189" s="118">
        <v>0</v>
      </c>
      <c r="I189" s="118">
        <v>0</v>
      </c>
      <c r="J189" s="126">
        <v>42937</v>
      </c>
      <c r="K189" s="126"/>
      <c r="L189" s="118"/>
      <c r="M189" s="118"/>
      <c r="N189" s="118"/>
      <c r="O189" s="118"/>
      <c r="P189" s="128"/>
    </row>
    <row r="190" spans="1:16">
      <c r="A190" s="125">
        <v>42937</v>
      </c>
      <c r="B190" s="126">
        <v>42938</v>
      </c>
      <c r="C190" s="127" t="s">
        <v>363</v>
      </c>
      <c r="D190" s="117" t="s">
        <v>7</v>
      </c>
      <c r="E190" s="118">
        <v>3565375.41</v>
      </c>
      <c r="F190" s="118">
        <v>0</v>
      </c>
      <c r="G190" s="118">
        <v>463501</v>
      </c>
      <c r="H190" s="118">
        <v>0</v>
      </c>
      <c r="I190" s="118">
        <v>0</v>
      </c>
      <c r="J190" s="126">
        <v>42937</v>
      </c>
      <c r="K190" s="126"/>
      <c r="L190" s="118"/>
      <c r="M190" s="118"/>
      <c r="N190" s="118"/>
      <c r="O190" s="118"/>
      <c r="P190" s="128"/>
    </row>
    <row r="191" spans="1:16">
      <c r="A191" s="125">
        <v>42941</v>
      </c>
      <c r="B191" s="126">
        <v>42942</v>
      </c>
      <c r="C191" s="127" t="s">
        <v>362</v>
      </c>
      <c r="D191" s="117" t="s">
        <v>7</v>
      </c>
      <c r="E191" s="118">
        <v>6474290.1900000004</v>
      </c>
      <c r="F191" s="118">
        <v>500</v>
      </c>
      <c r="G191" s="118">
        <v>841592</v>
      </c>
      <c r="H191" s="118">
        <v>0</v>
      </c>
      <c r="I191" s="118">
        <v>0</v>
      </c>
      <c r="J191" s="126">
        <v>42941</v>
      </c>
      <c r="K191" s="126"/>
      <c r="L191" s="118"/>
      <c r="M191" s="118"/>
      <c r="N191" s="118"/>
      <c r="O191" s="118"/>
      <c r="P191" s="128"/>
    </row>
    <row r="192" spans="1:16">
      <c r="A192" s="125">
        <v>42941</v>
      </c>
      <c r="B192" s="126">
        <v>42942</v>
      </c>
      <c r="C192" s="127" t="s">
        <v>362</v>
      </c>
      <c r="D192" s="117" t="s">
        <v>8</v>
      </c>
      <c r="E192" s="118">
        <v>542508.19999999995</v>
      </c>
      <c r="F192" s="118">
        <v>0</v>
      </c>
      <c r="G192" s="118">
        <v>70532</v>
      </c>
      <c r="H192" s="118">
        <v>0</v>
      </c>
      <c r="I192" s="118">
        <v>0</v>
      </c>
      <c r="J192" s="126">
        <v>42941</v>
      </c>
      <c r="K192" s="126"/>
      <c r="L192" s="118"/>
      <c r="M192" s="118"/>
      <c r="N192" s="118"/>
      <c r="O192" s="118"/>
      <c r="P192" s="128"/>
    </row>
    <row r="193" spans="1:16">
      <c r="A193" s="125">
        <v>42941</v>
      </c>
      <c r="B193" s="126">
        <v>42942</v>
      </c>
      <c r="C193" s="127" t="s">
        <v>362</v>
      </c>
      <c r="D193" s="117" t="s">
        <v>9</v>
      </c>
      <c r="E193" s="118">
        <v>49798.42</v>
      </c>
      <c r="F193" s="118">
        <v>0</v>
      </c>
      <c r="G193" s="118">
        <v>6472</v>
      </c>
      <c r="H193" s="118">
        <v>0</v>
      </c>
      <c r="I193" s="118">
        <v>0</v>
      </c>
      <c r="J193" s="126">
        <v>42941</v>
      </c>
      <c r="K193" s="126"/>
      <c r="L193" s="118"/>
      <c r="M193" s="118"/>
      <c r="N193" s="118"/>
      <c r="O193" s="118"/>
      <c r="P193" s="128"/>
    </row>
    <row r="194" spans="1:16">
      <c r="A194" s="125">
        <v>42941</v>
      </c>
      <c r="B194" s="126">
        <v>42942</v>
      </c>
      <c r="C194" s="127" t="s">
        <v>362</v>
      </c>
      <c r="D194" s="117" t="s">
        <v>11</v>
      </c>
      <c r="E194" s="118">
        <v>17499.099999999999</v>
      </c>
      <c r="F194" s="118">
        <v>0</v>
      </c>
      <c r="G194" s="118">
        <v>2275</v>
      </c>
      <c r="H194" s="118">
        <v>0</v>
      </c>
      <c r="I194" s="118">
        <v>0</v>
      </c>
      <c r="J194" s="126">
        <v>42941</v>
      </c>
      <c r="K194" s="126"/>
      <c r="L194" s="118"/>
      <c r="M194" s="118"/>
      <c r="N194" s="118"/>
      <c r="O194" s="118"/>
      <c r="P194" s="128"/>
    </row>
    <row r="195" spans="1:16">
      <c r="A195" s="125">
        <v>42941</v>
      </c>
      <c r="B195" s="126">
        <v>42942</v>
      </c>
      <c r="C195" s="127" t="s">
        <v>362</v>
      </c>
      <c r="D195" s="117" t="s">
        <v>12</v>
      </c>
      <c r="E195" s="118">
        <v>1213685.42</v>
      </c>
      <c r="F195" s="118">
        <v>500</v>
      </c>
      <c r="G195" s="118">
        <v>157717</v>
      </c>
      <c r="H195" s="118">
        <v>0</v>
      </c>
      <c r="I195" s="118">
        <v>0</v>
      </c>
      <c r="J195" s="126">
        <v>42941</v>
      </c>
      <c r="K195" s="126"/>
      <c r="L195" s="118"/>
      <c r="M195" s="118"/>
      <c r="N195" s="118"/>
      <c r="O195" s="118"/>
      <c r="P195" s="128"/>
    </row>
    <row r="196" spans="1:16">
      <c r="A196" s="125">
        <v>42941</v>
      </c>
      <c r="B196" s="126">
        <v>42942</v>
      </c>
      <c r="C196" s="127" t="s">
        <v>362</v>
      </c>
      <c r="D196" s="117" t="s">
        <v>13</v>
      </c>
      <c r="E196" s="118">
        <v>3993880.02</v>
      </c>
      <c r="F196" s="118">
        <v>4400</v>
      </c>
      <c r="G196" s="118">
        <v>518637</v>
      </c>
      <c r="H196" s="118">
        <v>0</v>
      </c>
      <c r="I196" s="118">
        <v>0</v>
      </c>
      <c r="J196" s="126">
        <v>42941</v>
      </c>
      <c r="K196" s="126"/>
      <c r="L196" s="118"/>
      <c r="M196" s="118"/>
      <c r="N196" s="118"/>
      <c r="O196" s="118"/>
      <c r="P196" s="128"/>
    </row>
    <row r="197" spans="1:16">
      <c r="A197" s="125">
        <v>42947</v>
      </c>
      <c r="B197" s="126"/>
      <c r="C197" s="127" t="s">
        <v>362</v>
      </c>
      <c r="D197" s="117" t="s">
        <v>7</v>
      </c>
      <c r="E197" s="118">
        <v>0</v>
      </c>
      <c r="F197" s="118">
        <v>0</v>
      </c>
      <c r="G197" s="118">
        <v>-3475</v>
      </c>
      <c r="H197" s="118">
        <v>0</v>
      </c>
      <c r="I197" s="118">
        <v>3475</v>
      </c>
      <c r="J197" s="126">
        <v>42947</v>
      </c>
      <c r="K197" s="126">
        <v>42858</v>
      </c>
      <c r="L197" s="118">
        <v>-949.5</v>
      </c>
      <c r="M197" s="118">
        <v>0</v>
      </c>
      <c r="N197" s="118">
        <v>-123</v>
      </c>
      <c r="O197" s="118">
        <v>0</v>
      </c>
      <c r="P197" s="128">
        <v>0</v>
      </c>
    </row>
    <row r="198" spans="1:16">
      <c r="A198" s="125">
        <v>42947</v>
      </c>
      <c r="B198" s="126"/>
      <c r="C198" s="127" t="s">
        <v>362</v>
      </c>
      <c r="D198" s="117" t="s">
        <v>7</v>
      </c>
      <c r="E198" s="118"/>
      <c r="F198" s="118"/>
      <c r="G198" s="118"/>
      <c r="H198" s="118"/>
      <c r="I198" s="118"/>
      <c r="J198" s="126">
        <v>42947</v>
      </c>
      <c r="K198" s="126">
        <v>42895</v>
      </c>
      <c r="L198" s="118">
        <v>-10948.61</v>
      </c>
      <c r="M198" s="118">
        <v>-500</v>
      </c>
      <c r="N198" s="118">
        <v>-1357</v>
      </c>
      <c r="O198" s="118">
        <v>0</v>
      </c>
      <c r="P198" s="128">
        <v>0</v>
      </c>
    </row>
    <row r="199" spans="1:16">
      <c r="A199" s="125">
        <v>42947</v>
      </c>
      <c r="B199" s="126"/>
      <c r="C199" s="127" t="s">
        <v>362</v>
      </c>
      <c r="D199" s="117" t="s">
        <v>7</v>
      </c>
      <c r="E199" s="118"/>
      <c r="F199" s="118"/>
      <c r="G199" s="118"/>
      <c r="H199" s="118"/>
      <c r="I199" s="118"/>
      <c r="J199" s="126">
        <v>42947</v>
      </c>
      <c r="K199" s="126">
        <v>42927</v>
      </c>
      <c r="L199" s="118">
        <v>-9346.74</v>
      </c>
      <c r="M199" s="118">
        <v>0</v>
      </c>
      <c r="N199" s="118">
        <v>-1216</v>
      </c>
      <c r="O199" s="118">
        <v>0</v>
      </c>
      <c r="P199" s="128">
        <v>0</v>
      </c>
    </row>
    <row r="200" spans="1:16">
      <c r="A200" s="125">
        <v>42947</v>
      </c>
      <c r="B200" s="126"/>
      <c r="C200" s="127" t="s">
        <v>362</v>
      </c>
      <c r="D200" s="117" t="s">
        <v>8</v>
      </c>
      <c r="E200" s="118"/>
      <c r="F200" s="118"/>
      <c r="G200" s="118"/>
      <c r="H200" s="118"/>
      <c r="I200" s="118"/>
      <c r="J200" s="126">
        <v>42947</v>
      </c>
      <c r="K200" s="126">
        <v>42926</v>
      </c>
      <c r="L200" s="118">
        <v>-10236</v>
      </c>
      <c r="M200" s="118">
        <v>0</v>
      </c>
      <c r="N200" s="118">
        <v>-1331</v>
      </c>
      <c r="O200" s="118">
        <v>0</v>
      </c>
      <c r="P200" s="128">
        <v>0</v>
      </c>
    </row>
    <row r="201" spans="1:16">
      <c r="A201" s="125">
        <v>42947</v>
      </c>
      <c r="B201" s="126"/>
      <c r="C201" s="127" t="s">
        <v>362</v>
      </c>
      <c r="D201" s="117" t="s">
        <v>12</v>
      </c>
      <c r="E201" s="118"/>
      <c r="F201" s="118"/>
      <c r="G201" s="118"/>
      <c r="H201" s="118"/>
      <c r="I201" s="118"/>
      <c r="J201" s="126">
        <v>42947</v>
      </c>
      <c r="K201" s="126">
        <v>42745</v>
      </c>
      <c r="L201" s="118">
        <v>-10720.5</v>
      </c>
      <c r="M201" s="118">
        <v>0</v>
      </c>
      <c r="N201" s="118">
        <v>-1393</v>
      </c>
      <c r="O201" s="118">
        <v>0</v>
      </c>
      <c r="P201" s="128">
        <v>0</v>
      </c>
    </row>
    <row r="202" spans="1:16">
      <c r="A202" s="125">
        <v>42947</v>
      </c>
      <c r="B202" s="126"/>
      <c r="C202" s="127" t="s">
        <v>362</v>
      </c>
      <c r="D202" s="117" t="s">
        <v>12</v>
      </c>
      <c r="E202" s="118"/>
      <c r="F202" s="118"/>
      <c r="G202" s="118"/>
      <c r="H202" s="118"/>
      <c r="I202" s="118"/>
      <c r="J202" s="126">
        <v>42947</v>
      </c>
      <c r="K202" s="126">
        <v>42776</v>
      </c>
      <c r="L202" s="118">
        <v>-1784.7</v>
      </c>
      <c r="M202" s="118">
        <v>0</v>
      </c>
      <c r="N202" s="118">
        <v>-232</v>
      </c>
      <c r="O202" s="118">
        <v>0</v>
      </c>
      <c r="P202" s="128">
        <v>0</v>
      </c>
    </row>
    <row r="203" spans="1:16">
      <c r="A203" s="125">
        <v>42947</v>
      </c>
      <c r="B203" s="126"/>
      <c r="C203" s="127" t="s">
        <v>362</v>
      </c>
      <c r="D203" s="117" t="s">
        <v>12</v>
      </c>
      <c r="E203" s="118"/>
      <c r="F203" s="118"/>
      <c r="G203" s="118"/>
      <c r="H203" s="118"/>
      <c r="I203" s="118"/>
      <c r="J203" s="126">
        <v>42947</v>
      </c>
      <c r="K203" s="126">
        <v>42804</v>
      </c>
      <c r="L203" s="118">
        <v>-12285</v>
      </c>
      <c r="M203" s="118">
        <v>0</v>
      </c>
      <c r="N203" s="118">
        <v>-1597</v>
      </c>
      <c r="O203" s="118">
        <v>0</v>
      </c>
      <c r="P203" s="128">
        <v>0</v>
      </c>
    </row>
    <row r="204" spans="1:16">
      <c r="A204" s="125">
        <v>42947</v>
      </c>
      <c r="B204" s="126"/>
      <c r="C204" s="127" t="s">
        <v>362</v>
      </c>
      <c r="D204" s="117" t="s">
        <v>12</v>
      </c>
      <c r="E204" s="118"/>
      <c r="F204" s="118"/>
      <c r="G204" s="118"/>
      <c r="H204" s="118"/>
      <c r="I204" s="118"/>
      <c r="J204" s="126">
        <v>42947</v>
      </c>
      <c r="K204" s="126">
        <v>42835</v>
      </c>
      <c r="L204" s="118">
        <v>-9291.4</v>
      </c>
      <c r="M204" s="118">
        <v>0</v>
      </c>
      <c r="N204" s="118">
        <v>-1208</v>
      </c>
      <c r="O204" s="118">
        <v>0</v>
      </c>
      <c r="P204" s="128">
        <v>0</v>
      </c>
    </row>
    <row r="205" spans="1:16">
      <c r="A205" s="119" t="s">
        <v>229</v>
      </c>
      <c r="B205" s="120"/>
      <c r="C205" s="130"/>
      <c r="D205" s="120"/>
      <c r="E205" s="123">
        <f>SUBTOTAL(109,[5])</f>
        <v>9376781738.7999992</v>
      </c>
      <c r="F205" s="123">
        <f>SUBTOTAL(109,[6])</f>
        <v>48100100</v>
      </c>
      <c r="G205" s="123">
        <f>SUBTOTAL(109,[7])</f>
        <v>1213024681</v>
      </c>
      <c r="H205" s="123">
        <f>SUBTOTAL(109,[8])</f>
        <v>19878733.430000003</v>
      </c>
      <c r="I205" s="123">
        <f>SUBTOTAL(109,[9])</f>
        <v>6044537</v>
      </c>
      <c r="J205" s="120"/>
      <c r="K205" s="120"/>
      <c r="L205" s="123">
        <f>SUBTOTAL(109,[12])</f>
        <v>-2881108.44</v>
      </c>
      <c r="M205" s="123">
        <f>SUBTOTAL(109,[13])</f>
        <v>-5000</v>
      </c>
      <c r="N205" s="123">
        <f>SUBTOTAL(109,[14])</f>
        <v>-376073</v>
      </c>
      <c r="O205" s="123">
        <f>SUBTOTAL(109,[15])</f>
        <v>0</v>
      </c>
      <c r="P205" s="124">
        <f>SUBTOTAL(109,[16])</f>
        <v>-3504</v>
      </c>
    </row>
    <row r="206" spans="1:16">
      <c r="E206" s="137">
        <f>SUBTOTAL(109,Таблица2229[5])</f>
        <v>9376781738.7999992</v>
      </c>
      <c r="F206" s="137">
        <f>SUBTOTAL(109,Таблица2229[6])</f>
        <v>48100100</v>
      </c>
      <c r="G206" s="137">
        <f>SUBTOTAL(109,Таблица2229[7])</f>
        <v>1213024681</v>
      </c>
      <c r="H206" s="137">
        <f>SUBTOTAL(109,Таблица2229[8])</f>
        <v>19878733.430000003</v>
      </c>
      <c r="I206" s="137">
        <f>SUBTOTAL(109,Таблица2229[9])</f>
        <v>6044537</v>
      </c>
      <c r="L206" s="137">
        <f>SUBTOTAL(109,Таблица2229[12])</f>
        <v>-2881108.44</v>
      </c>
      <c r="M206" s="137">
        <f>SUBTOTAL(109,Таблица2229[13])</f>
        <v>-5000</v>
      </c>
      <c r="N206" s="137">
        <f>SUBTOTAL(109,Таблица2229[14])</f>
        <v>-376073</v>
      </c>
      <c r="O206" s="137">
        <f>SUBTOTAL(109,Таблица2229[15])</f>
        <v>0</v>
      </c>
      <c r="P206" s="138">
        <f>SUBTOTAL(109,Таблица2229[16])</f>
        <v>-3504</v>
      </c>
    </row>
  </sheetData>
  <mergeCells count="12">
    <mergeCell ref="L2:N2"/>
    <mergeCell ref="O2:P2"/>
    <mergeCell ref="A1:I1"/>
    <mergeCell ref="J1:P1"/>
    <mergeCell ref="A2:A3"/>
    <mergeCell ref="B2:B3"/>
    <mergeCell ref="C2:C3"/>
    <mergeCell ref="D2:D3"/>
    <mergeCell ref="E2:G2"/>
    <mergeCell ref="H2:I2"/>
    <mergeCell ref="J2:J3"/>
    <mergeCell ref="K2:K3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>
  <sheetPr codeName="Лист6"/>
  <dimension ref="A1:AE206"/>
  <sheetViews>
    <sheetView topLeftCell="A160" workbookViewId="0">
      <selection activeCell="P205" sqref="P205"/>
    </sheetView>
  </sheetViews>
  <sheetFormatPr defaultRowHeight="15"/>
  <cols>
    <col min="1" max="1" width="13.5703125" customWidth="1"/>
    <col min="2" max="2" width="12.42578125" customWidth="1"/>
    <col min="3" max="3" width="20.85546875" customWidth="1"/>
    <col min="4" max="4" width="13.140625" customWidth="1"/>
    <col min="5" max="9" width="16.7109375" customWidth="1"/>
    <col min="10" max="11" width="13.5703125" customWidth="1"/>
    <col min="12" max="16" width="16.7109375" customWidth="1"/>
    <col min="17" max="17" width="10.5703125" bestFit="1" customWidth="1"/>
    <col min="19" max="19" width="7.5703125" bestFit="1" customWidth="1"/>
    <col min="20" max="20" width="16.5703125" bestFit="1" customWidth="1"/>
    <col min="21" max="21" width="14.140625" bestFit="1" customWidth="1"/>
    <col min="22" max="22" width="16.5703125" bestFit="1" customWidth="1"/>
    <col min="23" max="23" width="14.140625" bestFit="1" customWidth="1"/>
    <col min="24" max="24" width="13.140625" bestFit="1" customWidth="1"/>
    <col min="25" max="26" width="10.5703125" bestFit="1" customWidth="1"/>
    <col min="27" max="27" width="13.85546875" bestFit="1" customWidth="1"/>
    <col min="28" max="28" width="10.28515625" bestFit="1" customWidth="1"/>
    <col min="29" max="29" width="12.28515625" bestFit="1" customWidth="1"/>
    <col min="30" max="30" width="7.5703125" bestFit="1" customWidth="1"/>
    <col min="31" max="31" width="10.28515625" bestFit="1" customWidth="1"/>
  </cols>
  <sheetData>
    <row r="1" spans="1:31" ht="31.5" customHeight="1">
      <c r="A1" s="163" t="s">
        <v>4</v>
      </c>
      <c r="B1" s="164"/>
      <c r="C1" s="164"/>
      <c r="D1" s="164"/>
      <c r="E1" s="164"/>
      <c r="F1" s="164"/>
      <c r="G1" s="164"/>
      <c r="H1" s="164"/>
      <c r="I1" s="165"/>
      <c r="J1" s="166" t="s">
        <v>23</v>
      </c>
      <c r="K1" s="167"/>
      <c r="L1" s="167"/>
      <c r="M1" s="167"/>
      <c r="N1" s="167"/>
      <c r="O1" s="167"/>
      <c r="P1" s="168"/>
    </row>
    <row r="2" spans="1:31" ht="24" customHeight="1">
      <c r="A2" s="169" t="s">
        <v>0</v>
      </c>
      <c r="B2" s="171" t="s">
        <v>30</v>
      </c>
      <c r="C2" s="171" t="s">
        <v>3</v>
      </c>
      <c r="D2" s="171" t="s">
        <v>31</v>
      </c>
      <c r="E2" s="173" t="s">
        <v>5</v>
      </c>
      <c r="F2" s="174"/>
      <c r="G2" s="175"/>
      <c r="H2" s="173" t="s">
        <v>6</v>
      </c>
      <c r="I2" s="176"/>
      <c r="J2" s="177" t="s">
        <v>29</v>
      </c>
      <c r="K2" s="177" t="s">
        <v>33</v>
      </c>
      <c r="L2" s="159" t="s">
        <v>5</v>
      </c>
      <c r="M2" s="160"/>
      <c r="N2" s="161"/>
      <c r="O2" s="159" t="s">
        <v>6</v>
      </c>
      <c r="P2" s="162"/>
    </row>
    <row r="3" spans="1:31" ht="38.25" customHeight="1">
      <c r="A3" s="170"/>
      <c r="B3" s="172"/>
      <c r="C3" s="172"/>
      <c r="D3" s="172"/>
      <c r="E3" s="2" t="s">
        <v>1</v>
      </c>
      <c r="F3" s="2" t="s">
        <v>2</v>
      </c>
      <c r="G3" s="110" t="s">
        <v>22</v>
      </c>
      <c r="H3" s="2" t="s">
        <v>1</v>
      </c>
      <c r="I3" s="3" t="s">
        <v>22</v>
      </c>
      <c r="J3" s="178"/>
      <c r="K3" s="178"/>
      <c r="L3" s="4" t="s">
        <v>1</v>
      </c>
      <c r="M3" s="4" t="s">
        <v>2</v>
      </c>
      <c r="N3" s="4" t="s">
        <v>22</v>
      </c>
      <c r="O3" s="4" t="s">
        <v>1</v>
      </c>
      <c r="P3" s="5" t="s">
        <v>22</v>
      </c>
    </row>
    <row r="4" spans="1:31">
      <c r="A4" s="10" t="s">
        <v>7</v>
      </c>
      <c r="B4" s="8" t="s">
        <v>8</v>
      </c>
      <c r="C4" s="8" t="s">
        <v>9</v>
      </c>
      <c r="D4" s="8" t="s">
        <v>10</v>
      </c>
      <c r="E4" s="8" t="s">
        <v>11</v>
      </c>
      <c r="F4" s="8" t="s">
        <v>12</v>
      </c>
      <c r="G4" s="8" t="s">
        <v>13</v>
      </c>
      <c r="H4" s="8" t="s">
        <v>14</v>
      </c>
      <c r="I4" s="8" t="s">
        <v>15</v>
      </c>
      <c r="J4" s="9" t="s">
        <v>16</v>
      </c>
      <c r="K4" s="9" t="s">
        <v>17</v>
      </c>
      <c r="L4" s="9" t="s">
        <v>18</v>
      </c>
      <c r="M4" s="9" t="s">
        <v>19</v>
      </c>
      <c r="N4" s="9" t="s">
        <v>20</v>
      </c>
      <c r="O4" s="9" t="s">
        <v>21</v>
      </c>
      <c r="P4" s="11" t="s">
        <v>24</v>
      </c>
      <c r="Q4" s="116" t="s">
        <v>49</v>
      </c>
      <c r="R4" s="116" t="s">
        <v>50</v>
      </c>
      <c r="S4" s="116" t="s">
        <v>360</v>
      </c>
      <c r="T4" s="116" t="s">
        <v>361</v>
      </c>
      <c r="U4" s="116" t="s">
        <v>368</v>
      </c>
      <c r="V4" s="116" t="s">
        <v>369</v>
      </c>
      <c r="W4" s="116" t="s">
        <v>370</v>
      </c>
      <c r="X4" s="116" t="s">
        <v>371</v>
      </c>
      <c r="Y4" s="133" t="s">
        <v>372</v>
      </c>
      <c r="Z4" s="133" t="s">
        <v>373</v>
      </c>
      <c r="AA4" s="116" t="s">
        <v>374</v>
      </c>
      <c r="AB4" s="116" t="s">
        <v>375</v>
      </c>
      <c r="AC4" s="116" t="s">
        <v>376</v>
      </c>
      <c r="AD4" s="116" t="s">
        <v>377</v>
      </c>
      <c r="AE4" s="116" t="s">
        <v>378</v>
      </c>
    </row>
    <row r="5" spans="1:31">
      <c r="A5" s="12" t="s">
        <v>254</v>
      </c>
      <c r="B5" s="13" t="s">
        <v>255</v>
      </c>
      <c r="C5" s="14" t="s">
        <v>362</v>
      </c>
      <c r="D5" s="15" t="s">
        <v>7</v>
      </c>
      <c r="E5" s="16">
        <v>1109814254.3699999</v>
      </c>
      <c r="F5" s="16">
        <v>5399100</v>
      </c>
      <c r="G5" s="16">
        <v>143653261</v>
      </c>
      <c r="H5" s="16">
        <v>2573994.65</v>
      </c>
      <c r="I5" s="16">
        <v>772203</v>
      </c>
      <c r="J5" s="13"/>
      <c r="K5" s="13"/>
      <c r="L5" s="16"/>
      <c r="M5" s="16"/>
      <c r="N5" s="16"/>
      <c r="O5" s="16"/>
      <c r="P5" s="17"/>
      <c r="Q5" s="132">
        <v>42745</v>
      </c>
      <c r="R5" s="118" t="s">
        <v>365</v>
      </c>
      <c r="S5" s="129">
        <v>1</v>
      </c>
      <c r="T5" s="118">
        <v>1109814254.3699999</v>
      </c>
      <c r="U5" s="118">
        <v>5399100</v>
      </c>
      <c r="V5" s="118">
        <v>143653261</v>
      </c>
      <c r="W5" s="118">
        <v>2573994.65</v>
      </c>
      <c r="X5" s="118">
        <v>772203</v>
      </c>
      <c r="Y5" s="132">
        <v>42745</v>
      </c>
      <c r="Z5" s="132"/>
      <c r="AA5" s="118"/>
      <c r="AB5" s="118"/>
      <c r="AC5" s="118"/>
      <c r="AD5" s="118"/>
      <c r="AE5" s="118"/>
    </row>
    <row r="6" spans="1:31">
      <c r="A6" s="12" t="s">
        <v>254</v>
      </c>
      <c r="B6" s="13" t="s">
        <v>255</v>
      </c>
      <c r="C6" s="14" t="s">
        <v>362</v>
      </c>
      <c r="D6" s="15" t="s">
        <v>8</v>
      </c>
      <c r="E6" s="16">
        <v>36474311.719999999</v>
      </c>
      <c r="F6" s="16">
        <v>132600</v>
      </c>
      <c r="G6" s="16">
        <v>4726591</v>
      </c>
      <c r="H6" s="16">
        <v>25748</v>
      </c>
      <c r="I6" s="16">
        <v>7725</v>
      </c>
      <c r="J6" s="13"/>
      <c r="K6" s="13"/>
      <c r="L6" s="16"/>
      <c r="M6" s="16"/>
      <c r="N6" s="16"/>
      <c r="O6" s="16"/>
      <c r="P6" s="17"/>
      <c r="Q6" s="132">
        <v>42745</v>
      </c>
      <c r="R6" s="118" t="s">
        <v>365</v>
      </c>
      <c r="S6" s="129">
        <v>2</v>
      </c>
      <c r="T6" s="118">
        <v>36474311.719999999</v>
      </c>
      <c r="U6" s="118">
        <v>132600</v>
      </c>
      <c r="V6" s="118">
        <v>4726591</v>
      </c>
      <c r="W6" s="118">
        <v>25748</v>
      </c>
      <c r="X6" s="118">
        <v>7725</v>
      </c>
      <c r="Y6" s="132">
        <v>42745</v>
      </c>
      <c r="Z6" s="132"/>
      <c r="AA6" s="118"/>
      <c r="AB6" s="118"/>
      <c r="AC6" s="118"/>
      <c r="AD6" s="118"/>
      <c r="AE6" s="118"/>
    </row>
    <row r="7" spans="1:31">
      <c r="A7" s="125" t="s">
        <v>254</v>
      </c>
      <c r="B7" s="126" t="s">
        <v>255</v>
      </c>
      <c r="C7" s="127" t="s">
        <v>362</v>
      </c>
      <c r="D7" s="117" t="s">
        <v>9</v>
      </c>
      <c r="E7" s="118">
        <v>19448481.859999999</v>
      </c>
      <c r="F7" s="118">
        <v>21600</v>
      </c>
      <c r="G7" s="118">
        <v>2525757</v>
      </c>
      <c r="H7" s="118">
        <v>2463</v>
      </c>
      <c r="I7" s="118">
        <v>739</v>
      </c>
      <c r="J7" s="126"/>
      <c r="K7" s="126"/>
      <c r="L7" s="118"/>
      <c r="M7" s="118"/>
      <c r="N7" s="118"/>
      <c r="O7" s="118"/>
      <c r="P7" s="128"/>
      <c r="Q7" s="132">
        <v>42745</v>
      </c>
      <c r="R7" s="118" t="s">
        <v>365</v>
      </c>
      <c r="S7" s="129">
        <v>3</v>
      </c>
      <c r="T7" s="118">
        <v>19448481.859999999</v>
      </c>
      <c r="U7" s="118">
        <v>21600</v>
      </c>
      <c r="V7" s="118">
        <v>2525757</v>
      </c>
      <c r="W7" s="118">
        <v>2463</v>
      </c>
      <c r="X7" s="118">
        <v>739</v>
      </c>
      <c r="Y7" s="132">
        <v>42745</v>
      </c>
      <c r="Z7" s="132"/>
      <c r="AA7" s="118"/>
      <c r="AB7" s="118"/>
      <c r="AC7" s="118"/>
      <c r="AD7" s="118"/>
      <c r="AE7" s="118"/>
    </row>
    <row r="8" spans="1:31">
      <c r="A8" s="125" t="s">
        <v>254</v>
      </c>
      <c r="B8" s="126" t="s">
        <v>255</v>
      </c>
      <c r="C8" s="127" t="s">
        <v>362</v>
      </c>
      <c r="D8" s="117" t="s">
        <v>11</v>
      </c>
      <c r="E8" s="118">
        <v>3364175.14</v>
      </c>
      <c r="F8" s="118">
        <v>11000</v>
      </c>
      <c r="G8" s="118">
        <v>435906</v>
      </c>
      <c r="H8" s="118">
        <v>4428.5</v>
      </c>
      <c r="I8" s="118">
        <v>1329</v>
      </c>
      <c r="J8" s="126"/>
      <c r="K8" s="126"/>
      <c r="L8" s="118"/>
      <c r="M8" s="118"/>
      <c r="N8" s="118"/>
      <c r="O8" s="118"/>
      <c r="P8" s="128"/>
      <c r="Q8" s="132">
        <v>42745</v>
      </c>
      <c r="R8" s="118" t="s">
        <v>365</v>
      </c>
      <c r="S8" s="129">
        <v>5</v>
      </c>
      <c r="T8" s="118">
        <v>3364175.14</v>
      </c>
      <c r="U8" s="118">
        <v>11000</v>
      </c>
      <c r="V8" s="118">
        <v>435906</v>
      </c>
      <c r="W8" s="118">
        <v>4428.5</v>
      </c>
      <c r="X8" s="118">
        <v>1329</v>
      </c>
      <c r="Y8" s="132">
        <v>42745</v>
      </c>
      <c r="Z8" s="132"/>
      <c r="AA8" s="118"/>
      <c r="AB8" s="118"/>
      <c r="AC8" s="118"/>
      <c r="AD8" s="118"/>
      <c r="AE8" s="118"/>
    </row>
    <row r="9" spans="1:31">
      <c r="A9" s="125" t="s">
        <v>254</v>
      </c>
      <c r="B9" s="126" t="s">
        <v>255</v>
      </c>
      <c r="C9" s="127" t="s">
        <v>362</v>
      </c>
      <c r="D9" s="117" t="s">
        <v>12</v>
      </c>
      <c r="E9" s="118">
        <v>30643009.879999999</v>
      </c>
      <c r="F9" s="118">
        <v>293900</v>
      </c>
      <c r="G9" s="118">
        <v>3951717</v>
      </c>
      <c r="H9" s="118">
        <v>67450.48</v>
      </c>
      <c r="I9" s="118">
        <v>20235</v>
      </c>
      <c r="J9" s="126"/>
      <c r="K9" s="126"/>
      <c r="L9" s="118"/>
      <c r="M9" s="118"/>
      <c r="N9" s="118"/>
      <c r="O9" s="118"/>
      <c r="P9" s="128"/>
      <c r="Q9" s="132">
        <v>42745</v>
      </c>
      <c r="R9" s="118" t="s">
        <v>365</v>
      </c>
      <c r="S9" s="129">
        <v>6</v>
      </c>
      <c r="T9" s="118">
        <v>30643009.879999999</v>
      </c>
      <c r="U9" s="118">
        <v>293900</v>
      </c>
      <c r="V9" s="118">
        <v>3951717</v>
      </c>
      <c r="W9" s="118">
        <v>67450.48</v>
      </c>
      <c r="X9" s="118">
        <v>20235</v>
      </c>
      <c r="Y9" s="132">
        <v>42745</v>
      </c>
      <c r="Z9" s="132"/>
      <c r="AA9" s="118"/>
      <c r="AB9" s="118"/>
      <c r="AC9" s="118"/>
      <c r="AD9" s="118"/>
      <c r="AE9" s="118"/>
    </row>
    <row r="10" spans="1:31">
      <c r="A10" s="125" t="s">
        <v>254</v>
      </c>
      <c r="B10" s="126" t="s">
        <v>255</v>
      </c>
      <c r="C10" s="127" t="s">
        <v>362</v>
      </c>
      <c r="D10" s="117" t="s">
        <v>13</v>
      </c>
      <c r="E10" s="118">
        <v>80891708.25</v>
      </c>
      <c r="F10" s="118">
        <v>449800</v>
      </c>
      <c r="G10" s="118">
        <v>10478729</v>
      </c>
      <c r="H10" s="118">
        <v>25384</v>
      </c>
      <c r="I10" s="118">
        <v>7615</v>
      </c>
      <c r="J10" s="126"/>
      <c r="K10" s="126"/>
      <c r="L10" s="118"/>
      <c r="M10" s="118"/>
      <c r="N10" s="118"/>
      <c r="O10" s="118"/>
      <c r="P10" s="128"/>
      <c r="Q10" s="132">
        <v>42745</v>
      </c>
      <c r="R10" s="118" t="s">
        <v>365</v>
      </c>
      <c r="S10" s="129">
        <v>7</v>
      </c>
      <c r="T10" s="118">
        <v>80891708.25</v>
      </c>
      <c r="U10" s="118">
        <v>449800</v>
      </c>
      <c r="V10" s="118">
        <v>10478729</v>
      </c>
      <c r="W10" s="118">
        <v>25384</v>
      </c>
      <c r="X10" s="118">
        <v>7615</v>
      </c>
      <c r="Y10" s="132">
        <v>42745</v>
      </c>
      <c r="Z10" s="132"/>
      <c r="AA10" s="118"/>
      <c r="AB10" s="118"/>
      <c r="AC10" s="118"/>
      <c r="AD10" s="118"/>
      <c r="AE10" s="118"/>
    </row>
    <row r="11" spans="1:31">
      <c r="A11" s="125" t="s">
        <v>256</v>
      </c>
      <c r="B11" s="126" t="s">
        <v>257</v>
      </c>
      <c r="C11" s="127" t="s">
        <v>363</v>
      </c>
      <c r="D11" s="117" t="s">
        <v>7</v>
      </c>
      <c r="E11" s="118">
        <v>5153171.72</v>
      </c>
      <c r="F11" s="118"/>
      <c r="G11" s="118">
        <v>669913</v>
      </c>
      <c r="H11" s="118"/>
      <c r="I11" s="118"/>
      <c r="J11" s="126"/>
      <c r="K11" s="126"/>
      <c r="L11" s="118"/>
      <c r="M11" s="118"/>
      <c r="N11" s="118"/>
      <c r="O11" s="118"/>
      <c r="P11" s="128"/>
      <c r="Q11" s="132">
        <v>42748</v>
      </c>
      <c r="R11" s="118" t="s">
        <v>366</v>
      </c>
      <c r="S11" s="129">
        <v>1</v>
      </c>
      <c r="T11" s="118">
        <v>5153171.72</v>
      </c>
      <c r="U11" s="118">
        <v>0</v>
      </c>
      <c r="V11" s="118">
        <v>669913</v>
      </c>
      <c r="W11" s="118">
        <v>0</v>
      </c>
      <c r="X11" s="118">
        <v>0</v>
      </c>
      <c r="Y11" s="132">
        <v>42748</v>
      </c>
      <c r="Z11" s="132"/>
      <c r="AA11" s="118"/>
      <c r="AB11" s="118"/>
      <c r="AC11" s="118"/>
      <c r="AD11" s="118"/>
      <c r="AE11" s="118"/>
    </row>
    <row r="12" spans="1:31">
      <c r="A12" s="125" t="s">
        <v>258</v>
      </c>
      <c r="B12" s="126" t="s">
        <v>259</v>
      </c>
      <c r="C12" s="127" t="s">
        <v>364</v>
      </c>
      <c r="D12" s="117" t="s">
        <v>8</v>
      </c>
      <c r="E12" s="118"/>
      <c r="F12" s="118"/>
      <c r="G12" s="118"/>
      <c r="H12" s="118"/>
      <c r="I12" s="118"/>
      <c r="J12" s="126" t="s">
        <v>258</v>
      </c>
      <c r="K12" s="126" t="s">
        <v>260</v>
      </c>
      <c r="L12" s="118">
        <v>-82000</v>
      </c>
      <c r="M12" s="118"/>
      <c r="N12" s="118">
        <v>-10660</v>
      </c>
      <c r="O12" s="118"/>
      <c r="P12" s="128"/>
      <c r="Q12" s="132">
        <v>42755</v>
      </c>
      <c r="R12" s="118" t="s">
        <v>367</v>
      </c>
      <c r="S12" s="129">
        <v>2</v>
      </c>
      <c r="T12" s="118"/>
      <c r="U12" s="118"/>
      <c r="V12" s="118"/>
      <c r="W12" s="118"/>
      <c r="X12" s="118"/>
      <c r="Y12" s="132">
        <v>42755</v>
      </c>
      <c r="Z12" s="132">
        <v>42643</v>
      </c>
      <c r="AA12" s="118">
        <v>-82000</v>
      </c>
      <c r="AB12" s="118">
        <v>0</v>
      </c>
      <c r="AC12" s="118">
        <v>-10660</v>
      </c>
      <c r="AD12" s="118">
        <v>0</v>
      </c>
      <c r="AE12" s="118">
        <v>0</v>
      </c>
    </row>
    <row r="13" spans="1:31">
      <c r="A13" s="125" t="s">
        <v>258</v>
      </c>
      <c r="B13" s="126" t="s">
        <v>259</v>
      </c>
      <c r="C13" s="127" t="s">
        <v>364</v>
      </c>
      <c r="D13" s="117" t="s">
        <v>9</v>
      </c>
      <c r="E13" s="118"/>
      <c r="F13" s="118"/>
      <c r="G13" s="118"/>
      <c r="H13" s="118"/>
      <c r="I13" s="118"/>
      <c r="J13" s="126" t="s">
        <v>258</v>
      </c>
      <c r="K13" s="126" t="s">
        <v>261</v>
      </c>
      <c r="L13" s="118">
        <v>-45000</v>
      </c>
      <c r="M13" s="118"/>
      <c r="N13" s="118">
        <v>-5850</v>
      </c>
      <c r="O13" s="118"/>
      <c r="P13" s="128"/>
      <c r="Q13" s="132">
        <v>42755</v>
      </c>
      <c r="R13" s="118" t="s">
        <v>367</v>
      </c>
      <c r="S13" s="129">
        <v>3</v>
      </c>
      <c r="T13" s="118"/>
      <c r="U13" s="118"/>
      <c r="V13" s="118"/>
      <c r="W13" s="118"/>
      <c r="X13" s="118"/>
      <c r="Y13" s="132">
        <v>42755</v>
      </c>
      <c r="Z13" s="132">
        <v>42706</v>
      </c>
      <c r="AA13" s="118">
        <v>-45000</v>
      </c>
      <c r="AB13" s="118">
        <v>0</v>
      </c>
      <c r="AC13" s="118">
        <v>-5850</v>
      </c>
      <c r="AD13" s="118">
        <v>0</v>
      </c>
      <c r="AE13" s="118">
        <v>0</v>
      </c>
    </row>
    <row r="14" spans="1:31">
      <c r="A14" s="125"/>
      <c r="B14" s="126"/>
      <c r="C14" s="127"/>
      <c r="D14" s="117"/>
      <c r="E14" s="118"/>
      <c r="F14" s="118"/>
      <c r="G14" s="118"/>
      <c r="H14" s="118"/>
      <c r="I14" s="118"/>
      <c r="J14" s="126" t="s">
        <v>258</v>
      </c>
      <c r="K14" s="126" t="s">
        <v>262</v>
      </c>
      <c r="L14" s="118">
        <v>-53000</v>
      </c>
      <c r="M14" s="118"/>
      <c r="N14" s="118">
        <v>-6890</v>
      </c>
      <c r="O14" s="118"/>
      <c r="P14" s="128"/>
      <c r="Q14" s="132">
        <v>42755</v>
      </c>
      <c r="R14" s="118" t="s">
        <v>367</v>
      </c>
      <c r="S14" s="129">
        <v>3</v>
      </c>
      <c r="T14" s="118"/>
      <c r="U14" s="118"/>
      <c r="V14" s="118"/>
      <c r="W14" s="118"/>
      <c r="X14" s="118"/>
      <c r="Y14" s="132">
        <v>42755</v>
      </c>
      <c r="Z14" s="132">
        <v>42720</v>
      </c>
      <c r="AA14" s="118">
        <v>-53000</v>
      </c>
      <c r="AB14" s="118">
        <v>0</v>
      </c>
      <c r="AC14" s="118">
        <v>-6890</v>
      </c>
      <c r="AD14" s="118">
        <v>0</v>
      </c>
      <c r="AE14" s="118">
        <v>0</v>
      </c>
    </row>
    <row r="15" spans="1:31">
      <c r="A15" s="125" t="s">
        <v>263</v>
      </c>
      <c r="B15" s="126" t="s">
        <v>264</v>
      </c>
      <c r="C15" s="127" t="s">
        <v>362</v>
      </c>
      <c r="D15" s="117" t="s">
        <v>7</v>
      </c>
      <c r="E15" s="118">
        <v>8066875.4800000004</v>
      </c>
      <c r="F15" s="118">
        <v>14500</v>
      </c>
      <c r="G15" s="118">
        <v>1046808</v>
      </c>
      <c r="H15" s="118">
        <v>2508.1999999999998</v>
      </c>
      <c r="I15" s="118">
        <v>752</v>
      </c>
      <c r="J15" s="126"/>
      <c r="K15" s="126"/>
      <c r="L15" s="118"/>
      <c r="M15" s="118"/>
      <c r="N15" s="118"/>
      <c r="O15" s="118"/>
      <c r="P15" s="128"/>
      <c r="Q15" s="132">
        <v>42760</v>
      </c>
      <c r="R15" s="118" t="s">
        <v>365</v>
      </c>
      <c r="S15" s="129">
        <v>1</v>
      </c>
      <c r="T15" s="118">
        <v>8066875.4800000004</v>
      </c>
      <c r="U15" s="118">
        <v>14500</v>
      </c>
      <c r="V15" s="118">
        <v>1046808</v>
      </c>
      <c r="W15" s="118">
        <v>2508.1999999999998</v>
      </c>
      <c r="X15" s="118">
        <v>752</v>
      </c>
      <c r="Y15" s="132">
        <v>42760</v>
      </c>
      <c r="Z15" s="132"/>
      <c r="AA15" s="118"/>
      <c r="AB15" s="118"/>
      <c r="AC15" s="118"/>
      <c r="AD15" s="118"/>
      <c r="AE15" s="118"/>
    </row>
    <row r="16" spans="1:31">
      <c r="A16" s="125" t="s">
        <v>263</v>
      </c>
      <c r="B16" s="126" t="s">
        <v>264</v>
      </c>
      <c r="C16" s="127" t="s">
        <v>362</v>
      </c>
      <c r="D16" s="117" t="s">
        <v>8</v>
      </c>
      <c r="E16" s="118">
        <v>1255973.58</v>
      </c>
      <c r="F16" s="118"/>
      <c r="G16" s="118">
        <v>163281</v>
      </c>
      <c r="H16" s="118"/>
      <c r="I16" s="118"/>
      <c r="J16" s="126"/>
      <c r="K16" s="126"/>
      <c r="L16" s="118"/>
      <c r="M16" s="118"/>
      <c r="N16" s="118"/>
      <c r="O16" s="118"/>
      <c r="P16" s="128"/>
      <c r="Q16" s="132">
        <v>42760</v>
      </c>
      <c r="R16" s="118" t="s">
        <v>365</v>
      </c>
      <c r="S16" s="129">
        <v>2</v>
      </c>
      <c r="T16" s="118">
        <v>1255973.58</v>
      </c>
      <c r="U16" s="118">
        <v>0</v>
      </c>
      <c r="V16" s="118">
        <v>163281</v>
      </c>
      <c r="W16" s="118">
        <v>0</v>
      </c>
      <c r="X16" s="118">
        <v>0</v>
      </c>
      <c r="Y16" s="132">
        <v>42760</v>
      </c>
      <c r="Z16" s="132"/>
      <c r="AA16" s="118"/>
      <c r="AB16" s="118"/>
      <c r="AC16" s="118"/>
      <c r="AD16" s="118"/>
      <c r="AE16" s="118"/>
    </row>
    <row r="17" spans="1:31">
      <c r="A17" s="125" t="s">
        <v>263</v>
      </c>
      <c r="B17" s="126" t="s">
        <v>264</v>
      </c>
      <c r="C17" s="127" t="s">
        <v>362</v>
      </c>
      <c r="D17" s="117" t="s">
        <v>9</v>
      </c>
      <c r="E17" s="118">
        <v>113028.53</v>
      </c>
      <c r="F17" s="118"/>
      <c r="G17" s="118">
        <v>14694</v>
      </c>
      <c r="H17" s="118">
        <v>6990</v>
      </c>
      <c r="I17" s="118">
        <v>2097</v>
      </c>
      <c r="J17" s="126"/>
      <c r="K17" s="126"/>
      <c r="L17" s="118"/>
      <c r="M17" s="118"/>
      <c r="N17" s="118"/>
      <c r="O17" s="118"/>
      <c r="P17" s="128"/>
      <c r="Q17" s="132">
        <v>42760</v>
      </c>
      <c r="R17" s="118" t="s">
        <v>365</v>
      </c>
      <c r="S17" s="129">
        <v>3</v>
      </c>
      <c r="T17" s="118">
        <v>113028.53</v>
      </c>
      <c r="U17" s="118">
        <v>0</v>
      </c>
      <c r="V17" s="118">
        <v>14694</v>
      </c>
      <c r="W17" s="118">
        <v>6990</v>
      </c>
      <c r="X17" s="118">
        <v>2097</v>
      </c>
      <c r="Y17" s="132">
        <v>42760</v>
      </c>
      <c r="Z17" s="132"/>
      <c r="AA17" s="118"/>
      <c r="AB17" s="118"/>
      <c r="AC17" s="118"/>
      <c r="AD17" s="118"/>
      <c r="AE17" s="118"/>
    </row>
    <row r="18" spans="1:31">
      <c r="A18" s="125" t="s">
        <v>263</v>
      </c>
      <c r="B18" s="126" t="s">
        <v>264</v>
      </c>
      <c r="C18" s="127" t="s">
        <v>362</v>
      </c>
      <c r="D18" s="117" t="s">
        <v>11</v>
      </c>
      <c r="E18" s="118">
        <v>55019.5</v>
      </c>
      <c r="F18" s="118"/>
      <c r="G18" s="118">
        <v>7153</v>
      </c>
      <c r="H18" s="118"/>
      <c r="I18" s="118"/>
      <c r="J18" s="126"/>
      <c r="K18" s="126"/>
      <c r="L18" s="118"/>
      <c r="M18" s="118"/>
      <c r="N18" s="118"/>
      <c r="O18" s="118"/>
      <c r="P18" s="128"/>
      <c r="Q18" s="132">
        <v>42760</v>
      </c>
      <c r="R18" s="118" t="s">
        <v>365</v>
      </c>
      <c r="S18" s="129">
        <v>5</v>
      </c>
      <c r="T18" s="118">
        <v>55019.5</v>
      </c>
      <c r="U18" s="118">
        <v>0</v>
      </c>
      <c r="V18" s="118">
        <v>7153</v>
      </c>
      <c r="W18" s="118">
        <v>0</v>
      </c>
      <c r="X18" s="118">
        <v>0</v>
      </c>
      <c r="Y18" s="132">
        <v>42760</v>
      </c>
      <c r="Z18" s="132"/>
      <c r="AA18" s="118"/>
      <c r="AB18" s="118"/>
      <c r="AC18" s="118"/>
      <c r="AD18" s="118"/>
      <c r="AE18" s="118"/>
    </row>
    <row r="19" spans="1:31">
      <c r="A19" s="125" t="s">
        <v>263</v>
      </c>
      <c r="B19" s="126" t="s">
        <v>264</v>
      </c>
      <c r="C19" s="127" t="s">
        <v>362</v>
      </c>
      <c r="D19" s="117" t="s">
        <v>12</v>
      </c>
      <c r="E19" s="118">
        <v>699777.7</v>
      </c>
      <c r="F19" s="118">
        <v>1000</v>
      </c>
      <c r="G19" s="118">
        <v>90845</v>
      </c>
      <c r="H19" s="118"/>
      <c r="I19" s="118"/>
      <c r="J19" s="126"/>
      <c r="K19" s="126"/>
      <c r="L19" s="118"/>
      <c r="M19" s="118"/>
      <c r="N19" s="118"/>
      <c r="O19" s="118"/>
      <c r="P19" s="128"/>
      <c r="Q19" s="132">
        <v>42760</v>
      </c>
      <c r="R19" s="118" t="s">
        <v>365</v>
      </c>
      <c r="S19" s="129">
        <v>6</v>
      </c>
      <c r="T19" s="118">
        <v>699777.7</v>
      </c>
      <c r="U19" s="118">
        <v>1000</v>
      </c>
      <c r="V19" s="118">
        <v>90845</v>
      </c>
      <c r="W19" s="118">
        <v>0</v>
      </c>
      <c r="X19" s="118">
        <v>0</v>
      </c>
      <c r="Y19" s="132">
        <v>42760</v>
      </c>
      <c r="Z19" s="132"/>
      <c r="AA19" s="118"/>
      <c r="AB19" s="118"/>
      <c r="AC19" s="118"/>
      <c r="AD19" s="118"/>
      <c r="AE19" s="118"/>
    </row>
    <row r="20" spans="1:31">
      <c r="A20" s="125" t="s">
        <v>263</v>
      </c>
      <c r="B20" s="126" t="s">
        <v>264</v>
      </c>
      <c r="C20" s="127" t="s">
        <v>362</v>
      </c>
      <c r="D20" s="117" t="s">
        <v>13</v>
      </c>
      <c r="E20" s="118">
        <v>2350912.63</v>
      </c>
      <c r="F20" s="118">
        <v>4900</v>
      </c>
      <c r="G20" s="118">
        <v>304980</v>
      </c>
      <c r="H20" s="118"/>
      <c r="I20" s="118"/>
      <c r="J20" s="126"/>
      <c r="K20" s="126"/>
      <c r="L20" s="118"/>
      <c r="M20" s="118"/>
      <c r="N20" s="118"/>
      <c r="O20" s="118"/>
      <c r="P20" s="128"/>
      <c r="Q20" s="132">
        <v>42760</v>
      </c>
      <c r="R20" s="118" t="s">
        <v>365</v>
      </c>
      <c r="S20" s="129">
        <v>7</v>
      </c>
      <c r="T20" s="118">
        <v>2350912.63</v>
      </c>
      <c r="U20" s="118">
        <v>4900</v>
      </c>
      <c r="V20" s="118">
        <v>304980</v>
      </c>
      <c r="W20" s="118">
        <v>0</v>
      </c>
      <c r="X20" s="118">
        <v>0</v>
      </c>
      <c r="Y20" s="132">
        <v>42760</v>
      </c>
      <c r="Z20" s="132"/>
      <c r="AA20" s="118"/>
      <c r="AB20" s="118"/>
      <c r="AC20" s="118"/>
      <c r="AD20" s="118"/>
      <c r="AE20" s="118"/>
    </row>
    <row r="21" spans="1:31">
      <c r="A21" s="125" t="s">
        <v>265</v>
      </c>
      <c r="B21" s="126" t="s">
        <v>266</v>
      </c>
      <c r="C21" s="127" t="s">
        <v>364</v>
      </c>
      <c r="D21" s="117" t="s">
        <v>8</v>
      </c>
      <c r="E21" s="118"/>
      <c r="F21" s="118"/>
      <c r="G21" s="118"/>
      <c r="H21" s="118"/>
      <c r="I21" s="118"/>
      <c r="J21" s="126" t="s">
        <v>265</v>
      </c>
      <c r="K21" s="126" t="s">
        <v>268</v>
      </c>
      <c r="L21" s="118">
        <v>-62000</v>
      </c>
      <c r="M21" s="118"/>
      <c r="N21" s="118">
        <v>-8060</v>
      </c>
      <c r="O21" s="118"/>
      <c r="P21" s="128"/>
      <c r="Q21" s="132">
        <v>42762</v>
      </c>
      <c r="R21" s="118" t="s">
        <v>367</v>
      </c>
      <c r="S21" s="129">
        <v>2</v>
      </c>
      <c r="T21" s="118"/>
      <c r="U21" s="118"/>
      <c r="V21" s="118"/>
      <c r="W21" s="118"/>
      <c r="X21" s="118"/>
      <c r="Y21" s="132">
        <v>42762</v>
      </c>
      <c r="Z21" s="132">
        <v>42716</v>
      </c>
      <c r="AA21" s="118">
        <v>-62000</v>
      </c>
      <c r="AB21" s="118">
        <v>0</v>
      </c>
      <c r="AC21" s="118">
        <v>-8060</v>
      </c>
      <c r="AD21" s="118">
        <v>0</v>
      </c>
      <c r="AE21" s="118">
        <v>0</v>
      </c>
    </row>
    <row r="22" spans="1:31">
      <c r="A22" s="125"/>
      <c r="B22" s="126"/>
      <c r="C22" s="127"/>
      <c r="D22" s="117"/>
      <c r="E22" s="118"/>
      <c r="F22" s="118"/>
      <c r="G22" s="118"/>
      <c r="H22" s="118"/>
      <c r="I22" s="118"/>
      <c r="J22" s="126" t="s">
        <v>265</v>
      </c>
      <c r="K22" s="126" t="s">
        <v>269</v>
      </c>
      <c r="L22" s="118">
        <v>-23500</v>
      </c>
      <c r="M22" s="118"/>
      <c r="N22" s="118">
        <v>-3055</v>
      </c>
      <c r="O22" s="118"/>
      <c r="P22" s="128"/>
      <c r="Q22" s="132">
        <v>42762</v>
      </c>
      <c r="R22" s="118" t="s">
        <v>367</v>
      </c>
      <c r="S22" s="129">
        <v>2</v>
      </c>
      <c r="T22" s="118"/>
      <c r="U22" s="118"/>
      <c r="V22" s="118"/>
      <c r="W22" s="118"/>
      <c r="X22" s="118"/>
      <c r="Y22" s="132">
        <v>42762</v>
      </c>
      <c r="Z22" s="132">
        <v>42727</v>
      </c>
      <c r="AA22" s="118">
        <v>-23500</v>
      </c>
      <c r="AB22" s="118">
        <v>0</v>
      </c>
      <c r="AC22" s="118">
        <v>-3055</v>
      </c>
      <c r="AD22" s="118">
        <v>0</v>
      </c>
      <c r="AE22" s="118">
        <v>0</v>
      </c>
    </row>
    <row r="23" spans="1:31">
      <c r="A23" s="125" t="s">
        <v>265</v>
      </c>
      <c r="B23" s="126" t="s">
        <v>266</v>
      </c>
      <c r="C23" s="127" t="s">
        <v>364</v>
      </c>
      <c r="D23" s="117" t="s">
        <v>9</v>
      </c>
      <c r="E23" s="118"/>
      <c r="F23" s="118"/>
      <c r="G23" s="118"/>
      <c r="H23" s="118"/>
      <c r="I23" s="118"/>
      <c r="J23" s="126" t="s">
        <v>265</v>
      </c>
      <c r="K23" s="126" t="s">
        <v>267</v>
      </c>
      <c r="L23" s="118">
        <v>-66000</v>
      </c>
      <c r="M23" s="118"/>
      <c r="N23" s="118">
        <v>-8580</v>
      </c>
      <c r="O23" s="118"/>
      <c r="P23" s="128"/>
      <c r="Q23" s="132">
        <v>42762</v>
      </c>
      <c r="R23" s="118" t="s">
        <v>367</v>
      </c>
      <c r="S23" s="129">
        <v>3</v>
      </c>
      <c r="T23" s="118"/>
      <c r="U23" s="118"/>
      <c r="V23" s="118"/>
      <c r="W23" s="118"/>
      <c r="X23" s="118"/>
      <c r="Y23" s="132">
        <v>42762</v>
      </c>
      <c r="Z23" s="132">
        <v>42671</v>
      </c>
      <c r="AA23" s="118">
        <v>-66000</v>
      </c>
      <c r="AB23" s="118">
        <v>0</v>
      </c>
      <c r="AC23" s="118">
        <v>-8580</v>
      </c>
      <c r="AD23" s="118">
        <v>0</v>
      </c>
      <c r="AE23" s="118">
        <v>0</v>
      </c>
    </row>
    <row r="24" spans="1:31">
      <c r="A24" s="125"/>
      <c r="B24" s="126"/>
      <c r="C24" s="127"/>
      <c r="D24" s="117"/>
      <c r="E24" s="118"/>
      <c r="F24" s="118"/>
      <c r="G24" s="118"/>
      <c r="H24" s="118"/>
      <c r="I24" s="118"/>
      <c r="J24" s="126" t="s">
        <v>265</v>
      </c>
      <c r="K24" s="126" t="s">
        <v>269</v>
      </c>
      <c r="L24" s="118">
        <v>-26000</v>
      </c>
      <c r="M24" s="118"/>
      <c r="N24" s="118">
        <v>-3380</v>
      </c>
      <c r="O24" s="118"/>
      <c r="P24" s="128"/>
      <c r="Q24" s="132">
        <v>42762</v>
      </c>
      <c r="R24" s="118" t="s">
        <v>367</v>
      </c>
      <c r="S24" s="129">
        <v>3</v>
      </c>
      <c r="T24" s="118"/>
      <c r="U24" s="118"/>
      <c r="V24" s="118"/>
      <c r="W24" s="118"/>
      <c r="X24" s="118"/>
      <c r="Y24" s="132">
        <v>42762</v>
      </c>
      <c r="Z24" s="132">
        <v>42727</v>
      </c>
      <c r="AA24" s="118">
        <v>-26000</v>
      </c>
      <c r="AB24" s="118">
        <v>0</v>
      </c>
      <c r="AC24" s="118">
        <v>-3380</v>
      </c>
      <c r="AD24" s="118">
        <v>0</v>
      </c>
      <c r="AE24" s="118">
        <v>0</v>
      </c>
    </row>
    <row r="25" spans="1:31">
      <c r="A25" s="125" t="s">
        <v>265</v>
      </c>
      <c r="B25" s="126" t="s">
        <v>266</v>
      </c>
      <c r="C25" s="127" t="s">
        <v>363</v>
      </c>
      <c r="D25" s="117" t="s">
        <v>7</v>
      </c>
      <c r="E25" s="118">
        <v>4780922.18</v>
      </c>
      <c r="F25" s="118"/>
      <c r="G25" s="118">
        <v>621518</v>
      </c>
      <c r="H25" s="118">
        <v>165477.6</v>
      </c>
      <c r="I25" s="118">
        <v>49643</v>
      </c>
      <c r="J25" s="126"/>
      <c r="K25" s="126"/>
      <c r="L25" s="118"/>
      <c r="M25" s="118"/>
      <c r="N25" s="118"/>
      <c r="O25" s="118"/>
      <c r="P25" s="128"/>
      <c r="Q25" s="132">
        <v>42762</v>
      </c>
      <c r="R25" s="118" t="s">
        <v>366</v>
      </c>
      <c r="S25" s="129">
        <v>1</v>
      </c>
      <c r="T25" s="118">
        <v>4780922.18</v>
      </c>
      <c r="U25" s="118">
        <v>0</v>
      </c>
      <c r="V25" s="118">
        <v>621518</v>
      </c>
      <c r="W25" s="118">
        <v>165477.6</v>
      </c>
      <c r="X25" s="118">
        <v>49643</v>
      </c>
      <c r="Y25" s="132">
        <v>42762</v>
      </c>
      <c r="Z25" s="132"/>
      <c r="AA25" s="118"/>
      <c r="AB25" s="118"/>
      <c r="AC25" s="118"/>
      <c r="AD25" s="118"/>
      <c r="AE25" s="118"/>
    </row>
    <row r="26" spans="1:31">
      <c r="A26" s="125" t="s">
        <v>270</v>
      </c>
      <c r="B26" s="126" t="s">
        <v>271</v>
      </c>
      <c r="C26" s="127" t="s">
        <v>362</v>
      </c>
      <c r="D26" s="117" t="s">
        <v>7</v>
      </c>
      <c r="E26" s="118"/>
      <c r="F26" s="118"/>
      <c r="G26" s="118"/>
      <c r="H26" s="118"/>
      <c r="I26" s="118"/>
      <c r="J26" s="126" t="s">
        <v>270</v>
      </c>
      <c r="K26" s="126" t="s">
        <v>254</v>
      </c>
      <c r="L26" s="118">
        <v>-20595.02</v>
      </c>
      <c r="M26" s="118">
        <v>-500</v>
      </c>
      <c r="N26" s="118">
        <v>-2612</v>
      </c>
      <c r="O26" s="118"/>
      <c r="P26" s="128"/>
      <c r="Q26" s="132">
        <v>42766</v>
      </c>
      <c r="R26" s="118" t="s">
        <v>365</v>
      </c>
      <c r="S26" s="129">
        <v>1</v>
      </c>
      <c r="T26" s="118"/>
      <c r="U26" s="118"/>
      <c r="V26" s="118"/>
      <c r="W26" s="118"/>
      <c r="X26" s="118"/>
      <c r="Y26" s="132">
        <v>42766</v>
      </c>
      <c r="Z26" s="132">
        <v>42745</v>
      </c>
      <c r="AA26" s="118">
        <v>-20595.02</v>
      </c>
      <c r="AB26" s="118">
        <v>-500</v>
      </c>
      <c r="AC26" s="118">
        <v>-2612</v>
      </c>
      <c r="AD26" s="118">
        <v>0</v>
      </c>
      <c r="AE26" s="118">
        <v>0</v>
      </c>
    </row>
    <row r="27" spans="1:31">
      <c r="A27" s="125" t="s">
        <v>270</v>
      </c>
      <c r="B27" s="126" t="s">
        <v>271</v>
      </c>
      <c r="C27" s="127" t="s">
        <v>362</v>
      </c>
      <c r="D27" s="117" t="s">
        <v>8</v>
      </c>
      <c r="E27" s="118"/>
      <c r="F27" s="118"/>
      <c r="G27" s="118"/>
      <c r="H27" s="118"/>
      <c r="I27" s="118"/>
      <c r="J27" s="126" t="s">
        <v>270</v>
      </c>
      <c r="K27" s="126" t="s">
        <v>254</v>
      </c>
      <c r="L27" s="118">
        <v>-6400</v>
      </c>
      <c r="M27" s="118"/>
      <c r="N27" s="118">
        <v>-832</v>
      </c>
      <c r="O27" s="118"/>
      <c r="P27" s="128"/>
      <c r="Q27" s="132">
        <v>42766</v>
      </c>
      <c r="R27" s="118" t="s">
        <v>365</v>
      </c>
      <c r="S27" s="129">
        <v>2</v>
      </c>
      <c r="T27" s="118"/>
      <c r="U27" s="118"/>
      <c r="V27" s="118"/>
      <c r="W27" s="118"/>
      <c r="X27" s="118"/>
      <c r="Y27" s="132">
        <v>42766</v>
      </c>
      <c r="Z27" s="132">
        <v>42745</v>
      </c>
      <c r="AA27" s="118">
        <v>-6400</v>
      </c>
      <c r="AB27" s="118">
        <v>0</v>
      </c>
      <c r="AC27" s="118">
        <v>-832</v>
      </c>
      <c r="AD27" s="118">
        <v>0</v>
      </c>
      <c r="AE27" s="118">
        <v>0</v>
      </c>
    </row>
    <row r="28" spans="1:31">
      <c r="A28" s="125" t="s">
        <v>272</v>
      </c>
      <c r="B28" s="126" t="s">
        <v>273</v>
      </c>
      <c r="C28" s="127" t="s">
        <v>364</v>
      </c>
      <c r="D28" s="117" t="s">
        <v>9</v>
      </c>
      <c r="E28" s="118"/>
      <c r="F28" s="118"/>
      <c r="G28" s="118"/>
      <c r="H28" s="118"/>
      <c r="I28" s="118"/>
      <c r="J28" s="126" t="s">
        <v>272</v>
      </c>
      <c r="K28" s="126" t="s">
        <v>274</v>
      </c>
      <c r="L28" s="118">
        <v>-210000</v>
      </c>
      <c r="M28" s="118"/>
      <c r="N28" s="118">
        <v>-27300</v>
      </c>
      <c r="O28" s="118"/>
      <c r="P28" s="128"/>
      <c r="Q28" s="132">
        <v>42769</v>
      </c>
      <c r="R28" s="118" t="s">
        <v>367</v>
      </c>
      <c r="S28" s="129">
        <v>3</v>
      </c>
      <c r="T28" s="118"/>
      <c r="U28" s="118"/>
      <c r="V28" s="118"/>
      <c r="W28" s="118"/>
      <c r="X28" s="118"/>
      <c r="Y28" s="132">
        <v>42769</v>
      </c>
      <c r="Z28" s="132">
        <v>42731</v>
      </c>
      <c r="AA28" s="118">
        <v>-210000</v>
      </c>
      <c r="AB28" s="118">
        <v>0</v>
      </c>
      <c r="AC28" s="118">
        <v>-27300</v>
      </c>
      <c r="AD28" s="118">
        <v>0</v>
      </c>
      <c r="AE28" s="118">
        <v>0</v>
      </c>
    </row>
    <row r="29" spans="1:31">
      <c r="A29" s="125" t="s">
        <v>275</v>
      </c>
      <c r="B29" s="126" t="s">
        <v>276</v>
      </c>
      <c r="C29" s="127" t="s">
        <v>362</v>
      </c>
      <c r="D29" s="117" t="s">
        <v>7</v>
      </c>
      <c r="E29" s="118">
        <v>1109545596.1600001</v>
      </c>
      <c r="F29" s="118">
        <v>5447100</v>
      </c>
      <c r="G29" s="118">
        <v>143562769</v>
      </c>
      <c r="H29" s="118">
        <v>2523959.12</v>
      </c>
      <c r="I29" s="118">
        <v>757190</v>
      </c>
      <c r="J29" s="126" t="s">
        <v>275</v>
      </c>
      <c r="K29" s="126" t="s">
        <v>254</v>
      </c>
      <c r="L29" s="118"/>
      <c r="M29" s="118"/>
      <c r="N29" s="118"/>
      <c r="O29" s="118"/>
      <c r="P29" s="128">
        <v>-3504</v>
      </c>
      <c r="Q29" s="132">
        <v>42776</v>
      </c>
      <c r="R29" s="118" t="s">
        <v>365</v>
      </c>
      <c r="S29" s="129">
        <v>1</v>
      </c>
      <c r="T29" s="118">
        <v>1109545596.1600001</v>
      </c>
      <c r="U29" s="118">
        <v>5447100</v>
      </c>
      <c r="V29" s="118">
        <v>143562769</v>
      </c>
      <c r="W29" s="118">
        <v>2523959.12</v>
      </c>
      <c r="X29" s="118">
        <v>757190</v>
      </c>
      <c r="Y29" s="132">
        <v>42776</v>
      </c>
      <c r="Z29" s="132">
        <v>42745</v>
      </c>
      <c r="AA29" s="118">
        <v>0</v>
      </c>
      <c r="AB29" s="118">
        <v>0</v>
      </c>
      <c r="AC29" s="118">
        <v>0</v>
      </c>
      <c r="AD29" s="118">
        <v>0</v>
      </c>
      <c r="AE29" s="118">
        <v>-3504</v>
      </c>
    </row>
    <row r="30" spans="1:31">
      <c r="A30" s="125" t="s">
        <v>275</v>
      </c>
      <c r="B30" s="126" t="s">
        <v>276</v>
      </c>
      <c r="C30" s="127" t="s">
        <v>362</v>
      </c>
      <c r="D30" s="117" t="s">
        <v>8</v>
      </c>
      <c r="E30" s="118">
        <v>36546838.439999998</v>
      </c>
      <c r="F30" s="118">
        <v>132900</v>
      </c>
      <c r="G30" s="118">
        <v>4735925</v>
      </c>
      <c r="H30" s="118">
        <v>29568</v>
      </c>
      <c r="I30" s="118">
        <v>8871</v>
      </c>
      <c r="J30" s="126"/>
      <c r="K30" s="126"/>
      <c r="L30" s="118"/>
      <c r="M30" s="118"/>
      <c r="N30" s="118"/>
      <c r="O30" s="118"/>
      <c r="P30" s="128"/>
      <c r="Q30" s="132">
        <v>42776</v>
      </c>
      <c r="R30" s="118" t="s">
        <v>365</v>
      </c>
      <c r="S30" s="129">
        <v>2</v>
      </c>
      <c r="T30" s="118">
        <v>36546838.439999998</v>
      </c>
      <c r="U30" s="118">
        <v>132900</v>
      </c>
      <c r="V30" s="118">
        <v>4735925</v>
      </c>
      <c r="W30" s="118">
        <v>29568</v>
      </c>
      <c r="X30" s="118">
        <v>8871</v>
      </c>
      <c r="Y30" s="132">
        <v>42776</v>
      </c>
      <c r="Z30" s="132"/>
      <c r="AA30" s="118"/>
      <c r="AB30" s="118"/>
      <c r="AC30" s="118"/>
      <c r="AD30" s="118"/>
      <c r="AE30" s="118"/>
    </row>
    <row r="31" spans="1:31">
      <c r="A31" s="125" t="s">
        <v>275</v>
      </c>
      <c r="B31" s="126" t="s">
        <v>276</v>
      </c>
      <c r="C31" s="127" t="s">
        <v>362</v>
      </c>
      <c r="D31" s="117" t="s">
        <v>9</v>
      </c>
      <c r="E31" s="118">
        <v>18213993.25</v>
      </c>
      <c r="F31" s="118">
        <v>21100</v>
      </c>
      <c r="G31" s="118">
        <v>2365269</v>
      </c>
      <c r="H31" s="118">
        <v>2463</v>
      </c>
      <c r="I31" s="118">
        <v>739</v>
      </c>
      <c r="J31" s="126"/>
      <c r="K31" s="126"/>
      <c r="L31" s="118"/>
      <c r="M31" s="118"/>
      <c r="N31" s="118"/>
      <c r="O31" s="118"/>
      <c r="P31" s="128"/>
      <c r="Q31" s="132">
        <v>42776</v>
      </c>
      <c r="R31" s="118" t="s">
        <v>365</v>
      </c>
      <c r="S31" s="129">
        <v>3</v>
      </c>
      <c r="T31" s="118">
        <v>18213993.25</v>
      </c>
      <c r="U31" s="118">
        <v>21100</v>
      </c>
      <c r="V31" s="118">
        <v>2365269</v>
      </c>
      <c r="W31" s="118">
        <v>2463</v>
      </c>
      <c r="X31" s="118">
        <v>739</v>
      </c>
      <c r="Y31" s="132">
        <v>42776</v>
      </c>
      <c r="Z31" s="132"/>
      <c r="AA31" s="118"/>
      <c r="AB31" s="118"/>
      <c r="AC31" s="118"/>
      <c r="AD31" s="118"/>
      <c r="AE31" s="118"/>
    </row>
    <row r="32" spans="1:31">
      <c r="A32" s="125" t="s">
        <v>275</v>
      </c>
      <c r="B32" s="126" t="s">
        <v>276</v>
      </c>
      <c r="C32" s="127" t="s">
        <v>362</v>
      </c>
      <c r="D32" s="117" t="s">
        <v>11</v>
      </c>
      <c r="E32" s="118">
        <v>3356274.36</v>
      </c>
      <c r="F32" s="118">
        <v>11000</v>
      </c>
      <c r="G32" s="118">
        <v>434890</v>
      </c>
      <c r="H32" s="118">
        <v>4428.5</v>
      </c>
      <c r="I32" s="118">
        <v>1329</v>
      </c>
      <c r="J32" s="126"/>
      <c r="K32" s="126"/>
      <c r="L32" s="118"/>
      <c r="M32" s="118"/>
      <c r="N32" s="118"/>
      <c r="O32" s="118"/>
      <c r="P32" s="128"/>
      <c r="Q32" s="132">
        <v>42776</v>
      </c>
      <c r="R32" s="118" t="s">
        <v>365</v>
      </c>
      <c r="S32" s="129">
        <v>5</v>
      </c>
      <c r="T32" s="118">
        <v>3356274.36</v>
      </c>
      <c r="U32" s="118">
        <v>11000</v>
      </c>
      <c r="V32" s="118">
        <v>434890</v>
      </c>
      <c r="W32" s="118">
        <v>4428.5</v>
      </c>
      <c r="X32" s="118">
        <v>1329</v>
      </c>
      <c r="Y32" s="132">
        <v>42776</v>
      </c>
      <c r="Z32" s="132"/>
      <c r="AA32" s="118"/>
      <c r="AB32" s="118"/>
      <c r="AC32" s="118"/>
      <c r="AD32" s="118"/>
      <c r="AE32" s="118"/>
    </row>
    <row r="33" spans="1:31">
      <c r="A33" s="125" t="s">
        <v>275</v>
      </c>
      <c r="B33" s="126" t="s">
        <v>276</v>
      </c>
      <c r="C33" s="127" t="s">
        <v>362</v>
      </c>
      <c r="D33" s="117" t="s">
        <v>12</v>
      </c>
      <c r="E33" s="118">
        <v>31671711.18</v>
      </c>
      <c r="F33" s="118">
        <v>294900</v>
      </c>
      <c r="G33" s="118">
        <v>4081971</v>
      </c>
      <c r="H33" s="118">
        <v>65348.58</v>
      </c>
      <c r="I33" s="118">
        <v>19605</v>
      </c>
      <c r="J33" s="126"/>
      <c r="K33" s="126"/>
      <c r="L33" s="118"/>
      <c r="M33" s="118"/>
      <c r="N33" s="118"/>
      <c r="O33" s="118"/>
      <c r="P33" s="128"/>
      <c r="Q33" s="132">
        <v>42776</v>
      </c>
      <c r="R33" s="118" t="s">
        <v>365</v>
      </c>
      <c r="S33" s="129">
        <v>6</v>
      </c>
      <c r="T33" s="118">
        <v>31671711.18</v>
      </c>
      <c r="U33" s="118">
        <v>294900</v>
      </c>
      <c r="V33" s="118">
        <v>4081971</v>
      </c>
      <c r="W33" s="118">
        <v>65348.58</v>
      </c>
      <c r="X33" s="118">
        <v>19605</v>
      </c>
      <c r="Y33" s="132">
        <v>42776</v>
      </c>
      <c r="Z33" s="132"/>
      <c r="AA33" s="118"/>
      <c r="AB33" s="118"/>
      <c r="AC33" s="118"/>
      <c r="AD33" s="118"/>
      <c r="AE33" s="118"/>
    </row>
    <row r="34" spans="1:31">
      <c r="A34" s="125" t="s">
        <v>275</v>
      </c>
      <c r="B34" s="126" t="s">
        <v>276</v>
      </c>
      <c r="C34" s="127" t="s">
        <v>362</v>
      </c>
      <c r="D34" s="117" t="s">
        <v>13</v>
      </c>
      <c r="E34" s="118">
        <v>85677412.859999999</v>
      </c>
      <c r="F34" s="118">
        <v>466800</v>
      </c>
      <c r="G34" s="118">
        <v>11080991</v>
      </c>
      <c r="H34" s="118">
        <v>17161</v>
      </c>
      <c r="I34" s="118">
        <v>5148</v>
      </c>
      <c r="J34" s="126"/>
      <c r="K34" s="126"/>
      <c r="L34" s="118"/>
      <c r="M34" s="118"/>
      <c r="N34" s="118"/>
      <c r="O34" s="118"/>
      <c r="P34" s="128"/>
      <c r="Q34" s="132">
        <v>42776</v>
      </c>
      <c r="R34" s="118" t="s">
        <v>365</v>
      </c>
      <c r="S34" s="129">
        <v>7</v>
      </c>
      <c r="T34" s="118">
        <v>85677412.859999999</v>
      </c>
      <c r="U34" s="118">
        <v>466800</v>
      </c>
      <c r="V34" s="118">
        <v>11080991</v>
      </c>
      <c r="W34" s="118">
        <v>17161</v>
      </c>
      <c r="X34" s="118">
        <v>5148</v>
      </c>
      <c r="Y34" s="132">
        <v>42776</v>
      </c>
      <c r="Z34" s="132"/>
      <c r="AA34" s="118"/>
      <c r="AB34" s="118"/>
      <c r="AC34" s="118"/>
      <c r="AD34" s="118"/>
      <c r="AE34" s="118"/>
    </row>
    <row r="35" spans="1:31">
      <c r="A35" s="125" t="s">
        <v>277</v>
      </c>
      <c r="B35" s="126" t="s">
        <v>278</v>
      </c>
      <c r="C35" s="127" t="s">
        <v>364</v>
      </c>
      <c r="D35" s="117" t="s">
        <v>9</v>
      </c>
      <c r="E35" s="118"/>
      <c r="F35" s="118"/>
      <c r="G35" s="118"/>
      <c r="H35" s="118"/>
      <c r="I35" s="118"/>
      <c r="J35" s="126" t="s">
        <v>277</v>
      </c>
      <c r="K35" s="126" t="s">
        <v>279</v>
      </c>
      <c r="L35" s="118">
        <v>-10000</v>
      </c>
      <c r="M35" s="118"/>
      <c r="N35" s="118">
        <v>-1300</v>
      </c>
      <c r="O35" s="118"/>
      <c r="P35" s="128"/>
      <c r="Q35" s="132">
        <v>42779</v>
      </c>
      <c r="R35" s="118" t="s">
        <v>367</v>
      </c>
      <c r="S35" s="129">
        <v>3</v>
      </c>
      <c r="T35" s="118"/>
      <c r="U35" s="118"/>
      <c r="V35" s="118"/>
      <c r="W35" s="118"/>
      <c r="X35" s="118"/>
      <c r="Y35" s="132">
        <v>42779</v>
      </c>
      <c r="Z35" s="132">
        <v>42657</v>
      </c>
      <c r="AA35" s="118">
        <v>-10000</v>
      </c>
      <c r="AB35" s="118">
        <v>0</v>
      </c>
      <c r="AC35" s="118">
        <v>-1300</v>
      </c>
      <c r="AD35" s="118">
        <v>0</v>
      </c>
      <c r="AE35" s="118">
        <v>0</v>
      </c>
    </row>
    <row r="36" spans="1:31">
      <c r="A36" s="125"/>
      <c r="B36" s="126"/>
      <c r="C36" s="127"/>
      <c r="D36" s="117"/>
      <c r="E36" s="118"/>
      <c r="F36" s="118"/>
      <c r="G36" s="118"/>
      <c r="H36" s="118"/>
      <c r="I36" s="118"/>
      <c r="J36" s="126" t="s">
        <v>277</v>
      </c>
      <c r="K36" s="126" t="s">
        <v>280</v>
      </c>
      <c r="L36" s="118">
        <v>-40000</v>
      </c>
      <c r="M36" s="118"/>
      <c r="N36" s="118">
        <v>-5200</v>
      </c>
      <c r="O36" s="118"/>
      <c r="P36" s="128"/>
      <c r="Q36" s="132">
        <v>42779</v>
      </c>
      <c r="R36" s="118" t="s">
        <v>367</v>
      </c>
      <c r="S36" s="129">
        <v>3</v>
      </c>
      <c r="T36" s="118"/>
      <c r="U36" s="118"/>
      <c r="V36" s="118"/>
      <c r="W36" s="118"/>
      <c r="X36" s="118"/>
      <c r="Y36" s="132">
        <v>42779</v>
      </c>
      <c r="Z36" s="132">
        <v>42692</v>
      </c>
      <c r="AA36" s="118">
        <v>-40000</v>
      </c>
      <c r="AB36" s="118">
        <v>0</v>
      </c>
      <c r="AC36" s="118">
        <v>-5200</v>
      </c>
      <c r="AD36" s="118">
        <v>0</v>
      </c>
      <c r="AE36" s="118">
        <v>0</v>
      </c>
    </row>
    <row r="37" spans="1:31">
      <c r="A37" s="125"/>
      <c r="B37" s="126"/>
      <c r="C37" s="127"/>
      <c r="D37" s="117"/>
      <c r="E37" s="118"/>
      <c r="F37" s="118"/>
      <c r="G37" s="118"/>
      <c r="H37" s="118"/>
      <c r="I37" s="118"/>
      <c r="J37" s="126" t="s">
        <v>277</v>
      </c>
      <c r="K37" s="126" t="s">
        <v>281</v>
      </c>
      <c r="L37" s="118">
        <v>-104000</v>
      </c>
      <c r="M37" s="118"/>
      <c r="N37" s="118">
        <v>-13520</v>
      </c>
      <c r="O37" s="118"/>
      <c r="P37" s="128"/>
      <c r="Q37" s="132">
        <v>42779</v>
      </c>
      <c r="R37" s="118" t="s">
        <v>367</v>
      </c>
      <c r="S37" s="129">
        <v>3</v>
      </c>
      <c r="T37" s="118"/>
      <c r="U37" s="118"/>
      <c r="V37" s="118"/>
      <c r="W37" s="118"/>
      <c r="X37" s="118"/>
      <c r="Y37" s="132">
        <v>42779</v>
      </c>
      <c r="Z37" s="132">
        <v>42702</v>
      </c>
      <c r="AA37" s="118">
        <v>-104000</v>
      </c>
      <c r="AB37" s="118">
        <v>0</v>
      </c>
      <c r="AC37" s="118">
        <v>-13520</v>
      </c>
      <c r="AD37" s="118">
        <v>0</v>
      </c>
      <c r="AE37" s="118">
        <v>0</v>
      </c>
    </row>
    <row r="38" spans="1:31">
      <c r="A38" s="125"/>
      <c r="B38" s="126"/>
      <c r="C38" s="127"/>
      <c r="D38" s="117"/>
      <c r="E38" s="118"/>
      <c r="F38" s="118"/>
      <c r="G38" s="118"/>
      <c r="H38" s="118"/>
      <c r="I38" s="118"/>
      <c r="J38" s="126" t="s">
        <v>277</v>
      </c>
      <c r="K38" s="126" t="s">
        <v>269</v>
      </c>
      <c r="L38" s="118">
        <v>-28500</v>
      </c>
      <c r="M38" s="118"/>
      <c r="N38" s="118">
        <v>-3705</v>
      </c>
      <c r="O38" s="118"/>
      <c r="P38" s="128"/>
      <c r="Q38" s="132">
        <v>42779</v>
      </c>
      <c r="R38" s="118" t="s">
        <v>367</v>
      </c>
      <c r="S38" s="129">
        <v>3</v>
      </c>
      <c r="T38" s="118"/>
      <c r="U38" s="118"/>
      <c r="V38" s="118"/>
      <c r="W38" s="118"/>
      <c r="X38" s="118"/>
      <c r="Y38" s="132">
        <v>42779</v>
      </c>
      <c r="Z38" s="132">
        <v>42727</v>
      </c>
      <c r="AA38" s="118">
        <v>-28500</v>
      </c>
      <c r="AB38" s="118">
        <v>0</v>
      </c>
      <c r="AC38" s="118">
        <v>-3705</v>
      </c>
      <c r="AD38" s="118">
        <v>0</v>
      </c>
      <c r="AE38" s="118">
        <v>0</v>
      </c>
    </row>
    <row r="39" spans="1:31">
      <c r="A39" s="125" t="s">
        <v>277</v>
      </c>
      <c r="B39" s="126" t="s">
        <v>278</v>
      </c>
      <c r="C39" s="127" t="s">
        <v>363</v>
      </c>
      <c r="D39" s="117" t="s">
        <v>7</v>
      </c>
      <c r="E39" s="118">
        <v>4711740.97</v>
      </c>
      <c r="F39" s="118"/>
      <c r="G39" s="118">
        <v>612527</v>
      </c>
      <c r="H39" s="118">
        <v>113468.96</v>
      </c>
      <c r="I39" s="118">
        <v>34041</v>
      </c>
      <c r="J39" s="126"/>
      <c r="K39" s="126"/>
      <c r="L39" s="118"/>
      <c r="M39" s="118"/>
      <c r="N39" s="118"/>
      <c r="O39" s="118"/>
      <c r="P39" s="128"/>
      <c r="Q39" s="132">
        <v>42779</v>
      </c>
      <c r="R39" s="118" t="s">
        <v>366</v>
      </c>
      <c r="S39" s="129">
        <v>1</v>
      </c>
      <c r="T39" s="118">
        <v>4711740.97</v>
      </c>
      <c r="U39" s="118">
        <v>0</v>
      </c>
      <c r="V39" s="118">
        <v>612527</v>
      </c>
      <c r="W39" s="118">
        <v>113468.96</v>
      </c>
      <c r="X39" s="118">
        <v>34041</v>
      </c>
      <c r="Y39" s="132">
        <v>42779</v>
      </c>
      <c r="Z39" s="132"/>
      <c r="AA39" s="118"/>
      <c r="AB39" s="118"/>
      <c r="AC39" s="118"/>
      <c r="AD39" s="118"/>
      <c r="AE39" s="118"/>
    </row>
    <row r="40" spans="1:31">
      <c r="A40" s="125" t="s">
        <v>282</v>
      </c>
      <c r="B40" s="126" t="s">
        <v>283</v>
      </c>
      <c r="C40" s="127" t="s">
        <v>362</v>
      </c>
      <c r="D40" s="117" t="s">
        <v>7</v>
      </c>
      <c r="E40" s="118">
        <v>3870705.12</v>
      </c>
      <c r="F40" s="118">
        <v>-500</v>
      </c>
      <c r="G40" s="118">
        <v>503264</v>
      </c>
      <c r="H40" s="118">
        <v>26951.78</v>
      </c>
      <c r="I40" s="118">
        <v>8086</v>
      </c>
      <c r="J40" s="126"/>
      <c r="K40" s="126"/>
      <c r="L40" s="118"/>
      <c r="M40" s="118"/>
      <c r="N40" s="118"/>
      <c r="O40" s="118"/>
      <c r="P40" s="128"/>
      <c r="Q40" s="132">
        <v>42793</v>
      </c>
      <c r="R40" s="118" t="s">
        <v>365</v>
      </c>
      <c r="S40" s="129">
        <v>1</v>
      </c>
      <c r="T40" s="118">
        <v>3870705.12</v>
      </c>
      <c r="U40" s="118">
        <v>-500</v>
      </c>
      <c r="V40" s="118">
        <v>503264</v>
      </c>
      <c r="W40" s="118">
        <v>26951.78</v>
      </c>
      <c r="X40" s="118">
        <v>8086</v>
      </c>
      <c r="Y40" s="132">
        <v>42793</v>
      </c>
      <c r="Z40" s="132"/>
      <c r="AA40" s="118"/>
      <c r="AB40" s="118"/>
      <c r="AC40" s="118"/>
      <c r="AD40" s="118"/>
      <c r="AE40" s="118"/>
    </row>
    <row r="41" spans="1:31">
      <c r="A41" s="125" t="s">
        <v>282</v>
      </c>
      <c r="B41" s="126" t="s">
        <v>283</v>
      </c>
      <c r="C41" s="127" t="s">
        <v>362</v>
      </c>
      <c r="D41" s="117" t="s">
        <v>8</v>
      </c>
      <c r="E41" s="118">
        <v>339218.09</v>
      </c>
      <c r="F41" s="118">
        <v>1000</v>
      </c>
      <c r="G41" s="118">
        <v>43969</v>
      </c>
      <c r="H41" s="118"/>
      <c r="I41" s="118"/>
      <c r="J41" s="126"/>
      <c r="K41" s="126"/>
      <c r="L41" s="118"/>
      <c r="M41" s="118"/>
      <c r="N41" s="118"/>
      <c r="O41" s="118"/>
      <c r="P41" s="128"/>
      <c r="Q41" s="132">
        <v>42793</v>
      </c>
      <c r="R41" s="118" t="s">
        <v>365</v>
      </c>
      <c r="S41" s="129">
        <v>2</v>
      </c>
      <c r="T41" s="118">
        <v>339218.09</v>
      </c>
      <c r="U41" s="118">
        <v>1000</v>
      </c>
      <c r="V41" s="118">
        <v>43969</v>
      </c>
      <c r="W41" s="118">
        <v>0</v>
      </c>
      <c r="X41" s="118">
        <v>0</v>
      </c>
      <c r="Y41" s="132">
        <v>42793</v>
      </c>
      <c r="Z41" s="132"/>
      <c r="AA41" s="118"/>
      <c r="AB41" s="118"/>
      <c r="AC41" s="118"/>
      <c r="AD41" s="118"/>
      <c r="AE41" s="118"/>
    </row>
    <row r="42" spans="1:31">
      <c r="A42" s="125" t="s">
        <v>282</v>
      </c>
      <c r="B42" s="126" t="s">
        <v>283</v>
      </c>
      <c r="C42" s="127" t="s">
        <v>362</v>
      </c>
      <c r="D42" s="117" t="s">
        <v>9</v>
      </c>
      <c r="E42" s="118">
        <v>29886</v>
      </c>
      <c r="F42" s="118"/>
      <c r="G42" s="118">
        <v>3884</v>
      </c>
      <c r="H42" s="118"/>
      <c r="I42" s="118"/>
      <c r="J42" s="126"/>
      <c r="K42" s="126"/>
      <c r="L42" s="118"/>
      <c r="M42" s="118"/>
      <c r="N42" s="118"/>
      <c r="O42" s="118"/>
      <c r="P42" s="128"/>
      <c r="Q42" s="132">
        <v>42793</v>
      </c>
      <c r="R42" s="118" t="s">
        <v>365</v>
      </c>
      <c r="S42" s="129">
        <v>3</v>
      </c>
      <c r="T42" s="118">
        <v>29886</v>
      </c>
      <c r="U42" s="118">
        <v>0</v>
      </c>
      <c r="V42" s="118">
        <v>3884</v>
      </c>
      <c r="W42" s="118">
        <v>0</v>
      </c>
      <c r="X42" s="118">
        <v>0</v>
      </c>
      <c r="Y42" s="132">
        <v>42793</v>
      </c>
      <c r="Z42" s="132"/>
      <c r="AA42" s="118"/>
      <c r="AB42" s="118"/>
      <c r="AC42" s="118"/>
      <c r="AD42" s="118"/>
      <c r="AE42" s="118"/>
    </row>
    <row r="43" spans="1:31">
      <c r="A43" s="125" t="s">
        <v>282</v>
      </c>
      <c r="B43" s="126" t="s">
        <v>283</v>
      </c>
      <c r="C43" s="127" t="s">
        <v>362</v>
      </c>
      <c r="D43" s="117" t="s">
        <v>12</v>
      </c>
      <c r="E43" s="118">
        <v>2865038.2</v>
      </c>
      <c r="F43" s="118">
        <v>1000</v>
      </c>
      <c r="G43" s="118">
        <v>372323</v>
      </c>
      <c r="H43" s="118">
        <v>2101.9</v>
      </c>
      <c r="I43" s="118">
        <v>630</v>
      </c>
      <c r="J43" s="126"/>
      <c r="K43" s="126"/>
      <c r="L43" s="118"/>
      <c r="M43" s="118"/>
      <c r="N43" s="118"/>
      <c r="O43" s="118"/>
      <c r="P43" s="128"/>
      <c r="Q43" s="132">
        <v>42793</v>
      </c>
      <c r="R43" s="118" t="s">
        <v>365</v>
      </c>
      <c r="S43" s="129">
        <v>6</v>
      </c>
      <c r="T43" s="118">
        <v>2865038.2</v>
      </c>
      <c r="U43" s="118">
        <v>1000</v>
      </c>
      <c r="V43" s="118">
        <v>372323</v>
      </c>
      <c r="W43" s="118">
        <v>2101.9</v>
      </c>
      <c r="X43" s="118">
        <v>630</v>
      </c>
      <c r="Y43" s="132">
        <v>42793</v>
      </c>
      <c r="Z43" s="132"/>
      <c r="AA43" s="118"/>
      <c r="AB43" s="118"/>
      <c r="AC43" s="118"/>
      <c r="AD43" s="118"/>
      <c r="AE43" s="118"/>
    </row>
    <row r="44" spans="1:31">
      <c r="A44" s="125" t="s">
        <v>282</v>
      </c>
      <c r="B44" s="126" t="s">
        <v>283</v>
      </c>
      <c r="C44" s="127" t="s">
        <v>362</v>
      </c>
      <c r="D44" s="117" t="s">
        <v>13</v>
      </c>
      <c r="E44" s="118">
        <v>1020488.15</v>
      </c>
      <c r="F44" s="118">
        <v>2400</v>
      </c>
      <c r="G44" s="118">
        <v>132359</v>
      </c>
      <c r="H44" s="118"/>
      <c r="I44" s="118"/>
      <c r="J44" s="126"/>
      <c r="K44" s="126"/>
      <c r="L44" s="118"/>
      <c r="M44" s="118"/>
      <c r="N44" s="118"/>
      <c r="O44" s="118"/>
      <c r="P44" s="128"/>
      <c r="Q44" s="132">
        <v>42793</v>
      </c>
      <c r="R44" s="118" t="s">
        <v>365</v>
      </c>
      <c r="S44" s="129">
        <v>7</v>
      </c>
      <c r="T44" s="118">
        <v>1020488.15</v>
      </c>
      <c r="U44" s="118">
        <v>2400</v>
      </c>
      <c r="V44" s="118">
        <v>132359</v>
      </c>
      <c r="W44" s="118">
        <v>0</v>
      </c>
      <c r="X44" s="118">
        <v>0</v>
      </c>
      <c r="Y44" s="132">
        <v>42793</v>
      </c>
      <c r="Z44" s="132"/>
      <c r="AA44" s="118"/>
      <c r="AB44" s="118"/>
      <c r="AC44" s="118"/>
      <c r="AD44" s="118"/>
      <c r="AE44" s="118"/>
    </row>
    <row r="45" spans="1:31">
      <c r="A45" s="125" t="s">
        <v>283</v>
      </c>
      <c r="B45" s="126" t="s">
        <v>284</v>
      </c>
      <c r="C45" s="127" t="s">
        <v>362</v>
      </c>
      <c r="D45" s="117" t="s">
        <v>7</v>
      </c>
      <c r="E45" s="118"/>
      <c r="F45" s="118"/>
      <c r="G45" s="118"/>
      <c r="H45" s="118"/>
      <c r="I45" s="118"/>
      <c r="J45" s="126" t="s">
        <v>283</v>
      </c>
      <c r="K45" s="126" t="s">
        <v>254</v>
      </c>
      <c r="L45" s="118">
        <v>-15112.68</v>
      </c>
      <c r="M45" s="118">
        <v>-500</v>
      </c>
      <c r="N45" s="118">
        <v>-1899</v>
      </c>
      <c r="O45" s="118"/>
      <c r="P45" s="128"/>
      <c r="Q45" s="132">
        <v>42794</v>
      </c>
      <c r="R45" s="118" t="s">
        <v>365</v>
      </c>
      <c r="S45" s="129">
        <v>1</v>
      </c>
      <c r="T45" s="118"/>
      <c r="U45" s="118"/>
      <c r="V45" s="118"/>
      <c r="W45" s="118"/>
      <c r="X45" s="118"/>
      <c r="Y45" s="132">
        <v>42794</v>
      </c>
      <c r="Z45" s="132">
        <v>42745</v>
      </c>
      <c r="AA45" s="118">
        <v>-15112.68</v>
      </c>
      <c r="AB45" s="118">
        <v>-500</v>
      </c>
      <c r="AC45" s="118">
        <v>-1899</v>
      </c>
      <c r="AD45" s="118">
        <v>0</v>
      </c>
      <c r="AE45" s="118">
        <v>0</v>
      </c>
    </row>
    <row r="46" spans="1:31">
      <c r="A46" s="125"/>
      <c r="B46" s="126"/>
      <c r="C46" s="127"/>
      <c r="D46" s="117"/>
      <c r="E46" s="118"/>
      <c r="F46" s="118"/>
      <c r="G46" s="118"/>
      <c r="H46" s="118"/>
      <c r="I46" s="118"/>
      <c r="J46" s="126" t="s">
        <v>283</v>
      </c>
      <c r="K46" s="126" t="s">
        <v>275</v>
      </c>
      <c r="L46" s="118">
        <v>-8935.0499999999993</v>
      </c>
      <c r="M46" s="118"/>
      <c r="N46" s="118">
        <v>-1162</v>
      </c>
      <c r="O46" s="118"/>
      <c r="P46" s="128"/>
      <c r="Q46" s="132">
        <v>42794</v>
      </c>
      <c r="R46" s="118" t="s">
        <v>365</v>
      </c>
      <c r="S46" s="129">
        <v>1</v>
      </c>
      <c r="T46" s="118"/>
      <c r="U46" s="118"/>
      <c r="V46" s="118"/>
      <c r="W46" s="118"/>
      <c r="X46" s="118"/>
      <c r="Y46" s="132">
        <v>42794</v>
      </c>
      <c r="Z46" s="132">
        <v>42776</v>
      </c>
      <c r="AA46" s="118">
        <v>-8935.0499999999993</v>
      </c>
      <c r="AB46" s="118">
        <v>0</v>
      </c>
      <c r="AC46" s="118">
        <v>-1162</v>
      </c>
      <c r="AD46" s="118">
        <v>0</v>
      </c>
      <c r="AE46" s="118">
        <v>0</v>
      </c>
    </row>
    <row r="47" spans="1:31">
      <c r="A47" s="125" t="s">
        <v>283</v>
      </c>
      <c r="B47" s="126" t="s">
        <v>284</v>
      </c>
      <c r="C47" s="127" t="s">
        <v>363</v>
      </c>
      <c r="D47" s="117" t="s">
        <v>7</v>
      </c>
      <c r="E47" s="118">
        <v>6597302.0999999996</v>
      </c>
      <c r="F47" s="118"/>
      <c r="G47" s="118">
        <v>857649</v>
      </c>
      <c r="H47" s="118"/>
      <c r="I47" s="118"/>
      <c r="J47" s="126"/>
      <c r="K47" s="126"/>
      <c r="L47" s="118"/>
      <c r="M47" s="118"/>
      <c r="N47" s="118"/>
      <c r="O47" s="118"/>
      <c r="P47" s="128"/>
      <c r="Q47" s="132">
        <v>42794</v>
      </c>
      <c r="R47" s="118" t="s">
        <v>366</v>
      </c>
      <c r="S47" s="129">
        <v>1</v>
      </c>
      <c r="T47" s="118">
        <v>6597302.0999999996</v>
      </c>
      <c r="U47" s="118">
        <v>0</v>
      </c>
      <c r="V47" s="118">
        <v>857649</v>
      </c>
      <c r="W47" s="118">
        <v>0</v>
      </c>
      <c r="X47" s="118">
        <v>0</v>
      </c>
      <c r="Y47" s="132">
        <v>42794</v>
      </c>
      <c r="Z47" s="132"/>
      <c r="AA47" s="118"/>
      <c r="AB47" s="118"/>
      <c r="AC47" s="118"/>
      <c r="AD47" s="118"/>
      <c r="AE47" s="118"/>
    </row>
    <row r="48" spans="1:31">
      <c r="A48" s="125" t="s">
        <v>285</v>
      </c>
      <c r="B48" s="126" t="s">
        <v>286</v>
      </c>
      <c r="C48" s="127" t="s">
        <v>362</v>
      </c>
      <c r="D48" s="117" t="s">
        <v>7</v>
      </c>
      <c r="E48" s="118">
        <v>1111205930.6600001</v>
      </c>
      <c r="F48" s="118">
        <v>5902600</v>
      </c>
      <c r="G48" s="118">
        <v>143717724</v>
      </c>
      <c r="H48" s="118">
        <v>2558044.63</v>
      </c>
      <c r="I48" s="118">
        <v>767419</v>
      </c>
      <c r="J48" s="126"/>
      <c r="K48" s="126"/>
      <c r="L48" s="118"/>
      <c r="M48" s="118"/>
      <c r="N48" s="118"/>
      <c r="O48" s="118"/>
      <c r="P48" s="128"/>
      <c r="Q48" s="132">
        <v>42804</v>
      </c>
      <c r="R48" s="118" t="s">
        <v>365</v>
      </c>
      <c r="S48" s="129">
        <v>1</v>
      </c>
      <c r="T48" s="118">
        <v>1111205930.6600001</v>
      </c>
      <c r="U48" s="118">
        <v>5902600</v>
      </c>
      <c r="V48" s="118">
        <v>143717724</v>
      </c>
      <c r="W48" s="118">
        <v>2558044.63</v>
      </c>
      <c r="X48" s="118">
        <v>767419</v>
      </c>
      <c r="Y48" s="132">
        <v>42804</v>
      </c>
      <c r="Z48" s="132"/>
      <c r="AA48" s="118"/>
      <c r="AB48" s="118"/>
      <c r="AC48" s="118"/>
      <c r="AD48" s="118"/>
      <c r="AE48" s="118"/>
    </row>
    <row r="49" spans="1:31">
      <c r="A49" s="125" t="s">
        <v>285</v>
      </c>
      <c r="B49" s="126" t="s">
        <v>286</v>
      </c>
      <c r="C49" s="127" t="s">
        <v>362</v>
      </c>
      <c r="D49" s="117" t="s">
        <v>8</v>
      </c>
      <c r="E49" s="118">
        <v>36827110.219999999</v>
      </c>
      <c r="F49" s="118">
        <v>138200</v>
      </c>
      <c r="G49" s="118">
        <v>4771613</v>
      </c>
      <c r="H49" s="118">
        <v>24793</v>
      </c>
      <c r="I49" s="118">
        <v>7438</v>
      </c>
      <c r="J49" s="126"/>
      <c r="K49" s="126"/>
      <c r="L49" s="118"/>
      <c r="M49" s="118"/>
      <c r="N49" s="118"/>
      <c r="O49" s="118"/>
      <c r="P49" s="128"/>
      <c r="Q49" s="132">
        <v>42804</v>
      </c>
      <c r="R49" s="118" t="s">
        <v>365</v>
      </c>
      <c r="S49" s="129">
        <v>2</v>
      </c>
      <c r="T49" s="118">
        <v>36827110.219999999</v>
      </c>
      <c r="U49" s="118">
        <v>138200</v>
      </c>
      <c r="V49" s="118">
        <v>4771613</v>
      </c>
      <c r="W49" s="118">
        <v>24793</v>
      </c>
      <c r="X49" s="118">
        <v>7438</v>
      </c>
      <c r="Y49" s="132">
        <v>42804</v>
      </c>
      <c r="Z49" s="132"/>
      <c r="AA49" s="118"/>
      <c r="AB49" s="118"/>
      <c r="AC49" s="118"/>
      <c r="AD49" s="118"/>
      <c r="AE49" s="118"/>
    </row>
    <row r="50" spans="1:31">
      <c r="A50" s="125" t="s">
        <v>285</v>
      </c>
      <c r="B50" s="126" t="s">
        <v>286</v>
      </c>
      <c r="C50" s="127" t="s">
        <v>362</v>
      </c>
      <c r="D50" s="117" t="s">
        <v>9</v>
      </c>
      <c r="E50" s="118">
        <v>18357778</v>
      </c>
      <c r="F50" s="118">
        <v>34200</v>
      </c>
      <c r="G50" s="118">
        <v>2382300</v>
      </c>
      <c r="H50" s="118">
        <v>2463</v>
      </c>
      <c r="I50" s="118">
        <v>739</v>
      </c>
      <c r="J50" s="126"/>
      <c r="K50" s="126"/>
      <c r="L50" s="118"/>
      <c r="M50" s="118"/>
      <c r="N50" s="118"/>
      <c r="O50" s="118"/>
      <c r="P50" s="128"/>
      <c r="Q50" s="132">
        <v>42804</v>
      </c>
      <c r="R50" s="118" t="s">
        <v>365</v>
      </c>
      <c r="S50" s="129">
        <v>3</v>
      </c>
      <c r="T50" s="118">
        <v>18357778</v>
      </c>
      <c r="U50" s="118">
        <v>34200</v>
      </c>
      <c r="V50" s="118">
        <v>2382300</v>
      </c>
      <c r="W50" s="118">
        <v>2463</v>
      </c>
      <c r="X50" s="118">
        <v>739</v>
      </c>
      <c r="Y50" s="132">
        <v>42804</v>
      </c>
      <c r="Z50" s="132"/>
      <c r="AA50" s="118"/>
      <c r="AB50" s="118"/>
      <c r="AC50" s="118"/>
      <c r="AD50" s="118"/>
      <c r="AE50" s="118"/>
    </row>
    <row r="51" spans="1:31">
      <c r="A51" s="125" t="s">
        <v>285</v>
      </c>
      <c r="B51" s="126" t="s">
        <v>286</v>
      </c>
      <c r="C51" s="127" t="s">
        <v>362</v>
      </c>
      <c r="D51" s="117" t="s">
        <v>11</v>
      </c>
      <c r="E51" s="118">
        <v>3371026.83</v>
      </c>
      <c r="F51" s="118">
        <v>11000</v>
      </c>
      <c r="G51" s="118">
        <v>436804</v>
      </c>
      <c r="H51" s="118">
        <v>4428.5</v>
      </c>
      <c r="I51" s="118">
        <v>1329</v>
      </c>
      <c r="J51" s="126"/>
      <c r="K51" s="126"/>
      <c r="L51" s="118"/>
      <c r="M51" s="118"/>
      <c r="N51" s="118"/>
      <c r="O51" s="118"/>
      <c r="P51" s="128"/>
      <c r="Q51" s="132">
        <v>42804</v>
      </c>
      <c r="R51" s="118" t="s">
        <v>365</v>
      </c>
      <c r="S51" s="129">
        <v>5</v>
      </c>
      <c r="T51" s="118">
        <v>3371026.83</v>
      </c>
      <c r="U51" s="118">
        <v>11000</v>
      </c>
      <c r="V51" s="118">
        <v>436804</v>
      </c>
      <c r="W51" s="118">
        <v>4428.5</v>
      </c>
      <c r="X51" s="118">
        <v>1329</v>
      </c>
      <c r="Y51" s="132">
        <v>42804</v>
      </c>
      <c r="Z51" s="132"/>
      <c r="AA51" s="118"/>
      <c r="AB51" s="118"/>
      <c r="AC51" s="118"/>
      <c r="AD51" s="118"/>
      <c r="AE51" s="118"/>
    </row>
    <row r="52" spans="1:31">
      <c r="A52" s="125" t="s">
        <v>285</v>
      </c>
      <c r="B52" s="126" t="s">
        <v>286</v>
      </c>
      <c r="C52" s="127" t="s">
        <v>362</v>
      </c>
      <c r="D52" s="117" t="s">
        <v>12</v>
      </c>
      <c r="E52" s="118">
        <v>32229430.52</v>
      </c>
      <c r="F52" s="118">
        <v>294400</v>
      </c>
      <c r="G52" s="118">
        <v>4154693</v>
      </c>
      <c r="H52" s="118">
        <v>67450.48</v>
      </c>
      <c r="I52" s="118">
        <v>20235</v>
      </c>
      <c r="J52" s="126"/>
      <c r="K52" s="126"/>
      <c r="L52" s="118"/>
      <c r="M52" s="118"/>
      <c r="N52" s="118"/>
      <c r="O52" s="118"/>
      <c r="P52" s="128"/>
      <c r="Q52" s="132">
        <v>42804</v>
      </c>
      <c r="R52" s="118" t="s">
        <v>365</v>
      </c>
      <c r="S52" s="129">
        <v>6</v>
      </c>
      <c r="T52" s="118">
        <v>32229430.52</v>
      </c>
      <c r="U52" s="118">
        <v>294400</v>
      </c>
      <c r="V52" s="118">
        <v>4154693</v>
      </c>
      <c r="W52" s="118">
        <v>67450.48</v>
      </c>
      <c r="X52" s="118">
        <v>20235</v>
      </c>
      <c r="Y52" s="132">
        <v>42804</v>
      </c>
      <c r="Z52" s="132"/>
      <c r="AA52" s="118"/>
      <c r="AB52" s="118"/>
      <c r="AC52" s="118"/>
      <c r="AD52" s="118"/>
      <c r="AE52" s="118"/>
    </row>
    <row r="53" spans="1:31">
      <c r="A53" s="125" t="s">
        <v>285</v>
      </c>
      <c r="B53" s="126" t="s">
        <v>286</v>
      </c>
      <c r="C53" s="127" t="s">
        <v>362</v>
      </c>
      <c r="D53" s="117" t="s">
        <v>13</v>
      </c>
      <c r="E53" s="118">
        <v>84834155.370000005</v>
      </c>
      <c r="F53" s="118">
        <v>653500</v>
      </c>
      <c r="G53" s="118">
        <v>10947692</v>
      </c>
      <c r="H53" s="118">
        <v>17161</v>
      </c>
      <c r="I53" s="118">
        <v>5148</v>
      </c>
      <c r="J53" s="126"/>
      <c r="K53" s="126"/>
      <c r="L53" s="118"/>
      <c r="M53" s="118"/>
      <c r="N53" s="118"/>
      <c r="O53" s="118"/>
      <c r="P53" s="128"/>
      <c r="Q53" s="132">
        <v>42804</v>
      </c>
      <c r="R53" s="118" t="s">
        <v>365</v>
      </c>
      <c r="S53" s="129">
        <v>7</v>
      </c>
      <c r="T53" s="118">
        <v>84834155.370000005</v>
      </c>
      <c r="U53" s="118">
        <v>653500</v>
      </c>
      <c r="V53" s="118">
        <v>10947692</v>
      </c>
      <c r="W53" s="118">
        <v>17161</v>
      </c>
      <c r="X53" s="118">
        <v>5148</v>
      </c>
      <c r="Y53" s="132">
        <v>42804</v>
      </c>
      <c r="Z53" s="132"/>
      <c r="AA53" s="118"/>
      <c r="AB53" s="118"/>
      <c r="AC53" s="118"/>
      <c r="AD53" s="118"/>
      <c r="AE53" s="118"/>
    </row>
    <row r="54" spans="1:31">
      <c r="A54" s="125" t="s">
        <v>287</v>
      </c>
      <c r="B54" s="126" t="s">
        <v>288</v>
      </c>
      <c r="C54" s="127" t="s">
        <v>363</v>
      </c>
      <c r="D54" s="117" t="s">
        <v>7</v>
      </c>
      <c r="E54" s="118">
        <v>6888208.5700000003</v>
      </c>
      <c r="F54" s="118"/>
      <c r="G54" s="118">
        <v>895467</v>
      </c>
      <c r="H54" s="118"/>
      <c r="I54" s="118"/>
      <c r="J54" s="126"/>
      <c r="K54" s="126"/>
      <c r="L54" s="118"/>
      <c r="M54" s="118"/>
      <c r="N54" s="118"/>
      <c r="O54" s="118"/>
      <c r="P54" s="128"/>
      <c r="Q54" s="132">
        <v>42807</v>
      </c>
      <c r="R54" s="118" t="s">
        <v>366</v>
      </c>
      <c r="S54" s="129">
        <v>1</v>
      </c>
      <c r="T54" s="118">
        <v>6888208.5700000003</v>
      </c>
      <c r="U54" s="118">
        <v>0</v>
      </c>
      <c r="V54" s="118">
        <v>895467</v>
      </c>
      <c r="W54" s="118">
        <v>0</v>
      </c>
      <c r="X54" s="118">
        <v>0</v>
      </c>
      <c r="Y54" s="132">
        <v>42807</v>
      </c>
      <c r="Z54" s="132"/>
      <c r="AA54" s="118"/>
      <c r="AB54" s="118"/>
      <c r="AC54" s="118"/>
      <c r="AD54" s="118"/>
      <c r="AE54" s="118"/>
    </row>
    <row r="55" spans="1:31">
      <c r="A55" s="125" t="s">
        <v>289</v>
      </c>
      <c r="B55" s="126" t="s">
        <v>290</v>
      </c>
      <c r="C55" s="127" t="s">
        <v>364</v>
      </c>
      <c r="D55" s="117" t="s">
        <v>8</v>
      </c>
      <c r="E55" s="118"/>
      <c r="F55" s="118"/>
      <c r="G55" s="118"/>
      <c r="H55" s="118"/>
      <c r="I55" s="118"/>
      <c r="J55" s="126" t="s">
        <v>289</v>
      </c>
      <c r="K55" s="126" t="s">
        <v>291</v>
      </c>
      <c r="L55" s="118">
        <v>-50000</v>
      </c>
      <c r="M55" s="118"/>
      <c r="N55" s="118">
        <v>-6500</v>
      </c>
      <c r="O55" s="118"/>
      <c r="P55" s="128"/>
      <c r="Q55" s="132">
        <v>42811</v>
      </c>
      <c r="R55" s="118" t="s">
        <v>367</v>
      </c>
      <c r="S55" s="129">
        <v>2</v>
      </c>
      <c r="T55" s="118"/>
      <c r="U55" s="118"/>
      <c r="V55" s="118"/>
      <c r="W55" s="118"/>
      <c r="X55" s="118"/>
      <c r="Y55" s="132">
        <v>42811</v>
      </c>
      <c r="Z55" s="132">
        <v>42587</v>
      </c>
      <c r="AA55" s="118">
        <v>-50000</v>
      </c>
      <c r="AB55" s="118">
        <v>0</v>
      </c>
      <c r="AC55" s="118">
        <v>-6500</v>
      </c>
      <c r="AD55" s="118">
        <v>0</v>
      </c>
      <c r="AE55" s="118">
        <v>0</v>
      </c>
    </row>
    <row r="56" spans="1:31">
      <c r="A56" s="125" t="s">
        <v>292</v>
      </c>
      <c r="B56" s="126" t="s">
        <v>293</v>
      </c>
      <c r="C56" s="127" t="s">
        <v>362</v>
      </c>
      <c r="D56" s="117" t="s">
        <v>7</v>
      </c>
      <c r="E56" s="118">
        <v>10228035.35</v>
      </c>
      <c r="F56" s="118">
        <v>6500</v>
      </c>
      <c r="G56" s="118">
        <v>1328796</v>
      </c>
      <c r="H56" s="118">
        <v>11584.85</v>
      </c>
      <c r="I56" s="118">
        <v>3475</v>
      </c>
      <c r="J56" s="126"/>
      <c r="K56" s="126"/>
      <c r="L56" s="118"/>
      <c r="M56" s="118"/>
      <c r="N56" s="118"/>
      <c r="O56" s="118"/>
      <c r="P56" s="128"/>
      <c r="Q56" s="132">
        <v>42818</v>
      </c>
      <c r="R56" s="118" t="s">
        <v>365</v>
      </c>
      <c r="S56" s="129">
        <v>1</v>
      </c>
      <c r="T56" s="118">
        <v>10228035.35</v>
      </c>
      <c r="U56" s="118">
        <v>6500</v>
      </c>
      <c r="V56" s="118">
        <v>1328796</v>
      </c>
      <c r="W56" s="118">
        <v>11584.85</v>
      </c>
      <c r="X56" s="118">
        <v>3475</v>
      </c>
      <c r="Y56" s="132">
        <v>42818</v>
      </c>
      <c r="Z56" s="132"/>
      <c r="AA56" s="118"/>
      <c r="AB56" s="118"/>
      <c r="AC56" s="118"/>
      <c r="AD56" s="118"/>
      <c r="AE56" s="118"/>
    </row>
    <row r="57" spans="1:31">
      <c r="A57" s="125" t="s">
        <v>292</v>
      </c>
      <c r="B57" s="126" t="s">
        <v>293</v>
      </c>
      <c r="C57" s="127" t="s">
        <v>362</v>
      </c>
      <c r="D57" s="117" t="s">
        <v>8</v>
      </c>
      <c r="E57" s="118">
        <v>180474.12</v>
      </c>
      <c r="F57" s="118"/>
      <c r="G57" s="118">
        <v>23464</v>
      </c>
      <c r="H57" s="118"/>
      <c r="I57" s="118"/>
      <c r="J57" s="126"/>
      <c r="K57" s="126"/>
      <c r="L57" s="118"/>
      <c r="M57" s="118"/>
      <c r="N57" s="118"/>
      <c r="O57" s="118"/>
      <c r="P57" s="128"/>
      <c r="Q57" s="132">
        <v>42818</v>
      </c>
      <c r="R57" s="118" t="s">
        <v>365</v>
      </c>
      <c r="S57" s="129">
        <v>2</v>
      </c>
      <c r="T57" s="118">
        <v>180474.12</v>
      </c>
      <c r="U57" s="118">
        <v>0</v>
      </c>
      <c r="V57" s="118">
        <v>23464</v>
      </c>
      <c r="W57" s="118">
        <v>0</v>
      </c>
      <c r="X57" s="118">
        <v>0</v>
      </c>
      <c r="Y57" s="132">
        <v>42818</v>
      </c>
      <c r="Z57" s="132"/>
      <c r="AA57" s="118"/>
      <c r="AB57" s="118"/>
      <c r="AC57" s="118"/>
      <c r="AD57" s="118"/>
      <c r="AE57" s="118"/>
    </row>
    <row r="58" spans="1:31">
      <c r="A58" s="125" t="s">
        <v>292</v>
      </c>
      <c r="B58" s="126" t="s">
        <v>293</v>
      </c>
      <c r="C58" s="127" t="s">
        <v>362</v>
      </c>
      <c r="D58" s="117" t="s">
        <v>9</v>
      </c>
      <c r="E58" s="118">
        <v>127077.17</v>
      </c>
      <c r="F58" s="118"/>
      <c r="G58" s="118">
        <v>16520</v>
      </c>
      <c r="H58" s="118"/>
      <c r="I58" s="118"/>
      <c r="J58" s="126"/>
      <c r="K58" s="126"/>
      <c r="L58" s="118"/>
      <c r="M58" s="118"/>
      <c r="N58" s="118"/>
      <c r="O58" s="118"/>
      <c r="P58" s="128"/>
      <c r="Q58" s="132">
        <v>42818</v>
      </c>
      <c r="R58" s="118" t="s">
        <v>365</v>
      </c>
      <c r="S58" s="129">
        <v>3</v>
      </c>
      <c r="T58" s="118">
        <v>127077.17</v>
      </c>
      <c r="U58" s="118">
        <v>0</v>
      </c>
      <c r="V58" s="118">
        <v>16520</v>
      </c>
      <c r="W58" s="118">
        <v>0</v>
      </c>
      <c r="X58" s="118">
        <v>0</v>
      </c>
      <c r="Y58" s="132">
        <v>42818</v>
      </c>
      <c r="Z58" s="132"/>
      <c r="AA58" s="118"/>
      <c r="AB58" s="118"/>
      <c r="AC58" s="118"/>
      <c r="AD58" s="118"/>
      <c r="AE58" s="118"/>
    </row>
    <row r="59" spans="1:31">
      <c r="A59" s="125" t="s">
        <v>292</v>
      </c>
      <c r="B59" s="126" t="s">
        <v>293</v>
      </c>
      <c r="C59" s="127" t="s">
        <v>362</v>
      </c>
      <c r="D59" s="117" t="s">
        <v>11</v>
      </c>
      <c r="E59" s="118">
        <v>12643.68</v>
      </c>
      <c r="F59" s="118"/>
      <c r="G59" s="118">
        <v>1644</v>
      </c>
      <c r="H59" s="118"/>
      <c r="I59" s="118"/>
      <c r="J59" s="126"/>
      <c r="K59" s="126"/>
      <c r="L59" s="118"/>
      <c r="M59" s="118"/>
      <c r="N59" s="118"/>
      <c r="O59" s="118"/>
      <c r="P59" s="128"/>
      <c r="Q59" s="132">
        <v>42818</v>
      </c>
      <c r="R59" s="118" t="s">
        <v>365</v>
      </c>
      <c r="S59" s="129">
        <v>5</v>
      </c>
      <c r="T59" s="118">
        <v>12643.68</v>
      </c>
      <c r="U59" s="118">
        <v>0</v>
      </c>
      <c r="V59" s="118">
        <v>1644</v>
      </c>
      <c r="W59" s="118">
        <v>0</v>
      </c>
      <c r="X59" s="118">
        <v>0</v>
      </c>
      <c r="Y59" s="132">
        <v>42818</v>
      </c>
      <c r="Z59" s="132"/>
      <c r="AA59" s="118"/>
      <c r="AB59" s="118"/>
      <c r="AC59" s="118"/>
      <c r="AD59" s="118"/>
      <c r="AE59" s="118"/>
    </row>
    <row r="60" spans="1:31">
      <c r="A60" s="125" t="s">
        <v>292</v>
      </c>
      <c r="B60" s="126" t="s">
        <v>293</v>
      </c>
      <c r="C60" s="127" t="s">
        <v>362</v>
      </c>
      <c r="D60" s="117" t="s">
        <v>12</v>
      </c>
      <c r="E60" s="118">
        <v>267710.5</v>
      </c>
      <c r="F60" s="118"/>
      <c r="G60" s="118">
        <v>34803</v>
      </c>
      <c r="H60" s="118"/>
      <c r="I60" s="118"/>
      <c r="J60" s="126"/>
      <c r="K60" s="126"/>
      <c r="L60" s="118"/>
      <c r="M60" s="118"/>
      <c r="N60" s="118"/>
      <c r="O60" s="118"/>
      <c r="P60" s="128"/>
      <c r="Q60" s="132">
        <v>42818</v>
      </c>
      <c r="R60" s="118" t="s">
        <v>365</v>
      </c>
      <c r="S60" s="129">
        <v>6</v>
      </c>
      <c r="T60" s="118">
        <v>267710.5</v>
      </c>
      <c r="U60" s="118">
        <v>0</v>
      </c>
      <c r="V60" s="118">
        <v>34803</v>
      </c>
      <c r="W60" s="118">
        <v>0</v>
      </c>
      <c r="X60" s="118">
        <v>0</v>
      </c>
      <c r="Y60" s="132">
        <v>42818</v>
      </c>
      <c r="Z60" s="132"/>
      <c r="AA60" s="118"/>
      <c r="AB60" s="118"/>
      <c r="AC60" s="118"/>
      <c r="AD60" s="118"/>
      <c r="AE60" s="118"/>
    </row>
    <row r="61" spans="1:31">
      <c r="A61" s="125" t="s">
        <v>292</v>
      </c>
      <c r="B61" s="126" t="s">
        <v>293</v>
      </c>
      <c r="C61" s="127" t="s">
        <v>362</v>
      </c>
      <c r="D61" s="117" t="s">
        <v>13</v>
      </c>
      <c r="E61" s="118">
        <v>1204766.54</v>
      </c>
      <c r="F61" s="118">
        <v>19800</v>
      </c>
      <c r="G61" s="118">
        <v>154052</v>
      </c>
      <c r="H61" s="118"/>
      <c r="I61" s="118"/>
      <c r="J61" s="126"/>
      <c r="K61" s="126"/>
      <c r="L61" s="118"/>
      <c r="M61" s="118"/>
      <c r="N61" s="118"/>
      <c r="O61" s="118"/>
      <c r="P61" s="128"/>
      <c r="Q61" s="132">
        <v>42818</v>
      </c>
      <c r="R61" s="118" t="s">
        <v>365</v>
      </c>
      <c r="S61" s="129">
        <v>7</v>
      </c>
      <c r="T61" s="118">
        <v>1204766.54</v>
      </c>
      <c r="U61" s="118">
        <v>19800</v>
      </c>
      <c r="V61" s="118">
        <v>154052</v>
      </c>
      <c r="W61" s="118">
        <v>0</v>
      </c>
      <c r="X61" s="118">
        <v>0</v>
      </c>
      <c r="Y61" s="132">
        <v>42818</v>
      </c>
      <c r="Z61" s="132"/>
      <c r="AA61" s="118"/>
      <c r="AB61" s="118"/>
      <c r="AC61" s="118"/>
      <c r="AD61" s="118"/>
      <c r="AE61" s="118"/>
    </row>
    <row r="62" spans="1:31">
      <c r="A62" s="125" t="s">
        <v>294</v>
      </c>
      <c r="B62" s="126" t="s">
        <v>295</v>
      </c>
      <c r="C62" s="127" t="s">
        <v>364</v>
      </c>
      <c r="D62" s="117" t="s">
        <v>8</v>
      </c>
      <c r="E62" s="118"/>
      <c r="F62" s="118"/>
      <c r="G62" s="118"/>
      <c r="H62" s="118"/>
      <c r="I62" s="118"/>
      <c r="J62" s="126" t="s">
        <v>294</v>
      </c>
      <c r="K62" s="126" t="s">
        <v>296</v>
      </c>
      <c r="L62" s="118">
        <v>-35000</v>
      </c>
      <c r="M62" s="118"/>
      <c r="N62" s="118">
        <v>-4550</v>
      </c>
      <c r="O62" s="118"/>
      <c r="P62" s="128"/>
      <c r="Q62" s="132">
        <v>42821</v>
      </c>
      <c r="R62" s="118" t="s">
        <v>367</v>
      </c>
      <c r="S62" s="129">
        <v>2</v>
      </c>
      <c r="T62" s="118"/>
      <c r="U62" s="118"/>
      <c r="V62" s="118"/>
      <c r="W62" s="118"/>
      <c r="X62" s="118"/>
      <c r="Y62" s="132">
        <v>42821</v>
      </c>
      <c r="Z62" s="132">
        <v>42650</v>
      </c>
      <c r="AA62" s="118">
        <v>-35000</v>
      </c>
      <c r="AB62" s="118">
        <v>0</v>
      </c>
      <c r="AC62" s="118">
        <v>-4550</v>
      </c>
      <c r="AD62" s="118">
        <v>0</v>
      </c>
      <c r="AE62" s="118">
        <v>0</v>
      </c>
    </row>
    <row r="63" spans="1:31">
      <c r="A63" s="125" t="s">
        <v>294</v>
      </c>
      <c r="B63" s="126" t="s">
        <v>295</v>
      </c>
      <c r="C63" s="127" t="s">
        <v>363</v>
      </c>
      <c r="D63" s="117" t="s">
        <v>7</v>
      </c>
      <c r="E63" s="118">
        <v>5543304.9900000002</v>
      </c>
      <c r="F63" s="118"/>
      <c r="G63" s="118">
        <v>720628</v>
      </c>
      <c r="H63" s="118">
        <v>52254</v>
      </c>
      <c r="I63" s="118">
        <v>15676</v>
      </c>
      <c r="J63" s="126"/>
      <c r="K63" s="126"/>
      <c r="L63" s="118"/>
      <c r="M63" s="118"/>
      <c r="N63" s="118"/>
      <c r="O63" s="118"/>
      <c r="P63" s="128"/>
      <c r="Q63" s="132">
        <v>42821</v>
      </c>
      <c r="R63" s="118" t="s">
        <v>366</v>
      </c>
      <c r="S63" s="129">
        <v>1</v>
      </c>
      <c r="T63" s="118">
        <v>5543304.9900000002</v>
      </c>
      <c r="U63" s="118">
        <v>0</v>
      </c>
      <c r="V63" s="118">
        <v>720628</v>
      </c>
      <c r="W63" s="118">
        <v>52254</v>
      </c>
      <c r="X63" s="118">
        <v>15676</v>
      </c>
      <c r="Y63" s="132">
        <v>42821</v>
      </c>
      <c r="Z63" s="132"/>
      <c r="AA63" s="118"/>
      <c r="AB63" s="118"/>
      <c r="AC63" s="118"/>
      <c r="AD63" s="118"/>
      <c r="AE63" s="118"/>
    </row>
    <row r="64" spans="1:31">
      <c r="A64" s="125" t="s">
        <v>297</v>
      </c>
      <c r="B64" s="126" t="s">
        <v>298</v>
      </c>
      <c r="C64" s="127" t="s">
        <v>362</v>
      </c>
      <c r="D64" s="117" t="s">
        <v>7</v>
      </c>
      <c r="E64" s="118"/>
      <c r="F64" s="118"/>
      <c r="G64" s="118"/>
      <c r="H64" s="118"/>
      <c r="I64" s="118"/>
      <c r="J64" s="126" t="s">
        <v>297</v>
      </c>
      <c r="K64" s="126" t="s">
        <v>254</v>
      </c>
      <c r="L64" s="118">
        <v>-10090.99</v>
      </c>
      <c r="M64" s="118">
        <v>-500</v>
      </c>
      <c r="N64" s="118">
        <v>-1247</v>
      </c>
      <c r="O64" s="118"/>
      <c r="P64" s="128"/>
      <c r="Q64" s="132">
        <v>42825</v>
      </c>
      <c r="R64" s="118" t="s">
        <v>365</v>
      </c>
      <c r="S64" s="129">
        <v>1</v>
      </c>
      <c r="T64" s="118"/>
      <c r="U64" s="118"/>
      <c r="V64" s="118"/>
      <c r="W64" s="118"/>
      <c r="X64" s="118"/>
      <c r="Y64" s="132">
        <v>42825</v>
      </c>
      <c r="Z64" s="132">
        <v>42745</v>
      </c>
      <c r="AA64" s="118">
        <v>-10090.99</v>
      </c>
      <c r="AB64" s="118">
        <v>-500</v>
      </c>
      <c r="AC64" s="118">
        <v>-1247</v>
      </c>
      <c r="AD64" s="118">
        <v>0</v>
      </c>
      <c r="AE64" s="118">
        <v>0</v>
      </c>
    </row>
    <row r="65" spans="1:31">
      <c r="A65" s="125"/>
      <c r="B65" s="126"/>
      <c r="C65" s="127"/>
      <c r="D65" s="117"/>
      <c r="E65" s="118"/>
      <c r="F65" s="118"/>
      <c r="G65" s="118"/>
      <c r="H65" s="118"/>
      <c r="I65" s="118"/>
      <c r="J65" s="126" t="s">
        <v>297</v>
      </c>
      <c r="K65" s="126" t="s">
        <v>275</v>
      </c>
      <c r="L65" s="118">
        <v>-34138.81</v>
      </c>
      <c r="M65" s="118">
        <v>-1000</v>
      </c>
      <c r="N65" s="118">
        <v>-4304</v>
      </c>
      <c r="O65" s="118"/>
      <c r="P65" s="128"/>
      <c r="Q65" s="132">
        <v>42825</v>
      </c>
      <c r="R65" s="118" t="s">
        <v>365</v>
      </c>
      <c r="S65" s="129">
        <v>1</v>
      </c>
      <c r="T65" s="118"/>
      <c r="U65" s="118"/>
      <c r="V65" s="118"/>
      <c r="W65" s="118"/>
      <c r="X65" s="118"/>
      <c r="Y65" s="132">
        <v>42825</v>
      </c>
      <c r="Z65" s="132">
        <v>42776</v>
      </c>
      <c r="AA65" s="118">
        <v>-34138.81</v>
      </c>
      <c r="AB65" s="118">
        <v>-1000</v>
      </c>
      <c r="AC65" s="118">
        <v>-4304</v>
      </c>
      <c r="AD65" s="118">
        <v>0</v>
      </c>
      <c r="AE65" s="118">
        <v>0</v>
      </c>
    </row>
    <row r="66" spans="1:31">
      <c r="A66" s="125"/>
      <c r="B66" s="126"/>
      <c r="C66" s="127"/>
      <c r="D66" s="117"/>
      <c r="E66" s="118"/>
      <c r="F66" s="118"/>
      <c r="G66" s="118"/>
      <c r="H66" s="118"/>
      <c r="I66" s="118"/>
      <c r="J66" s="126" t="s">
        <v>297</v>
      </c>
      <c r="K66" s="126" t="s">
        <v>285</v>
      </c>
      <c r="L66" s="118">
        <v>-3738.4</v>
      </c>
      <c r="M66" s="118"/>
      <c r="N66" s="118">
        <v>-486</v>
      </c>
      <c r="O66" s="118"/>
      <c r="P66" s="128"/>
      <c r="Q66" s="132">
        <v>42825</v>
      </c>
      <c r="R66" s="118" t="s">
        <v>365</v>
      </c>
      <c r="S66" s="129">
        <v>1</v>
      </c>
      <c r="T66" s="118"/>
      <c r="U66" s="118"/>
      <c r="V66" s="118"/>
      <c r="W66" s="118"/>
      <c r="X66" s="118"/>
      <c r="Y66" s="132">
        <v>42825</v>
      </c>
      <c r="Z66" s="132">
        <v>42804</v>
      </c>
      <c r="AA66" s="118">
        <v>-3738.4</v>
      </c>
      <c r="AB66" s="118">
        <v>0</v>
      </c>
      <c r="AC66" s="118">
        <v>-486</v>
      </c>
      <c r="AD66" s="118">
        <v>0</v>
      </c>
      <c r="AE66" s="118">
        <v>0</v>
      </c>
    </row>
    <row r="67" spans="1:31">
      <c r="A67" s="125" t="s">
        <v>299</v>
      </c>
      <c r="B67" s="126" t="s">
        <v>300</v>
      </c>
      <c r="C67" s="127" t="s">
        <v>364</v>
      </c>
      <c r="D67" s="117" t="s">
        <v>8</v>
      </c>
      <c r="E67" s="118">
        <v>3499808.62</v>
      </c>
      <c r="F67" s="118"/>
      <c r="G67" s="118">
        <v>454975</v>
      </c>
      <c r="H67" s="118"/>
      <c r="I67" s="118"/>
      <c r="J67" s="126"/>
      <c r="K67" s="126"/>
      <c r="L67" s="118"/>
      <c r="M67" s="118"/>
      <c r="N67" s="118"/>
      <c r="O67" s="118"/>
      <c r="P67" s="128"/>
      <c r="Q67" s="132">
        <v>42832</v>
      </c>
      <c r="R67" s="118" t="s">
        <v>367</v>
      </c>
      <c r="S67" s="129">
        <v>2</v>
      </c>
      <c r="T67" s="118">
        <v>3499808.62</v>
      </c>
      <c r="U67" s="118">
        <v>0</v>
      </c>
      <c r="V67" s="118">
        <v>454975</v>
      </c>
      <c r="W67" s="118">
        <v>0</v>
      </c>
      <c r="X67" s="118">
        <v>0</v>
      </c>
      <c r="Y67" s="132">
        <v>42832</v>
      </c>
      <c r="Z67" s="132"/>
      <c r="AA67" s="118"/>
      <c r="AB67" s="118"/>
      <c r="AC67" s="118"/>
      <c r="AD67" s="118"/>
      <c r="AE67" s="118"/>
    </row>
    <row r="68" spans="1:31">
      <c r="A68" s="125" t="s">
        <v>299</v>
      </c>
      <c r="B68" s="126" t="s">
        <v>300</v>
      </c>
      <c r="C68" s="127" t="s">
        <v>364</v>
      </c>
      <c r="D68" s="117" t="s">
        <v>9</v>
      </c>
      <c r="E68" s="118">
        <v>2997890.8</v>
      </c>
      <c r="F68" s="118"/>
      <c r="G68" s="118">
        <v>389728</v>
      </c>
      <c r="H68" s="118"/>
      <c r="I68" s="118"/>
      <c r="J68" s="126" t="s">
        <v>299</v>
      </c>
      <c r="K68" s="126" t="s">
        <v>269</v>
      </c>
      <c r="L68" s="118">
        <v>-7000</v>
      </c>
      <c r="M68" s="118"/>
      <c r="N68" s="118">
        <v>-910</v>
      </c>
      <c r="O68" s="118"/>
      <c r="P68" s="128"/>
      <c r="Q68" s="132">
        <v>42832</v>
      </c>
      <c r="R68" s="118" t="s">
        <v>367</v>
      </c>
      <c r="S68" s="129">
        <v>3</v>
      </c>
      <c r="T68" s="118">
        <v>2997890.8</v>
      </c>
      <c r="U68" s="118">
        <v>0</v>
      </c>
      <c r="V68" s="118">
        <v>389728</v>
      </c>
      <c r="W68" s="118">
        <v>0</v>
      </c>
      <c r="X68" s="118">
        <v>0</v>
      </c>
      <c r="Y68" s="132">
        <v>42832</v>
      </c>
      <c r="Z68" s="132">
        <v>42727</v>
      </c>
      <c r="AA68" s="118">
        <v>-7000</v>
      </c>
      <c r="AB68" s="118">
        <v>0</v>
      </c>
      <c r="AC68" s="118">
        <v>-910</v>
      </c>
      <c r="AD68" s="118">
        <v>0</v>
      </c>
      <c r="AE68" s="118">
        <v>0</v>
      </c>
    </row>
    <row r="69" spans="1:31">
      <c r="A69" s="125" t="s">
        <v>299</v>
      </c>
      <c r="B69" s="126" t="s">
        <v>300</v>
      </c>
      <c r="C69" s="127" t="s">
        <v>364</v>
      </c>
      <c r="D69" s="117" t="s">
        <v>10</v>
      </c>
      <c r="E69" s="118">
        <v>4566024.4400000004</v>
      </c>
      <c r="F69" s="118"/>
      <c r="G69" s="118">
        <v>593583</v>
      </c>
      <c r="H69" s="118"/>
      <c r="I69" s="118"/>
      <c r="J69" s="126"/>
      <c r="K69" s="126"/>
      <c r="L69" s="118"/>
      <c r="M69" s="118"/>
      <c r="N69" s="118"/>
      <c r="O69" s="118"/>
      <c r="P69" s="128"/>
      <c r="Q69" s="132">
        <v>42832</v>
      </c>
      <c r="R69" s="118" t="s">
        <v>367</v>
      </c>
      <c r="S69" s="129">
        <v>4</v>
      </c>
      <c r="T69" s="118">
        <v>4566024.4400000004</v>
      </c>
      <c r="U69" s="118">
        <v>0</v>
      </c>
      <c r="V69" s="118">
        <v>593583</v>
      </c>
      <c r="W69" s="118">
        <v>0</v>
      </c>
      <c r="X69" s="118">
        <v>0</v>
      </c>
      <c r="Y69" s="132">
        <v>42832</v>
      </c>
      <c r="Z69" s="132"/>
      <c r="AA69" s="118"/>
      <c r="AB69" s="118"/>
      <c r="AC69" s="118"/>
      <c r="AD69" s="118"/>
      <c r="AE69" s="118"/>
    </row>
    <row r="70" spans="1:31">
      <c r="A70" s="125" t="s">
        <v>299</v>
      </c>
      <c r="B70" s="126" t="s">
        <v>300</v>
      </c>
      <c r="C70" s="127" t="s">
        <v>364</v>
      </c>
      <c r="D70" s="117" t="s">
        <v>11</v>
      </c>
      <c r="E70" s="118">
        <v>1154670.76</v>
      </c>
      <c r="F70" s="118"/>
      <c r="G70" s="118">
        <v>150108</v>
      </c>
      <c r="H70" s="118"/>
      <c r="I70" s="118"/>
      <c r="J70" s="126"/>
      <c r="K70" s="126"/>
      <c r="L70" s="118"/>
      <c r="M70" s="118"/>
      <c r="N70" s="118"/>
      <c r="O70" s="118"/>
      <c r="P70" s="128"/>
      <c r="Q70" s="132">
        <v>42832</v>
      </c>
      <c r="R70" s="118" t="s">
        <v>367</v>
      </c>
      <c r="S70" s="129">
        <v>5</v>
      </c>
      <c r="T70" s="118">
        <v>1154670.76</v>
      </c>
      <c r="U70" s="118">
        <v>0</v>
      </c>
      <c r="V70" s="118">
        <v>150108</v>
      </c>
      <c r="W70" s="118">
        <v>0</v>
      </c>
      <c r="X70" s="118">
        <v>0</v>
      </c>
      <c r="Y70" s="132">
        <v>42832</v>
      </c>
      <c r="Z70" s="132"/>
      <c r="AA70" s="118"/>
      <c r="AB70" s="118"/>
      <c r="AC70" s="118"/>
      <c r="AD70" s="118"/>
      <c r="AE70" s="118"/>
    </row>
    <row r="71" spans="1:31">
      <c r="A71" s="125" t="s">
        <v>299</v>
      </c>
      <c r="B71" s="126" t="s">
        <v>300</v>
      </c>
      <c r="C71" s="127" t="s">
        <v>363</v>
      </c>
      <c r="D71" s="117" t="s">
        <v>7</v>
      </c>
      <c r="E71" s="118">
        <v>4768030.78</v>
      </c>
      <c r="F71" s="118"/>
      <c r="G71" s="118">
        <v>619843</v>
      </c>
      <c r="H71" s="118">
        <v>252200.94</v>
      </c>
      <c r="I71" s="118">
        <v>75659</v>
      </c>
      <c r="J71" s="126"/>
      <c r="K71" s="126"/>
      <c r="L71" s="118"/>
      <c r="M71" s="118"/>
      <c r="N71" s="118"/>
      <c r="O71" s="118"/>
      <c r="P71" s="128"/>
      <c r="Q71" s="132">
        <v>42832</v>
      </c>
      <c r="R71" s="118" t="s">
        <v>366</v>
      </c>
      <c r="S71" s="129">
        <v>1</v>
      </c>
      <c r="T71" s="118">
        <v>4768030.78</v>
      </c>
      <c r="U71" s="118">
        <v>0</v>
      </c>
      <c r="V71" s="118">
        <v>619843</v>
      </c>
      <c r="W71" s="118">
        <v>252200.94</v>
      </c>
      <c r="X71" s="118">
        <v>75659</v>
      </c>
      <c r="Y71" s="132">
        <v>42832</v>
      </c>
      <c r="Z71" s="132"/>
      <c r="AA71" s="118"/>
      <c r="AB71" s="118"/>
      <c r="AC71" s="118"/>
      <c r="AD71" s="118"/>
      <c r="AE71" s="118"/>
    </row>
    <row r="72" spans="1:31">
      <c r="A72" s="125" t="s">
        <v>301</v>
      </c>
      <c r="B72" s="126" t="s">
        <v>302</v>
      </c>
      <c r="C72" s="127" t="s">
        <v>362</v>
      </c>
      <c r="D72" s="117" t="s">
        <v>7</v>
      </c>
      <c r="E72" s="118">
        <v>1122339942.3199999</v>
      </c>
      <c r="F72" s="118">
        <v>6412300</v>
      </c>
      <c r="G72" s="118">
        <v>145095325</v>
      </c>
      <c r="H72" s="118">
        <v>2596322.44</v>
      </c>
      <c r="I72" s="118">
        <v>787476</v>
      </c>
      <c r="J72" s="126"/>
      <c r="K72" s="126"/>
      <c r="L72" s="118"/>
      <c r="M72" s="118"/>
      <c r="N72" s="118"/>
      <c r="O72" s="118"/>
      <c r="P72" s="128"/>
      <c r="Q72" s="132">
        <v>42835</v>
      </c>
      <c r="R72" s="118" t="s">
        <v>365</v>
      </c>
      <c r="S72" s="129">
        <v>1</v>
      </c>
      <c r="T72" s="118">
        <v>1122339942.3199999</v>
      </c>
      <c r="U72" s="118">
        <v>6412300</v>
      </c>
      <c r="V72" s="118">
        <v>145095325</v>
      </c>
      <c r="W72" s="118">
        <v>2596322.44</v>
      </c>
      <c r="X72" s="118">
        <v>787476</v>
      </c>
      <c r="Y72" s="132">
        <v>42835</v>
      </c>
      <c r="Z72" s="132"/>
      <c r="AA72" s="118"/>
      <c r="AB72" s="118"/>
      <c r="AC72" s="118"/>
      <c r="AD72" s="118"/>
      <c r="AE72" s="118"/>
    </row>
    <row r="73" spans="1:31">
      <c r="A73" s="125" t="s">
        <v>301</v>
      </c>
      <c r="B73" s="126" t="s">
        <v>302</v>
      </c>
      <c r="C73" s="127" t="s">
        <v>362</v>
      </c>
      <c r="D73" s="117" t="s">
        <v>8</v>
      </c>
      <c r="E73" s="118">
        <v>39955767.619999997</v>
      </c>
      <c r="F73" s="118">
        <v>220800</v>
      </c>
      <c r="G73" s="118">
        <v>5176854</v>
      </c>
      <c r="H73" s="118">
        <v>24793</v>
      </c>
      <c r="I73" s="118">
        <v>7438</v>
      </c>
      <c r="J73" s="126"/>
      <c r="K73" s="126"/>
      <c r="L73" s="118"/>
      <c r="M73" s="118"/>
      <c r="N73" s="118"/>
      <c r="O73" s="118"/>
      <c r="P73" s="128"/>
      <c r="Q73" s="132">
        <v>42835</v>
      </c>
      <c r="R73" s="118" t="s">
        <v>365</v>
      </c>
      <c r="S73" s="129">
        <v>2</v>
      </c>
      <c r="T73" s="118">
        <v>39955767.619999997</v>
      </c>
      <c r="U73" s="118">
        <v>220800</v>
      </c>
      <c r="V73" s="118">
        <v>5176854</v>
      </c>
      <c r="W73" s="118">
        <v>24793</v>
      </c>
      <c r="X73" s="118">
        <v>7438</v>
      </c>
      <c r="Y73" s="132">
        <v>42835</v>
      </c>
      <c r="Z73" s="132"/>
      <c r="AA73" s="118"/>
      <c r="AB73" s="118"/>
      <c r="AC73" s="118"/>
      <c r="AD73" s="118"/>
      <c r="AE73" s="118"/>
    </row>
    <row r="74" spans="1:31">
      <c r="A74" s="125" t="s">
        <v>301</v>
      </c>
      <c r="B74" s="126" t="s">
        <v>302</v>
      </c>
      <c r="C74" s="127" t="s">
        <v>362</v>
      </c>
      <c r="D74" s="117" t="s">
        <v>9</v>
      </c>
      <c r="E74" s="118">
        <v>18926470.550000001</v>
      </c>
      <c r="F74" s="118">
        <v>34900</v>
      </c>
      <c r="G74" s="118">
        <v>2456831</v>
      </c>
      <c r="H74" s="118">
        <v>2463</v>
      </c>
      <c r="I74" s="118">
        <v>739</v>
      </c>
      <c r="J74" s="126"/>
      <c r="K74" s="126"/>
      <c r="L74" s="118"/>
      <c r="M74" s="118"/>
      <c r="N74" s="118"/>
      <c r="O74" s="118"/>
      <c r="P74" s="128"/>
      <c r="Q74" s="132">
        <v>42835</v>
      </c>
      <c r="R74" s="118" t="s">
        <v>365</v>
      </c>
      <c r="S74" s="129">
        <v>3</v>
      </c>
      <c r="T74" s="118">
        <v>18926470.550000001</v>
      </c>
      <c r="U74" s="118">
        <v>34900</v>
      </c>
      <c r="V74" s="118">
        <v>2456831</v>
      </c>
      <c r="W74" s="118">
        <v>2463</v>
      </c>
      <c r="X74" s="118">
        <v>739</v>
      </c>
      <c r="Y74" s="132">
        <v>42835</v>
      </c>
      <c r="Z74" s="132"/>
      <c r="AA74" s="118"/>
      <c r="AB74" s="118"/>
      <c r="AC74" s="118"/>
      <c r="AD74" s="118"/>
      <c r="AE74" s="118"/>
    </row>
    <row r="75" spans="1:31">
      <c r="A75" s="125" t="s">
        <v>301</v>
      </c>
      <c r="B75" s="126" t="s">
        <v>302</v>
      </c>
      <c r="C75" s="127" t="s">
        <v>362</v>
      </c>
      <c r="D75" s="117" t="s">
        <v>11</v>
      </c>
      <c r="E75" s="118">
        <v>3351691.16</v>
      </c>
      <c r="F75" s="118">
        <v>11000</v>
      </c>
      <c r="G75" s="118">
        <v>434291</v>
      </c>
      <c r="H75" s="118">
        <v>4428.5</v>
      </c>
      <c r="I75" s="118">
        <v>1329</v>
      </c>
      <c r="J75" s="126"/>
      <c r="K75" s="126"/>
      <c r="L75" s="118"/>
      <c r="M75" s="118"/>
      <c r="N75" s="118"/>
      <c r="O75" s="118"/>
      <c r="P75" s="128"/>
      <c r="Q75" s="132">
        <v>42835</v>
      </c>
      <c r="R75" s="118" t="s">
        <v>365</v>
      </c>
      <c r="S75" s="129">
        <v>5</v>
      </c>
      <c r="T75" s="118">
        <v>3351691.16</v>
      </c>
      <c r="U75" s="118">
        <v>11000</v>
      </c>
      <c r="V75" s="118">
        <v>434291</v>
      </c>
      <c r="W75" s="118">
        <v>4428.5</v>
      </c>
      <c r="X75" s="118">
        <v>1329</v>
      </c>
      <c r="Y75" s="132">
        <v>42835</v>
      </c>
      <c r="Z75" s="132"/>
      <c r="AA75" s="118"/>
      <c r="AB75" s="118"/>
      <c r="AC75" s="118"/>
      <c r="AD75" s="118"/>
      <c r="AE75" s="118"/>
    </row>
    <row r="76" spans="1:31">
      <c r="A76" s="125" t="s">
        <v>301</v>
      </c>
      <c r="B76" s="126" t="s">
        <v>302</v>
      </c>
      <c r="C76" s="127" t="s">
        <v>362</v>
      </c>
      <c r="D76" s="117" t="s">
        <v>12</v>
      </c>
      <c r="E76" s="118">
        <v>32009631</v>
      </c>
      <c r="F76" s="118">
        <v>316000</v>
      </c>
      <c r="G76" s="118">
        <v>4123225</v>
      </c>
      <c r="H76" s="118">
        <v>67450.48</v>
      </c>
      <c r="I76" s="118">
        <v>20235</v>
      </c>
      <c r="J76" s="126"/>
      <c r="K76" s="126"/>
      <c r="L76" s="118"/>
      <c r="M76" s="118"/>
      <c r="N76" s="118"/>
      <c r="O76" s="118"/>
      <c r="P76" s="128"/>
      <c r="Q76" s="132">
        <v>42835</v>
      </c>
      <c r="R76" s="118" t="s">
        <v>365</v>
      </c>
      <c r="S76" s="129">
        <v>6</v>
      </c>
      <c r="T76" s="118">
        <v>32009631</v>
      </c>
      <c r="U76" s="118">
        <v>316000</v>
      </c>
      <c r="V76" s="118">
        <v>4123225</v>
      </c>
      <c r="W76" s="118">
        <v>67450.48</v>
      </c>
      <c r="X76" s="118">
        <v>20235</v>
      </c>
      <c r="Y76" s="132">
        <v>42835</v>
      </c>
      <c r="Z76" s="132"/>
      <c r="AA76" s="118"/>
      <c r="AB76" s="118"/>
      <c r="AC76" s="118"/>
      <c r="AD76" s="118"/>
      <c r="AE76" s="118"/>
    </row>
    <row r="77" spans="1:31">
      <c r="A77" s="125" t="s">
        <v>301</v>
      </c>
      <c r="B77" s="126" t="s">
        <v>302</v>
      </c>
      <c r="C77" s="127" t="s">
        <v>362</v>
      </c>
      <c r="D77" s="117" t="s">
        <v>13</v>
      </c>
      <c r="E77" s="118">
        <v>91115422.920000002</v>
      </c>
      <c r="F77" s="118">
        <v>643700</v>
      </c>
      <c r="G77" s="118">
        <v>11765797</v>
      </c>
      <c r="H77" s="118">
        <v>17161</v>
      </c>
      <c r="I77" s="118">
        <v>5148</v>
      </c>
      <c r="J77" s="126"/>
      <c r="K77" s="126"/>
      <c r="L77" s="118"/>
      <c r="M77" s="118"/>
      <c r="N77" s="118"/>
      <c r="O77" s="118"/>
      <c r="P77" s="128"/>
      <c r="Q77" s="132">
        <v>42835</v>
      </c>
      <c r="R77" s="118" t="s">
        <v>365</v>
      </c>
      <c r="S77" s="129">
        <v>7</v>
      </c>
      <c r="T77" s="118">
        <v>91115422.920000002</v>
      </c>
      <c r="U77" s="118">
        <v>643700</v>
      </c>
      <c r="V77" s="118">
        <v>11765797</v>
      </c>
      <c r="W77" s="118">
        <v>17161</v>
      </c>
      <c r="X77" s="118">
        <v>5148</v>
      </c>
      <c r="Y77" s="132">
        <v>42835</v>
      </c>
      <c r="Z77" s="132"/>
      <c r="AA77" s="118"/>
      <c r="AB77" s="118"/>
      <c r="AC77" s="118"/>
      <c r="AD77" s="118"/>
      <c r="AE77" s="118"/>
    </row>
    <row r="78" spans="1:31">
      <c r="A78" s="125" t="s">
        <v>303</v>
      </c>
      <c r="B78" s="126" t="s">
        <v>304</v>
      </c>
      <c r="C78" s="127" t="s">
        <v>364</v>
      </c>
      <c r="D78" s="117" t="s">
        <v>8</v>
      </c>
      <c r="E78" s="118">
        <v>721953.93</v>
      </c>
      <c r="F78" s="118"/>
      <c r="G78" s="118">
        <v>93854</v>
      </c>
      <c r="H78" s="118"/>
      <c r="I78" s="118"/>
      <c r="J78" s="126" t="s">
        <v>303</v>
      </c>
      <c r="K78" s="126" t="s">
        <v>299</v>
      </c>
      <c r="L78" s="118">
        <v>-63000</v>
      </c>
      <c r="M78" s="118"/>
      <c r="N78" s="118">
        <v>-8190</v>
      </c>
      <c r="O78" s="118"/>
      <c r="P78" s="128"/>
      <c r="Q78" s="132">
        <v>42839</v>
      </c>
      <c r="R78" s="118" t="s">
        <v>367</v>
      </c>
      <c r="S78" s="129">
        <v>2</v>
      </c>
      <c r="T78" s="118">
        <v>721953.93</v>
      </c>
      <c r="U78" s="118">
        <v>0</v>
      </c>
      <c r="V78" s="118">
        <v>93854</v>
      </c>
      <c r="W78" s="118">
        <v>0</v>
      </c>
      <c r="X78" s="118">
        <v>0</v>
      </c>
      <c r="Y78" s="132">
        <v>42839</v>
      </c>
      <c r="Z78" s="132">
        <v>42832</v>
      </c>
      <c r="AA78" s="118">
        <v>-63000</v>
      </c>
      <c r="AB78" s="118">
        <v>0</v>
      </c>
      <c r="AC78" s="118">
        <v>-8190</v>
      </c>
      <c r="AD78" s="118">
        <v>0</v>
      </c>
      <c r="AE78" s="118">
        <v>0</v>
      </c>
    </row>
    <row r="79" spans="1:31">
      <c r="A79" s="125" t="s">
        <v>303</v>
      </c>
      <c r="B79" s="126" t="s">
        <v>304</v>
      </c>
      <c r="C79" s="127" t="s">
        <v>364</v>
      </c>
      <c r="D79" s="117" t="s">
        <v>9</v>
      </c>
      <c r="E79" s="118">
        <v>1249488.43</v>
      </c>
      <c r="F79" s="118"/>
      <c r="G79" s="118">
        <v>162433</v>
      </c>
      <c r="H79" s="118"/>
      <c r="I79" s="118"/>
      <c r="J79" s="126" t="s">
        <v>303</v>
      </c>
      <c r="K79" s="126" t="s">
        <v>305</v>
      </c>
      <c r="L79" s="118">
        <v>-24000</v>
      </c>
      <c r="M79" s="118"/>
      <c r="N79" s="118">
        <v>-3120</v>
      </c>
      <c r="O79" s="118"/>
      <c r="P79" s="128"/>
      <c r="Q79" s="132">
        <v>42839</v>
      </c>
      <c r="R79" s="118" t="s">
        <v>367</v>
      </c>
      <c r="S79" s="129">
        <v>3</v>
      </c>
      <c r="T79" s="118">
        <v>1249488.43</v>
      </c>
      <c r="U79" s="118">
        <v>0</v>
      </c>
      <c r="V79" s="118">
        <v>162433</v>
      </c>
      <c r="W79" s="118">
        <v>0</v>
      </c>
      <c r="X79" s="118">
        <v>0</v>
      </c>
      <c r="Y79" s="132">
        <v>42839</v>
      </c>
      <c r="Z79" s="132">
        <v>42216</v>
      </c>
      <c r="AA79" s="118">
        <v>-24000</v>
      </c>
      <c r="AB79" s="118">
        <v>0</v>
      </c>
      <c r="AC79" s="118">
        <v>-3120</v>
      </c>
      <c r="AD79" s="118">
        <v>0</v>
      </c>
      <c r="AE79" s="118">
        <v>0</v>
      </c>
    </row>
    <row r="80" spans="1:31">
      <c r="A80" s="125"/>
      <c r="B80" s="126"/>
      <c r="C80" s="127"/>
      <c r="D80" s="117"/>
      <c r="E80" s="118"/>
      <c r="F80" s="118"/>
      <c r="G80" s="118"/>
      <c r="H80" s="118"/>
      <c r="I80" s="118"/>
      <c r="J80" s="126" t="s">
        <v>303</v>
      </c>
      <c r="K80" s="126" t="s">
        <v>299</v>
      </c>
      <c r="L80" s="118">
        <v>-101000</v>
      </c>
      <c r="M80" s="118"/>
      <c r="N80" s="118">
        <v>-13130</v>
      </c>
      <c r="O80" s="118"/>
      <c r="P80" s="128"/>
      <c r="Q80" s="132">
        <v>42839</v>
      </c>
      <c r="R80" s="118" t="s">
        <v>367</v>
      </c>
      <c r="S80" s="129">
        <v>3</v>
      </c>
      <c r="T80" s="118"/>
      <c r="U80" s="118"/>
      <c r="V80" s="118"/>
      <c r="W80" s="118"/>
      <c r="X80" s="118"/>
      <c r="Y80" s="132">
        <v>42839</v>
      </c>
      <c r="Z80" s="132">
        <v>42832</v>
      </c>
      <c r="AA80" s="118">
        <v>-101000</v>
      </c>
      <c r="AB80" s="118">
        <v>0</v>
      </c>
      <c r="AC80" s="118">
        <v>-13130</v>
      </c>
      <c r="AD80" s="118">
        <v>0</v>
      </c>
      <c r="AE80" s="118">
        <v>0</v>
      </c>
    </row>
    <row r="81" spans="1:31">
      <c r="A81" s="125" t="s">
        <v>303</v>
      </c>
      <c r="B81" s="126" t="s">
        <v>304</v>
      </c>
      <c r="C81" s="127" t="s">
        <v>364</v>
      </c>
      <c r="D81" s="117" t="s">
        <v>11</v>
      </c>
      <c r="E81" s="118"/>
      <c r="F81" s="118"/>
      <c r="G81" s="118"/>
      <c r="H81" s="118"/>
      <c r="I81" s="118"/>
      <c r="J81" s="126" t="s">
        <v>303</v>
      </c>
      <c r="K81" s="126" t="s">
        <v>281</v>
      </c>
      <c r="L81" s="118">
        <v>-20000</v>
      </c>
      <c r="M81" s="118"/>
      <c r="N81" s="118">
        <v>-2600</v>
      </c>
      <c r="O81" s="118"/>
      <c r="P81" s="128"/>
      <c r="Q81" s="132">
        <v>42839</v>
      </c>
      <c r="R81" s="118" t="s">
        <v>367</v>
      </c>
      <c r="S81" s="129">
        <v>5</v>
      </c>
      <c r="T81" s="118"/>
      <c r="U81" s="118"/>
      <c r="V81" s="118"/>
      <c r="W81" s="118"/>
      <c r="X81" s="118"/>
      <c r="Y81" s="132">
        <v>42839</v>
      </c>
      <c r="Z81" s="132">
        <v>42702</v>
      </c>
      <c r="AA81" s="118">
        <v>-20000</v>
      </c>
      <c r="AB81" s="118">
        <v>0</v>
      </c>
      <c r="AC81" s="118">
        <v>-2600</v>
      </c>
      <c r="AD81" s="118">
        <v>0</v>
      </c>
      <c r="AE81" s="118">
        <v>0</v>
      </c>
    </row>
    <row r="82" spans="1:31">
      <c r="A82" s="125"/>
      <c r="B82" s="126"/>
      <c r="C82" s="127"/>
      <c r="D82" s="117"/>
      <c r="E82" s="118"/>
      <c r="F82" s="118"/>
      <c r="G82" s="118"/>
      <c r="H82" s="118"/>
      <c r="I82" s="118"/>
      <c r="J82" s="126" t="s">
        <v>303</v>
      </c>
      <c r="K82" s="126" t="s">
        <v>268</v>
      </c>
      <c r="L82" s="118">
        <v>-10000</v>
      </c>
      <c r="M82" s="118"/>
      <c r="N82" s="118">
        <v>-1300</v>
      </c>
      <c r="O82" s="118"/>
      <c r="P82" s="128"/>
      <c r="Q82" s="132">
        <v>42839</v>
      </c>
      <c r="R82" s="118" t="s">
        <v>367</v>
      </c>
      <c r="S82" s="129">
        <v>5</v>
      </c>
      <c r="T82" s="118"/>
      <c r="U82" s="118"/>
      <c r="V82" s="118"/>
      <c r="W82" s="118"/>
      <c r="X82" s="118"/>
      <c r="Y82" s="132">
        <v>42839</v>
      </c>
      <c r="Z82" s="132">
        <v>42716</v>
      </c>
      <c r="AA82" s="118">
        <v>-10000</v>
      </c>
      <c r="AB82" s="118">
        <v>0</v>
      </c>
      <c r="AC82" s="118">
        <v>-1300</v>
      </c>
      <c r="AD82" s="118">
        <v>0</v>
      </c>
      <c r="AE82" s="118">
        <v>0</v>
      </c>
    </row>
    <row r="83" spans="1:31">
      <c r="A83" s="125" t="s">
        <v>306</v>
      </c>
      <c r="B83" s="126" t="s">
        <v>307</v>
      </c>
      <c r="C83" s="127" t="s">
        <v>364</v>
      </c>
      <c r="D83" s="117" t="s">
        <v>8</v>
      </c>
      <c r="E83" s="118">
        <v>130056.51</v>
      </c>
      <c r="F83" s="118"/>
      <c r="G83" s="118">
        <v>16907</v>
      </c>
      <c r="H83" s="118"/>
      <c r="I83" s="118"/>
      <c r="J83" s="126" t="s">
        <v>306</v>
      </c>
      <c r="K83" s="126" t="s">
        <v>299</v>
      </c>
      <c r="L83" s="118">
        <v>-109000</v>
      </c>
      <c r="M83" s="118"/>
      <c r="N83" s="118">
        <v>-14170</v>
      </c>
      <c r="O83" s="118"/>
      <c r="P83" s="128"/>
      <c r="Q83" s="132">
        <v>42846</v>
      </c>
      <c r="R83" s="118" t="s">
        <v>367</v>
      </c>
      <c r="S83" s="129">
        <v>2</v>
      </c>
      <c r="T83" s="118">
        <v>130056.51</v>
      </c>
      <c r="U83" s="118">
        <v>0</v>
      </c>
      <c r="V83" s="118">
        <v>16907</v>
      </c>
      <c r="W83" s="118">
        <v>0</v>
      </c>
      <c r="X83" s="118">
        <v>0</v>
      </c>
      <c r="Y83" s="132">
        <v>42846</v>
      </c>
      <c r="Z83" s="132">
        <v>42832</v>
      </c>
      <c r="AA83" s="118">
        <v>-109000</v>
      </c>
      <c r="AB83" s="118">
        <v>0</v>
      </c>
      <c r="AC83" s="118">
        <v>-14170</v>
      </c>
      <c r="AD83" s="118">
        <v>0</v>
      </c>
      <c r="AE83" s="118">
        <v>0</v>
      </c>
    </row>
    <row r="84" spans="1:31">
      <c r="A84" s="125" t="s">
        <v>306</v>
      </c>
      <c r="B84" s="126" t="s">
        <v>307</v>
      </c>
      <c r="C84" s="127" t="s">
        <v>364</v>
      </c>
      <c r="D84" s="117" t="s">
        <v>9</v>
      </c>
      <c r="E84" s="118">
        <v>110141.75</v>
      </c>
      <c r="F84" s="118"/>
      <c r="G84" s="118">
        <v>14319</v>
      </c>
      <c r="H84" s="118"/>
      <c r="I84" s="118"/>
      <c r="J84" s="126" t="s">
        <v>306</v>
      </c>
      <c r="K84" s="126" t="s">
        <v>303</v>
      </c>
      <c r="L84" s="118">
        <v>-55500</v>
      </c>
      <c r="M84" s="118"/>
      <c r="N84" s="118">
        <v>-7215</v>
      </c>
      <c r="O84" s="118"/>
      <c r="P84" s="128"/>
      <c r="Q84" s="132">
        <v>42846</v>
      </c>
      <c r="R84" s="118" t="s">
        <v>367</v>
      </c>
      <c r="S84" s="129">
        <v>3</v>
      </c>
      <c r="T84" s="118">
        <v>110141.75</v>
      </c>
      <c r="U84" s="118">
        <v>0</v>
      </c>
      <c r="V84" s="118">
        <v>14319</v>
      </c>
      <c r="W84" s="118">
        <v>0</v>
      </c>
      <c r="X84" s="118">
        <v>0</v>
      </c>
      <c r="Y84" s="132">
        <v>42846</v>
      </c>
      <c r="Z84" s="132">
        <v>42839</v>
      </c>
      <c r="AA84" s="118">
        <v>-55500</v>
      </c>
      <c r="AB84" s="118">
        <v>0</v>
      </c>
      <c r="AC84" s="118">
        <v>-7215</v>
      </c>
      <c r="AD84" s="118">
        <v>0</v>
      </c>
      <c r="AE84" s="118">
        <v>0</v>
      </c>
    </row>
    <row r="85" spans="1:31">
      <c r="A85" s="125" t="s">
        <v>306</v>
      </c>
      <c r="B85" s="126" t="s">
        <v>307</v>
      </c>
      <c r="C85" s="127" t="s">
        <v>363</v>
      </c>
      <c r="D85" s="117" t="s">
        <v>7</v>
      </c>
      <c r="E85" s="118">
        <v>6083916.3399999999</v>
      </c>
      <c r="F85" s="118"/>
      <c r="G85" s="118">
        <v>790912</v>
      </c>
      <c r="H85" s="118"/>
      <c r="I85" s="118"/>
      <c r="J85" s="126"/>
      <c r="K85" s="126"/>
      <c r="L85" s="118"/>
      <c r="M85" s="118"/>
      <c r="N85" s="118"/>
      <c r="O85" s="118"/>
      <c r="P85" s="128"/>
      <c r="Q85" s="132">
        <v>42846</v>
      </c>
      <c r="R85" s="118" t="s">
        <v>366</v>
      </c>
      <c r="S85" s="129">
        <v>1</v>
      </c>
      <c r="T85" s="118">
        <v>6083916.3399999999</v>
      </c>
      <c r="U85" s="118">
        <v>0</v>
      </c>
      <c r="V85" s="118">
        <v>790912</v>
      </c>
      <c r="W85" s="118">
        <v>0</v>
      </c>
      <c r="X85" s="118">
        <v>0</v>
      </c>
      <c r="Y85" s="132">
        <v>42846</v>
      </c>
      <c r="Z85" s="132"/>
      <c r="AA85" s="118"/>
      <c r="AB85" s="118"/>
      <c r="AC85" s="118"/>
      <c r="AD85" s="118"/>
      <c r="AE85" s="118"/>
    </row>
    <row r="86" spans="1:31">
      <c r="A86" s="125" t="s">
        <v>308</v>
      </c>
      <c r="B86" s="126" t="s">
        <v>309</v>
      </c>
      <c r="C86" s="127" t="s">
        <v>362</v>
      </c>
      <c r="D86" s="117" t="s">
        <v>7</v>
      </c>
      <c r="E86" s="118">
        <v>7131989.3300000001</v>
      </c>
      <c r="F86" s="118">
        <v>2000</v>
      </c>
      <c r="G86" s="118">
        <v>926896</v>
      </c>
      <c r="H86" s="118"/>
      <c r="I86" s="118"/>
      <c r="J86" s="126"/>
      <c r="K86" s="126"/>
      <c r="L86" s="118"/>
      <c r="M86" s="118"/>
      <c r="N86" s="118"/>
      <c r="O86" s="118"/>
      <c r="P86" s="128"/>
      <c r="Q86" s="132">
        <v>42850</v>
      </c>
      <c r="R86" s="118" t="s">
        <v>365</v>
      </c>
      <c r="S86" s="129">
        <v>1</v>
      </c>
      <c r="T86" s="118">
        <v>7131989.3300000001</v>
      </c>
      <c r="U86" s="118">
        <v>2000</v>
      </c>
      <c r="V86" s="118">
        <v>926896</v>
      </c>
      <c r="W86" s="118">
        <v>0</v>
      </c>
      <c r="X86" s="118">
        <v>0</v>
      </c>
      <c r="Y86" s="132">
        <v>42850</v>
      </c>
      <c r="Z86" s="132"/>
      <c r="AA86" s="118"/>
      <c r="AB86" s="118"/>
      <c r="AC86" s="118"/>
      <c r="AD86" s="118"/>
      <c r="AE86" s="118"/>
    </row>
    <row r="87" spans="1:31">
      <c r="A87" s="125" t="s">
        <v>308</v>
      </c>
      <c r="B87" s="126" t="s">
        <v>309</v>
      </c>
      <c r="C87" s="127" t="s">
        <v>362</v>
      </c>
      <c r="D87" s="117" t="s">
        <v>8</v>
      </c>
      <c r="E87" s="118">
        <v>166908.31</v>
      </c>
      <c r="F87" s="118"/>
      <c r="G87" s="118">
        <v>21696</v>
      </c>
      <c r="H87" s="118"/>
      <c r="I87" s="118"/>
      <c r="J87" s="126"/>
      <c r="K87" s="126"/>
      <c r="L87" s="118"/>
      <c r="M87" s="118"/>
      <c r="N87" s="118"/>
      <c r="O87" s="118"/>
      <c r="P87" s="128"/>
      <c r="Q87" s="132">
        <v>42850</v>
      </c>
      <c r="R87" s="118" t="s">
        <v>365</v>
      </c>
      <c r="S87" s="129">
        <v>2</v>
      </c>
      <c r="T87" s="118">
        <v>166908.31</v>
      </c>
      <c r="U87" s="118">
        <v>0</v>
      </c>
      <c r="V87" s="118">
        <v>21696</v>
      </c>
      <c r="W87" s="118">
        <v>0</v>
      </c>
      <c r="X87" s="118">
        <v>0</v>
      </c>
      <c r="Y87" s="132">
        <v>42850</v>
      </c>
      <c r="Z87" s="132"/>
      <c r="AA87" s="118"/>
      <c r="AB87" s="118"/>
      <c r="AC87" s="118"/>
      <c r="AD87" s="118"/>
      <c r="AE87" s="118"/>
    </row>
    <row r="88" spans="1:31">
      <c r="A88" s="125" t="s">
        <v>308</v>
      </c>
      <c r="B88" s="126" t="s">
        <v>309</v>
      </c>
      <c r="C88" s="127" t="s">
        <v>362</v>
      </c>
      <c r="D88" s="117" t="s">
        <v>9</v>
      </c>
      <c r="E88" s="118">
        <v>29534.34</v>
      </c>
      <c r="F88" s="118"/>
      <c r="G88" s="118">
        <v>3840</v>
      </c>
      <c r="H88" s="118"/>
      <c r="I88" s="118"/>
      <c r="J88" s="126"/>
      <c r="K88" s="126"/>
      <c r="L88" s="118"/>
      <c r="M88" s="118"/>
      <c r="N88" s="118"/>
      <c r="O88" s="118"/>
      <c r="P88" s="128"/>
      <c r="Q88" s="132">
        <v>42850</v>
      </c>
      <c r="R88" s="118" t="s">
        <v>365</v>
      </c>
      <c r="S88" s="129">
        <v>3</v>
      </c>
      <c r="T88" s="118">
        <v>29534.34</v>
      </c>
      <c r="U88" s="118">
        <v>0</v>
      </c>
      <c r="V88" s="118">
        <v>3840</v>
      </c>
      <c r="W88" s="118">
        <v>0</v>
      </c>
      <c r="X88" s="118">
        <v>0</v>
      </c>
      <c r="Y88" s="132">
        <v>42850</v>
      </c>
      <c r="Z88" s="132"/>
      <c r="AA88" s="118"/>
      <c r="AB88" s="118"/>
      <c r="AC88" s="118"/>
      <c r="AD88" s="118"/>
      <c r="AE88" s="118"/>
    </row>
    <row r="89" spans="1:31">
      <c r="A89" s="125" t="s">
        <v>308</v>
      </c>
      <c r="B89" s="126" t="s">
        <v>309</v>
      </c>
      <c r="C89" s="127" t="s">
        <v>362</v>
      </c>
      <c r="D89" s="117" t="s">
        <v>12</v>
      </c>
      <c r="E89" s="118">
        <v>280357.38</v>
      </c>
      <c r="F89" s="118">
        <v>2000</v>
      </c>
      <c r="G89" s="118">
        <v>36188</v>
      </c>
      <c r="H89" s="118"/>
      <c r="I89" s="118"/>
      <c r="J89" s="126"/>
      <c r="K89" s="126"/>
      <c r="L89" s="118"/>
      <c r="M89" s="118"/>
      <c r="N89" s="118"/>
      <c r="O89" s="118"/>
      <c r="P89" s="128"/>
      <c r="Q89" s="132">
        <v>42850</v>
      </c>
      <c r="R89" s="118" t="s">
        <v>365</v>
      </c>
      <c r="S89" s="129">
        <v>6</v>
      </c>
      <c r="T89" s="118">
        <v>280357.38</v>
      </c>
      <c r="U89" s="118">
        <v>2000</v>
      </c>
      <c r="V89" s="118">
        <v>36188</v>
      </c>
      <c r="W89" s="118">
        <v>0</v>
      </c>
      <c r="X89" s="118">
        <v>0</v>
      </c>
      <c r="Y89" s="132">
        <v>42850</v>
      </c>
      <c r="Z89" s="132"/>
      <c r="AA89" s="118"/>
      <c r="AB89" s="118"/>
      <c r="AC89" s="118"/>
      <c r="AD89" s="118"/>
      <c r="AE89" s="118"/>
    </row>
    <row r="90" spans="1:31">
      <c r="A90" s="125" t="s">
        <v>308</v>
      </c>
      <c r="B90" s="126" t="s">
        <v>309</v>
      </c>
      <c r="C90" s="127" t="s">
        <v>362</v>
      </c>
      <c r="D90" s="117" t="s">
        <v>13</v>
      </c>
      <c r="E90" s="118">
        <v>2625347.23</v>
      </c>
      <c r="F90" s="118">
        <v>11300</v>
      </c>
      <c r="G90" s="118">
        <v>339825</v>
      </c>
      <c r="H90" s="118">
        <v>5846</v>
      </c>
      <c r="I90" s="118">
        <v>1754</v>
      </c>
      <c r="J90" s="126"/>
      <c r="K90" s="126"/>
      <c r="L90" s="118"/>
      <c r="M90" s="118"/>
      <c r="N90" s="118"/>
      <c r="O90" s="118"/>
      <c r="P90" s="128"/>
      <c r="Q90" s="132">
        <v>42850</v>
      </c>
      <c r="R90" s="118" t="s">
        <v>365</v>
      </c>
      <c r="S90" s="129">
        <v>7</v>
      </c>
      <c r="T90" s="118">
        <v>2625347.23</v>
      </c>
      <c r="U90" s="118">
        <v>11300</v>
      </c>
      <c r="V90" s="118">
        <v>339825</v>
      </c>
      <c r="W90" s="118">
        <v>5846</v>
      </c>
      <c r="X90" s="118">
        <v>1754</v>
      </c>
      <c r="Y90" s="132">
        <v>42850</v>
      </c>
      <c r="Z90" s="132"/>
      <c r="AA90" s="118"/>
      <c r="AB90" s="118"/>
      <c r="AC90" s="118"/>
      <c r="AD90" s="118"/>
      <c r="AE90" s="118"/>
    </row>
    <row r="91" spans="1:31">
      <c r="A91" s="125" t="s">
        <v>310</v>
      </c>
      <c r="B91" s="126" t="s">
        <v>311</v>
      </c>
      <c r="C91" s="127" t="s">
        <v>364</v>
      </c>
      <c r="D91" s="117" t="s">
        <v>8</v>
      </c>
      <c r="E91" s="118">
        <v>376904.16</v>
      </c>
      <c r="F91" s="118"/>
      <c r="G91" s="118">
        <v>48998</v>
      </c>
      <c r="H91" s="118"/>
      <c r="I91" s="118"/>
      <c r="J91" s="126"/>
      <c r="K91" s="126"/>
      <c r="L91" s="118"/>
      <c r="M91" s="118"/>
      <c r="N91" s="118"/>
      <c r="O91" s="118"/>
      <c r="P91" s="128"/>
      <c r="Q91" s="132">
        <v>42853</v>
      </c>
      <c r="R91" s="118" t="s">
        <v>367</v>
      </c>
      <c r="S91" s="129">
        <v>2</v>
      </c>
      <c r="T91" s="118">
        <v>376904.16</v>
      </c>
      <c r="U91" s="118">
        <v>0</v>
      </c>
      <c r="V91" s="118">
        <v>48998</v>
      </c>
      <c r="W91" s="118">
        <v>0</v>
      </c>
      <c r="X91" s="118">
        <v>0</v>
      </c>
      <c r="Y91" s="132">
        <v>42853</v>
      </c>
      <c r="Z91" s="132"/>
      <c r="AA91" s="118"/>
      <c r="AB91" s="118"/>
      <c r="AC91" s="118"/>
      <c r="AD91" s="118"/>
      <c r="AE91" s="118"/>
    </row>
    <row r="92" spans="1:31">
      <c r="A92" s="125" t="s">
        <v>310</v>
      </c>
      <c r="B92" s="126" t="s">
        <v>311</v>
      </c>
      <c r="C92" s="127" t="s">
        <v>364</v>
      </c>
      <c r="D92" s="117" t="s">
        <v>9</v>
      </c>
      <c r="E92" s="118">
        <v>443872.09</v>
      </c>
      <c r="F92" s="118"/>
      <c r="G92" s="118">
        <v>57703</v>
      </c>
      <c r="H92" s="118"/>
      <c r="I92" s="118"/>
      <c r="J92" s="126" t="s">
        <v>310</v>
      </c>
      <c r="K92" s="126" t="s">
        <v>312</v>
      </c>
      <c r="L92" s="118">
        <v>-65000</v>
      </c>
      <c r="M92" s="118"/>
      <c r="N92" s="118">
        <v>-8450</v>
      </c>
      <c r="O92" s="118"/>
      <c r="P92" s="128"/>
      <c r="Q92" s="132">
        <v>42853</v>
      </c>
      <c r="R92" s="118" t="s">
        <v>367</v>
      </c>
      <c r="S92" s="129">
        <v>3</v>
      </c>
      <c r="T92" s="118">
        <v>443872.09</v>
      </c>
      <c r="U92" s="118">
        <v>0</v>
      </c>
      <c r="V92" s="118">
        <v>57703</v>
      </c>
      <c r="W92" s="118">
        <v>0</v>
      </c>
      <c r="X92" s="118">
        <v>0</v>
      </c>
      <c r="Y92" s="132">
        <v>42853</v>
      </c>
      <c r="Z92" s="132">
        <v>42461</v>
      </c>
      <c r="AA92" s="118">
        <v>-65000</v>
      </c>
      <c r="AB92" s="118">
        <v>0</v>
      </c>
      <c r="AC92" s="118">
        <v>-8450</v>
      </c>
      <c r="AD92" s="118">
        <v>0</v>
      </c>
      <c r="AE92" s="118">
        <v>0</v>
      </c>
    </row>
    <row r="93" spans="1:31">
      <c r="A93" s="125" t="s">
        <v>313</v>
      </c>
      <c r="B93" s="126" t="s">
        <v>314</v>
      </c>
      <c r="C93" s="127" t="s">
        <v>362</v>
      </c>
      <c r="D93" s="117" t="s">
        <v>7</v>
      </c>
      <c r="E93" s="118"/>
      <c r="F93" s="118"/>
      <c r="G93" s="118">
        <v>-20756</v>
      </c>
      <c r="H93" s="118"/>
      <c r="I93" s="118">
        <v>20756</v>
      </c>
      <c r="J93" s="126" t="s">
        <v>313</v>
      </c>
      <c r="K93" s="126" t="s">
        <v>254</v>
      </c>
      <c r="L93" s="118">
        <v>-11450.4</v>
      </c>
      <c r="M93" s="118"/>
      <c r="N93" s="118">
        <v>-1489</v>
      </c>
      <c r="O93" s="118"/>
      <c r="P93" s="128"/>
      <c r="Q93" s="132">
        <v>42855</v>
      </c>
      <c r="R93" s="118" t="s">
        <v>365</v>
      </c>
      <c r="S93" s="129">
        <v>1</v>
      </c>
      <c r="T93" s="118">
        <v>0</v>
      </c>
      <c r="U93" s="118">
        <v>0</v>
      </c>
      <c r="V93" s="118">
        <v>-20756</v>
      </c>
      <c r="W93" s="118">
        <v>0</v>
      </c>
      <c r="X93" s="118">
        <v>20756</v>
      </c>
      <c r="Y93" s="132">
        <v>42855</v>
      </c>
      <c r="Z93" s="132">
        <v>42745</v>
      </c>
      <c r="AA93" s="118">
        <v>-11450.4</v>
      </c>
      <c r="AB93" s="118">
        <v>0</v>
      </c>
      <c r="AC93" s="118">
        <v>-1489</v>
      </c>
      <c r="AD93" s="118">
        <v>0</v>
      </c>
      <c r="AE93" s="118">
        <v>0</v>
      </c>
    </row>
    <row r="94" spans="1:31">
      <c r="A94" s="125"/>
      <c r="B94" s="126"/>
      <c r="C94" s="127"/>
      <c r="D94" s="117"/>
      <c r="E94" s="118"/>
      <c r="F94" s="118"/>
      <c r="G94" s="118"/>
      <c r="H94" s="118"/>
      <c r="I94" s="118"/>
      <c r="J94" s="126" t="s">
        <v>313</v>
      </c>
      <c r="K94" s="126" t="s">
        <v>275</v>
      </c>
      <c r="L94" s="118">
        <v>-7016.89</v>
      </c>
      <c r="M94" s="118"/>
      <c r="N94" s="118">
        <v>-911</v>
      </c>
      <c r="O94" s="118"/>
      <c r="P94" s="128"/>
      <c r="Q94" s="132">
        <v>42855</v>
      </c>
      <c r="R94" s="118" t="s">
        <v>365</v>
      </c>
      <c r="S94" s="129">
        <v>1</v>
      </c>
      <c r="T94" s="118"/>
      <c r="U94" s="118"/>
      <c r="V94" s="118"/>
      <c r="W94" s="118"/>
      <c r="X94" s="118"/>
      <c r="Y94" s="132">
        <v>42855</v>
      </c>
      <c r="Z94" s="132">
        <v>42776</v>
      </c>
      <c r="AA94" s="118">
        <v>-7016.89</v>
      </c>
      <c r="AB94" s="118">
        <v>0</v>
      </c>
      <c r="AC94" s="118">
        <v>-911</v>
      </c>
      <c r="AD94" s="118">
        <v>0</v>
      </c>
      <c r="AE94" s="118">
        <v>0</v>
      </c>
    </row>
    <row r="95" spans="1:31">
      <c r="A95" s="125"/>
      <c r="B95" s="126"/>
      <c r="C95" s="127"/>
      <c r="D95" s="117"/>
      <c r="E95" s="118"/>
      <c r="F95" s="118"/>
      <c r="G95" s="118"/>
      <c r="H95" s="118"/>
      <c r="I95" s="118"/>
      <c r="J95" s="126" t="s">
        <v>313</v>
      </c>
      <c r="K95" s="126" t="s">
        <v>285</v>
      </c>
      <c r="L95" s="118">
        <v>-16640.7</v>
      </c>
      <c r="M95" s="118"/>
      <c r="N95" s="118">
        <v>-2163</v>
      </c>
      <c r="O95" s="118"/>
      <c r="P95" s="128"/>
      <c r="Q95" s="132">
        <v>42855</v>
      </c>
      <c r="R95" s="118" t="s">
        <v>365</v>
      </c>
      <c r="S95" s="129">
        <v>1</v>
      </c>
      <c r="T95" s="118"/>
      <c r="U95" s="118"/>
      <c r="V95" s="118"/>
      <c r="W95" s="118"/>
      <c r="X95" s="118"/>
      <c r="Y95" s="132">
        <v>42855</v>
      </c>
      <c r="Z95" s="132">
        <v>42804</v>
      </c>
      <c r="AA95" s="118">
        <v>-16640.7</v>
      </c>
      <c r="AB95" s="118">
        <v>0</v>
      </c>
      <c r="AC95" s="118">
        <v>-2163</v>
      </c>
      <c r="AD95" s="118">
        <v>0</v>
      </c>
      <c r="AE95" s="118">
        <v>0</v>
      </c>
    </row>
    <row r="96" spans="1:31">
      <c r="A96" s="125"/>
      <c r="B96" s="126"/>
      <c r="C96" s="127"/>
      <c r="D96" s="117"/>
      <c r="E96" s="118"/>
      <c r="F96" s="118"/>
      <c r="G96" s="118"/>
      <c r="H96" s="118"/>
      <c r="I96" s="118"/>
      <c r="J96" s="126" t="s">
        <v>313</v>
      </c>
      <c r="K96" s="126" t="s">
        <v>301</v>
      </c>
      <c r="L96" s="118">
        <v>-12602.88</v>
      </c>
      <c r="M96" s="118"/>
      <c r="N96" s="118">
        <v>-1638</v>
      </c>
      <c r="O96" s="118"/>
      <c r="P96" s="128"/>
      <c r="Q96" s="132">
        <v>42855</v>
      </c>
      <c r="R96" s="118" t="s">
        <v>365</v>
      </c>
      <c r="S96" s="129">
        <v>1</v>
      </c>
      <c r="T96" s="118"/>
      <c r="U96" s="118"/>
      <c r="V96" s="118"/>
      <c r="W96" s="118"/>
      <c r="X96" s="118"/>
      <c r="Y96" s="132">
        <v>42855</v>
      </c>
      <c r="Z96" s="132">
        <v>42835</v>
      </c>
      <c r="AA96" s="118">
        <v>-12602.88</v>
      </c>
      <c r="AB96" s="118">
        <v>0</v>
      </c>
      <c r="AC96" s="118">
        <v>-1638</v>
      </c>
      <c r="AD96" s="118">
        <v>0</v>
      </c>
      <c r="AE96" s="118">
        <v>0</v>
      </c>
    </row>
    <row r="97" spans="1:31">
      <c r="A97" s="125" t="s">
        <v>313</v>
      </c>
      <c r="B97" s="126" t="s">
        <v>314</v>
      </c>
      <c r="C97" s="127" t="s">
        <v>362</v>
      </c>
      <c r="D97" s="117" t="s">
        <v>8</v>
      </c>
      <c r="E97" s="118"/>
      <c r="F97" s="118"/>
      <c r="G97" s="118"/>
      <c r="H97" s="118"/>
      <c r="I97" s="118"/>
      <c r="J97" s="126" t="s">
        <v>313</v>
      </c>
      <c r="K97" s="126" t="s">
        <v>285</v>
      </c>
      <c r="L97" s="118">
        <v>-2077</v>
      </c>
      <c r="M97" s="118"/>
      <c r="N97" s="118">
        <v>-270</v>
      </c>
      <c r="O97" s="118"/>
      <c r="P97" s="128"/>
      <c r="Q97" s="132">
        <v>42855</v>
      </c>
      <c r="R97" s="118" t="s">
        <v>365</v>
      </c>
      <c r="S97" s="129">
        <v>2</v>
      </c>
      <c r="T97" s="118"/>
      <c r="U97" s="118"/>
      <c r="V97" s="118"/>
      <c r="W97" s="118"/>
      <c r="X97" s="118"/>
      <c r="Y97" s="132">
        <v>42855</v>
      </c>
      <c r="Z97" s="132">
        <v>42804</v>
      </c>
      <c r="AA97" s="118">
        <v>-2077</v>
      </c>
      <c r="AB97" s="118">
        <v>0</v>
      </c>
      <c r="AC97" s="118">
        <v>-270</v>
      </c>
      <c r="AD97" s="118">
        <v>0</v>
      </c>
      <c r="AE97" s="118">
        <v>0</v>
      </c>
    </row>
    <row r="98" spans="1:31">
      <c r="A98" s="125"/>
      <c r="B98" s="126"/>
      <c r="C98" s="127"/>
      <c r="D98" s="117"/>
      <c r="E98" s="118"/>
      <c r="F98" s="118"/>
      <c r="G98" s="118"/>
      <c r="H98" s="118"/>
      <c r="I98" s="118"/>
      <c r="J98" s="126" t="s">
        <v>313</v>
      </c>
      <c r="K98" s="126" t="s">
        <v>301</v>
      </c>
      <c r="L98" s="118">
        <v>-41.57</v>
      </c>
      <c r="M98" s="118"/>
      <c r="N98" s="118">
        <v>-5</v>
      </c>
      <c r="O98" s="118"/>
      <c r="P98" s="128"/>
      <c r="Q98" s="132">
        <v>42855</v>
      </c>
      <c r="R98" s="118" t="s">
        <v>365</v>
      </c>
      <c r="S98" s="129">
        <v>2</v>
      </c>
      <c r="T98" s="118"/>
      <c r="U98" s="118"/>
      <c r="V98" s="118"/>
      <c r="W98" s="118"/>
      <c r="X98" s="118"/>
      <c r="Y98" s="132">
        <v>42855</v>
      </c>
      <c r="Z98" s="132">
        <v>42835</v>
      </c>
      <c r="AA98" s="118">
        <v>-41.57</v>
      </c>
      <c r="AB98" s="118">
        <v>0</v>
      </c>
      <c r="AC98" s="118">
        <v>-5</v>
      </c>
      <c r="AD98" s="118">
        <v>0</v>
      </c>
      <c r="AE98" s="118">
        <v>0</v>
      </c>
    </row>
    <row r="99" spans="1:31">
      <c r="A99" s="125" t="s">
        <v>315</v>
      </c>
      <c r="B99" s="126" t="s">
        <v>316</v>
      </c>
      <c r="C99" s="127" t="s">
        <v>362</v>
      </c>
      <c r="D99" s="117" t="s">
        <v>7</v>
      </c>
      <c r="E99" s="118">
        <v>215282.35</v>
      </c>
      <c r="F99" s="118">
        <v>6600</v>
      </c>
      <c r="G99" s="118">
        <v>27132</v>
      </c>
      <c r="H99" s="118">
        <v>2095.1999999999998</v>
      </c>
      <c r="I99" s="118">
        <v>629</v>
      </c>
      <c r="J99" s="126"/>
      <c r="K99" s="126"/>
      <c r="L99" s="118"/>
      <c r="M99" s="118"/>
      <c r="N99" s="118"/>
      <c r="O99" s="118"/>
      <c r="P99" s="128"/>
      <c r="Q99" s="132">
        <v>42857</v>
      </c>
      <c r="R99" s="118" t="s">
        <v>365</v>
      </c>
      <c r="S99" s="129">
        <v>1</v>
      </c>
      <c r="T99" s="118">
        <v>215282.35</v>
      </c>
      <c r="U99" s="118">
        <v>6600</v>
      </c>
      <c r="V99" s="118">
        <v>27132</v>
      </c>
      <c r="W99" s="118">
        <v>2095.1999999999998</v>
      </c>
      <c r="X99" s="118">
        <v>629</v>
      </c>
      <c r="Y99" s="132">
        <v>42857</v>
      </c>
      <c r="Z99" s="132"/>
      <c r="AA99" s="118"/>
      <c r="AB99" s="118"/>
      <c r="AC99" s="118"/>
      <c r="AD99" s="118"/>
      <c r="AE99" s="118"/>
    </row>
    <row r="100" spans="1:31">
      <c r="A100" s="125" t="s">
        <v>315</v>
      </c>
      <c r="B100" s="126" t="s">
        <v>316</v>
      </c>
      <c r="C100" s="127" t="s">
        <v>362</v>
      </c>
      <c r="D100" s="117" t="s">
        <v>8</v>
      </c>
      <c r="E100" s="118">
        <v>3399</v>
      </c>
      <c r="F100" s="118"/>
      <c r="G100" s="118">
        <v>443</v>
      </c>
      <c r="H100" s="118"/>
      <c r="I100" s="118"/>
      <c r="J100" s="126"/>
      <c r="K100" s="126"/>
      <c r="L100" s="118"/>
      <c r="M100" s="118"/>
      <c r="N100" s="118"/>
      <c r="O100" s="118"/>
      <c r="P100" s="128"/>
      <c r="Q100" s="132">
        <v>42857</v>
      </c>
      <c r="R100" s="118" t="s">
        <v>365</v>
      </c>
      <c r="S100" s="129">
        <v>2</v>
      </c>
      <c r="T100" s="118">
        <v>3399</v>
      </c>
      <c r="U100" s="118">
        <v>0</v>
      </c>
      <c r="V100" s="118">
        <v>443</v>
      </c>
      <c r="W100" s="118">
        <v>0</v>
      </c>
      <c r="X100" s="118">
        <v>0</v>
      </c>
      <c r="Y100" s="132">
        <v>42857</v>
      </c>
      <c r="Z100" s="132"/>
      <c r="AA100" s="118"/>
      <c r="AB100" s="118"/>
      <c r="AC100" s="118"/>
      <c r="AD100" s="118"/>
      <c r="AE100" s="118"/>
    </row>
    <row r="101" spans="1:31">
      <c r="A101" s="125" t="s">
        <v>315</v>
      </c>
      <c r="B101" s="126" t="s">
        <v>316</v>
      </c>
      <c r="C101" s="127" t="s">
        <v>362</v>
      </c>
      <c r="D101" s="117" t="s">
        <v>9</v>
      </c>
      <c r="E101" s="118">
        <v>3850</v>
      </c>
      <c r="F101" s="118"/>
      <c r="G101" s="118">
        <v>501</v>
      </c>
      <c r="H101" s="118"/>
      <c r="I101" s="118"/>
      <c r="J101" s="126"/>
      <c r="K101" s="126"/>
      <c r="L101" s="118"/>
      <c r="M101" s="118"/>
      <c r="N101" s="118"/>
      <c r="O101" s="118"/>
      <c r="P101" s="128"/>
      <c r="Q101" s="132">
        <v>42857</v>
      </c>
      <c r="R101" s="118" t="s">
        <v>365</v>
      </c>
      <c r="S101" s="129">
        <v>3</v>
      </c>
      <c r="T101" s="118">
        <v>3850</v>
      </c>
      <c r="U101" s="118">
        <v>0</v>
      </c>
      <c r="V101" s="118">
        <v>501</v>
      </c>
      <c r="W101" s="118">
        <v>0</v>
      </c>
      <c r="X101" s="118">
        <v>0</v>
      </c>
      <c r="Y101" s="132">
        <v>42857</v>
      </c>
      <c r="Z101" s="132"/>
      <c r="AA101" s="118"/>
      <c r="AB101" s="118"/>
      <c r="AC101" s="118"/>
      <c r="AD101" s="118"/>
      <c r="AE101" s="118"/>
    </row>
    <row r="102" spans="1:31">
      <c r="A102" s="125" t="s">
        <v>315</v>
      </c>
      <c r="B102" s="126" t="s">
        <v>316</v>
      </c>
      <c r="C102" s="127" t="s">
        <v>362</v>
      </c>
      <c r="D102" s="117" t="s">
        <v>12</v>
      </c>
      <c r="E102" s="118">
        <v>27153779.940000001</v>
      </c>
      <c r="F102" s="118">
        <v>158200</v>
      </c>
      <c r="G102" s="118">
        <v>3513894</v>
      </c>
      <c r="H102" s="118">
        <v>4971.58</v>
      </c>
      <c r="I102" s="118">
        <v>1491</v>
      </c>
      <c r="J102" s="126"/>
      <c r="K102" s="126"/>
      <c r="L102" s="118"/>
      <c r="M102" s="118"/>
      <c r="N102" s="118"/>
      <c r="O102" s="118"/>
      <c r="P102" s="128"/>
      <c r="Q102" s="132">
        <v>42857</v>
      </c>
      <c r="R102" s="118" t="s">
        <v>365</v>
      </c>
      <c r="S102" s="129">
        <v>6</v>
      </c>
      <c r="T102" s="118">
        <v>27153779.940000001</v>
      </c>
      <c r="U102" s="118">
        <v>158200</v>
      </c>
      <c r="V102" s="118">
        <v>3513894</v>
      </c>
      <c r="W102" s="118">
        <v>4971.58</v>
      </c>
      <c r="X102" s="118">
        <v>1491</v>
      </c>
      <c r="Y102" s="132">
        <v>42857</v>
      </c>
      <c r="Z102" s="132"/>
      <c r="AA102" s="118"/>
      <c r="AB102" s="118"/>
      <c r="AC102" s="118"/>
      <c r="AD102" s="118"/>
      <c r="AE102" s="118"/>
    </row>
    <row r="103" spans="1:31">
      <c r="A103" s="125" t="s">
        <v>315</v>
      </c>
      <c r="B103" s="126" t="s">
        <v>316</v>
      </c>
      <c r="C103" s="127" t="s">
        <v>362</v>
      </c>
      <c r="D103" s="117" t="s">
        <v>13</v>
      </c>
      <c r="E103" s="118">
        <v>20431</v>
      </c>
      <c r="F103" s="118">
        <v>5800</v>
      </c>
      <c r="G103" s="118">
        <v>1954</v>
      </c>
      <c r="H103" s="118"/>
      <c r="I103" s="118"/>
      <c r="J103" s="126"/>
      <c r="K103" s="126"/>
      <c r="L103" s="118"/>
      <c r="M103" s="118"/>
      <c r="N103" s="118"/>
      <c r="O103" s="118"/>
      <c r="P103" s="128"/>
      <c r="Q103" s="132">
        <v>42857</v>
      </c>
      <c r="R103" s="118" t="s">
        <v>365</v>
      </c>
      <c r="S103" s="129">
        <v>7</v>
      </c>
      <c r="T103" s="118">
        <v>20431</v>
      </c>
      <c r="U103" s="118">
        <v>5800</v>
      </c>
      <c r="V103" s="118">
        <v>1954</v>
      </c>
      <c r="W103" s="118">
        <v>0</v>
      </c>
      <c r="X103" s="118">
        <v>0</v>
      </c>
      <c r="Y103" s="132">
        <v>42857</v>
      </c>
      <c r="Z103" s="132"/>
      <c r="AA103" s="118"/>
      <c r="AB103" s="118"/>
      <c r="AC103" s="118"/>
      <c r="AD103" s="118"/>
      <c r="AE103" s="118"/>
    </row>
    <row r="104" spans="1:31">
      <c r="A104" s="125" t="s">
        <v>316</v>
      </c>
      <c r="B104" s="126" t="s">
        <v>317</v>
      </c>
      <c r="C104" s="127" t="s">
        <v>362</v>
      </c>
      <c r="D104" s="117" t="s">
        <v>7</v>
      </c>
      <c r="E104" s="118">
        <v>325114717.82999998</v>
      </c>
      <c r="F104" s="118">
        <v>2346800</v>
      </c>
      <c r="G104" s="118">
        <v>41975301</v>
      </c>
      <c r="H104" s="118">
        <v>273079.43</v>
      </c>
      <c r="I104" s="118">
        <v>83871</v>
      </c>
      <c r="J104" s="126" t="s">
        <v>316</v>
      </c>
      <c r="K104" s="126" t="s">
        <v>318</v>
      </c>
      <c r="L104" s="118"/>
      <c r="M104" s="118"/>
      <c r="N104" s="118">
        <v>-2184</v>
      </c>
      <c r="O104" s="118"/>
      <c r="P104" s="128"/>
      <c r="Q104" s="132">
        <v>42858</v>
      </c>
      <c r="R104" s="118" t="s">
        <v>365</v>
      </c>
      <c r="S104" s="129">
        <v>1</v>
      </c>
      <c r="T104" s="118">
        <v>325114717.82999998</v>
      </c>
      <c r="U104" s="118">
        <v>2346800</v>
      </c>
      <c r="V104" s="118">
        <v>41975301</v>
      </c>
      <c r="W104" s="118">
        <v>273079.43</v>
      </c>
      <c r="X104" s="118">
        <v>83871</v>
      </c>
      <c r="Y104" s="132">
        <v>42858</v>
      </c>
      <c r="Z104" s="132">
        <v>42735</v>
      </c>
      <c r="AA104" s="118">
        <v>0</v>
      </c>
      <c r="AB104" s="118">
        <v>0</v>
      </c>
      <c r="AC104" s="118">
        <v>-2184</v>
      </c>
      <c r="AD104" s="118">
        <v>0</v>
      </c>
      <c r="AE104" s="118">
        <v>0</v>
      </c>
    </row>
    <row r="105" spans="1:31">
      <c r="A105" s="125" t="s">
        <v>317</v>
      </c>
      <c r="B105" s="126" t="s">
        <v>319</v>
      </c>
      <c r="C105" s="127" t="s">
        <v>362</v>
      </c>
      <c r="D105" s="117" t="s">
        <v>7</v>
      </c>
      <c r="E105" s="118">
        <v>794365315.52999997</v>
      </c>
      <c r="F105" s="118">
        <v>3489600</v>
      </c>
      <c r="G105" s="118">
        <v>102820951</v>
      </c>
      <c r="H105" s="118">
        <v>2318268.17</v>
      </c>
      <c r="I105" s="118">
        <v>707828</v>
      </c>
      <c r="J105" s="126"/>
      <c r="K105" s="126"/>
      <c r="L105" s="118"/>
      <c r="M105" s="118"/>
      <c r="N105" s="118"/>
      <c r="O105" s="118"/>
      <c r="P105" s="128"/>
      <c r="Q105" s="132">
        <v>42859</v>
      </c>
      <c r="R105" s="118" t="s">
        <v>365</v>
      </c>
      <c r="S105" s="129">
        <v>1</v>
      </c>
      <c r="T105" s="118">
        <v>794365315.52999997</v>
      </c>
      <c r="U105" s="118">
        <v>3489600</v>
      </c>
      <c r="V105" s="118">
        <v>102820951</v>
      </c>
      <c r="W105" s="118">
        <v>2318268.17</v>
      </c>
      <c r="X105" s="118">
        <v>707828</v>
      </c>
      <c r="Y105" s="132">
        <v>42859</v>
      </c>
      <c r="Z105" s="132"/>
      <c r="AA105" s="118"/>
      <c r="AB105" s="118"/>
      <c r="AC105" s="118"/>
      <c r="AD105" s="118"/>
      <c r="AE105" s="118"/>
    </row>
    <row r="106" spans="1:31">
      <c r="A106" s="125" t="s">
        <v>317</v>
      </c>
      <c r="B106" s="126" t="s">
        <v>319</v>
      </c>
      <c r="C106" s="127" t="s">
        <v>362</v>
      </c>
      <c r="D106" s="117" t="s">
        <v>8</v>
      </c>
      <c r="E106" s="118">
        <v>37110570.189999998</v>
      </c>
      <c r="F106" s="118">
        <v>131800</v>
      </c>
      <c r="G106" s="118">
        <v>4809525</v>
      </c>
      <c r="H106" s="118">
        <v>24793</v>
      </c>
      <c r="I106" s="118">
        <v>7438</v>
      </c>
      <c r="J106" s="126"/>
      <c r="K106" s="126"/>
      <c r="L106" s="118"/>
      <c r="M106" s="118"/>
      <c r="N106" s="118"/>
      <c r="O106" s="118"/>
      <c r="P106" s="128"/>
      <c r="Q106" s="132">
        <v>42859</v>
      </c>
      <c r="R106" s="118" t="s">
        <v>365</v>
      </c>
      <c r="S106" s="129">
        <v>2</v>
      </c>
      <c r="T106" s="118">
        <v>37110570.189999998</v>
      </c>
      <c r="U106" s="118">
        <v>131800</v>
      </c>
      <c r="V106" s="118">
        <v>4809525</v>
      </c>
      <c r="W106" s="118">
        <v>24793</v>
      </c>
      <c r="X106" s="118">
        <v>7438</v>
      </c>
      <c r="Y106" s="132">
        <v>42859</v>
      </c>
      <c r="Z106" s="132"/>
      <c r="AA106" s="118"/>
      <c r="AB106" s="118"/>
      <c r="AC106" s="118"/>
      <c r="AD106" s="118"/>
      <c r="AE106" s="118"/>
    </row>
    <row r="107" spans="1:31">
      <c r="A107" s="125" t="s">
        <v>317</v>
      </c>
      <c r="B107" s="126" t="s">
        <v>319</v>
      </c>
      <c r="C107" s="127" t="s">
        <v>362</v>
      </c>
      <c r="D107" s="117" t="s">
        <v>9</v>
      </c>
      <c r="E107" s="118">
        <v>19479506.5</v>
      </c>
      <c r="F107" s="118">
        <v>25700</v>
      </c>
      <c r="G107" s="118">
        <v>2529517</v>
      </c>
      <c r="H107" s="118">
        <v>2463</v>
      </c>
      <c r="I107" s="118">
        <v>739</v>
      </c>
      <c r="J107" s="126"/>
      <c r="K107" s="126"/>
      <c r="L107" s="118"/>
      <c r="M107" s="118"/>
      <c r="N107" s="118"/>
      <c r="O107" s="118"/>
      <c r="P107" s="128"/>
      <c r="Q107" s="132">
        <v>42859</v>
      </c>
      <c r="R107" s="118" t="s">
        <v>365</v>
      </c>
      <c r="S107" s="129">
        <v>3</v>
      </c>
      <c r="T107" s="118">
        <v>19479506.5</v>
      </c>
      <c r="U107" s="118">
        <v>25700</v>
      </c>
      <c r="V107" s="118">
        <v>2529517</v>
      </c>
      <c r="W107" s="118">
        <v>2463</v>
      </c>
      <c r="X107" s="118">
        <v>739</v>
      </c>
      <c r="Y107" s="132">
        <v>42859</v>
      </c>
      <c r="Z107" s="132"/>
      <c r="AA107" s="118"/>
      <c r="AB107" s="118"/>
      <c r="AC107" s="118"/>
      <c r="AD107" s="118"/>
      <c r="AE107" s="118"/>
    </row>
    <row r="108" spans="1:31">
      <c r="A108" s="125" t="s">
        <v>317</v>
      </c>
      <c r="B108" s="126" t="s">
        <v>319</v>
      </c>
      <c r="C108" s="127" t="s">
        <v>362</v>
      </c>
      <c r="D108" s="117" t="s">
        <v>11</v>
      </c>
      <c r="E108" s="118">
        <v>3351691.16</v>
      </c>
      <c r="F108" s="118">
        <v>11000</v>
      </c>
      <c r="G108" s="118">
        <v>434286</v>
      </c>
      <c r="H108" s="118">
        <v>4428.5</v>
      </c>
      <c r="I108" s="118">
        <v>1329</v>
      </c>
      <c r="J108" s="126"/>
      <c r="K108" s="126"/>
      <c r="L108" s="118"/>
      <c r="M108" s="118"/>
      <c r="N108" s="118"/>
      <c r="O108" s="118"/>
      <c r="P108" s="128"/>
      <c r="Q108" s="132">
        <v>42859</v>
      </c>
      <c r="R108" s="118" t="s">
        <v>365</v>
      </c>
      <c r="S108" s="129">
        <v>5</v>
      </c>
      <c r="T108" s="118">
        <v>3351691.16</v>
      </c>
      <c r="U108" s="118">
        <v>11000</v>
      </c>
      <c r="V108" s="118">
        <v>434286</v>
      </c>
      <c r="W108" s="118">
        <v>4428.5</v>
      </c>
      <c r="X108" s="118">
        <v>1329</v>
      </c>
      <c r="Y108" s="132">
        <v>42859</v>
      </c>
      <c r="Z108" s="132"/>
      <c r="AA108" s="118"/>
      <c r="AB108" s="118"/>
      <c r="AC108" s="118"/>
      <c r="AD108" s="118"/>
      <c r="AE108" s="118"/>
    </row>
    <row r="109" spans="1:31">
      <c r="A109" s="125" t="s">
        <v>317</v>
      </c>
      <c r="B109" s="126" t="s">
        <v>319</v>
      </c>
      <c r="C109" s="127" t="s">
        <v>362</v>
      </c>
      <c r="D109" s="117" t="s">
        <v>12</v>
      </c>
      <c r="E109" s="118">
        <v>4827392.66</v>
      </c>
      <c r="F109" s="118">
        <v>152600</v>
      </c>
      <c r="G109" s="118">
        <v>608425</v>
      </c>
      <c r="H109" s="118">
        <v>62478.9</v>
      </c>
      <c r="I109" s="118">
        <v>18744</v>
      </c>
      <c r="J109" s="126"/>
      <c r="K109" s="126"/>
      <c r="L109" s="118"/>
      <c r="M109" s="118"/>
      <c r="N109" s="118"/>
      <c r="O109" s="118"/>
      <c r="P109" s="128"/>
      <c r="Q109" s="132">
        <v>42859</v>
      </c>
      <c r="R109" s="118" t="s">
        <v>365</v>
      </c>
      <c r="S109" s="129">
        <v>6</v>
      </c>
      <c r="T109" s="118">
        <v>4827392.66</v>
      </c>
      <c r="U109" s="118">
        <v>152600</v>
      </c>
      <c r="V109" s="118">
        <v>608425</v>
      </c>
      <c r="W109" s="118">
        <v>62478.9</v>
      </c>
      <c r="X109" s="118">
        <v>18744</v>
      </c>
      <c r="Y109" s="132">
        <v>42859</v>
      </c>
      <c r="Z109" s="132"/>
      <c r="AA109" s="118"/>
      <c r="AB109" s="118"/>
      <c r="AC109" s="118"/>
      <c r="AD109" s="118"/>
      <c r="AE109" s="118"/>
    </row>
    <row r="110" spans="1:31">
      <c r="A110" s="125" t="s">
        <v>317</v>
      </c>
      <c r="B110" s="126" t="s">
        <v>319</v>
      </c>
      <c r="C110" s="127" t="s">
        <v>362</v>
      </c>
      <c r="D110" s="117" t="s">
        <v>13</v>
      </c>
      <c r="E110" s="118">
        <v>91190001</v>
      </c>
      <c r="F110" s="118">
        <v>570700</v>
      </c>
      <c r="G110" s="118">
        <v>11784747</v>
      </c>
      <c r="H110" s="118">
        <v>20084</v>
      </c>
      <c r="I110" s="118">
        <v>6025</v>
      </c>
      <c r="J110" s="126"/>
      <c r="K110" s="126"/>
      <c r="L110" s="118"/>
      <c r="M110" s="118"/>
      <c r="N110" s="118"/>
      <c r="O110" s="118"/>
      <c r="P110" s="128"/>
      <c r="Q110" s="132">
        <v>42859</v>
      </c>
      <c r="R110" s="118" t="s">
        <v>365</v>
      </c>
      <c r="S110" s="129">
        <v>7</v>
      </c>
      <c r="T110" s="118">
        <v>91190001</v>
      </c>
      <c r="U110" s="118">
        <v>570700</v>
      </c>
      <c r="V110" s="118">
        <v>11784747</v>
      </c>
      <c r="W110" s="118">
        <v>20084</v>
      </c>
      <c r="X110" s="118">
        <v>6025</v>
      </c>
      <c r="Y110" s="132">
        <v>42859</v>
      </c>
      <c r="Z110" s="132"/>
      <c r="AA110" s="118"/>
      <c r="AB110" s="118"/>
      <c r="AC110" s="118"/>
      <c r="AD110" s="118"/>
      <c r="AE110" s="118"/>
    </row>
    <row r="111" spans="1:31">
      <c r="A111" s="125" t="s">
        <v>320</v>
      </c>
      <c r="B111" s="126" t="s">
        <v>321</v>
      </c>
      <c r="C111" s="127" t="s">
        <v>364</v>
      </c>
      <c r="D111" s="117" t="s">
        <v>8</v>
      </c>
      <c r="E111" s="118">
        <v>1031626.25</v>
      </c>
      <c r="F111" s="118"/>
      <c r="G111" s="118">
        <v>134113</v>
      </c>
      <c r="H111" s="118"/>
      <c r="I111" s="118"/>
      <c r="J111" s="126"/>
      <c r="K111" s="126"/>
      <c r="L111" s="118"/>
      <c r="M111" s="118"/>
      <c r="N111" s="118"/>
      <c r="O111" s="118"/>
      <c r="P111" s="128"/>
      <c r="Q111" s="132">
        <v>42865</v>
      </c>
      <c r="R111" s="118" t="s">
        <v>367</v>
      </c>
      <c r="S111" s="129">
        <v>2</v>
      </c>
      <c r="T111" s="118">
        <v>1031626.25</v>
      </c>
      <c r="U111" s="118">
        <v>0</v>
      </c>
      <c r="V111" s="118">
        <v>134113</v>
      </c>
      <c r="W111" s="118">
        <v>0</v>
      </c>
      <c r="X111" s="118">
        <v>0</v>
      </c>
      <c r="Y111" s="132">
        <v>42865</v>
      </c>
      <c r="Z111" s="132"/>
      <c r="AA111" s="118"/>
      <c r="AB111" s="118"/>
      <c r="AC111" s="118"/>
      <c r="AD111" s="118"/>
      <c r="AE111" s="118"/>
    </row>
    <row r="112" spans="1:31">
      <c r="A112" s="125" t="s">
        <v>320</v>
      </c>
      <c r="B112" s="126" t="s">
        <v>321</v>
      </c>
      <c r="C112" s="127" t="s">
        <v>364</v>
      </c>
      <c r="D112" s="117" t="s">
        <v>9</v>
      </c>
      <c r="E112" s="118">
        <v>1660464.44</v>
      </c>
      <c r="F112" s="118"/>
      <c r="G112" s="118">
        <v>215861</v>
      </c>
      <c r="H112" s="118"/>
      <c r="I112" s="118"/>
      <c r="J112" s="126"/>
      <c r="K112" s="126"/>
      <c r="L112" s="118"/>
      <c r="M112" s="118"/>
      <c r="N112" s="118"/>
      <c r="O112" s="118"/>
      <c r="P112" s="128"/>
      <c r="Q112" s="132">
        <v>42865</v>
      </c>
      <c r="R112" s="118" t="s">
        <v>367</v>
      </c>
      <c r="S112" s="129">
        <v>3</v>
      </c>
      <c r="T112" s="118">
        <v>1660464.44</v>
      </c>
      <c r="U112" s="118">
        <v>0</v>
      </c>
      <c r="V112" s="118">
        <v>215861</v>
      </c>
      <c r="W112" s="118">
        <v>0</v>
      </c>
      <c r="X112" s="118">
        <v>0</v>
      </c>
      <c r="Y112" s="132">
        <v>42865</v>
      </c>
      <c r="Z112" s="132"/>
      <c r="AA112" s="118"/>
      <c r="AB112" s="118"/>
      <c r="AC112" s="118"/>
      <c r="AD112" s="118"/>
      <c r="AE112" s="118"/>
    </row>
    <row r="113" spans="1:31">
      <c r="A113" s="125" t="s">
        <v>320</v>
      </c>
      <c r="B113" s="126" t="s">
        <v>321</v>
      </c>
      <c r="C113" s="127" t="s">
        <v>364</v>
      </c>
      <c r="D113" s="117" t="s">
        <v>11</v>
      </c>
      <c r="E113" s="118">
        <v>998383.22</v>
      </c>
      <c r="F113" s="118"/>
      <c r="G113" s="118">
        <v>129790</v>
      </c>
      <c r="H113" s="118"/>
      <c r="I113" s="118"/>
      <c r="J113" s="126"/>
      <c r="K113" s="126"/>
      <c r="L113" s="118"/>
      <c r="M113" s="118"/>
      <c r="N113" s="118"/>
      <c r="O113" s="118"/>
      <c r="P113" s="128"/>
      <c r="Q113" s="132">
        <v>42865</v>
      </c>
      <c r="R113" s="118" t="s">
        <v>367</v>
      </c>
      <c r="S113" s="129">
        <v>5</v>
      </c>
      <c r="T113" s="118">
        <v>998383.22</v>
      </c>
      <c r="U113" s="118">
        <v>0</v>
      </c>
      <c r="V113" s="118">
        <v>129790</v>
      </c>
      <c r="W113" s="118">
        <v>0</v>
      </c>
      <c r="X113" s="118">
        <v>0</v>
      </c>
      <c r="Y113" s="132">
        <v>42865</v>
      </c>
      <c r="Z113" s="132"/>
      <c r="AA113" s="118"/>
      <c r="AB113" s="118"/>
      <c r="AC113" s="118"/>
      <c r="AD113" s="118"/>
      <c r="AE113" s="118"/>
    </row>
    <row r="114" spans="1:31">
      <c r="A114" s="125" t="s">
        <v>320</v>
      </c>
      <c r="B114" s="126" t="s">
        <v>321</v>
      </c>
      <c r="C114" s="127" t="s">
        <v>363</v>
      </c>
      <c r="D114" s="117" t="s">
        <v>7</v>
      </c>
      <c r="E114" s="118">
        <v>7442881.0099999998</v>
      </c>
      <c r="F114" s="118"/>
      <c r="G114" s="118">
        <v>967574</v>
      </c>
      <c r="H114" s="118">
        <v>72928.800000000003</v>
      </c>
      <c r="I114" s="118">
        <v>21879</v>
      </c>
      <c r="J114" s="126"/>
      <c r="K114" s="126"/>
      <c r="L114" s="118"/>
      <c r="M114" s="118"/>
      <c r="N114" s="118"/>
      <c r="O114" s="118"/>
      <c r="P114" s="128"/>
      <c r="Q114" s="132">
        <v>42865</v>
      </c>
      <c r="R114" s="118" t="s">
        <v>366</v>
      </c>
      <c r="S114" s="129">
        <v>1</v>
      </c>
      <c r="T114" s="118">
        <v>7442881.0099999998</v>
      </c>
      <c r="U114" s="118">
        <v>0</v>
      </c>
      <c r="V114" s="118">
        <v>967574</v>
      </c>
      <c r="W114" s="118">
        <v>72928.800000000003</v>
      </c>
      <c r="X114" s="118">
        <v>21879</v>
      </c>
      <c r="Y114" s="132">
        <v>42865</v>
      </c>
      <c r="Z114" s="132"/>
      <c r="AA114" s="118"/>
      <c r="AB114" s="118"/>
      <c r="AC114" s="118"/>
      <c r="AD114" s="118"/>
      <c r="AE114" s="118"/>
    </row>
    <row r="115" spans="1:31">
      <c r="A115" s="125" t="s">
        <v>322</v>
      </c>
      <c r="B115" s="126" t="s">
        <v>323</v>
      </c>
      <c r="C115" s="127" t="s">
        <v>364</v>
      </c>
      <c r="D115" s="117" t="s">
        <v>8</v>
      </c>
      <c r="E115" s="118">
        <v>1726399.88</v>
      </c>
      <c r="F115" s="118"/>
      <c r="G115" s="118">
        <v>224431</v>
      </c>
      <c r="H115" s="118"/>
      <c r="I115" s="118"/>
      <c r="J115" s="126"/>
      <c r="K115" s="126"/>
      <c r="L115" s="118"/>
      <c r="M115" s="118"/>
      <c r="N115" s="118"/>
      <c r="O115" s="118"/>
      <c r="P115" s="128"/>
      <c r="Q115" s="132">
        <v>42874</v>
      </c>
      <c r="R115" s="118" t="s">
        <v>367</v>
      </c>
      <c r="S115" s="129">
        <v>2</v>
      </c>
      <c r="T115" s="118">
        <v>1726399.88</v>
      </c>
      <c r="U115" s="118">
        <v>0</v>
      </c>
      <c r="V115" s="118">
        <v>224431</v>
      </c>
      <c r="W115" s="118">
        <v>0</v>
      </c>
      <c r="X115" s="118">
        <v>0</v>
      </c>
      <c r="Y115" s="132">
        <v>42874</v>
      </c>
      <c r="Z115" s="132"/>
      <c r="AA115" s="118"/>
      <c r="AB115" s="118"/>
      <c r="AC115" s="118"/>
      <c r="AD115" s="118"/>
      <c r="AE115" s="118"/>
    </row>
    <row r="116" spans="1:31">
      <c r="A116" s="125" t="s">
        <v>322</v>
      </c>
      <c r="B116" s="126" t="s">
        <v>323</v>
      </c>
      <c r="C116" s="127" t="s">
        <v>364</v>
      </c>
      <c r="D116" s="117" t="s">
        <v>9</v>
      </c>
      <c r="E116" s="118">
        <v>180686.8</v>
      </c>
      <c r="F116" s="118"/>
      <c r="G116" s="118">
        <v>23490</v>
      </c>
      <c r="H116" s="118"/>
      <c r="I116" s="118"/>
      <c r="J116" s="126"/>
      <c r="K116" s="126"/>
      <c r="L116" s="118"/>
      <c r="M116" s="118"/>
      <c r="N116" s="118"/>
      <c r="O116" s="118"/>
      <c r="P116" s="128"/>
      <c r="Q116" s="132">
        <v>42874</v>
      </c>
      <c r="R116" s="118" t="s">
        <v>367</v>
      </c>
      <c r="S116" s="129">
        <v>3</v>
      </c>
      <c r="T116" s="118">
        <v>180686.8</v>
      </c>
      <c r="U116" s="118">
        <v>0</v>
      </c>
      <c r="V116" s="118">
        <v>23490</v>
      </c>
      <c r="W116" s="118">
        <v>0</v>
      </c>
      <c r="X116" s="118">
        <v>0</v>
      </c>
      <c r="Y116" s="132">
        <v>42874</v>
      </c>
      <c r="Z116" s="132"/>
      <c r="AA116" s="118"/>
      <c r="AB116" s="118"/>
      <c r="AC116" s="118"/>
      <c r="AD116" s="118"/>
      <c r="AE116" s="118"/>
    </row>
    <row r="117" spans="1:31">
      <c r="A117" s="125" t="s">
        <v>322</v>
      </c>
      <c r="B117" s="126" t="s">
        <v>323</v>
      </c>
      <c r="C117" s="127" t="s">
        <v>363</v>
      </c>
      <c r="D117" s="117" t="s">
        <v>7</v>
      </c>
      <c r="E117" s="118">
        <v>4234156.49</v>
      </c>
      <c r="F117" s="118"/>
      <c r="G117" s="118">
        <v>550443</v>
      </c>
      <c r="H117" s="118"/>
      <c r="I117" s="118"/>
      <c r="J117" s="126"/>
      <c r="K117" s="126"/>
      <c r="L117" s="118"/>
      <c r="M117" s="118"/>
      <c r="N117" s="118"/>
      <c r="O117" s="118"/>
      <c r="P117" s="128"/>
      <c r="Q117" s="132">
        <v>42874</v>
      </c>
      <c r="R117" s="118" t="s">
        <v>366</v>
      </c>
      <c r="S117" s="129">
        <v>1</v>
      </c>
      <c r="T117" s="118">
        <v>4234156.49</v>
      </c>
      <c r="U117" s="118">
        <v>0</v>
      </c>
      <c r="V117" s="118">
        <v>550443</v>
      </c>
      <c r="W117" s="118">
        <v>0</v>
      </c>
      <c r="X117" s="118">
        <v>0</v>
      </c>
      <c r="Y117" s="132">
        <v>42874</v>
      </c>
      <c r="Z117" s="132"/>
      <c r="AA117" s="118"/>
      <c r="AB117" s="118"/>
      <c r="AC117" s="118"/>
      <c r="AD117" s="118"/>
      <c r="AE117" s="118"/>
    </row>
    <row r="118" spans="1:31">
      <c r="A118" s="125" t="s">
        <v>324</v>
      </c>
      <c r="B118" s="126" t="s">
        <v>325</v>
      </c>
      <c r="C118" s="127" t="s">
        <v>362</v>
      </c>
      <c r="D118" s="117" t="s">
        <v>7</v>
      </c>
      <c r="E118" s="118">
        <v>7532494.6500000004</v>
      </c>
      <c r="F118" s="118"/>
      <c r="G118" s="118">
        <v>979225</v>
      </c>
      <c r="H118" s="118">
        <v>6749.19</v>
      </c>
      <c r="I118" s="118">
        <v>2024</v>
      </c>
      <c r="J118" s="126"/>
      <c r="K118" s="126"/>
      <c r="L118" s="118"/>
      <c r="M118" s="118"/>
      <c r="N118" s="118"/>
      <c r="O118" s="118"/>
      <c r="P118" s="128"/>
      <c r="Q118" s="132">
        <v>42880</v>
      </c>
      <c r="R118" s="118" t="s">
        <v>365</v>
      </c>
      <c r="S118" s="129">
        <v>1</v>
      </c>
      <c r="T118" s="118">
        <v>7532494.6500000004</v>
      </c>
      <c r="U118" s="118">
        <v>0</v>
      </c>
      <c r="V118" s="118">
        <v>979225</v>
      </c>
      <c r="W118" s="118">
        <v>6749.19</v>
      </c>
      <c r="X118" s="118">
        <v>2024</v>
      </c>
      <c r="Y118" s="132">
        <v>42880</v>
      </c>
      <c r="Z118" s="132"/>
      <c r="AA118" s="118"/>
      <c r="AB118" s="118"/>
      <c r="AC118" s="118"/>
      <c r="AD118" s="118"/>
      <c r="AE118" s="118"/>
    </row>
    <row r="119" spans="1:31">
      <c r="A119" s="125" t="s">
        <v>324</v>
      </c>
      <c r="B119" s="126" t="s">
        <v>325</v>
      </c>
      <c r="C119" s="127" t="s">
        <v>362</v>
      </c>
      <c r="D119" s="117" t="s">
        <v>8</v>
      </c>
      <c r="E119" s="118">
        <v>388212.2</v>
      </c>
      <c r="F119" s="118"/>
      <c r="G119" s="118">
        <v>50468</v>
      </c>
      <c r="H119" s="118"/>
      <c r="I119" s="118"/>
      <c r="J119" s="126"/>
      <c r="K119" s="126"/>
      <c r="L119" s="118"/>
      <c r="M119" s="118"/>
      <c r="N119" s="118"/>
      <c r="O119" s="118"/>
      <c r="P119" s="128"/>
      <c r="Q119" s="132">
        <v>42880</v>
      </c>
      <c r="R119" s="118" t="s">
        <v>365</v>
      </c>
      <c r="S119" s="129">
        <v>2</v>
      </c>
      <c r="T119" s="118">
        <v>388212.2</v>
      </c>
      <c r="U119" s="118">
        <v>0</v>
      </c>
      <c r="V119" s="118">
        <v>50468</v>
      </c>
      <c r="W119" s="118">
        <v>0</v>
      </c>
      <c r="X119" s="118">
        <v>0</v>
      </c>
      <c r="Y119" s="132">
        <v>42880</v>
      </c>
      <c r="Z119" s="132"/>
      <c r="AA119" s="118"/>
      <c r="AB119" s="118"/>
      <c r="AC119" s="118"/>
      <c r="AD119" s="118"/>
      <c r="AE119" s="118"/>
    </row>
    <row r="120" spans="1:31">
      <c r="A120" s="125" t="s">
        <v>324</v>
      </c>
      <c r="B120" s="126" t="s">
        <v>325</v>
      </c>
      <c r="C120" s="127" t="s">
        <v>362</v>
      </c>
      <c r="D120" s="117" t="s">
        <v>9</v>
      </c>
      <c r="E120" s="118">
        <v>230935.93</v>
      </c>
      <c r="F120" s="118"/>
      <c r="G120" s="118">
        <v>30020</v>
      </c>
      <c r="H120" s="118"/>
      <c r="I120" s="118"/>
      <c r="J120" s="126"/>
      <c r="K120" s="126"/>
      <c r="L120" s="118"/>
      <c r="M120" s="118"/>
      <c r="N120" s="118"/>
      <c r="O120" s="118"/>
      <c r="P120" s="128"/>
      <c r="Q120" s="132">
        <v>42880</v>
      </c>
      <c r="R120" s="118" t="s">
        <v>365</v>
      </c>
      <c r="S120" s="129">
        <v>3</v>
      </c>
      <c r="T120" s="118">
        <v>230935.93</v>
      </c>
      <c r="U120" s="118">
        <v>0</v>
      </c>
      <c r="V120" s="118">
        <v>30020</v>
      </c>
      <c r="W120" s="118">
        <v>0</v>
      </c>
      <c r="X120" s="118">
        <v>0</v>
      </c>
      <c r="Y120" s="132">
        <v>42880</v>
      </c>
      <c r="Z120" s="132"/>
      <c r="AA120" s="118"/>
      <c r="AB120" s="118"/>
      <c r="AC120" s="118"/>
      <c r="AD120" s="118"/>
      <c r="AE120" s="118"/>
    </row>
    <row r="121" spans="1:31">
      <c r="A121" s="125" t="s">
        <v>324</v>
      </c>
      <c r="B121" s="126" t="s">
        <v>325</v>
      </c>
      <c r="C121" s="127" t="s">
        <v>362</v>
      </c>
      <c r="D121" s="117" t="s">
        <v>12</v>
      </c>
      <c r="E121" s="118">
        <v>1616591.86</v>
      </c>
      <c r="F121" s="118"/>
      <c r="G121" s="118">
        <v>210160</v>
      </c>
      <c r="H121" s="118"/>
      <c r="I121" s="118"/>
      <c r="J121" s="126"/>
      <c r="K121" s="126"/>
      <c r="L121" s="118"/>
      <c r="M121" s="118"/>
      <c r="N121" s="118"/>
      <c r="O121" s="118"/>
      <c r="P121" s="128"/>
      <c r="Q121" s="132">
        <v>42880</v>
      </c>
      <c r="R121" s="118" t="s">
        <v>365</v>
      </c>
      <c r="S121" s="129">
        <v>6</v>
      </c>
      <c r="T121" s="118">
        <v>1616591.86</v>
      </c>
      <c r="U121" s="118">
        <v>0</v>
      </c>
      <c r="V121" s="118">
        <v>210160</v>
      </c>
      <c r="W121" s="118">
        <v>0</v>
      </c>
      <c r="X121" s="118">
        <v>0</v>
      </c>
      <c r="Y121" s="132">
        <v>42880</v>
      </c>
      <c r="Z121" s="132"/>
      <c r="AA121" s="118"/>
      <c r="AB121" s="118"/>
      <c r="AC121" s="118"/>
      <c r="AD121" s="118"/>
      <c r="AE121" s="118"/>
    </row>
    <row r="122" spans="1:31">
      <c r="A122" s="125" t="s">
        <v>324</v>
      </c>
      <c r="B122" s="126" t="s">
        <v>325</v>
      </c>
      <c r="C122" s="127" t="s">
        <v>362</v>
      </c>
      <c r="D122" s="117" t="s">
        <v>13</v>
      </c>
      <c r="E122" s="118">
        <v>1932350.6</v>
      </c>
      <c r="F122" s="118">
        <v>1400</v>
      </c>
      <c r="G122" s="118">
        <v>251020</v>
      </c>
      <c r="H122" s="118"/>
      <c r="I122" s="118"/>
      <c r="J122" s="126"/>
      <c r="K122" s="126"/>
      <c r="L122" s="118"/>
      <c r="M122" s="118"/>
      <c r="N122" s="118"/>
      <c r="O122" s="118"/>
      <c r="P122" s="128"/>
      <c r="Q122" s="132">
        <v>42880</v>
      </c>
      <c r="R122" s="118" t="s">
        <v>365</v>
      </c>
      <c r="S122" s="129">
        <v>7</v>
      </c>
      <c r="T122" s="118">
        <v>1932350.6</v>
      </c>
      <c r="U122" s="118">
        <v>1400</v>
      </c>
      <c r="V122" s="118">
        <v>251020</v>
      </c>
      <c r="W122" s="118">
        <v>0</v>
      </c>
      <c r="X122" s="118">
        <v>0</v>
      </c>
      <c r="Y122" s="132">
        <v>42880</v>
      </c>
      <c r="Z122" s="132"/>
      <c r="AA122" s="118"/>
      <c r="AB122" s="118"/>
      <c r="AC122" s="118"/>
      <c r="AD122" s="118"/>
      <c r="AE122" s="118"/>
    </row>
    <row r="123" spans="1:31">
      <c r="A123" s="125" t="s">
        <v>325</v>
      </c>
      <c r="B123" s="126" t="s">
        <v>326</v>
      </c>
      <c r="C123" s="127" t="s">
        <v>364</v>
      </c>
      <c r="D123" s="117" t="s">
        <v>8</v>
      </c>
      <c r="E123" s="118">
        <v>1794870.22</v>
      </c>
      <c r="F123" s="118"/>
      <c r="G123" s="118">
        <v>233333</v>
      </c>
      <c r="H123" s="118"/>
      <c r="I123" s="118"/>
      <c r="J123" s="126" t="s">
        <v>325</v>
      </c>
      <c r="K123" s="126" t="s">
        <v>320</v>
      </c>
      <c r="L123" s="118">
        <v>-40000</v>
      </c>
      <c r="M123" s="118"/>
      <c r="N123" s="118">
        <v>-5200</v>
      </c>
      <c r="O123" s="118"/>
      <c r="P123" s="128"/>
      <c r="Q123" s="132">
        <v>42881</v>
      </c>
      <c r="R123" s="118" t="s">
        <v>367</v>
      </c>
      <c r="S123" s="129">
        <v>2</v>
      </c>
      <c r="T123" s="118">
        <v>1794870.22</v>
      </c>
      <c r="U123" s="118">
        <v>0</v>
      </c>
      <c r="V123" s="118">
        <v>233333</v>
      </c>
      <c r="W123" s="118">
        <v>0</v>
      </c>
      <c r="X123" s="118">
        <v>0</v>
      </c>
      <c r="Y123" s="132">
        <v>42881</v>
      </c>
      <c r="Z123" s="132">
        <v>42865</v>
      </c>
      <c r="AA123" s="118">
        <v>-40000</v>
      </c>
      <c r="AB123" s="118">
        <v>0</v>
      </c>
      <c r="AC123" s="118">
        <v>-5200</v>
      </c>
      <c r="AD123" s="118">
        <v>0</v>
      </c>
      <c r="AE123" s="118">
        <v>0</v>
      </c>
    </row>
    <row r="124" spans="1:31">
      <c r="A124" s="125" t="s">
        <v>325</v>
      </c>
      <c r="B124" s="126" t="s">
        <v>326</v>
      </c>
      <c r="C124" s="127" t="s">
        <v>364</v>
      </c>
      <c r="D124" s="117" t="s">
        <v>9</v>
      </c>
      <c r="E124" s="118">
        <v>557182.71</v>
      </c>
      <c r="F124" s="118"/>
      <c r="G124" s="118">
        <v>72433</v>
      </c>
      <c r="H124" s="118"/>
      <c r="I124" s="118"/>
      <c r="J124" s="126" t="s">
        <v>325</v>
      </c>
      <c r="K124" s="126" t="s">
        <v>303</v>
      </c>
      <c r="L124" s="118">
        <v>-52500</v>
      </c>
      <c r="M124" s="118"/>
      <c r="N124" s="118">
        <v>-6825</v>
      </c>
      <c r="O124" s="118"/>
      <c r="P124" s="128"/>
      <c r="Q124" s="132">
        <v>42881</v>
      </c>
      <c r="R124" s="118" t="s">
        <v>367</v>
      </c>
      <c r="S124" s="129">
        <v>3</v>
      </c>
      <c r="T124" s="118">
        <v>557182.71</v>
      </c>
      <c r="U124" s="118">
        <v>0</v>
      </c>
      <c r="V124" s="118">
        <v>72433</v>
      </c>
      <c r="W124" s="118">
        <v>0</v>
      </c>
      <c r="X124" s="118">
        <v>0</v>
      </c>
      <c r="Y124" s="132">
        <v>42881</v>
      </c>
      <c r="Z124" s="132">
        <v>42839</v>
      </c>
      <c r="AA124" s="118">
        <v>-52500</v>
      </c>
      <c r="AB124" s="118">
        <v>0</v>
      </c>
      <c r="AC124" s="118">
        <v>-6825</v>
      </c>
      <c r="AD124" s="118">
        <v>0</v>
      </c>
      <c r="AE124" s="118">
        <v>0</v>
      </c>
    </row>
    <row r="125" spans="1:31">
      <c r="A125" s="125" t="s">
        <v>327</v>
      </c>
      <c r="B125" s="126" t="s">
        <v>328</v>
      </c>
      <c r="C125" s="127" t="s">
        <v>362</v>
      </c>
      <c r="D125" s="117" t="s">
        <v>7</v>
      </c>
      <c r="E125" s="118"/>
      <c r="F125" s="118"/>
      <c r="G125" s="118"/>
      <c r="H125" s="118"/>
      <c r="I125" s="118"/>
      <c r="J125" s="126" t="s">
        <v>327</v>
      </c>
      <c r="K125" s="126" t="s">
        <v>254</v>
      </c>
      <c r="L125" s="118">
        <v>-20227.080000000002</v>
      </c>
      <c r="M125" s="118"/>
      <c r="N125" s="118">
        <v>-2630</v>
      </c>
      <c r="O125" s="118"/>
      <c r="P125" s="128"/>
      <c r="Q125" s="132">
        <v>42886</v>
      </c>
      <c r="R125" s="118" t="s">
        <v>365</v>
      </c>
      <c r="S125" s="129">
        <v>1</v>
      </c>
      <c r="T125" s="118"/>
      <c r="U125" s="118"/>
      <c r="V125" s="118"/>
      <c r="W125" s="118"/>
      <c r="X125" s="118"/>
      <c r="Y125" s="132">
        <v>42886</v>
      </c>
      <c r="Z125" s="132">
        <v>42745</v>
      </c>
      <c r="AA125" s="118">
        <v>-20227.080000000002</v>
      </c>
      <c r="AB125" s="118">
        <v>0</v>
      </c>
      <c r="AC125" s="118">
        <v>-2630</v>
      </c>
      <c r="AD125" s="118">
        <v>0</v>
      </c>
      <c r="AE125" s="118">
        <v>0</v>
      </c>
    </row>
    <row r="126" spans="1:31">
      <c r="A126" s="125"/>
      <c r="B126" s="126"/>
      <c r="C126" s="127"/>
      <c r="D126" s="117"/>
      <c r="E126" s="118"/>
      <c r="F126" s="118"/>
      <c r="G126" s="118"/>
      <c r="H126" s="118"/>
      <c r="I126" s="118"/>
      <c r="J126" s="126" t="s">
        <v>327</v>
      </c>
      <c r="K126" s="126" t="s">
        <v>275</v>
      </c>
      <c r="L126" s="118">
        <v>-20227.080000000002</v>
      </c>
      <c r="M126" s="118"/>
      <c r="N126" s="118">
        <v>-2629</v>
      </c>
      <c r="O126" s="118"/>
      <c r="P126" s="128"/>
      <c r="Q126" s="132">
        <v>42886</v>
      </c>
      <c r="R126" s="118" t="s">
        <v>365</v>
      </c>
      <c r="S126" s="129">
        <v>1</v>
      </c>
      <c r="T126" s="118"/>
      <c r="U126" s="118"/>
      <c r="V126" s="118"/>
      <c r="W126" s="118"/>
      <c r="X126" s="118"/>
      <c r="Y126" s="132">
        <v>42886</v>
      </c>
      <c r="Z126" s="132">
        <v>42776</v>
      </c>
      <c r="AA126" s="118">
        <v>-20227.080000000002</v>
      </c>
      <c r="AB126" s="118">
        <v>0</v>
      </c>
      <c r="AC126" s="118">
        <v>-2629</v>
      </c>
      <c r="AD126" s="118">
        <v>0</v>
      </c>
      <c r="AE126" s="118">
        <v>0</v>
      </c>
    </row>
    <row r="127" spans="1:31">
      <c r="A127" s="125"/>
      <c r="B127" s="126"/>
      <c r="C127" s="127"/>
      <c r="D127" s="117"/>
      <c r="E127" s="118"/>
      <c r="F127" s="118"/>
      <c r="G127" s="118"/>
      <c r="H127" s="118"/>
      <c r="I127" s="118"/>
      <c r="J127" s="126" t="s">
        <v>327</v>
      </c>
      <c r="K127" s="126" t="s">
        <v>285</v>
      </c>
      <c r="L127" s="118">
        <v>-25661.29</v>
      </c>
      <c r="M127" s="118"/>
      <c r="N127" s="118">
        <v>-3336</v>
      </c>
      <c r="O127" s="118"/>
      <c r="P127" s="128"/>
      <c r="Q127" s="132">
        <v>42886</v>
      </c>
      <c r="R127" s="118" t="s">
        <v>365</v>
      </c>
      <c r="S127" s="129">
        <v>1</v>
      </c>
      <c r="T127" s="118"/>
      <c r="U127" s="118"/>
      <c r="V127" s="118"/>
      <c r="W127" s="118"/>
      <c r="X127" s="118"/>
      <c r="Y127" s="132">
        <v>42886</v>
      </c>
      <c r="Z127" s="132">
        <v>42804</v>
      </c>
      <c r="AA127" s="118">
        <v>-25661.29</v>
      </c>
      <c r="AB127" s="118">
        <v>0</v>
      </c>
      <c r="AC127" s="118">
        <v>-3336</v>
      </c>
      <c r="AD127" s="118">
        <v>0</v>
      </c>
      <c r="AE127" s="118">
        <v>0</v>
      </c>
    </row>
    <row r="128" spans="1:31">
      <c r="A128" s="125"/>
      <c r="B128" s="126"/>
      <c r="C128" s="127"/>
      <c r="D128" s="117"/>
      <c r="E128" s="118"/>
      <c r="F128" s="118"/>
      <c r="G128" s="118"/>
      <c r="H128" s="118"/>
      <c r="I128" s="118"/>
      <c r="J128" s="126" t="s">
        <v>327</v>
      </c>
      <c r="K128" s="126" t="s">
        <v>301</v>
      </c>
      <c r="L128" s="118">
        <v>-51616.01</v>
      </c>
      <c r="M128" s="118">
        <v>-500</v>
      </c>
      <c r="N128" s="118">
        <v>-6644</v>
      </c>
      <c r="O128" s="118"/>
      <c r="P128" s="128"/>
      <c r="Q128" s="132">
        <v>42886</v>
      </c>
      <c r="R128" s="118" t="s">
        <v>365</v>
      </c>
      <c r="S128" s="129">
        <v>1</v>
      </c>
      <c r="T128" s="118"/>
      <c r="U128" s="118"/>
      <c r="V128" s="118"/>
      <c r="W128" s="118"/>
      <c r="X128" s="118"/>
      <c r="Y128" s="132">
        <v>42886</v>
      </c>
      <c r="Z128" s="132">
        <v>42835</v>
      </c>
      <c r="AA128" s="118">
        <v>-51616.01</v>
      </c>
      <c r="AB128" s="118">
        <v>-500</v>
      </c>
      <c r="AC128" s="118">
        <v>-6644</v>
      </c>
      <c r="AD128" s="118">
        <v>0</v>
      </c>
      <c r="AE128" s="118">
        <v>0</v>
      </c>
    </row>
    <row r="129" spans="1:31">
      <c r="A129" s="125"/>
      <c r="B129" s="126"/>
      <c r="C129" s="127"/>
      <c r="D129" s="117"/>
      <c r="E129" s="118"/>
      <c r="F129" s="118"/>
      <c r="G129" s="118"/>
      <c r="H129" s="118"/>
      <c r="I129" s="118"/>
      <c r="J129" s="126" t="s">
        <v>327</v>
      </c>
      <c r="K129" s="126" t="s">
        <v>316</v>
      </c>
      <c r="L129" s="118">
        <v>-5440.1</v>
      </c>
      <c r="M129" s="118"/>
      <c r="N129" s="118">
        <v>-707</v>
      </c>
      <c r="O129" s="118"/>
      <c r="P129" s="128"/>
      <c r="Q129" s="132">
        <v>42886</v>
      </c>
      <c r="R129" s="118" t="s">
        <v>365</v>
      </c>
      <c r="S129" s="129">
        <v>1</v>
      </c>
      <c r="T129" s="118"/>
      <c r="U129" s="118"/>
      <c r="V129" s="118"/>
      <c r="W129" s="118"/>
      <c r="X129" s="118"/>
      <c r="Y129" s="132">
        <v>42886</v>
      </c>
      <c r="Z129" s="132">
        <v>42858</v>
      </c>
      <c r="AA129" s="118">
        <v>-5440.1</v>
      </c>
      <c r="AB129" s="118">
        <v>0</v>
      </c>
      <c r="AC129" s="118">
        <v>-707</v>
      </c>
      <c r="AD129" s="118">
        <v>0</v>
      </c>
      <c r="AE129" s="118">
        <v>0</v>
      </c>
    </row>
    <row r="130" spans="1:31">
      <c r="A130" s="125"/>
      <c r="B130" s="126"/>
      <c r="C130" s="127"/>
      <c r="D130" s="117"/>
      <c r="E130" s="118"/>
      <c r="F130" s="118"/>
      <c r="G130" s="118"/>
      <c r="H130" s="118"/>
      <c r="I130" s="118"/>
      <c r="J130" s="126" t="s">
        <v>327</v>
      </c>
      <c r="K130" s="126" t="s">
        <v>317</v>
      </c>
      <c r="L130" s="118">
        <v>-14887.7</v>
      </c>
      <c r="M130" s="118"/>
      <c r="N130" s="118">
        <v>-1935</v>
      </c>
      <c r="O130" s="118"/>
      <c r="P130" s="128"/>
      <c r="Q130" s="132">
        <v>42886</v>
      </c>
      <c r="R130" s="118" t="s">
        <v>365</v>
      </c>
      <c r="S130" s="129">
        <v>1</v>
      </c>
      <c r="T130" s="118"/>
      <c r="U130" s="118"/>
      <c r="V130" s="118"/>
      <c r="W130" s="118"/>
      <c r="X130" s="118"/>
      <c r="Y130" s="132">
        <v>42886</v>
      </c>
      <c r="Z130" s="132">
        <v>42859</v>
      </c>
      <c r="AA130" s="118">
        <v>-14887.7</v>
      </c>
      <c r="AB130" s="118">
        <v>0</v>
      </c>
      <c r="AC130" s="118">
        <v>-1935</v>
      </c>
      <c r="AD130" s="118">
        <v>0</v>
      </c>
      <c r="AE130" s="118">
        <v>0</v>
      </c>
    </row>
    <row r="131" spans="1:31">
      <c r="A131" s="125" t="s">
        <v>327</v>
      </c>
      <c r="B131" s="126" t="s">
        <v>328</v>
      </c>
      <c r="C131" s="127" t="s">
        <v>362</v>
      </c>
      <c r="D131" s="117" t="s">
        <v>8</v>
      </c>
      <c r="E131" s="118"/>
      <c r="F131" s="118"/>
      <c r="G131" s="118"/>
      <c r="H131" s="118"/>
      <c r="I131" s="118"/>
      <c r="J131" s="126" t="s">
        <v>327</v>
      </c>
      <c r="K131" s="126" t="s">
        <v>301</v>
      </c>
      <c r="L131" s="118">
        <v>-1880.9</v>
      </c>
      <c r="M131" s="118"/>
      <c r="N131" s="118">
        <v>-245</v>
      </c>
      <c r="O131" s="118"/>
      <c r="P131" s="128"/>
      <c r="Q131" s="132">
        <v>42886</v>
      </c>
      <c r="R131" s="118" t="s">
        <v>365</v>
      </c>
      <c r="S131" s="129">
        <v>2</v>
      </c>
      <c r="T131" s="118"/>
      <c r="U131" s="118"/>
      <c r="V131" s="118"/>
      <c r="W131" s="118"/>
      <c r="X131" s="118"/>
      <c r="Y131" s="132">
        <v>42886</v>
      </c>
      <c r="Z131" s="132">
        <v>42835</v>
      </c>
      <c r="AA131" s="118">
        <v>-1880.9</v>
      </c>
      <c r="AB131" s="118">
        <v>0</v>
      </c>
      <c r="AC131" s="118">
        <v>-245</v>
      </c>
      <c r="AD131" s="118">
        <v>0</v>
      </c>
      <c r="AE131" s="118">
        <v>0</v>
      </c>
    </row>
    <row r="132" spans="1:31">
      <c r="A132" s="125" t="s">
        <v>329</v>
      </c>
      <c r="B132" s="126" t="s">
        <v>330</v>
      </c>
      <c r="C132" s="127" t="s">
        <v>364</v>
      </c>
      <c r="D132" s="117" t="s">
        <v>8</v>
      </c>
      <c r="E132" s="118">
        <v>893703.25</v>
      </c>
      <c r="F132" s="118"/>
      <c r="G132" s="118">
        <v>116181</v>
      </c>
      <c r="H132" s="118"/>
      <c r="I132" s="118"/>
      <c r="J132" s="126" t="s">
        <v>329</v>
      </c>
      <c r="K132" s="126" t="s">
        <v>332</v>
      </c>
      <c r="L132" s="118">
        <v>-259000</v>
      </c>
      <c r="M132" s="118"/>
      <c r="N132" s="118">
        <v>-33670</v>
      </c>
      <c r="O132" s="118"/>
      <c r="P132" s="128"/>
      <c r="Q132" s="132">
        <v>42888</v>
      </c>
      <c r="R132" s="118" t="s">
        <v>367</v>
      </c>
      <c r="S132" s="129">
        <v>2</v>
      </c>
      <c r="T132" s="118">
        <v>893703.25</v>
      </c>
      <c r="U132" s="118">
        <v>0</v>
      </c>
      <c r="V132" s="118">
        <v>116181</v>
      </c>
      <c r="W132" s="118">
        <v>0</v>
      </c>
      <c r="X132" s="118">
        <v>0</v>
      </c>
      <c r="Y132" s="132">
        <v>42888</v>
      </c>
      <c r="Z132" s="132">
        <v>42636</v>
      </c>
      <c r="AA132" s="118">
        <v>-259000</v>
      </c>
      <c r="AB132" s="118">
        <v>0</v>
      </c>
      <c r="AC132" s="118">
        <v>-33670</v>
      </c>
      <c r="AD132" s="118">
        <v>0</v>
      </c>
      <c r="AE132" s="118">
        <v>0</v>
      </c>
    </row>
    <row r="133" spans="1:31">
      <c r="A133" s="125" t="s">
        <v>329</v>
      </c>
      <c r="B133" s="126" t="s">
        <v>330</v>
      </c>
      <c r="C133" s="127" t="s">
        <v>364</v>
      </c>
      <c r="D133" s="117" t="s">
        <v>9</v>
      </c>
      <c r="E133" s="118">
        <v>231518.05</v>
      </c>
      <c r="F133" s="118"/>
      <c r="G133" s="118">
        <v>30098</v>
      </c>
      <c r="H133" s="118"/>
      <c r="I133" s="118"/>
      <c r="J133" s="126" t="s">
        <v>329</v>
      </c>
      <c r="K133" s="126" t="s">
        <v>331</v>
      </c>
      <c r="L133" s="118">
        <v>-6000</v>
      </c>
      <c r="M133" s="118"/>
      <c r="N133" s="118">
        <v>-780</v>
      </c>
      <c r="O133" s="118"/>
      <c r="P133" s="128"/>
      <c r="Q133" s="132">
        <v>42888</v>
      </c>
      <c r="R133" s="118" t="s">
        <v>367</v>
      </c>
      <c r="S133" s="129">
        <v>3</v>
      </c>
      <c r="T133" s="118">
        <v>231518.05</v>
      </c>
      <c r="U133" s="118">
        <v>0</v>
      </c>
      <c r="V133" s="118">
        <v>30098</v>
      </c>
      <c r="W133" s="118">
        <v>0</v>
      </c>
      <c r="X133" s="118">
        <v>0</v>
      </c>
      <c r="Y133" s="132">
        <v>42888</v>
      </c>
      <c r="Z133" s="132">
        <v>42580</v>
      </c>
      <c r="AA133" s="118">
        <v>-6000</v>
      </c>
      <c r="AB133" s="118">
        <v>0</v>
      </c>
      <c r="AC133" s="118">
        <v>-780</v>
      </c>
      <c r="AD133" s="118">
        <v>0</v>
      </c>
      <c r="AE133" s="118">
        <v>0</v>
      </c>
    </row>
    <row r="134" spans="1:31">
      <c r="A134" s="125" t="s">
        <v>329</v>
      </c>
      <c r="B134" s="126" t="s">
        <v>330</v>
      </c>
      <c r="C134" s="127" t="s">
        <v>364</v>
      </c>
      <c r="D134" s="117" t="s">
        <v>10</v>
      </c>
      <c r="E134" s="118">
        <v>738920.33</v>
      </c>
      <c r="F134" s="118"/>
      <c r="G134" s="118">
        <v>96060</v>
      </c>
      <c r="H134" s="118"/>
      <c r="I134" s="118"/>
      <c r="J134" s="126"/>
      <c r="K134" s="126"/>
      <c r="L134" s="118"/>
      <c r="M134" s="118"/>
      <c r="N134" s="118"/>
      <c r="O134" s="118"/>
      <c r="P134" s="128"/>
      <c r="Q134" s="132">
        <v>42888</v>
      </c>
      <c r="R134" s="118" t="s">
        <v>367</v>
      </c>
      <c r="S134" s="129">
        <v>4</v>
      </c>
      <c r="T134" s="118">
        <v>738920.33</v>
      </c>
      <c r="U134" s="118">
        <v>0</v>
      </c>
      <c r="V134" s="118">
        <v>96060</v>
      </c>
      <c r="W134" s="118">
        <v>0</v>
      </c>
      <c r="X134" s="118">
        <v>0</v>
      </c>
      <c r="Y134" s="132">
        <v>42888</v>
      </c>
      <c r="Z134" s="132"/>
      <c r="AA134" s="118"/>
      <c r="AB134" s="118"/>
      <c r="AC134" s="118"/>
      <c r="AD134" s="118"/>
      <c r="AE134" s="118"/>
    </row>
    <row r="135" spans="1:31">
      <c r="A135" s="125" t="s">
        <v>329</v>
      </c>
      <c r="B135" s="126" t="s">
        <v>330</v>
      </c>
      <c r="C135" s="127" t="s">
        <v>364</v>
      </c>
      <c r="D135" s="117" t="s">
        <v>11</v>
      </c>
      <c r="E135" s="118">
        <v>40902.300000000003</v>
      </c>
      <c r="F135" s="118"/>
      <c r="G135" s="118">
        <v>5317</v>
      </c>
      <c r="H135" s="118"/>
      <c r="I135" s="118"/>
      <c r="J135" s="126"/>
      <c r="K135" s="126"/>
      <c r="L135" s="118"/>
      <c r="M135" s="118"/>
      <c r="N135" s="118"/>
      <c r="O135" s="118"/>
      <c r="P135" s="128"/>
      <c r="Q135" s="132">
        <v>42888</v>
      </c>
      <c r="R135" s="118" t="s">
        <v>367</v>
      </c>
      <c r="S135" s="129">
        <v>5</v>
      </c>
      <c r="T135" s="118">
        <v>40902.300000000003</v>
      </c>
      <c r="U135" s="118">
        <v>0</v>
      </c>
      <c r="V135" s="118">
        <v>5317</v>
      </c>
      <c r="W135" s="118">
        <v>0</v>
      </c>
      <c r="X135" s="118">
        <v>0</v>
      </c>
      <c r="Y135" s="132">
        <v>42888</v>
      </c>
      <c r="Z135" s="132"/>
      <c r="AA135" s="118"/>
      <c r="AB135" s="118"/>
      <c r="AC135" s="118"/>
      <c r="AD135" s="118"/>
      <c r="AE135" s="118"/>
    </row>
    <row r="136" spans="1:31">
      <c r="A136" s="125" t="s">
        <v>329</v>
      </c>
      <c r="B136" s="126" t="s">
        <v>330</v>
      </c>
      <c r="C136" s="127" t="s">
        <v>363</v>
      </c>
      <c r="D136" s="117" t="s">
        <v>7</v>
      </c>
      <c r="E136" s="118">
        <v>4350930.09</v>
      </c>
      <c r="F136" s="118"/>
      <c r="G136" s="118">
        <v>565620</v>
      </c>
      <c r="H136" s="118">
        <v>25097.52</v>
      </c>
      <c r="I136" s="118">
        <v>7529</v>
      </c>
      <c r="J136" s="126"/>
      <c r="K136" s="126"/>
      <c r="L136" s="118"/>
      <c r="M136" s="118"/>
      <c r="N136" s="118"/>
      <c r="O136" s="118"/>
      <c r="P136" s="128"/>
      <c r="Q136" s="132">
        <v>42888</v>
      </c>
      <c r="R136" s="118" t="s">
        <v>366</v>
      </c>
      <c r="S136" s="129">
        <v>1</v>
      </c>
      <c r="T136" s="118">
        <v>4350930.09</v>
      </c>
      <c r="U136" s="118">
        <v>0</v>
      </c>
      <c r="V136" s="118">
        <v>565620</v>
      </c>
      <c r="W136" s="118">
        <v>25097.52</v>
      </c>
      <c r="X136" s="118">
        <v>7529</v>
      </c>
      <c r="Y136" s="132">
        <v>42888</v>
      </c>
      <c r="Z136" s="132"/>
      <c r="AA136" s="118"/>
      <c r="AB136" s="118"/>
      <c r="AC136" s="118"/>
      <c r="AD136" s="118"/>
      <c r="AE136" s="118"/>
    </row>
    <row r="137" spans="1:31">
      <c r="A137" s="125" t="s">
        <v>333</v>
      </c>
      <c r="B137" s="126" t="s">
        <v>334</v>
      </c>
      <c r="C137" s="127" t="s">
        <v>362</v>
      </c>
      <c r="D137" s="117" t="s">
        <v>7</v>
      </c>
      <c r="E137" s="118">
        <v>1129178992.5699999</v>
      </c>
      <c r="F137" s="118">
        <v>5883800</v>
      </c>
      <c r="G137" s="118">
        <v>146054332</v>
      </c>
      <c r="H137" s="118">
        <v>2616885.08</v>
      </c>
      <c r="I137" s="118">
        <v>795855</v>
      </c>
      <c r="J137" s="126"/>
      <c r="K137" s="126"/>
      <c r="L137" s="118"/>
      <c r="M137" s="118"/>
      <c r="N137" s="118"/>
      <c r="O137" s="118"/>
      <c r="P137" s="128"/>
      <c r="Q137" s="132">
        <v>42895</v>
      </c>
      <c r="R137" s="118" t="s">
        <v>365</v>
      </c>
      <c r="S137" s="129">
        <v>1</v>
      </c>
      <c r="T137" s="118">
        <v>1129178992.5699999</v>
      </c>
      <c r="U137" s="118">
        <v>5883800</v>
      </c>
      <c r="V137" s="118">
        <v>146054332</v>
      </c>
      <c r="W137" s="118">
        <v>2616885.08</v>
      </c>
      <c r="X137" s="118">
        <v>795855</v>
      </c>
      <c r="Y137" s="132">
        <v>42895</v>
      </c>
      <c r="Z137" s="132"/>
      <c r="AA137" s="118"/>
      <c r="AB137" s="118"/>
      <c r="AC137" s="118"/>
      <c r="AD137" s="118"/>
      <c r="AE137" s="118"/>
    </row>
    <row r="138" spans="1:31">
      <c r="A138" s="125" t="s">
        <v>333</v>
      </c>
      <c r="B138" s="126" t="s">
        <v>334</v>
      </c>
      <c r="C138" s="127" t="s">
        <v>362</v>
      </c>
      <c r="D138" s="117" t="s">
        <v>8</v>
      </c>
      <c r="E138" s="118">
        <v>44777496.219999999</v>
      </c>
      <c r="F138" s="118">
        <v>129800</v>
      </c>
      <c r="G138" s="118">
        <v>5805779</v>
      </c>
      <c r="H138" s="118">
        <v>28979</v>
      </c>
      <c r="I138" s="118">
        <v>8695</v>
      </c>
      <c r="J138" s="126"/>
      <c r="K138" s="126"/>
      <c r="L138" s="118"/>
      <c r="M138" s="118"/>
      <c r="N138" s="118"/>
      <c r="O138" s="118"/>
      <c r="P138" s="128"/>
      <c r="Q138" s="132">
        <v>42895</v>
      </c>
      <c r="R138" s="118" t="s">
        <v>365</v>
      </c>
      <c r="S138" s="129">
        <v>2</v>
      </c>
      <c r="T138" s="118">
        <v>44777496.219999999</v>
      </c>
      <c r="U138" s="118">
        <v>129800</v>
      </c>
      <c r="V138" s="118">
        <v>5805779</v>
      </c>
      <c r="W138" s="118">
        <v>28979</v>
      </c>
      <c r="X138" s="118">
        <v>8695</v>
      </c>
      <c r="Y138" s="132">
        <v>42895</v>
      </c>
      <c r="Z138" s="132"/>
      <c r="AA138" s="118"/>
      <c r="AB138" s="118"/>
      <c r="AC138" s="118"/>
      <c r="AD138" s="118"/>
      <c r="AE138" s="118"/>
    </row>
    <row r="139" spans="1:31">
      <c r="A139" s="125" t="s">
        <v>333</v>
      </c>
      <c r="B139" s="126" t="s">
        <v>334</v>
      </c>
      <c r="C139" s="127" t="s">
        <v>362</v>
      </c>
      <c r="D139" s="117" t="s">
        <v>9</v>
      </c>
      <c r="E139" s="118">
        <v>18797970.829999998</v>
      </c>
      <c r="F139" s="118">
        <v>42500</v>
      </c>
      <c r="G139" s="118">
        <v>2438480</v>
      </c>
      <c r="H139" s="118">
        <v>2463</v>
      </c>
      <c r="I139" s="118">
        <v>739</v>
      </c>
      <c r="J139" s="126"/>
      <c r="K139" s="126"/>
      <c r="L139" s="118"/>
      <c r="M139" s="118"/>
      <c r="N139" s="118"/>
      <c r="O139" s="118"/>
      <c r="P139" s="128"/>
      <c r="Q139" s="132">
        <v>42895</v>
      </c>
      <c r="R139" s="118" t="s">
        <v>365</v>
      </c>
      <c r="S139" s="129">
        <v>3</v>
      </c>
      <c r="T139" s="118">
        <v>18797970.829999998</v>
      </c>
      <c r="U139" s="118">
        <v>42500</v>
      </c>
      <c r="V139" s="118">
        <v>2438480</v>
      </c>
      <c r="W139" s="118">
        <v>2463</v>
      </c>
      <c r="X139" s="118">
        <v>739</v>
      </c>
      <c r="Y139" s="132">
        <v>42895</v>
      </c>
      <c r="Z139" s="132"/>
      <c r="AA139" s="118"/>
      <c r="AB139" s="118"/>
      <c r="AC139" s="118"/>
      <c r="AD139" s="118"/>
      <c r="AE139" s="118"/>
    </row>
    <row r="140" spans="1:31">
      <c r="A140" s="125" t="s">
        <v>333</v>
      </c>
      <c r="B140" s="126" t="s">
        <v>334</v>
      </c>
      <c r="C140" s="127" t="s">
        <v>362</v>
      </c>
      <c r="D140" s="117" t="s">
        <v>11</v>
      </c>
      <c r="E140" s="118">
        <v>3747292.6</v>
      </c>
      <c r="F140" s="118">
        <v>11000</v>
      </c>
      <c r="G140" s="118">
        <v>485730</v>
      </c>
      <c r="H140" s="118">
        <v>4933.8</v>
      </c>
      <c r="I140" s="118">
        <v>1480</v>
      </c>
      <c r="J140" s="126"/>
      <c r="K140" s="126"/>
      <c r="L140" s="118"/>
      <c r="M140" s="118"/>
      <c r="N140" s="118"/>
      <c r="O140" s="118"/>
      <c r="P140" s="128"/>
      <c r="Q140" s="132">
        <v>42895</v>
      </c>
      <c r="R140" s="118" t="s">
        <v>365</v>
      </c>
      <c r="S140" s="129">
        <v>5</v>
      </c>
      <c r="T140" s="118">
        <v>3747292.6</v>
      </c>
      <c r="U140" s="118">
        <v>11000</v>
      </c>
      <c r="V140" s="118">
        <v>485730</v>
      </c>
      <c r="W140" s="118">
        <v>4933.8</v>
      </c>
      <c r="X140" s="118">
        <v>1480</v>
      </c>
      <c r="Y140" s="132">
        <v>42895</v>
      </c>
      <c r="Z140" s="132"/>
      <c r="AA140" s="118"/>
      <c r="AB140" s="118"/>
      <c r="AC140" s="118"/>
      <c r="AD140" s="118"/>
      <c r="AE140" s="118"/>
    </row>
    <row r="141" spans="1:31">
      <c r="A141" s="125" t="s">
        <v>333</v>
      </c>
      <c r="B141" s="126" t="s">
        <v>334</v>
      </c>
      <c r="C141" s="127" t="s">
        <v>362</v>
      </c>
      <c r="D141" s="117" t="s">
        <v>12</v>
      </c>
      <c r="E141" s="118">
        <v>34731905.579999998</v>
      </c>
      <c r="F141" s="118">
        <v>318600</v>
      </c>
      <c r="G141" s="118">
        <v>4476804</v>
      </c>
      <c r="H141" s="118">
        <v>70822.98</v>
      </c>
      <c r="I141" s="118">
        <v>21247</v>
      </c>
      <c r="J141" s="126"/>
      <c r="K141" s="126"/>
      <c r="L141" s="118"/>
      <c r="M141" s="118"/>
      <c r="N141" s="118"/>
      <c r="O141" s="118"/>
      <c r="P141" s="128"/>
      <c r="Q141" s="132">
        <v>42895</v>
      </c>
      <c r="R141" s="118" t="s">
        <v>365</v>
      </c>
      <c r="S141" s="129">
        <v>6</v>
      </c>
      <c r="T141" s="118">
        <v>34731905.579999998</v>
      </c>
      <c r="U141" s="118">
        <v>318600</v>
      </c>
      <c r="V141" s="118">
        <v>4476804</v>
      </c>
      <c r="W141" s="118">
        <v>70822.98</v>
      </c>
      <c r="X141" s="118">
        <v>21247</v>
      </c>
      <c r="Y141" s="132">
        <v>42895</v>
      </c>
      <c r="Z141" s="132"/>
      <c r="AA141" s="118"/>
      <c r="AB141" s="118"/>
      <c r="AC141" s="118"/>
      <c r="AD141" s="118"/>
      <c r="AE141" s="118"/>
    </row>
    <row r="142" spans="1:31">
      <c r="A142" s="125" t="s">
        <v>333</v>
      </c>
      <c r="B142" s="126" t="s">
        <v>334</v>
      </c>
      <c r="C142" s="127" t="s">
        <v>362</v>
      </c>
      <c r="D142" s="117" t="s">
        <v>13</v>
      </c>
      <c r="E142" s="118">
        <v>97429565.659999996</v>
      </c>
      <c r="F142" s="118">
        <v>649000</v>
      </c>
      <c r="G142" s="118">
        <v>12585070</v>
      </c>
      <c r="H142" s="118">
        <v>20514</v>
      </c>
      <c r="I142" s="118">
        <v>6155</v>
      </c>
      <c r="J142" s="126"/>
      <c r="K142" s="126"/>
      <c r="L142" s="118"/>
      <c r="M142" s="118"/>
      <c r="N142" s="118"/>
      <c r="O142" s="118"/>
      <c r="P142" s="128"/>
      <c r="Q142" s="132">
        <v>42895</v>
      </c>
      <c r="R142" s="118" t="s">
        <v>365</v>
      </c>
      <c r="S142" s="129">
        <v>7</v>
      </c>
      <c r="T142" s="118">
        <v>97429565.659999996</v>
      </c>
      <c r="U142" s="118">
        <v>649000</v>
      </c>
      <c r="V142" s="118">
        <v>12585070</v>
      </c>
      <c r="W142" s="118">
        <v>20514</v>
      </c>
      <c r="X142" s="118">
        <v>6155</v>
      </c>
      <c r="Y142" s="132">
        <v>42895</v>
      </c>
      <c r="Z142" s="132"/>
      <c r="AA142" s="118"/>
      <c r="AB142" s="118"/>
      <c r="AC142" s="118"/>
      <c r="AD142" s="118"/>
      <c r="AE142" s="118"/>
    </row>
    <row r="143" spans="1:31">
      <c r="A143" s="125" t="s">
        <v>335</v>
      </c>
      <c r="B143" s="126" t="s">
        <v>336</v>
      </c>
      <c r="C143" s="127" t="s">
        <v>364</v>
      </c>
      <c r="D143" s="117" t="s">
        <v>8</v>
      </c>
      <c r="E143" s="118">
        <v>867716.7</v>
      </c>
      <c r="F143" s="118"/>
      <c r="G143" s="118">
        <v>112802</v>
      </c>
      <c r="H143" s="118"/>
      <c r="I143" s="118"/>
      <c r="J143" s="126" t="s">
        <v>335</v>
      </c>
      <c r="K143" s="126" t="s">
        <v>332</v>
      </c>
      <c r="L143" s="118">
        <v>-445000</v>
      </c>
      <c r="M143" s="118"/>
      <c r="N143" s="118">
        <v>-57850</v>
      </c>
      <c r="O143" s="118"/>
      <c r="P143" s="128"/>
      <c r="Q143" s="132">
        <v>42899</v>
      </c>
      <c r="R143" s="118" t="s">
        <v>367</v>
      </c>
      <c r="S143" s="129">
        <v>2</v>
      </c>
      <c r="T143" s="118">
        <v>867716.7</v>
      </c>
      <c r="U143" s="118">
        <v>0</v>
      </c>
      <c r="V143" s="118">
        <v>112802</v>
      </c>
      <c r="W143" s="118">
        <v>0</v>
      </c>
      <c r="X143" s="118">
        <v>0</v>
      </c>
      <c r="Y143" s="132">
        <v>42899</v>
      </c>
      <c r="Z143" s="132">
        <v>42636</v>
      </c>
      <c r="AA143" s="118">
        <v>-445000</v>
      </c>
      <c r="AB143" s="118">
        <v>0</v>
      </c>
      <c r="AC143" s="118">
        <v>-57850</v>
      </c>
      <c r="AD143" s="118">
        <v>0</v>
      </c>
      <c r="AE143" s="118">
        <v>0</v>
      </c>
    </row>
    <row r="144" spans="1:31">
      <c r="A144" s="125" t="s">
        <v>335</v>
      </c>
      <c r="B144" s="126" t="s">
        <v>336</v>
      </c>
      <c r="C144" s="127" t="s">
        <v>364</v>
      </c>
      <c r="D144" s="117" t="s">
        <v>9</v>
      </c>
      <c r="E144" s="118">
        <v>2782872.75</v>
      </c>
      <c r="F144" s="118"/>
      <c r="G144" s="118">
        <v>361774</v>
      </c>
      <c r="H144" s="118"/>
      <c r="I144" s="118"/>
      <c r="J144" s="126"/>
      <c r="K144" s="126"/>
      <c r="L144" s="118"/>
      <c r="M144" s="118"/>
      <c r="N144" s="118"/>
      <c r="O144" s="118"/>
      <c r="P144" s="128"/>
      <c r="Q144" s="132">
        <v>42899</v>
      </c>
      <c r="R144" s="118" t="s">
        <v>367</v>
      </c>
      <c r="S144" s="129">
        <v>3</v>
      </c>
      <c r="T144" s="118">
        <v>2782872.75</v>
      </c>
      <c r="U144" s="118">
        <v>0</v>
      </c>
      <c r="V144" s="118">
        <v>361774</v>
      </c>
      <c r="W144" s="118">
        <v>0</v>
      </c>
      <c r="X144" s="118">
        <v>0</v>
      </c>
      <c r="Y144" s="132">
        <v>42899</v>
      </c>
      <c r="Z144" s="132"/>
      <c r="AA144" s="118"/>
      <c r="AB144" s="118"/>
      <c r="AC144" s="118"/>
      <c r="AD144" s="118"/>
      <c r="AE144" s="118"/>
    </row>
    <row r="145" spans="1:31">
      <c r="A145" s="125" t="s">
        <v>337</v>
      </c>
      <c r="B145" s="126" t="s">
        <v>338</v>
      </c>
      <c r="C145" s="127" t="s">
        <v>364</v>
      </c>
      <c r="D145" s="117" t="s">
        <v>8</v>
      </c>
      <c r="E145" s="118">
        <v>24470513.109999999</v>
      </c>
      <c r="F145" s="118"/>
      <c r="G145" s="118">
        <v>3181165</v>
      </c>
      <c r="H145" s="118"/>
      <c r="I145" s="118"/>
      <c r="J145" s="126" t="s">
        <v>337</v>
      </c>
      <c r="K145" s="126" t="s">
        <v>339</v>
      </c>
      <c r="L145" s="118">
        <v>-53500</v>
      </c>
      <c r="M145" s="118"/>
      <c r="N145" s="118">
        <v>-6955</v>
      </c>
      <c r="O145" s="118"/>
      <c r="P145" s="128"/>
      <c r="Q145" s="132">
        <v>42902</v>
      </c>
      <c r="R145" s="118" t="s">
        <v>367</v>
      </c>
      <c r="S145" s="129">
        <v>2</v>
      </c>
      <c r="T145" s="118">
        <v>24470513.109999999</v>
      </c>
      <c r="U145" s="118">
        <v>0</v>
      </c>
      <c r="V145" s="118">
        <v>3181165</v>
      </c>
      <c r="W145" s="118">
        <v>0</v>
      </c>
      <c r="X145" s="118">
        <v>0</v>
      </c>
      <c r="Y145" s="132">
        <v>42902</v>
      </c>
      <c r="Z145" s="132">
        <v>42517</v>
      </c>
      <c r="AA145" s="118">
        <v>-53500</v>
      </c>
      <c r="AB145" s="118">
        <v>0</v>
      </c>
      <c r="AC145" s="118">
        <v>-6955</v>
      </c>
      <c r="AD145" s="118">
        <v>0</v>
      </c>
      <c r="AE145" s="118">
        <v>0</v>
      </c>
    </row>
    <row r="146" spans="1:31">
      <c r="A146" s="125" t="s">
        <v>337</v>
      </c>
      <c r="B146" s="126" t="s">
        <v>338</v>
      </c>
      <c r="C146" s="127" t="s">
        <v>364</v>
      </c>
      <c r="D146" s="117" t="s">
        <v>9</v>
      </c>
      <c r="E146" s="118">
        <v>1016047.98</v>
      </c>
      <c r="F146" s="118"/>
      <c r="G146" s="118">
        <v>132087</v>
      </c>
      <c r="H146" s="118"/>
      <c r="I146" s="118"/>
      <c r="J146" s="126"/>
      <c r="K146" s="126"/>
      <c r="L146" s="118"/>
      <c r="M146" s="118"/>
      <c r="N146" s="118"/>
      <c r="O146" s="118"/>
      <c r="P146" s="128"/>
      <c r="Q146" s="132">
        <v>42902</v>
      </c>
      <c r="R146" s="118" t="s">
        <v>367</v>
      </c>
      <c r="S146" s="129">
        <v>3</v>
      </c>
      <c r="T146" s="118">
        <v>1016047.98</v>
      </c>
      <c r="U146" s="118">
        <v>0</v>
      </c>
      <c r="V146" s="118">
        <v>132087</v>
      </c>
      <c r="W146" s="118">
        <v>0</v>
      </c>
      <c r="X146" s="118">
        <v>0</v>
      </c>
      <c r="Y146" s="132">
        <v>42902</v>
      </c>
      <c r="Z146" s="132"/>
      <c r="AA146" s="118"/>
      <c r="AB146" s="118"/>
      <c r="AC146" s="118"/>
      <c r="AD146" s="118"/>
      <c r="AE146" s="118"/>
    </row>
    <row r="147" spans="1:31">
      <c r="A147" s="125" t="s">
        <v>337</v>
      </c>
      <c r="B147" s="126" t="s">
        <v>338</v>
      </c>
      <c r="C147" s="127" t="s">
        <v>364</v>
      </c>
      <c r="D147" s="117" t="s">
        <v>11</v>
      </c>
      <c r="E147" s="118">
        <v>2329855.39</v>
      </c>
      <c r="F147" s="118"/>
      <c r="G147" s="118">
        <v>302881</v>
      </c>
      <c r="H147" s="118"/>
      <c r="I147" s="118"/>
      <c r="J147" s="126"/>
      <c r="K147" s="126"/>
      <c r="L147" s="118"/>
      <c r="M147" s="118"/>
      <c r="N147" s="118"/>
      <c r="O147" s="118"/>
      <c r="P147" s="128"/>
      <c r="Q147" s="132">
        <v>42902</v>
      </c>
      <c r="R147" s="118" t="s">
        <v>367</v>
      </c>
      <c r="S147" s="129">
        <v>5</v>
      </c>
      <c r="T147" s="118">
        <v>2329855.39</v>
      </c>
      <c r="U147" s="118">
        <v>0</v>
      </c>
      <c r="V147" s="118">
        <v>302881</v>
      </c>
      <c r="W147" s="118">
        <v>0</v>
      </c>
      <c r="X147" s="118">
        <v>0</v>
      </c>
      <c r="Y147" s="132">
        <v>42902</v>
      </c>
      <c r="Z147" s="132"/>
      <c r="AA147" s="118"/>
      <c r="AB147" s="118"/>
      <c r="AC147" s="118"/>
      <c r="AD147" s="118"/>
      <c r="AE147" s="118"/>
    </row>
    <row r="148" spans="1:31">
      <c r="A148" s="125" t="s">
        <v>337</v>
      </c>
      <c r="B148" s="126" t="s">
        <v>338</v>
      </c>
      <c r="C148" s="127" t="s">
        <v>363</v>
      </c>
      <c r="D148" s="117" t="s">
        <v>7</v>
      </c>
      <c r="E148" s="118">
        <v>4778816.6900000004</v>
      </c>
      <c r="F148" s="118"/>
      <c r="G148" s="118">
        <v>621246</v>
      </c>
      <c r="H148" s="118"/>
      <c r="I148" s="118"/>
      <c r="J148" s="126"/>
      <c r="K148" s="126"/>
      <c r="L148" s="118"/>
      <c r="M148" s="118"/>
      <c r="N148" s="118"/>
      <c r="O148" s="118"/>
      <c r="P148" s="128"/>
      <c r="Q148" s="132">
        <v>42902</v>
      </c>
      <c r="R148" s="118" t="s">
        <v>366</v>
      </c>
      <c r="S148" s="129">
        <v>1</v>
      </c>
      <c r="T148" s="118">
        <v>4778816.6900000004</v>
      </c>
      <c r="U148" s="118">
        <v>0</v>
      </c>
      <c r="V148" s="118">
        <v>621246</v>
      </c>
      <c r="W148" s="118">
        <v>0</v>
      </c>
      <c r="X148" s="118">
        <v>0</v>
      </c>
      <c r="Y148" s="132">
        <v>42902</v>
      </c>
      <c r="Z148" s="132"/>
      <c r="AA148" s="118"/>
      <c r="AB148" s="118"/>
      <c r="AC148" s="118"/>
      <c r="AD148" s="118"/>
      <c r="AE148" s="118"/>
    </row>
    <row r="149" spans="1:31">
      <c r="A149" s="125" t="s">
        <v>340</v>
      </c>
      <c r="B149" s="126" t="s">
        <v>341</v>
      </c>
      <c r="C149" s="127" t="s">
        <v>364</v>
      </c>
      <c r="D149" s="117" t="s">
        <v>8</v>
      </c>
      <c r="E149" s="118">
        <v>1521347.44</v>
      </c>
      <c r="F149" s="118"/>
      <c r="G149" s="118">
        <v>197774</v>
      </c>
      <c r="H149" s="118"/>
      <c r="I149" s="118"/>
      <c r="J149" s="126"/>
      <c r="K149" s="126"/>
      <c r="L149" s="118"/>
      <c r="M149" s="118"/>
      <c r="N149" s="118"/>
      <c r="O149" s="118"/>
      <c r="P149" s="128"/>
      <c r="Q149" s="132">
        <v>42907</v>
      </c>
      <c r="R149" s="118" t="s">
        <v>367</v>
      </c>
      <c r="S149" s="129">
        <v>2</v>
      </c>
      <c r="T149" s="118">
        <v>1521347.44</v>
      </c>
      <c r="U149" s="118">
        <v>0</v>
      </c>
      <c r="V149" s="118">
        <v>197774</v>
      </c>
      <c r="W149" s="118">
        <v>0</v>
      </c>
      <c r="X149" s="118">
        <v>0</v>
      </c>
      <c r="Y149" s="132">
        <v>42907</v>
      </c>
      <c r="Z149" s="132"/>
      <c r="AA149" s="118"/>
      <c r="AB149" s="118"/>
      <c r="AC149" s="118"/>
      <c r="AD149" s="118"/>
      <c r="AE149" s="118"/>
    </row>
    <row r="150" spans="1:31">
      <c r="A150" s="125" t="s">
        <v>340</v>
      </c>
      <c r="B150" s="126" t="s">
        <v>341</v>
      </c>
      <c r="C150" s="127" t="s">
        <v>364</v>
      </c>
      <c r="D150" s="117" t="s">
        <v>9</v>
      </c>
      <c r="E150" s="118">
        <v>673020.24</v>
      </c>
      <c r="F150" s="118"/>
      <c r="G150" s="118">
        <v>87492</v>
      </c>
      <c r="H150" s="118"/>
      <c r="I150" s="118"/>
      <c r="J150" s="126" t="s">
        <v>340</v>
      </c>
      <c r="K150" s="126" t="s">
        <v>261</v>
      </c>
      <c r="L150" s="118">
        <v>-4000</v>
      </c>
      <c r="M150" s="118"/>
      <c r="N150" s="118">
        <v>-520</v>
      </c>
      <c r="O150" s="118"/>
      <c r="P150" s="128"/>
      <c r="Q150" s="132">
        <v>42907</v>
      </c>
      <c r="R150" s="118" t="s">
        <v>367</v>
      </c>
      <c r="S150" s="129">
        <v>3</v>
      </c>
      <c r="T150" s="118">
        <v>673020.24</v>
      </c>
      <c r="U150" s="118">
        <v>0</v>
      </c>
      <c r="V150" s="118">
        <v>87492</v>
      </c>
      <c r="W150" s="118">
        <v>0</v>
      </c>
      <c r="X150" s="118">
        <v>0</v>
      </c>
      <c r="Y150" s="132">
        <v>42907</v>
      </c>
      <c r="Z150" s="132">
        <v>42706</v>
      </c>
      <c r="AA150" s="118">
        <v>-4000</v>
      </c>
      <c r="AB150" s="118">
        <v>0</v>
      </c>
      <c r="AC150" s="118">
        <v>-520</v>
      </c>
      <c r="AD150" s="118">
        <v>0</v>
      </c>
      <c r="AE150" s="118">
        <v>0</v>
      </c>
    </row>
    <row r="151" spans="1:31">
      <c r="A151" s="125"/>
      <c r="B151" s="126"/>
      <c r="C151" s="127"/>
      <c r="D151" s="117"/>
      <c r="E151" s="118"/>
      <c r="F151" s="118"/>
      <c r="G151" s="118"/>
      <c r="H151" s="118"/>
      <c r="I151" s="118"/>
      <c r="J151" s="126" t="s">
        <v>340</v>
      </c>
      <c r="K151" s="126" t="s">
        <v>310</v>
      </c>
      <c r="L151" s="118">
        <v>-12000</v>
      </c>
      <c r="M151" s="118"/>
      <c r="N151" s="118">
        <v>-1560</v>
      </c>
      <c r="O151" s="118"/>
      <c r="P151" s="128"/>
      <c r="Q151" s="132">
        <v>42907</v>
      </c>
      <c r="R151" s="118" t="s">
        <v>367</v>
      </c>
      <c r="S151" s="129">
        <v>3</v>
      </c>
      <c r="T151" s="118"/>
      <c r="U151" s="118"/>
      <c r="V151" s="118"/>
      <c r="W151" s="118"/>
      <c r="X151" s="118"/>
      <c r="Y151" s="132">
        <v>42907</v>
      </c>
      <c r="Z151" s="132">
        <v>42853</v>
      </c>
      <c r="AA151" s="118">
        <v>-12000</v>
      </c>
      <c r="AB151" s="118">
        <v>0</v>
      </c>
      <c r="AC151" s="118">
        <v>-1560</v>
      </c>
      <c r="AD151" s="118">
        <v>0</v>
      </c>
      <c r="AE151" s="118">
        <v>0</v>
      </c>
    </row>
    <row r="152" spans="1:31">
      <c r="A152" s="125" t="s">
        <v>340</v>
      </c>
      <c r="B152" s="126" t="s">
        <v>341</v>
      </c>
      <c r="C152" s="127" t="s">
        <v>364</v>
      </c>
      <c r="D152" s="117" t="s">
        <v>11</v>
      </c>
      <c r="E152" s="118">
        <v>148599.16</v>
      </c>
      <c r="F152" s="118"/>
      <c r="G152" s="118">
        <v>19318</v>
      </c>
      <c r="H152" s="118"/>
      <c r="I152" s="118"/>
      <c r="J152" s="126"/>
      <c r="K152" s="126"/>
      <c r="L152" s="118"/>
      <c r="M152" s="118"/>
      <c r="N152" s="118"/>
      <c r="O152" s="118"/>
      <c r="P152" s="128"/>
      <c r="Q152" s="132">
        <v>42907</v>
      </c>
      <c r="R152" s="118" t="s">
        <v>367</v>
      </c>
      <c r="S152" s="129">
        <v>5</v>
      </c>
      <c r="T152" s="118">
        <v>148599.16</v>
      </c>
      <c r="U152" s="118">
        <v>0</v>
      </c>
      <c r="V152" s="118">
        <v>19318</v>
      </c>
      <c r="W152" s="118">
        <v>0</v>
      </c>
      <c r="X152" s="118">
        <v>0</v>
      </c>
      <c r="Y152" s="132">
        <v>42907</v>
      </c>
      <c r="Z152" s="132"/>
      <c r="AA152" s="118"/>
      <c r="AB152" s="118"/>
      <c r="AC152" s="118"/>
      <c r="AD152" s="118"/>
      <c r="AE152" s="118"/>
    </row>
    <row r="153" spans="1:31">
      <c r="A153" s="125" t="s">
        <v>342</v>
      </c>
      <c r="B153" s="126" t="s">
        <v>343</v>
      </c>
      <c r="C153" s="127" t="s">
        <v>362</v>
      </c>
      <c r="D153" s="117" t="s">
        <v>7</v>
      </c>
      <c r="E153" s="118">
        <v>11495876.880000001</v>
      </c>
      <c r="F153" s="118"/>
      <c r="G153" s="118">
        <v>1494474</v>
      </c>
      <c r="H153" s="118"/>
      <c r="I153" s="118"/>
      <c r="J153" s="126"/>
      <c r="K153" s="126"/>
      <c r="L153" s="118"/>
      <c r="M153" s="118"/>
      <c r="N153" s="118"/>
      <c r="O153" s="118"/>
      <c r="P153" s="128"/>
      <c r="Q153" s="132">
        <v>42912</v>
      </c>
      <c r="R153" s="118" t="s">
        <v>365</v>
      </c>
      <c r="S153" s="129">
        <v>1</v>
      </c>
      <c r="T153" s="118">
        <v>11495876.880000001</v>
      </c>
      <c r="U153" s="118">
        <v>0</v>
      </c>
      <c r="V153" s="118">
        <v>1494474</v>
      </c>
      <c r="W153" s="118">
        <v>0</v>
      </c>
      <c r="X153" s="118">
        <v>0</v>
      </c>
      <c r="Y153" s="132">
        <v>42912</v>
      </c>
      <c r="Z153" s="132"/>
      <c r="AA153" s="118"/>
      <c r="AB153" s="118"/>
      <c r="AC153" s="118"/>
      <c r="AD153" s="118"/>
      <c r="AE153" s="118"/>
    </row>
    <row r="154" spans="1:31">
      <c r="A154" s="125" t="s">
        <v>342</v>
      </c>
      <c r="B154" s="126" t="s">
        <v>343</v>
      </c>
      <c r="C154" s="127" t="s">
        <v>362</v>
      </c>
      <c r="D154" s="117" t="s">
        <v>8</v>
      </c>
      <c r="E154" s="118">
        <v>506484.21</v>
      </c>
      <c r="F154" s="118"/>
      <c r="G154" s="118">
        <v>65845</v>
      </c>
      <c r="H154" s="118">
        <v>122</v>
      </c>
      <c r="I154" s="118">
        <v>37</v>
      </c>
      <c r="J154" s="126"/>
      <c r="K154" s="126"/>
      <c r="L154" s="118"/>
      <c r="M154" s="118"/>
      <c r="N154" s="118"/>
      <c r="O154" s="118"/>
      <c r="P154" s="128"/>
      <c r="Q154" s="132">
        <v>42912</v>
      </c>
      <c r="R154" s="118" t="s">
        <v>365</v>
      </c>
      <c r="S154" s="129">
        <v>2</v>
      </c>
      <c r="T154" s="118">
        <v>506484.21</v>
      </c>
      <c r="U154" s="118">
        <v>0</v>
      </c>
      <c r="V154" s="118">
        <v>65845</v>
      </c>
      <c r="W154" s="118">
        <v>122</v>
      </c>
      <c r="X154" s="118">
        <v>37</v>
      </c>
      <c r="Y154" s="132">
        <v>42912</v>
      </c>
      <c r="Z154" s="132"/>
      <c r="AA154" s="118"/>
      <c r="AB154" s="118"/>
      <c r="AC154" s="118"/>
      <c r="AD154" s="118"/>
      <c r="AE154" s="118"/>
    </row>
    <row r="155" spans="1:31">
      <c r="A155" s="125" t="s">
        <v>342</v>
      </c>
      <c r="B155" s="126" t="s">
        <v>343</v>
      </c>
      <c r="C155" s="127" t="s">
        <v>362</v>
      </c>
      <c r="D155" s="117" t="s">
        <v>9</v>
      </c>
      <c r="E155" s="118">
        <v>30299</v>
      </c>
      <c r="F155" s="118"/>
      <c r="G155" s="118">
        <v>3939</v>
      </c>
      <c r="H155" s="118"/>
      <c r="I155" s="118"/>
      <c r="J155" s="126"/>
      <c r="K155" s="126"/>
      <c r="L155" s="118"/>
      <c r="M155" s="118"/>
      <c r="N155" s="118"/>
      <c r="O155" s="118"/>
      <c r="P155" s="128"/>
      <c r="Q155" s="132">
        <v>42912</v>
      </c>
      <c r="R155" s="118" t="s">
        <v>365</v>
      </c>
      <c r="S155" s="129">
        <v>3</v>
      </c>
      <c r="T155" s="118">
        <v>30299</v>
      </c>
      <c r="U155" s="118">
        <v>0</v>
      </c>
      <c r="V155" s="118">
        <v>3939</v>
      </c>
      <c r="W155" s="118">
        <v>0</v>
      </c>
      <c r="X155" s="118">
        <v>0</v>
      </c>
      <c r="Y155" s="132">
        <v>42912</v>
      </c>
      <c r="Z155" s="132"/>
      <c r="AA155" s="118"/>
      <c r="AB155" s="118"/>
      <c r="AC155" s="118"/>
      <c r="AD155" s="118"/>
      <c r="AE155" s="118"/>
    </row>
    <row r="156" spans="1:31">
      <c r="A156" s="125" t="s">
        <v>342</v>
      </c>
      <c r="B156" s="126" t="s">
        <v>343</v>
      </c>
      <c r="C156" s="127" t="s">
        <v>362</v>
      </c>
      <c r="D156" s="117" t="s">
        <v>11</v>
      </c>
      <c r="E156" s="118">
        <v>6811.23</v>
      </c>
      <c r="F156" s="118"/>
      <c r="G156" s="118">
        <v>885</v>
      </c>
      <c r="H156" s="118"/>
      <c r="I156" s="118"/>
      <c r="J156" s="126"/>
      <c r="K156" s="126"/>
      <c r="L156" s="118"/>
      <c r="M156" s="118"/>
      <c r="N156" s="118"/>
      <c r="O156" s="118"/>
      <c r="P156" s="128"/>
      <c r="Q156" s="132">
        <v>42912</v>
      </c>
      <c r="R156" s="118" t="s">
        <v>365</v>
      </c>
      <c r="S156" s="129">
        <v>5</v>
      </c>
      <c r="T156" s="118">
        <v>6811.23</v>
      </c>
      <c r="U156" s="118">
        <v>0</v>
      </c>
      <c r="V156" s="118">
        <v>885</v>
      </c>
      <c r="W156" s="118">
        <v>0</v>
      </c>
      <c r="X156" s="118">
        <v>0</v>
      </c>
      <c r="Y156" s="132">
        <v>42912</v>
      </c>
      <c r="Z156" s="132"/>
      <c r="AA156" s="118"/>
      <c r="AB156" s="118"/>
      <c r="AC156" s="118"/>
      <c r="AD156" s="118"/>
      <c r="AE156" s="118"/>
    </row>
    <row r="157" spans="1:31">
      <c r="A157" s="125" t="s">
        <v>342</v>
      </c>
      <c r="B157" s="126" t="s">
        <v>343</v>
      </c>
      <c r="C157" s="127" t="s">
        <v>362</v>
      </c>
      <c r="D157" s="117" t="s">
        <v>12</v>
      </c>
      <c r="E157" s="118">
        <v>160209.63</v>
      </c>
      <c r="F157" s="118">
        <v>3000</v>
      </c>
      <c r="G157" s="118">
        <v>20438</v>
      </c>
      <c r="H157" s="118"/>
      <c r="I157" s="118"/>
      <c r="J157" s="126"/>
      <c r="K157" s="126"/>
      <c r="L157" s="118"/>
      <c r="M157" s="118"/>
      <c r="N157" s="118"/>
      <c r="O157" s="118"/>
      <c r="P157" s="128"/>
      <c r="Q157" s="132">
        <v>42912</v>
      </c>
      <c r="R157" s="118" t="s">
        <v>365</v>
      </c>
      <c r="S157" s="129">
        <v>6</v>
      </c>
      <c r="T157" s="118">
        <v>160209.63</v>
      </c>
      <c r="U157" s="118">
        <v>3000</v>
      </c>
      <c r="V157" s="118">
        <v>20438</v>
      </c>
      <c r="W157" s="118">
        <v>0</v>
      </c>
      <c r="X157" s="118">
        <v>0</v>
      </c>
      <c r="Y157" s="132">
        <v>42912</v>
      </c>
      <c r="Z157" s="132"/>
      <c r="AA157" s="118"/>
      <c r="AB157" s="118"/>
      <c r="AC157" s="118"/>
      <c r="AD157" s="118"/>
      <c r="AE157" s="118"/>
    </row>
    <row r="158" spans="1:31">
      <c r="A158" s="125" t="s">
        <v>342</v>
      </c>
      <c r="B158" s="126" t="s">
        <v>343</v>
      </c>
      <c r="C158" s="127" t="s">
        <v>362</v>
      </c>
      <c r="D158" s="117" t="s">
        <v>13</v>
      </c>
      <c r="E158" s="118">
        <v>2934486.48</v>
      </c>
      <c r="F158" s="118"/>
      <c r="G158" s="118">
        <v>381481</v>
      </c>
      <c r="H158" s="118"/>
      <c r="I158" s="118"/>
      <c r="J158" s="126"/>
      <c r="K158" s="126"/>
      <c r="L158" s="118"/>
      <c r="M158" s="118"/>
      <c r="N158" s="118"/>
      <c r="O158" s="118"/>
      <c r="P158" s="128"/>
      <c r="Q158" s="132">
        <v>42912</v>
      </c>
      <c r="R158" s="118" t="s">
        <v>365</v>
      </c>
      <c r="S158" s="129">
        <v>7</v>
      </c>
      <c r="T158" s="118">
        <v>2934486.48</v>
      </c>
      <c r="U158" s="118">
        <v>0</v>
      </c>
      <c r="V158" s="118">
        <v>381481</v>
      </c>
      <c r="W158" s="118">
        <v>0</v>
      </c>
      <c r="X158" s="118">
        <v>0</v>
      </c>
      <c r="Y158" s="132">
        <v>42912</v>
      </c>
      <c r="Z158" s="132"/>
      <c r="AA158" s="118"/>
      <c r="AB158" s="118"/>
      <c r="AC158" s="118"/>
      <c r="AD158" s="118"/>
      <c r="AE158" s="118"/>
    </row>
    <row r="159" spans="1:31">
      <c r="A159" s="125" t="s">
        <v>344</v>
      </c>
      <c r="B159" s="126" t="s">
        <v>345</v>
      </c>
      <c r="C159" s="127" t="s">
        <v>362</v>
      </c>
      <c r="D159" s="117" t="s">
        <v>7</v>
      </c>
      <c r="E159" s="118"/>
      <c r="F159" s="118"/>
      <c r="G159" s="118">
        <v>-14845</v>
      </c>
      <c r="H159" s="118"/>
      <c r="I159" s="118">
        <v>14845</v>
      </c>
      <c r="J159" s="126" t="s">
        <v>344</v>
      </c>
      <c r="K159" s="126" t="s">
        <v>254</v>
      </c>
      <c r="L159" s="118">
        <v>-12452.8</v>
      </c>
      <c r="M159" s="118"/>
      <c r="N159" s="118">
        <v>-1619</v>
      </c>
      <c r="O159" s="118"/>
      <c r="P159" s="128"/>
      <c r="Q159" s="132">
        <v>42916</v>
      </c>
      <c r="R159" s="118" t="s">
        <v>365</v>
      </c>
      <c r="S159" s="129">
        <v>1</v>
      </c>
      <c r="T159" s="118">
        <v>0</v>
      </c>
      <c r="U159" s="118">
        <v>0</v>
      </c>
      <c r="V159" s="118">
        <v>-14845</v>
      </c>
      <c r="W159" s="118">
        <v>0</v>
      </c>
      <c r="X159" s="118">
        <v>14845</v>
      </c>
      <c r="Y159" s="132">
        <v>42916</v>
      </c>
      <c r="Z159" s="132">
        <v>42745</v>
      </c>
      <c r="AA159" s="118">
        <v>-12452.8</v>
      </c>
      <c r="AB159" s="118">
        <v>0</v>
      </c>
      <c r="AC159" s="118">
        <v>-1619</v>
      </c>
      <c r="AD159" s="118">
        <v>0</v>
      </c>
      <c r="AE159" s="118">
        <v>0</v>
      </c>
    </row>
    <row r="160" spans="1:31">
      <c r="A160" s="125"/>
      <c r="B160" s="126"/>
      <c r="C160" s="127"/>
      <c r="D160" s="117"/>
      <c r="E160" s="118"/>
      <c r="F160" s="118"/>
      <c r="G160" s="118"/>
      <c r="H160" s="118"/>
      <c r="I160" s="118"/>
      <c r="J160" s="126" t="s">
        <v>344</v>
      </c>
      <c r="K160" s="126" t="s">
        <v>275</v>
      </c>
      <c r="L160" s="118">
        <v>-5931.8</v>
      </c>
      <c r="M160" s="118"/>
      <c r="N160" s="118">
        <v>-771</v>
      </c>
      <c r="O160" s="118"/>
      <c r="P160" s="128"/>
      <c r="Q160" s="132">
        <v>42916</v>
      </c>
      <c r="R160" s="118" t="s">
        <v>365</v>
      </c>
      <c r="S160" s="129">
        <v>1</v>
      </c>
      <c r="T160" s="118"/>
      <c r="U160" s="118"/>
      <c r="V160" s="118"/>
      <c r="W160" s="118"/>
      <c r="X160" s="118"/>
      <c r="Y160" s="132">
        <v>42916</v>
      </c>
      <c r="Z160" s="132">
        <v>42776</v>
      </c>
      <c r="AA160" s="118">
        <v>-5931.8</v>
      </c>
      <c r="AB160" s="118">
        <v>0</v>
      </c>
      <c r="AC160" s="118">
        <v>-771</v>
      </c>
      <c r="AD160" s="118">
        <v>0</v>
      </c>
      <c r="AE160" s="118">
        <v>0</v>
      </c>
    </row>
    <row r="161" spans="1:31">
      <c r="A161" s="125"/>
      <c r="B161" s="126"/>
      <c r="C161" s="127"/>
      <c r="D161" s="117"/>
      <c r="E161" s="118"/>
      <c r="F161" s="118"/>
      <c r="G161" s="118"/>
      <c r="H161" s="118"/>
      <c r="I161" s="118"/>
      <c r="J161" s="126" t="s">
        <v>344</v>
      </c>
      <c r="K161" s="126" t="s">
        <v>285</v>
      </c>
      <c r="L161" s="118">
        <v>-12510.42</v>
      </c>
      <c r="M161" s="118"/>
      <c r="N161" s="118">
        <v>-1627</v>
      </c>
      <c r="O161" s="118"/>
      <c r="P161" s="128"/>
      <c r="Q161" s="132">
        <v>42916</v>
      </c>
      <c r="R161" s="118" t="s">
        <v>365</v>
      </c>
      <c r="S161" s="129">
        <v>1</v>
      </c>
      <c r="T161" s="118"/>
      <c r="U161" s="118"/>
      <c r="V161" s="118"/>
      <c r="W161" s="118"/>
      <c r="X161" s="118"/>
      <c r="Y161" s="132">
        <v>42916</v>
      </c>
      <c r="Z161" s="132">
        <v>42804</v>
      </c>
      <c r="AA161" s="118">
        <v>-12510.42</v>
      </c>
      <c r="AB161" s="118">
        <v>0</v>
      </c>
      <c r="AC161" s="118">
        <v>-1627</v>
      </c>
      <c r="AD161" s="118">
        <v>0</v>
      </c>
      <c r="AE161" s="118">
        <v>0</v>
      </c>
    </row>
    <row r="162" spans="1:31">
      <c r="A162" s="125"/>
      <c r="B162" s="126"/>
      <c r="C162" s="127"/>
      <c r="D162" s="117"/>
      <c r="E162" s="118"/>
      <c r="F162" s="118"/>
      <c r="G162" s="118"/>
      <c r="H162" s="118"/>
      <c r="I162" s="118"/>
      <c r="J162" s="126" t="s">
        <v>344</v>
      </c>
      <c r="K162" s="126" t="s">
        <v>301</v>
      </c>
      <c r="L162" s="118">
        <v>-19896.7</v>
      </c>
      <c r="M162" s="118"/>
      <c r="N162" s="118">
        <v>-2588</v>
      </c>
      <c r="O162" s="118"/>
      <c r="P162" s="128"/>
      <c r="Q162" s="132">
        <v>42916</v>
      </c>
      <c r="R162" s="118" t="s">
        <v>365</v>
      </c>
      <c r="S162" s="129">
        <v>1</v>
      </c>
      <c r="T162" s="118"/>
      <c r="U162" s="118"/>
      <c r="V162" s="118"/>
      <c r="W162" s="118"/>
      <c r="X162" s="118"/>
      <c r="Y162" s="132">
        <v>42916</v>
      </c>
      <c r="Z162" s="132">
        <v>42835</v>
      </c>
      <c r="AA162" s="118">
        <v>-19896.7</v>
      </c>
      <c r="AB162" s="118">
        <v>0</v>
      </c>
      <c r="AC162" s="118">
        <v>-2588</v>
      </c>
      <c r="AD162" s="118">
        <v>0</v>
      </c>
      <c r="AE162" s="118">
        <v>0</v>
      </c>
    </row>
    <row r="163" spans="1:31">
      <c r="A163" s="125"/>
      <c r="B163" s="126"/>
      <c r="C163" s="127"/>
      <c r="D163" s="117"/>
      <c r="E163" s="118"/>
      <c r="F163" s="118"/>
      <c r="G163" s="118"/>
      <c r="H163" s="118"/>
      <c r="I163" s="118"/>
      <c r="J163" s="126" t="s">
        <v>344</v>
      </c>
      <c r="K163" s="126" t="s">
        <v>316</v>
      </c>
      <c r="L163" s="118">
        <v>-9381</v>
      </c>
      <c r="M163" s="118"/>
      <c r="N163" s="118">
        <v>-1220</v>
      </c>
      <c r="O163" s="118"/>
      <c r="P163" s="128"/>
      <c r="Q163" s="132">
        <v>42916</v>
      </c>
      <c r="R163" s="118" t="s">
        <v>365</v>
      </c>
      <c r="S163" s="129">
        <v>1</v>
      </c>
      <c r="T163" s="118"/>
      <c r="U163" s="118"/>
      <c r="V163" s="118"/>
      <c r="W163" s="118"/>
      <c r="X163" s="118"/>
      <c r="Y163" s="132">
        <v>42916</v>
      </c>
      <c r="Z163" s="132">
        <v>42858</v>
      </c>
      <c r="AA163" s="118">
        <v>-9381</v>
      </c>
      <c r="AB163" s="118">
        <v>0</v>
      </c>
      <c r="AC163" s="118">
        <v>-1220</v>
      </c>
      <c r="AD163" s="118">
        <v>0</v>
      </c>
      <c r="AE163" s="118">
        <v>0</v>
      </c>
    </row>
    <row r="164" spans="1:31">
      <c r="A164" s="125"/>
      <c r="B164" s="126"/>
      <c r="C164" s="127"/>
      <c r="D164" s="117"/>
      <c r="E164" s="118"/>
      <c r="F164" s="118"/>
      <c r="G164" s="118"/>
      <c r="H164" s="118"/>
      <c r="I164" s="118"/>
      <c r="J164" s="126" t="s">
        <v>344</v>
      </c>
      <c r="K164" s="126" t="s">
        <v>317</v>
      </c>
      <c r="L164" s="118">
        <v>-14359.21</v>
      </c>
      <c r="M164" s="118">
        <v>-500</v>
      </c>
      <c r="N164" s="118">
        <v>-1802</v>
      </c>
      <c r="O164" s="118"/>
      <c r="P164" s="128"/>
      <c r="Q164" s="132">
        <v>42916</v>
      </c>
      <c r="R164" s="118" t="s">
        <v>365</v>
      </c>
      <c r="S164" s="129">
        <v>1</v>
      </c>
      <c r="T164" s="118"/>
      <c r="U164" s="118"/>
      <c r="V164" s="118"/>
      <c r="W164" s="118"/>
      <c r="X164" s="118"/>
      <c r="Y164" s="132">
        <v>42916</v>
      </c>
      <c r="Z164" s="132">
        <v>42859</v>
      </c>
      <c r="AA164" s="118">
        <v>-14359.21</v>
      </c>
      <c r="AB164" s="118">
        <v>-500</v>
      </c>
      <c r="AC164" s="118">
        <v>-1802</v>
      </c>
      <c r="AD164" s="118">
        <v>0</v>
      </c>
      <c r="AE164" s="118">
        <v>0</v>
      </c>
    </row>
    <row r="165" spans="1:31">
      <c r="A165" s="125"/>
      <c r="B165" s="126"/>
      <c r="C165" s="127"/>
      <c r="D165" s="117"/>
      <c r="E165" s="118"/>
      <c r="F165" s="118"/>
      <c r="G165" s="118"/>
      <c r="H165" s="118"/>
      <c r="I165" s="118"/>
      <c r="J165" s="126" t="s">
        <v>344</v>
      </c>
      <c r="K165" s="126" t="s">
        <v>333</v>
      </c>
      <c r="L165" s="118">
        <v>-8631.41</v>
      </c>
      <c r="M165" s="118">
        <v>-500</v>
      </c>
      <c r="N165" s="118">
        <v>-1057</v>
      </c>
      <c r="O165" s="118"/>
      <c r="P165" s="128"/>
      <c r="Q165" s="132">
        <v>42916</v>
      </c>
      <c r="R165" s="118" t="s">
        <v>365</v>
      </c>
      <c r="S165" s="129">
        <v>1</v>
      </c>
      <c r="T165" s="118"/>
      <c r="U165" s="118"/>
      <c r="V165" s="118"/>
      <c r="W165" s="118"/>
      <c r="X165" s="118"/>
      <c r="Y165" s="132">
        <v>42916</v>
      </c>
      <c r="Z165" s="132">
        <v>42895</v>
      </c>
      <c r="AA165" s="118">
        <v>-8631.41</v>
      </c>
      <c r="AB165" s="118">
        <v>-500</v>
      </c>
      <c r="AC165" s="118">
        <v>-1057</v>
      </c>
      <c r="AD165" s="118">
        <v>0</v>
      </c>
      <c r="AE165" s="118">
        <v>0</v>
      </c>
    </row>
    <row r="166" spans="1:31">
      <c r="A166" s="125" t="s">
        <v>344</v>
      </c>
      <c r="B166" s="126" t="s">
        <v>345</v>
      </c>
      <c r="C166" s="127" t="s">
        <v>362</v>
      </c>
      <c r="D166" s="117" t="s">
        <v>8</v>
      </c>
      <c r="E166" s="118"/>
      <c r="F166" s="118"/>
      <c r="G166" s="118"/>
      <c r="H166" s="118"/>
      <c r="I166" s="118"/>
      <c r="J166" s="126" t="s">
        <v>344</v>
      </c>
      <c r="K166" s="126" t="s">
        <v>254</v>
      </c>
      <c r="L166" s="118">
        <v>-2774</v>
      </c>
      <c r="M166" s="118"/>
      <c r="N166" s="118">
        <v>-361</v>
      </c>
      <c r="O166" s="118"/>
      <c r="P166" s="128"/>
      <c r="Q166" s="132">
        <v>42916</v>
      </c>
      <c r="R166" s="118" t="s">
        <v>365</v>
      </c>
      <c r="S166" s="129">
        <v>2</v>
      </c>
      <c r="T166" s="118"/>
      <c r="U166" s="118"/>
      <c r="V166" s="118"/>
      <c r="W166" s="118"/>
      <c r="X166" s="118"/>
      <c r="Y166" s="132">
        <v>42916</v>
      </c>
      <c r="Z166" s="132">
        <v>42745</v>
      </c>
      <c r="AA166" s="118">
        <v>-2774</v>
      </c>
      <c r="AB166" s="118">
        <v>0</v>
      </c>
      <c r="AC166" s="118">
        <v>-361</v>
      </c>
      <c r="AD166" s="118">
        <v>0</v>
      </c>
      <c r="AE166" s="118">
        <v>0</v>
      </c>
    </row>
    <row r="167" spans="1:31">
      <c r="A167" s="125" t="s">
        <v>344</v>
      </c>
      <c r="B167" s="126" t="s">
        <v>345</v>
      </c>
      <c r="C167" s="127" t="s">
        <v>362</v>
      </c>
      <c r="D167" s="117" t="s">
        <v>12</v>
      </c>
      <c r="E167" s="118"/>
      <c r="F167" s="118"/>
      <c r="G167" s="118"/>
      <c r="H167" s="118"/>
      <c r="I167" s="118"/>
      <c r="J167" s="126" t="s">
        <v>344</v>
      </c>
      <c r="K167" s="126" t="s">
        <v>301</v>
      </c>
      <c r="L167" s="118">
        <v>-5328.1</v>
      </c>
      <c r="M167" s="118">
        <v>-500</v>
      </c>
      <c r="N167" s="118">
        <v>-628</v>
      </c>
      <c r="O167" s="118"/>
      <c r="P167" s="128"/>
      <c r="Q167" s="132">
        <v>42916</v>
      </c>
      <c r="R167" s="118" t="s">
        <v>365</v>
      </c>
      <c r="S167" s="129">
        <v>6</v>
      </c>
      <c r="T167" s="118"/>
      <c r="U167" s="118"/>
      <c r="V167" s="118"/>
      <c r="W167" s="118"/>
      <c r="X167" s="118"/>
      <c r="Y167" s="132">
        <v>42916</v>
      </c>
      <c r="Z167" s="132">
        <v>42835</v>
      </c>
      <c r="AA167" s="118">
        <v>-5328.1</v>
      </c>
      <c r="AB167" s="118">
        <v>-500</v>
      </c>
      <c r="AC167" s="118">
        <v>-628</v>
      </c>
      <c r="AD167" s="118">
        <v>0</v>
      </c>
      <c r="AE167" s="118">
        <v>0</v>
      </c>
    </row>
    <row r="168" spans="1:31">
      <c r="A168" s="125" t="s">
        <v>344</v>
      </c>
      <c r="B168" s="126" t="s">
        <v>345</v>
      </c>
      <c r="C168" s="127" t="s">
        <v>364</v>
      </c>
      <c r="D168" s="117" t="s">
        <v>8</v>
      </c>
      <c r="E168" s="118">
        <v>384426.16</v>
      </c>
      <c r="F168" s="118"/>
      <c r="G168" s="118">
        <v>49976</v>
      </c>
      <c r="H168" s="118"/>
      <c r="I168" s="118"/>
      <c r="J168" s="126" t="s">
        <v>344</v>
      </c>
      <c r="K168" s="126" t="s">
        <v>340</v>
      </c>
      <c r="L168" s="118">
        <v>-12000</v>
      </c>
      <c r="M168" s="118"/>
      <c r="N168" s="118">
        <v>-1560</v>
      </c>
      <c r="O168" s="118"/>
      <c r="P168" s="128"/>
      <c r="Q168" s="132">
        <v>42916</v>
      </c>
      <c r="R168" s="118" t="s">
        <v>367</v>
      </c>
      <c r="S168" s="129">
        <v>2</v>
      </c>
      <c r="T168" s="118">
        <v>384426.16</v>
      </c>
      <c r="U168" s="118">
        <v>0</v>
      </c>
      <c r="V168" s="118">
        <v>49976</v>
      </c>
      <c r="W168" s="118">
        <v>0</v>
      </c>
      <c r="X168" s="118">
        <v>0</v>
      </c>
      <c r="Y168" s="132">
        <v>42916</v>
      </c>
      <c r="Z168" s="132">
        <v>42907</v>
      </c>
      <c r="AA168" s="118">
        <v>-12000</v>
      </c>
      <c r="AB168" s="118">
        <v>0</v>
      </c>
      <c r="AC168" s="118">
        <v>-1560</v>
      </c>
      <c r="AD168" s="118">
        <v>0</v>
      </c>
      <c r="AE168" s="118">
        <v>0</v>
      </c>
    </row>
    <row r="169" spans="1:31">
      <c r="A169" s="125" t="s">
        <v>344</v>
      </c>
      <c r="B169" s="126" t="s">
        <v>345</v>
      </c>
      <c r="C169" s="127" t="s">
        <v>364</v>
      </c>
      <c r="D169" s="117" t="s">
        <v>9</v>
      </c>
      <c r="E169" s="118">
        <v>1136499.71</v>
      </c>
      <c r="F169" s="118"/>
      <c r="G169" s="118">
        <v>147744</v>
      </c>
      <c r="H169" s="118"/>
      <c r="I169" s="118"/>
      <c r="J169" s="126" t="s">
        <v>344</v>
      </c>
      <c r="K169" s="126" t="s">
        <v>303</v>
      </c>
      <c r="L169" s="118">
        <v>-252000</v>
      </c>
      <c r="M169" s="118"/>
      <c r="N169" s="118">
        <v>-32760</v>
      </c>
      <c r="O169" s="118"/>
      <c r="P169" s="128"/>
      <c r="Q169" s="132">
        <v>42916</v>
      </c>
      <c r="R169" s="118" t="s">
        <v>367</v>
      </c>
      <c r="S169" s="129">
        <v>3</v>
      </c>
      <c r="T169" s="118">
        <v>1136499.71</v>
      </c>
      <c r="U169" s="118">
        <v>0</v>
      </c>
      <c r="V169" s="118">
        <v>147744</v>
      </c>
      <c r="W169" s="118">
        <v>0</v>
      </c>
      <c r="X169" s="118">
        <v>0</v>
      </c>
      <c r="Y169" s="132">
        <v>42916</v>
      </c>
      <c r="Z169" s="132">
        <v>42839</v>
      </c>
      <c r="AA169" s="118">
        <v>-252000</v>
      </c>
      <c r="AB169" s="118">
        <v>0</v>
      </c>
      <c r="AC169" s="118">
        <v>-32760</v>
      </c>
      <c r="AD169" s="118">
        <v>0</v>
      </c>
      <c r="AE169" s="118">
        <v>0</v>
      </c>
    </row>
    <row r="170" spans="1:31">
      <c r="A170" s="125"/>
      <c r="B170" s="126"/>
      <c r="C170" s="127"/>
      <c r="D170" s="117"/>
      <c r="E170" s="118"/>
      <c r="F170" s="118"/>
      <c r="G170" s="118"/>
      <c r="H170" s="118"/>
      <c r="I170" s="118"/>
      <c r="J170" s="126" t="s">
        <v>344</v>
      </c>
      <c r="K170" s="126" t="s">
        <v>340</v>
      </c>
      <c r="L170" s="118">
        <v>-10000</v>
      </c>
      <c r="M170" s="118"/>
      <c r="N170" s="118">
        <v>-1300</v>
      </c>
      <c r="O170" s="118"/>
      <c r="P170" s="128"/>
      <c r="Q170" s="132">
        <v>42916</v>
      </c>
      <c r="R170" s="118" t="s">
        <v>367</v>
      </c>
      <c r="S170" s="129">
        <v>3</v>
      </c>
      <c r="T170" s="118"/>
      <c r="U170" s="118"/>
      <c r="V170" s="118"/>
      <c r="W170" s="118"/>
      <c r="X170" s="118"/>
      <c r="Y170" s="132">
        <v>42916</v>
      </c>
      <c r="Z170" s="132">
        <v>42907</v>
      </c>
      <c r="AA170" s="118">
        <v>-10000</v>
      </c>
      <c r="AB170" s="118">
        <v>0</v>
      </c>
      <c r="AC170" s="118">
        <v>-1300</v>
      </c>
      <c r="AD170" s="118">
        <v>0</v>
      </c>
      <c r="AE170" s="118">
        <v>0</v>
      </c>
    </row>
    <row r="171" spans="1:31">
      <c r="A171" s="125" t="s">
        <v>344</v>
      </c>
      <c r="B171" s="126" t="s">
        <v>345</v>
      </c>
      <c r="C171" s="127" t="s">
        <v>363</v>
      </c>
      <c r="D171" s="117" t="s">
        <v>7</v>
      </c>
      <c r="E171" s="118">
        <v>3498970.65</v>
      </c>
      <c r="F171" s="118"/>
      <c r="G171" s="118">
        <v>454867</v>
      </c>
      <c r="H171" s="118">
        <v>88931</v>
      </c>
      <c r="I171" s="118">
        <v>26679</v>
      </c>
      <c r="J171" s="126"/>
      <c r="K171" s="126"/>
      <c r="L171" s="118"/>
      <c r="M171" s="118"/>
      <c r="N171" s="118"/>
      <c r="O171" s="118"/>
      <c r="P171" s="128"/>
      <c r="Q171" s="132">
        <v>42916</v>
      </c>
      <c r="R171" s="118" t="s">
        <v>366</v>
      </c>
      <c r="S171" s="129">
        <v>1</v>
      </c>
      <c r="T171" s="118">
        <v>3498970.65</v>
      </c>
      <c r="U171" s="118">
        <v>0</v>
      </c>
      <c r="V171" s="118">
        <v>454867</v>
      </c>
      <c r="W171" s="118">
        <v>88931</v>
      </c>
      <c r="X171" s="118">
        <v>26679</v>
      </c>
      <c r="Y171" s="132">
        <v>42916</v>
      </c>
      <c r="Z171" s="132"/>
      <c r="AA171" s="118"/>
      <c r="AB171" s="118"/>
      <c r="AC171" s="118"/>
      <c r="AD171" s="118"/>
      <c r="AE171" s="118"/>
    </row>
    <row r="172" spans="1:31">
      <c r="A172" s="125" t="s">
        <v>346</v>
      </c>
      <c r="B172" s="126" t="s">
        <v>347</v>
      </c>
      <c r="C172" s="127" t="s">
        <v>364</v>
      </c>
      <c r="D172" s="117" t="s">
        <v>8</v>
      </c>
      <c r="E172" s="118">
        <v>1193745.8500000001</v>
      </c>
      <c r="F172" s="118"/>
      <c r="G172" s="118">
        <v>155188</v>
      </c>
      <c r="H172" s="118"/>
      <c r="I172" s="118"/>
      <c r="J172" s="126"/>
      <c r="K172" s="126"/>
      <c r="L172" s="118"/>
      <c r="M172" s="118"/>
      <c r="N172" s="118"/>
      <c r="O172" s="118"/>
      <c r="P172" s="128"/>
      <c r="Q172" s="132">
        <v>42923</v>
      </c>
      <c r="R172" s="118" t="s">
        <v>367</v>
      </c>
      <c r="S172" s="129">
        <v>2</v>
      </c>
      <c r="T172" s="118">
        <v>1193745.8500000001</v>
      </c>
      <c r="U172" s="118">
        <v>0</v>
      </c>
      <c r="V172" s="118">
        <v>155188</v>
      </c>
      <c r="W172" s="118">
        <v>0</v>
      </c>
      <c r="X172" s="118">
        <v>0</v>
      </c>
      <c r="Y172" s="132">
        <v>42923</v>
      </c>
      <c r="Z172" s="132"/>
      <c r="AA172" s="118"/>
      <c r="AB172" s="118"/>
      <c r="AC172" s="118"/>
      <c r="AD172" s="118"/>
      <c r="AE172" s="118"/>
    </row>
    <row r="173" spans="1:31">
      <c r="A173" s="125" t="s">
        <v>346</v>
      </c>
      <c r="B173" s="126" t="s">
        <v>347</v>
      </c>
      <c r="C173" s="127" t="s">
        <v>364</v>
      </c>
      <c r="D173" s="117" t="s">
        <v>9</v>
      </c>
      <c r="E173" s="118">
        <v>1308050.23</v>
      </c>
      <c r="F173" s="118"/>
      <c r="G173" s="118">
        <v>170048</v>
      </c>
      <c r="H173" s="118"/>
      <c r="I173" s="118"/>
      <c r="J173" s="126"/>
      <c r="K173" s="126"/>
      <c r="L173" s="118"/>
      <c r="M173" s="118"/>
      <c r="N173" s="118"/>
      <c r="O173" s="118"/>
      <c r="P173" s="128"/>
      <c r="Q173" s="132">
        <v>42923</v>
      </c>
      <c r="R173" s="118" t="s">
        <v>367</v>
      </c>
      <c r="S173" s="129">
        <v>3</v>
      </c>
      <c r="T173" s="118">
        <v>1308050.23</v>
      </c>
      <c r="U173" s="118">
        <v>0</v>
      </c>
      <c r="V173" s="118">
        <v>170048</v>
      </c>
      <c r="W173" s="118">
        <v>0</v>
      </c>
      <c r="X173" s="118">
        <v>0</v>
      </c>
      <c r="Y173" s="132">
        <v>42923</v>
      </c>
      <c r="Z173" s="132"/>
      <c r="AA173" s="118"/>
      <c r="AB173" s="118"/>
      <c r="AC173" s="118"/>
      <c r="AD173" s="118"/>
      <c r="AE173" s="118"/>
    </row>
    <row r="174" spans="1:31">
      <c r="A174" s="125" t="s">
        <v>346</v>
      </c>
      <c r="B174" s="126" t="s">
        <v>347</v>
      </c>
      <c r="C174" s="127" t="s">
        <v>364</v>
      </c>
      <c r="D174" s="117" t="s">
        <v>11</v>
      </c>
      <c r="E174" s="118">
        <v>-47500</v>
      </c>
      <c r="F174" s="118"/>
      <c r="G174" s="118">
        <v>-6175</v>
      </c>
      <c r="H174" s="118"/>
      <c r="I174" s="118"/>
      <c r="J174" s="126"/>
      <c r="K174" s="126"/>
      <c r="L174" s="118"/>
      <c r="M174" s="118"/>
      <c r="N174" s="118"/>
      <c r="O174" s="118"/>
      <c r="P174" s="128"/>
      <c r="Q174" s="132">
        <v>42923</v>
      </c>
      <c r="R174" s="118" t="s">
        <v>367</v>
      </c>
      <c r="S174" s="129">
        <v>5</v>
      </c>
      <c r="T174" s="118">
        <v>-47500</v>
      </c>
      <c r="U174" s="118">
        <v>0</v>
      </c>
      <c r="V174" s="118">
        <v>-6175</v>
      </c>
      <c r="W174" s="118">
        <v>0</v>
      </c>
      <c r="X174" s="118">
        <v>0</v>
      </c>
      <c r="Y174" s="132">
        <v>42923</v>
      </c>
      <c r="Z174" s="132"/>
      <c r="AA174" s="118"/>
      <c r="AB174" s="118"/>
      <c r="AC174" s="118"/>
      <c r="AD174" s="118"/>
      <c r="AE174" s="118"/>
    </row>
    <row r="175" spans="1:31">
      <c r="A175" s="125" t="s">
        <v>348</v>
      </c>
      <c r="B175" s="126" t="s">
        <v>349</v>
      </c>
      <c r="C175" s="127" t="s">
        <v>362</v>
      </c>
      <c r="D175" s="117" t="s">
        <v>7</v>
      </c>
      <c r="E175" s="118">
        <v>807545432.76999998</v>
      </c>
      <c r="F175" s="118">
        <v>3390300</v>
      </c>
      <c r="G175" s="118">
        <v>104550731</v>
      </c>
      <c r="H175" s="118">
        <v>2310119.75</v>
      </c>
      <c r="I175" s="118">
        <v>698828</v>
      </c>
      <c r="J175" s="126"/>
      <c r="K175" s="126"/>
      <c r="L175" s="118"/>
      <c r="M175" s="118"/>
      <c r="N175" s="118"/>
      <c r="O175" s="118"/>
      <c r="P175" s="128"/>
      <c r="Q175" s="132">
        <v>42926</v>
      </c>
      <c r="R175" s="118" t="s">
        <v>365</v>
      </c>
      <c r="S175" s="129">
        <v>1</v>
      </c>
      <c r="T175" s="118">
        <v>807545432.76999998</v>
      </c>
      <c r="U175" s="118">
        <v>3390300</v>
      </c>
      <c r="V175" s="118">
        <v>104550731</v>
      </c>
      <c r="W175" s="118">
        <v>2310119.75</v>
      </c>
      <c r="X175" s="118">
        <v>698828</v>
      </c>
      <c r="Y175" s="132">
        <v>42926</v>
      </c>
      <c r="Z175" s="132"/>
      <c r="AA175" s="118"/>
      <c r="AB175" s="118"/>
      <c r="AC175" s="118"/>
      <c r="AD175" s="118"/>
      <c r="AE175" s="118"/>
    </row>
    <row r="176" spans="1:31">
      <c r="A176" s="125" t="s">
        <v>348</v>
      </c>
      <c r="B176" s="126" t="s">
        <v>349</v>
      </c>
      <c r="C176" s="127" t="s">
        <v>362</v>
      </c>
      <c r="D176" s="117" t="s">
        <v>8</v>
      </c>
      <c r="E176" s="118">
        <v>45434106.82</v>
      </c>
      <c r="F176" s="118">
        <v>130400</v>
      </c>
      <c r="G176" s="118">
        <v>5891500</v>
      </c>
      <c r="H176" s="118">
        <v>77423</v>
      </c>
      <c r="I176" s="118">
        <v>23229</v>
      </c>
      <c r="J176" s="126"/>
      <c r="K176" s="126"/>
      <c r="L176" s="118"/>
      <c r="M176" s="118"/>
      <c r="N176" s="118"/>
      <c r="O176" s="118"/>
      <c r="P176" s="128"/>
      <c r="Q176" s="132">
        <v>42926</v>
      </c>
      <c r="R176" s="118" t="s">
        <v>365</v>
      </c>
      <c r="S176" s="129">
        <v>2</v>
      </c>
      <c r="T176" s="118">
        <v>45434106.82</v>
      </c>
      <c r="U176" s="118">
        <v>130400</v>
      </c>
      <c r="V176" s="118">
        <v>5891500</v>
      </c>
      <c r="W176" s="118">
        <v>77423</v>
      </c>
      <c r="X176" s="118">
        <v>23229</v>
      </c>
      <c r="Y176" s="132">
        <v>42926</v>
      </c>
      <c r="Z176" s="132"/>
      <c r="AA176" s="118"/>
      <c r="AB176" s="118"/>
      <c r="AC176" s="118"/>
      <c r="AD176" s="118"/>
      <c r="AE176" s="118"/>
    </row>
    <row r="177" spans="1:31">
      <c r="A177" s="125" t="s">
        <v>348</v>
      </c>
      <c r="B177" s="126" t="s">
        <v>349</v>
      </c>
      <c r="C177" s="127" t="s">
        <v>362</v>
      </c>
      <c r="D177" s="117" t="s">
        <v>9</v>
      </c>
      <c r="E177" s="118">
        <v>23717259.530000001</v>
      </c>
      <c r="F177" s="118">
        <v>30000</v>
      </c>
      <c r="G177" s="118">
        <v>3079812</v>
      </c>
      <c r="H177" s="118">
        <v>9453</v>
      </c>
      <c r="I177" s="118">
        <v>2836</v>
      </c>
      <c r="J177" s="126"/>
      <c r="K177" s="126"/>
      <c r="L177" s="118"/>
      <c r="M177" s="118"/>
      <c r="N177" s="118"/>
      <c r="O177" s="118"/>
      <c r="P177" s="128"/>
      <c r="Q177" s="132">
        <v>42926</v>
      </c>
      <c r="R177" s="118" t="s">
        <v>365</v>
      </c>
      <c r="S177" s="129">
        <v>3</v>
      </c>
      <c r="T177" s="118">
        <v>23717259.530000001</v>
      </c>
      <c r="U177" s="118">
        <v>30000</v>
      </c>
      <c r="V177" s="118">
        <v>3079812</v>
      </c>
      <c r="W177" s="118">
        <v>9453</v>
      </c>
      <c r="X177" s="118">
        <v>2836</v>
      </c>
      <c r="Y177" s="132">
        <v>42926</v>
      </c>
      <c r="Z177" s="132"/>
      <c r="AA177" s="118"/>
      <c r="AB177" s="118"/>
      <c r="AC177" s="118"/>
      <c r="AD177" s="118"/>
      <c r="AE177" s="118"/>
    </row>
    <row r="178" spans="1:31">
      <c r="A178" s="125" t="s">
        <v>348</v>
      </c>
      <c r="B178" s="126" t="s">
        <v>349</v>
      </c>
      <c r="C178" s="127" t="s">
        <v>362</v>
      </c>
      <c r="D178" s="117" t="s">
        <v>11</v>
      </c>
      <c r="E178" s="118">
        <v>3735232.56</v>
      </c>
      <c r="F178" s="118">
        <v>11000</v>
      </c>
      <c r="G178" s="118">
        <v>484150</v>
      </c>
      <c r="H178" s="118">
        <v>4933.8</v>
      </c>
      <c r="I178" s="118">
        <v>1480</v>
      </c>
      <c r="J178" s="126"/>
      <c r="K178" s="126"/>
      <c r="L178" s="118"/>
      <c r="M178" s="118"/>
      <c r="N178" s="118"/>
      <c r="O178" s="118"/>
      <c r="P178" s="128"/>
      <c r="Q178" s="132">
        <v>42926</v>
      </c>
      <c r="R178" s="118" t="s">
        <v>365</v>
      </c>
      <c r="S178" s="129">
        <v>5</v>
      </c>
      <c r="T178" s="118">
        <v>3735232.56</v>
      </c>
      <c r="U178" s="118">
        <v>11000</v>
      </c>
      <c r="V178" s="118">
        <v>484150</v>
      </c>
      <c r="W178" s="118">
        <v>4933.8</v>
      </c>
      <c r="X178" s="118">
        <v>1480</v>
      </c>
      <c r="Y178" s="132">
        <v>42926</v>
      </c>
      <c r="Z178" s="132"/>
      <c r="AA178" s="118"/>
      <c r="AB178" s="118"/>
      <c r="AC178" s="118"/>
      <c r="AD178" s="118"/>
      <c r="AE178" s="118"/>
    </row>
    <row r="179" spans="1:31">
      <c r="A179" s="125" t="s">
        <v>348</v>
      </c>
      <c r="B179" s="126" t="s">
        <v>349</v>
      </c>
      <c r="C179" s="127" t="s">
        <v>362</v>
      </c>
      <c r="D179" s="117" t="s">
        <v>12</v>
      </c>
      <c r="E179" s="118">
        <v>34695613.380000003</v>
      </c>
      <c r="F179" s="118">
        <v>296300</v>
      </c>
      <c r="G179" s="118">
        <v>4475361</v>
      </c>
      <c r="H179" s="118">
        <v>70822.98</v>
      </c>
      <c r="I179" s="118">
        <v>21247</v>
      </c>
      <c r="J179" s="126"/>
      <c r="K179" s="126"/>
      <c r="L179" s="118"/>
      <c r="M179" s="118"/>
      <c r="N179" s="118"/>
      <c r="O179" s="118"/>
      <c r="P179" s="128"/>
      <c r="Q179" s="132">
        <v>42926</v>
      </c>
      <c r="R179" s="118" t="s">
        <v>365</v>
      </c>
      <c r="S179" s="129">
        <v>6</v>
      </c>
      <c r="T179" s="118">
        <v>34695613.380000003</v>
      </c>
      <c r="U179" s="118">
        <v>296300</v>
      </c>
      <c r="V179" s="118">
        <v>4475361</v>
      </c>
      <c r="W179" s="118">
        <v>70822.98</v>
      </c>
      <c r="X179" s="118">
        <v>21247</v>
      </c>
      <c r="Y179" s="132">
        <v>42926</v>
      </c>
      <c r="Z179" s="132"/>
      <c r="AA179" s="118"/>
      <c r="AB179" s="118"/>
      <c r="AC179" s="118"/>
      <c r="AD179" s="118"/>
      <c r="AE179" s="118"/>
    </row>
    <row r="180" spans="1:31">
      <c r="A180" s="125" t="s">
        <v>348</v>
      </c>
      <c r="B180" s="126" t="s">
        <v>349</v>
      </c>
      <c r="C180" s="127" t="s">
        <v>362</v>
      </c>
      <c r="D180" s="117" t="s">
        <v>13</v>
      </c>
      <c r="E180" s="118">
        <v>104244850.20999999</v>
      </c>
      <c r="F180" s="118">
        <v>577400</v>
      </c>
      <c r="G180" s="118">
        <v>13480504</v>
      </c>
      <c r="H180" s="118">
        <v>20514</v>
      </c>
      <c r="I180" s="118">
        <v>6155</v>
      </c>
      <c r="J180" s="126"/>
      <c r="K180" s="126"/>
      <c r="L180" s="118"/>
      <c r="M180" s="118"/>
      <c r="N180" s="118"/>
      <c r="O180" s="118"/>
      <c r="P180" s="128"/>
      <c r="Q180" s="132">
        <v>42926</v>
      </c>
      <c r="R180" s="118" t="s">
        <v>365</v>
      </c>
      <c r="S180" s="129">
        <v>7</v>
      </c>
      <c r="T180" s="118">
        <v>104244850.20999999</v>
      </c>
      <c r="U180" s="118">
        <v>577400</v>
      </c>
      <c r="V180" s="118">
        <v>13480504</v>
      </c>
      <c r="W180" s="118">
        <v>20514</v>
      </c>
      <c r="X180" s="118">
        <v>6155</v>
      </c>
      <c r="Y180" s="132">
        <v>42926</v>
      </c>
      <c r="Z180" s="132"/>
      <c r="AA180" s="118"/>
      <c r="AB180" s="118"/>
      <c r="AC180" s="118"/>
      <c r="AD180" s="118"/>
      <c r="AE180" s="118"/>
    </row>
    <row r="181" spans="1:31">
      <c r="A181" s="125" t="s">
        <v>349</v>
      </c>
      <c r="B181" s="126" t="s">
        <v>350</v>
      </c>
      <c r="C181" s="127" t="s">
        <v>362</v>
      </c>
      <c r="D181" s="117" t="s">
        <v>7</v>
      </c>
      <c r="E181" s="118">
        <v>330255243.01999998</v>
      </c>
      <c r="F181" s="118">
        <v>2301100</v>
      </c>
      <c r="G181" s="118">
        <v>42648939</v>
      </c>
      <c r="H181" s="118">
        <v>283149.21999999997</v>
      </c>
      <c r="I181" s="118">
        <v>87312</v>
      </c>
      <c r="J181" s="126"/>
      <c r="K181" s="126"/>
      <c r="L181" s="118"/>
      <c r="M181" s="118"/>
      <c r="N181" s="118"/>
      <c r="O181" s="118"/>
      <c r="P181" s="128"/>
      <c r="Q181" s="132">
        <v>42927</v>
      </c>
      <c r="R181" s="118" t="s">
        <v>365</v>
      </c>
      <c r="S181" s="129">
        <v>1</v>
      </c>
      <c r="T181" s="118">
        <v>330255243.01999998</v>
      </c>
      <c r="U181" s="118">
        <v>2301100</v>
      </c>
      <c r="V181" s="118">
        <v>42648939</v>
      </c>
      <c r="W181" s="118">
        <v>283149.21999999997</v>
      </c>
      <c r="X181" s="118">
        <v>87312</v>
      </c>
      <c r="Y181" s="132">
        <v>42927</v>
      </c>
      <c r="Z181" s="132"/>
      <c r="AA181" s="118"/>
      <c r="AB181" s="118"/>
      <c r="AC181" s="118"/>
      <c r="AD181" s="118"/>
      <c r="AE181" s="118"/>
    </row>
    <row r="182" spans="1:31">
      <c r="A182" s="125" t="s">
        <v>350</v>
      </c>
      <c r="B182" s="126" t="s">
        <v>351</v>
      </c>
      <c r="C182" s="127" t="s">
        <v>362</v>
      </c>
      <c r="D182" s="117" t="s">
        <v>12</v>
      </c>
      <c r="E182" s="118">
        <v>2668642.09</v>
      </c>
      <c r="F182" s="118"/>
      <c r="G182" s="118">
        <v>346922</v>
      </c>
      <c r="H182" s="118"/>
      <c r="I182" s="118"/>
      <c r="J182" s="126"/>
      <c r="K182" s="126"/>
      <c r="L182" s="118"/>
      <c r="M182" s="118"/>
      <c r="N182" s="118"/>
      <c r="O182" s="118"/>
      <c r="P182" s="128"/>
      <c r="Q182" s="132">
        <v>42928</v>
      </c>
      <c r="R182" s="118" t="s">
        <v>365</v>
      </c>
      <c r="S182" s="129">
        <v>6</v>
      </c>
      <c r="T182" s="118">
        <v>2668642.09</v>
      </c>
      <c r="U182" s="118">
        <v>0</v>
      </c>
      <c r="V182" s="118">
        <v>346922</v>
      </c>
      <c r="W182" s="118">
        <v>0</v>
      </c>
      <c r="X182" s="118">
        <v>0</v>
      </c>
      <c r="Y182" s="132">
        <v>42928</v>
      </c>
      <c r="Z182" s="132"/>
      <c r="AA182" s="118"/>
      <c r="AB182" s="118"/>
      <c r="AC182" s="118"/>
      <c r="AD182" s="118"/>
      <c r="AE182" s="118"/>
    </row>
    <row r="183" spans="1:31">
      <c r="A183" s="125" t="s">
        <v>352</v>
      </c>
      <c r="B183" s="126" t="s">
        <v>353</v>
      </c>
      <c r="C183" s="127" t="s">
        <v>364</v>
      </c>
      <c r="D183" s="117" t="s">
        <v>8</v>
      </c>
      <c r="E183" s="118">
        <v>1837848.74</v>
      </c>
      <c r="F183" s="118"/>
      <c r="G183" s="118">
        <v>238922</v>
      </c>
      <c r="H183" s="118"/>
      <c r="I183" s="118"/>
      <c r="J183" s="126"/>
      <c r="K183" s="126"/>
      <c r="L183" s="118"/>
      <c r="M183" s="118"/>
      <c r="N183" s="118"/>
      <c r="O183" s="118"/>
      <c r="P183" s="128"/>
      <c r="Q183" s="132">
        <v>42930</v>
      </c>
      <c r="R183" s="118" t="s">
        <v>367</v>
      </c>
      <c r="S183" s="129">
        <v>2</v>
      </c>
      <c r="T183" s="118">
        <v>1837848.74</v>
      </c>
      <c r="U183" s="118">
        <v>0</v>
      </c>
      <c r="V183" s="118">
        <v>238922</v>
      </c>
      <c r="W183" s="118">
        <v>0</v>
      </c>
      <c r="X183" s="118">
        <v>0</v>
      </c>
      <c r="Y183" s="132">
        <v>42930</v>
      </c>
      <c r="Z183" s="132"/>
      <c r="AA183" s="118"/>
      <c r="AB183" s="118"/>
      <c r="AC183" s="118"/>
      <c r="AD183" s="118"/>
      <c r="AE183" s="118"/>
    </row>
    <row r="184" spans="1:31">
      <c r="A184" s="125" t="s">
        <v>352</v>
      </c>
      <c r="B184" s="126" t="s">
        <v>353</v>
      </c>
      <c r="C184" s="127" t="s">
        <v>364</v>
      </c>
      <c r="D184" s="117" t="s">
        <v>9</v>
      </c>
      <c r="E184" s="118">
        <v>3018723.87</v>
      </c>
      <c r="F184" s="118"/>
      <c r="G184" s="118">
        <v>392434</v>
      </c>
      <c r="H184" s="118"/>
      <c r="I184" s="118"/>
      <c r="J184" s="126"/>
      <c r="K184" s="126"/>
      <c r="L184" s="118"/>
      <c r="M184" s="118"/>
      <c r="N184" s="118"/>
      <c r="O184" s="118"/>
      <c r="P184" s="128"/>
      <c r="Q184" s="132">
        <v>42930</v>
      </c>
      <c r="R184" s="118" t="s">
        <v>367</v>
      </c>
      <c r="S184" s="129">
        <v>3</v>
      </c>
      <c r="T184" s="118">
        <v>3018723.87</v>
      </c>
      <c r="U184" s="118">
        <v>0</v>
      </c>
      <c r="V184" s="118">
        <v>392434</v>
      </c>
      <c r="W184" s="118">
        <v>0</v>
      </c>
      <c r="X184" s="118">
        <v>0</v>
      </c>
      <c r="Y184" s="132">
        <v>42930</v>
      </c>
      <c r="Z184" s="132"/>
      <c r="AA184" s="118"/>
      <c r="AB184" s="118"/>
      <c r="AC184" s="118"/>
      <c r="AD184" s="118"/>
      <c r="AE184" s="118"/>
    </row>
    <row r="185" spans="1:31">
      <c r="A185" s="125" t="s">
        <v>352</v>
      </c>
      <c r="B185" s="126" t="s">
        <v>353</v>
      </c>
      <c r="C185" s="127" t="s">
        <v>364</v>
      </c>
      <c r="D185" s="117" t="s">
        <v>11</v>
      </c>
      <c r="E185" s="118">
        <v>101828.61</v>
      </c>
      <c r="F185" s="118"/>
      <c r="G185" s="118">
        <v>13238</v>
      </c>
      <c r="H185" s="118"/>
      <c r="I185" s="118"/>
      <c r="J185" s="126"/>
      <c r="K185" s="126"/>
      <c r="L185" s="118"/>
      <c r="M185" s="118"/>
      <c r="N185" s="118"/>
      <c r="O185" s="118"/>
      <c r="P185" s="128"/>
      <c r="Q185" s="132">
        <v>42930</v>
      </c>
      <c r="R185" s="118" t="s">
        <v>367</v>
      </c>
      <c r="S185" s="129">
        <v>5</v>
      </c>
      <c r="T185" s="118">
        <v>101828.61</v>
      </c>
      <c r="U185" s="118">
        <v>0</v>
      </c>
      <c r="V185" s="118">
        <v>13238</v>
      </c>
      <c r="W185" s="118">
        <v>0</v>
      </c>
      <c r="X185" s="118">
        <v>0</v>
      </c>
      <c r="Y185" s="132">
        <v>42930</v>
      </c>
      <c r="Z185" s="132"/>
      <c r="AA185" s="118"/>
      <c r="AB185" s="118"/>
      <c r="AC185" s="118"/>
      <c r="AD185" s="118"/>
      <c r="AE185" s="118"/>
    </row>
    <row r="186" spans="1:31">
      <c r="A186" s="125" t="s">
        <v>352</v>
      </c>
      <c r="B186" s="126" t="s">
        <v>353</v>
      </c>
      <c r="C186" s="127" t="s">
        <v>363</v>
      </c>
      <c r="D186" s="117" t="s">
        <v>7</v>
      </c>
      <c r="E186" s="118">
        <v>6424425.7199999997</v>
      </c>
      <c r="F186" s="118"/>
      <c r="G186" s="118">
        <v>835178</v>
      </c>
      <c r="H186" s="118">
        <v>82489.440000000002</v>
      </c>
      <c r="I186" s="118">
        <v>24747</v>
      </c>
      <c r="J186" s="126"/>
      <c r="K186" s="126"/>
      <c r="L186" s="118"/>
      <c r="M186" s="118"/>
      <c r="N186" s="118"/>
      <c r="O186" s="118"/>
      <c r="P186" s="128"/>
      <c r="Q186" s="132">
        <v>42930</v>
      </c>
      <c r="R186" s="118" t="s">
        <v>366</v>
      </c>
      <c r="S186" s="129">
        <v>1</v>
      </c>
      <c r="T186" s="118">
        <v>6424425.7199999997</v>
      </c>
      <c r="U186" s="118">
        <v>0</v>
      </c>
      <c r="V186" s="118">
        <v>835178</v>
      </c>
      <c r="W186" s="118">
        <v>82489.440000000002</v>
      </c>
      <c r="X186" s="118">
        <v>24747</v>
      </c>
      <c r="Y186" s="132">
        <v>42930</v>
      </c>
      <c r="Z186" s="132"/>
      <c r="AA186" s="118"/>
      <c r="AB186" s="118"/>
      <c r="AC186" s="118"/>
      <c r="AD186" s="118"/>
      <c r="AE186" s="118"/>
    </row>
    <row r="187" spans="1:31">
      <c r="A187" s="125" t="s">
        <v>354</v>
      </c>
      <c r="B187" s="126" t="s">
        <v>355</v>
      </c>
      <c r="C187" s="127" t="s">
        <v>364</v>
      </c>
      <c r="D187" s="117" t="s">
        <v>8</v>
      </c>
      <c r="E187" s="118">
        <v>1261363.42</v>
      </c>
      <c r="F187" s="118"/>
      <c r="G187" s="118">
        <v>163975</v>
      </c>
      <c r="H187" s="118"/>
      <c r="I187" s="118"/>
      <c r="J187" s="126"/>
      <c r="K187" s="126"/>
      <c r="L187" s="118"/>
      <c r="M187" s="118"/>
      <c r="N187" s="118"/>
      <c r="O187" s="118"/>
      <c r="P187" s="128"/>
      <c r="Q187" s="132">
        <v>42937</v>
      </c>
      <c r="R187" s="118" t="s">
        <v>367</v>
      </c>
      <c r="S187" s="129">
        <v>2</v>
      </c>
      <c r="T187" s="118">
        <v>1261363.42</v>
      </c>
      <c r="U187" s="118">
        <v>0</v>
      </c>
      <c r="V187" s="118">
        <v>163975</v>
      </c>
      <c r="W187" s="118">
        <v>0</v>
      </c>
      <c r="X187" s="118">
        <v>0</v>
      </c>
      <c r="Y187" s="132">
        <v>42937</v>
      </c>
      <c r="Z187" s="132"/>
      <c r="AA187" s="118"/>
      <c r="AB187" s="118"/>
      <c r="AC187" s="118"/>
      <c r="AD187" s="118"/>
      <c r="AE187" s="118"/>
    </row>
    <row r="188" spans="1:31">
      <c r="A188" s="125" t="s">
        <v>354</v>
      </c>
      <c r="B188" s="126" t="s">
        <v>355</v>
      </c>
      <c r="C188" s="127" t="s">
        <v>364</v>
      </c>
      <c r="D188" s="117" t="s">
        <v>9</v>
      </c>
      <c r="E188" s="118">
        <v>2627126.04</v>
      </c>
      <c r="F188" s="118"/>
      <c r="G188" s="118">
        <v>341529</v>
      </c>
      <c r="H188" s="118"/>
      <c r="I188" s="118"/>
      <c r="J188" s="126"/>
      <c r="K188" s="126"/>
      <c r="L188" s="118"/>
      <c r="M188" s="118"/>
      <c r="N188" s="118"/>
      <c r="O188" s="118"/>
      <c r="P188" s="128"/>
      <c r="Q188" s="132">
        <v>42937</v>
      </c>
      <c r="R188" s="118" t="s">
        <v>367</v>
      </c>
      <c r="S188" s="129">
        <v>3</v>
      </c>
      <c r="T188" s="118">
        <v>2627126.04</v>
      </c>
      <c r="U188" s="118">
        <v>0</v>
      </c>
      <c r="V188" s="118">
        <v>341529</v>
      </c>
      <c r="W188" s="118">
        <v>0</v>
      </c>
      <c r="X188" s="118">
        <v>0</v>
      </c>
      <c r="Y188" s="132">
        <v>42937</v>
      </c>
      <c r="Z188" s="132"/>
      <c r="AA188" s="118"/>
      <c r="AB188" s="118"/>
      <c r="AC188" s="118"/>
      <c r="AD188" s="118"/>
      <c r="AE188" s="118"/>
    </row>
    <row r="189" spans="1:31">
      <c r="A189" s="125" t="s">
        <v>354</v>
      </c>
      <c r="B189" s="126" t="s">
        <v>355</v>
      </c>
      <c r="C189" s="127" t="s">
        <v>364</v>
      </c>
      <c r="D189" s="117" t="s">
        <v>11</v>
      </c>
      <c r="E189" s="118">
        <v>206184.16</v>
      </c>
      <c r="F189" s="118"/>
      <c r="G189" s="118">
        <v>26805</v>
      </c>
      <c r="H189" s="118"/>
      <c r="I189" s="118"/>
      <c r="J189" s="126"/>
      <c r="K189" s="126"/>
      <c r="L189" s="118"/>
      <c r="M189" s="118"/>
      <c r="N189" s="118"/>
      <c r="O189" s="118"/>
      <c r="P189" s="128"/>
      <c r="Q189" s="132">
        <v>42937</v>
      </c>
      <c r="R189" s="118" t="s">
        <v>367</v>
      </c>
      <c r="S189" s="129">
        <v>5</v>
      </c>
      <c r="T189" s="118">
        <v>206184.16</v>
      </c>
      <c r="U189" s="118">
        <v>0</v>
      </c>
      <c r="V189" s="118">
        <v>26805</v>
      </c>
      <c r="W189" s="118">
        <v>0</v>
      </c>
      <c r="X189" s="118">
        <v>0</v>
      </c>
      <c r="Y189" s="132">
        <v>42937</v>
      </c>
      <c r="Z189" s="132"/>
      <c r="AA189" s="118"/>
      <c r="AB189" s="118"/>
      <c r="AC189" s="118"/>
      <c r="AD189" s="118"/>
      <c r="AE189" s="118"/>
    </row>
    <row r="190" spans="1:31">
      <c r="A190" s="125" t="s">
        <v>354</v>
      </c>
      <c r="B190" s="126" t="s">
        <v>355</v>
      </c>
      <c r="C190" s="127" t="s">
        <v>363</v>
      </c>
      <c r="D190" s="117" t="s">
        <v>7</v>
      </c>
      <c r="E190" s="118">
        <v>3565375.41</v>
      </c>
      <c r="F190" s="118"/>
      <c r="G190" s="118">
        <v>463501</v>
      </c>
      <c r="H190" s="118"/>
      <c r="I190" s="118"/>
      <c r="J190" s="126"/>
      <c r="K190" s="126"/>
      <c r="L190" s="118"/>
      <c r="M190" s="118"/>
      <c r="N190" s="118"/>
      <c r="O190" s="118"/>
      <c r="P190" s="128"/>
      <c r="Q190" s="132">
        <v>42937</v>
      </c>
      <c r="R190" s="118" t="s">
        <v>366</v>
      </c>
      <c r="S190" s="129">
        <v>1</v>
      </c>
      <c r="T190" s="118">
        <v>3565375.41</v>
      </c>
      <c r="U190" s="118">
        <v>0</v>
      </c>
      <c r="V190" s="118">
        <v>463501</v>
      </c>
      <c r="W190" s="118">
        <v>0</v>
      </c>
      <c r="X190" s="118">
        <v>0</v>
      </c>
      <c r="Y190" s="132">
        <v>42937</v>
      </c>
      <c r="Z190" s="132"/>
      <c r="AA190" s="118"/>
      <c r="AB190" s="118"/>
      <c r="AC190" s="118"/>
      <c r="AD190" s="118"/>
      <c r="AE190" s="118"/>
    </row>
    <row r="191" spans="1:31">
      <c r="A191" s="125" t="s">
        <v>356</v>
      </c>
      <c r="B191" s="126" t="s">
        <v>357</v>
      </c>
      <c r="C191" s="127" t="s">
        <v>362</v>
      </c>
      <c r="D191" s="117" t="s">
        <v>7</v>
      </c>
      <c r="E191" s="118">
        <v>6474290.1900000004</v>
      </c>
      <c r="F191" s="118">
        <v>500</v>
      </c>
      <c r="G191" s="118">
        <v>841592</v>
      </c>
      <c r="H191" s="118"/>
      <c r="I191" s="118"/>
      <c r="J191" s="126"/>
      <c r="K191" s="126"/>
      <c r="L191" s="118"/>
      <c r="M191" s="118"/>
      <c r="N191" s="118"/>
      <c r="O191" s="118"/>
      <c r="P191" s="128"/>
      <c r="Q191" s="132">
        <v>42941</v>
      </c>
      <c r="R191" s="118" t="s">
        <v>365</v>
      </c>
      <c r="S191" s="129">
        <v>1</v>
      </c>
      <c r="T191" s="118">
        <v>6474290.1900000004</v>
      </c>
      <c r="U191" s="118">
        <v>500</v>
      </c>
      <c r="V191" s="118">
        <v>841592</v>
      </c>
      <c r="W191" s="118">
        <v>0</v>
      </c>
      <c r="X191" s="118">
        <v>0</v>
      </c>
      <c r="Y191" s="132">
        <v>42941</v>
      </c>
      <c r="Z191" s="132"/>
      <c r="AA191" s="118"/>
      <c r="AB191" s="118"/>
      <c r="AC191" s="118"/>
      <c r="AD191" s="118"/>
      <c r="AE191" s="118"/>
    </row>
    <row r="192" spans="1:31">
      <c r="A192" s="125" t="s">
        <v>356</v>
      </c>
      <c r="B192" s="126" t="s">
        <v>357</v>
      </c>
      <c r="C192" s="127" t="s">
        <v>362</v>
      </c>
      <c r="D192" s="117" t="s">
        <v>8</v>
      </c>
      <c r="E192" s="118">
        <v>542508.19999999995</v>
      </c>
      <c r="F192" s="118"/>
      <c r="G192" s="118">
        <v>70532</v>
      </c>
      <c r="H192" s="118"/>
      <c r="I192" s="118"/>
      <c r="J192" s="126"/>
      <c r="K192" s="126"/>
      <c r="L192" s="118"/>
      <c r="M192" s="118"/>
      <c r="N192" s="118"/>
      <c r="O192" s="118"/>
      <c r="P192" s="128"/>
      <c r="Q192" s="132">
        <v>42941</v>
      </c>
      <c r="R192" s="118" t="s">
        <v>365</v>
      </c>
      <c r="S192" s="129">
        <v>2</v>
      </c>
      <c r="T192" s="118">
        <v>542508.19999999995</v>
      </c>
      <c r="U192" s="118">
        <v>0</v>
      </c>
      <c r="V192" s="118">
        <v>70532</v>
      </c>
      <c r="W192" s="118">
        <v>0</v>
      </c>
      <c r="X192" s="118">
        <v>0</v>
      </c>
      <c r="Y192" s="132">
        <v>42941</v>
      </c>
      <c r="Z192" s="132"/>
      <c r="AA192" s="118"/>
      <c r="AB192" s="118"/>
      <c r="AC192" s="118"/>
      <c r="AD192" s="118"/>
      <c r="AE192" s="118"/>
    </row>
    <row r="193" spans="1:31">
      <c r="A193" s="125" t="s">
        <v>356</v>
      </c>
      <c r="B193" s="126" t="s">
        <v>357</v>
      </c>
      <c r="C193" s="127" t="s">
        <v>362</v>
      </c>
      <c r="D193" s="117" t="s">
        <v>9</v>
      </c>
      <c r="E193" s="118">
        <v>49798.42</v>
      </c>
      <c r="F193" s="118"/>
      <c r="G193" s="118">
        <v>6472</v>
      </c>
      <c r="H193" s="118"/>
      <c r="I193" s="118"/>
      <c r="J193" s="126"/>
      <c r="K193" s="126"/>
      <c r="L193" s="118"/>
      <c r="M193" s="118"/>
      <c r="N193" s="118"/>
      <c r="O193" s="118"/>
      <c r="P193" s="128"/>
      <c r="Q193" s="132">
        <v>42941</v>
      </c>
      <c r="R193" s="118" t="s">
        <v>365</v>
      </c>
      <c r="S193" s="129">
        <v>3</v>
      </c>
      <c r="T193" s="118">
        <v>49798.42</v>
      </c>
      <c r="U193" s="118">
        <v>0</v>
      </c>
      <c r="V193" s="118">
        <v>6472</v>
      </c>
      <c r="W193" s="118">
        <v>0</v>
      </c>
      <c r="X193" s="118">
        <v>0</v>
      </c>
      <c r="Y193" s="132">
        <v>42941</v>
      </c>
      <c r="Z193" s="132"/>
      <c r="AA193" s="118"/>
      <c r="AB193" s="118"/>
      <c r="AC193" s="118"/>
      <c r="AD193" s="118"/>
      <c r="AE193" s="118"/>
    </row>
    <row r="194" spans="1:31">
      <c r="A194" s="125" t="s">
        <v>356</v>
      </c>
      <c r="B194" s="126" t="s">
        <v>357</v>
      </c>
      <c r="C194" s="127" t="s">
        <v>362</v>
      </c>
      <c r="D194" s="117" t="s">
        <v>11</v>
      </c>
      <c r="E194" s="118">
        <v>17499.099999999999</v>
      </c>
      <c r="F194" s="118"/>
      <c r="G194" s="118">
        <v>2275</v>
      </c>
      <c r="H194" s="118"/>
      <c r="I194" s="118"/>
      <c r="J194" s="126"/>
      <c r="K194" s="126"/>
      <c r="L194" s="118"/>
      <c r="M194" s="118"/>
      <c r="N194" s="118"/>
      <c r="O194" s="118"/>
      <c r="P194" s="128"/>
      <c r="Q194" s="132">
        <v>42941</v>
      </c>
      <c r="R194" s="118" t="s">
        <v>365</v>
      </c>
      <c r="S194" s="129">
        <v>5</v>
      </c>
      <c r="T194" s="118">
        <v>17499.099999999999</v>
      </c>
      <c r="U194" s="118">
        <v>0</v>
      </c>
      <c r="V194" s="118">
        <v>2275</v>
      </c>
      <c r="W194" s="118">
        <v>0</v>
      </c>
      <c r="X194" s="118">
        <v>0</v>
      </c>
      <c r="Y194" s="132">
        <v>42941</v>
      </c>
      <c r="Z194" s="132"/>
      <c r="AA194" s="118"/>
      <c r="AB194" s="118"/>
      <c r="AC194" s="118"/>
      <c r="AD194" s="118"/>
      <c r="AE194" s="118"/>
    </row>
    <row r="195" spans="1:31">
      <c r="A195" s="125" t="s">
        <v>356</v>
      </c>
      <c r="B195" s="126" t="s">
        <v>357</v>
      </c>
      <c r="C195" s="127" t="s">
        <v>362</v>
      </c>
      <c r="D195" s="117" t="s">
        <v>12</v>
      </c>
      <c r="E195" s="118">
        <v>1213685.42</v>
      </c>
      <c r="F195" s="118">
        <v>500</v>
      </c>
      <c r="G195" s="118">
        <v>157717</v>
      </c>
      <c r="H195" s="118"/>
      <c r="I195" s="118"/>
      <c r="J195" s="126"/>
      <c r="K195" s="126"/>
      <c r="L195" s="118"/>
      <c r="M195" s="118"/>
      <c r="N195" s="118"/>
      <c r="O195" s="118"/>
      <c r="P195" s="128"/>
      <c r="Q195" s="132">
        <v>42941</v>
      </c>
      <c r="R195" s="118" t="s">
        <v>365</v>
      </c>
      <c r="S195" s="129">
        <v>6</v>
      </c>
      <c r="T195" s="118">
        <v>1213685.42</v>
      </c>
      <c r="U195" s="118">
        <v>500</v>
      </c>
      <c r="V195" s="118">
        <v>157717</v>
      </c>
      <c r="W195" s="118">
        <v>0</v>
      </c>
      <c r="X195" s="118">
        <v>0</v>
      </c>
      <c r="Y195" s="132">
        <v>42941</v>
      </c>
      <c r="Z195" s="132"/>
      <c r="AA195" s="118"/>
      <c r="AB195" s="118"/>
      <c r="AC195" s="118"/>
      <c r="AD195" s="118"/>
      <c r="AE195" s="118"/>
    </row>
    <row r="196" spans="1:31">
      <c r="A196" s="125" t="s">
        <v>356</v>
      </c>
      <c r="B196" s="126" t="s">
        <v>357</v>
      </c>
      <c r="C196" s="127" t="s">
        <v>362</v>
      </c>
      <c r="D196" s="117" t="s">
        <v>13</v>
      </c>
      <c r="E196" s="118">
        <v>3993880.02</v>
      </c>
      <c r="F196" s="118">
        <v>4400</v>
      </c>
      <c r="G196" s="118">
        <v>518637</v>
      </c>
      <c r="H196" s="118"/>
      <c r="I196" s="118"/>
      <c r="J196" s="126"/>
      <c r="K196" s="126"/>
      <c r="L196" s="118"/>
      <c r="M196" s="118"/>
      <c r="N196" s="118"/>
      <c r="O196" s="118"/>
      <c r="P196" s="128"/>
      <c r="Q196" s="132">
        <v>42941</v>
      </c>
      <c r="R196" s="118" t="s">
        <v>365</v>
      </c>
      <c r="S196" s="129">
        <v>7</v>
      </c>
      <c r="T196" s="118">
        <v>3993880.02</v>
      </c>
      <c r="U196" s="118">
        <v>4400</v>
      </c>
      <c r="V196" s="118">
        <v>518637</v>
      </c>
      <c r="W196" s="118">
        <v>0</v>
      </c>
      <c r="X196" s="118">
        <v>0</v>
      </c>
      <c r="Y196" s="132">
        <v>42941</v>
      </c>
      <c r="Z196" s="132"/>
      <c r="AA196" s="118"/>
      <c r="AB196" s="118"/>
      <c r="AC196" s="118"/>
      <c r="AD196" s="118"/>
      <c r="AE196" s="118"/>
    </row>
    <row r="197" spans="1:31">
      <c r="A197" s="125" t="s">
        <v>358</v>
      </c>
      <c r="B197" s="126" t="s">
        <v>359</v>
      </c>
      <c r="C197" s="127" t="s">
        <v>362</v>
      </c>
      <c r="D197" s="117" t="s">
        <v>7</v>
      </c>
      <c r="E197" s="118"/>
      <c r="F197" s="118"/>
      <c r="G197" s="118">
        <v>-3475</v>
      </c>
      <c r="H197" s="118"/>
      <c r="I197" s="118">
        <v>3475</v>
      </c>
      <c r="J197" s="126" t="s">
        <v>358</v>
      </c>
      <c r="K197" s="126" t="s">
        <v>316</v>
      </c>
      <c r="L197" s="118">
        <v>-949.5</v>
      </c>
      <c r="M197" s="118"/>
      <c r="N197" s="118">
        <v>-123</v>
      </c>
      <c r="O197" s="118"/>
      <c r="P197" s="128"/>
      <c r="Q197" s="132">
        <v>42947</v>
      </c>
      <c r="R197" s="118" t="s">
        <v>365</v>
      </c>
      <c r="S197" s="129">
        <v>1</v>
      </c>
      <c r="T197" s="118">
        <v>0</v>
      </c>
      <c r="U197" s="118">
        <v>0</v>
      </c>
      <c r="V197" s="118">
        <v>-3475</v>
      </c>
      <c r="W197" s="118">
        <v>0</v>
      </c>
      <c r="X197" s="118">
        <v>3475</v>
      </c>
      <c r="Y197" s="132">
        <v>42947</v>
      </c>
      <c r="Z197" s="132">
        <v>42858</v>
      </c>
      <c r="AA197" s="118">
        <v>-949.5</v>
      </c>
      <c r="AB197" s="118">
        <v>0</v>
      </c>
      <c r="AC197" s="118">
        <v>-123</v>
      </c>
      <c r="AD197" s="118">
        <v>0</v>
      </c>
      <c r="AE197" s="118">
        <v>0</v>
      </c>
    </row>
    <row r="198" spans="1:31">
      <c r="A198" s="125"/>
      <c r="B198" s="126"/>
      <c r="C198" s="127"/>
      <c r="D198" s="117"/>
      <c r="E198" s="118"/>
      <c r="F198" s="118"/>
      <c r="G198" s="118"/>
      <c r="H198" s="118"/>
      <c r="I198" s="118"/>
      <c r="J198" s="126" t="s">
        <v>358</v>
      </c>
      <c r="K198" s="126" t="s">
        <v>333</v>
      </c>
      <c r="L198" s="118">
        <v>-10948.61</v>
      </c>
      <c r="M198" s="118">
        <v>-500</v>
      </c>
      <c r="N198" s="118">
        <v>-1357</v>
      </c>
      <c r="O198" s="118"/>
      <c r="P198" s="128"/>
      <c r="Q198" s="132">
        <v>42947</v>
      </c>
      <c r="R198" s="118" t="s">
        <v>365</v>
      </c>
      <c r="S198" s="129">
        <v>1</v>
      </c>
      <c r="T198" s="118"/>
      <c r="U198" s="118"/>
      <c r="V198" s="118"/>
      <c r="W198" s="118"/>
      <c r="X198" s="118"/>
      <c r="Y198" s="132">
        <v>42947</v>
      </c>
      <c r="Z198" s="132">
        <v>42895</v>
      </c>
      <c r="AA198" s="118">
        <v>-10948.61</v>
      </c>
      <c r="AB198" s="118">
        <v>-500</v>
      </c>
      <c r="AC198" s="118">
        <v>-1357</v>
      </c>
      <c r="AD198" s="118">
        <v>0</v>
      </c>
      <c r="AE198" s="118">
        <v>0</v>
      </c>
    </row>
    <row r="199" spans="1:31">
      <c r="A199" s="125"/>
      <c r="B199" s="126"/>
      <c r="C199" s="127"/>
      <c r="D199" s="117"/>
      <c r="E199" s="118"/>
      <c r="F199" s="118"/>
      <c r="G199" s="118"/>
      <c r="H199" s="118"/>
      <c r="I199" s="118"/>
      <c r="J199" s="126" t="s">
        <v>358</v>
      </c>
      <c r="K199" s="126" t="s">
        <v>349</v>
      </c>
      <c r="L199" s="118">
        <v>-9346.74</v>
      </c>
      <c r="M199" s="118"/>
      <c r="N199" s="118">
        <v>-1216</v>
      </c>
      <c r="O199" s="118"/>
      <c r="P199" s="128"/>
      <c r="Q199" s="132">
        <v>42947</v>
      </c>
      <c r="R199" s="118" t="s">
        <v>365</v>
      </c>
      <c r="S199" s="129">
        <v>1</v>
      </c>
      <c r="T199" s="118"/>
      <c r="U199" s="118"/>
      <c r="V199" s="118"/>
      <c r="W199" s="118"/>
      <c r="X199" s="118"/>
      <c r="Y199" s="132">
        <v>42947</v>
      </c>
      <c r="Z199" s="132">
        <v>42927</v>
      </c>
      <c r="AA199" s="118">
        <v>-9346.74</v>
      </c>
      <c r="AB199" s="118">
        <v>0</v>
      </c>
      <c r="AC199" s="118">
        <v>-1216</v>
      </c>
      <c r="AD199" s="118">
        <v>0</v>
      </c>
      <c r="AE199" s="118">
        <v>0</v>
      </c>
    </row>
    <row r="200" spans="1:31">
      <c r="A200" s="125" t="s">
        <v>358</v>
      </c>
      <c r="B200" s="126" t="s">
        <v>359</v>
      </c>
      <c r="C200" s="127" t="s">
        <v>362</v>
      </c>
      <c r="D200" s="117" t="s">
        <v>8</v>
      </c>
      <c r="E200" s="118"/>
      <c r="F200" s="118"/>
      <c r="G200" s="118"/>
      <c r="H200" s="118"/>
      <c r="I200" s="118"/>
      <c r="J200" s="126" t="s">
        <v>358</v>
      </c>
      <c r="K200" s="126" t="s">
        <v>348</v>
      </c>
      <c r="L200" s="118">
        <v>-10236</v>
      </c>
      <c r="M200" s="118"/>
      <c r="N200" s="118">
        <v>-1331</v>
      </c>
      <c r="O200" s="118"/>
      <c r="P200" s="128"/>
      <c r="Q200" s="132">
        <v>42947</v>
      </c>
      <c r="R200" s="118" t="s">
        <v>365</v>
      </c>
      <c r="S200" s="129">
        <v>2</v>
      </c>
      <c r="T200" s="118"/>
      <c r="U200" s="118"/>
      <c r="V200" s="118"/>
      <c r="W200" s="118"/>
      <c r="X200" s="118"/>
      <c r="Y200" s="132">
        <v>42947</v>
      </c>
      <c r="Z200" s="132">
        <v>42926</v>
      </c>
      <c r="AA200" s="118">
        <v>-10236</v>
      </c>
      <c r="AB200" s="118">
        <v>0</v>
      </c>
      <c r="AC200" s="118">
        <v>-1331</v>
      </c>
      <c r="AD200" s="118">
        <v>0</v>
      </c>
      <c r="AE200" s="118">
        <v>0</v>
      </c>
    </row>
    <row r="201" spans="1:31">
      <c r="A201" s="125" t="s">
        <v>358</v>
      </c>
      <c r="B201" s="126" t="s">
        <v>359</v>
      </c>
      <c r="C201" s="127" t="s">
        <v>362</v>
      </c>
      <c r="D201" s="117" t="s">
        <v>12</v>
      </c>
      <c r="E201" s="118"/>
      <c r="F201" s="118"/>
      <c r="G201" s="118"/>
      <c r="H201" s="118"/>
      <c r="I201" s="118"/>
      <c r="J201" s="126" t="s">
        <v>358</v>
      </c>
      <c r="K201" s="126" t="s">
        <v>254</v>
      </c>
      <c r="L201" s="118">
        <v>-10720.5</v>
      </c>
      <c r="M201" s="118"/>
      <c r="N201" s="118">
        <v>-1393</v>
      </c>
      <c r="O201" s="118"/>
      <c r="P201" s="128"/>
      <c r="Q201" s="132">
        <v>42947</v>
      </c>
      <c r="R201" s="118" t="s">
        <v>365</v>
      </c>
      <c r="S201" s="129">
        <v>6</v>
      </c>
      <c r="T201" s="118"/>
      <c r="U201" s="118"/>
      <c r="V201" s="118"/>
      <c r="W201" s="118"/>
      <c r="X201" s="118"/>
      <c r="Y201" s="132">
        <v>42947</v>
      </c>
      <c r="Z201" s="132">
        <v>42745</v>
      </c>
      <c r="AA201" s="118">
        <v>-10720.5</v>
      </c>
      <c r="AB201" s="118">
        <v>0</v>
      </c>
      <c r="AC201" s="118">
        <v>-1393</v>
      </c>
      <c r="AD201" s="118">
        <v>0</v>
      </c>
      <c r="AE201" s="118">
        <v>0</v>
      </c>
    </row>
    <row r="202" spans="1:31">
      <c r="A202" s="125"/>
      <c r="B202" s="126"/>
      <c r="C202" s="127"/>
      <c r="D202" s="117"/>
      <c r="E202" s="118"/>
      <c r="F202" s="118"/>
      <c r="G202" s="118"/>
      <c r="H202" s="118"/>
      <c r="I202" s="118"/>
      <c r="J202" s="126" t="s">
        <v>358</v>
      </c>
      <c r="K202" s="126" t="s">
        <v>275</v>
      </c>
      <c r="L202" s="118">
        <v>-1784.7</v>
      </c>
      <c r="M202" s="118"/>
      <c r="N202" s="118">
        <v>-232</v>
      </c>
      <c r="O202" s="118"/>
      <c r="P202" s="128"/>
      <c r="Q202" s="132">
        <v>42947</v>
      </c>
      <c r="R202" s="118" t="s">
        <v>365</v>
      </c>
      <c r="S202" s="129">
        <v>6</v>
      </c>
      <c r="T202" s="118"/>
      <c r="U202" s="118"/>
      <c r="V202" s="118"/>
      <c r="W202" s="118"/>
      <c r="X202" s="118"/>
      <c r="Y202" s="132">
        <v>42947</v>
      </c>
      <c r="Z202" s="132">
        <v>42776</v>
      </c>
      <c r="AA202" s="118">
        <v>-1784.7</v>
      </c>
      <c r="AB202" s="118">
        <v>0</v>
      </c>
      <c r="AC202" s="118">
        <v>-232</v>
      </c>
      <c r="AD202" s="118">
        <v>0</v>
      </c>
      <c r="AE202" s="118">
        <v>0</v>
      </c>
    </row>
    <row r="203" spans="1:31">
      <c r="A203" s="125"/>
      <c r="B203" s="126"/>
      <c r="C203" s="127"/>
      <c r="D203" s="117"/>
      <c r="E203" s="118"/>
      <c r="F203" s="118"/>
      <c r="G203" s="118"/>
      <c r="H203" s="118"/>
      <c r="I203" s="118"/>
      <c r="J203" s="126" t="s">
        <v>358</v>
      </c>
      <c r="K203" s="126" t="s">
        <v>285</v>
      </c>
      <c r="L203" s="118">
        <v>-12285</v>
      </c>
      <c r="M203" s="118"/>
      <c r="N203" s="118">
        <v>-1597</v>
      </c>
      <c r="O203" s="118"/>
      <c r="P203" s="128"/>
      <c r="Q203" s="132">
        <v>42947</v>
      </c>
      <c r="R203" s="118" t="s">
        <v>365</v>
      </c>
      <c r="S203" s="129">
        <v>6</v>
      </c>
      <c r="T203" s="118"/>
      <c r="U203" s="118"/>
      <c r="V203" s="118"/>
      <c r="W203" s="118"/>
      <c r="X203" s="118"/>
      <c r="Y203" s="132">
        <v>42947</v>
      </c>
      <c r="Z203" s="132">
        <v>42804</v>
      </c>
      <c r="AA203" s="118">
        <v>-12285</v>
      </c>
      <c r="AB203" s="118">
        <v>0</v>
      </c>
      <c r="AC203" s="118">
        <v>-1597</v>
      </c>
      <c r="AD203" s="118">
        <v>0</v>
      </c>
      <c r="AE203" s="118">
        <v>0</v>
      </c>
    </row>
    <row r="204" spans="1:31">
      <c r="A204" s="125"/>
      <c r="B204" s="126"/>
      <c r="C204" s="127"/>
      <c r="D204" s="117"/>
      <c r="E204" s="118"/>
      <c r="F204" s="118"/>
      <c r="G204" s="118"/>
      <c r="H204" s="118"/>
      <c r="I204" s="118"/>
      <c r="J204" s="126" t="s">
        <v>358</v>
      </c>
      <c r="K204" s="126" t="s">
        <v>301</v>
      </c>
      <c r="L204" s="118">
        <v>-9291.4</v>
      </c>
      <c r="M204" s="118"/>
      <c r="N204" s="118">
        <v>-1208</v>
      </c>
      <c r="O204" s="118"/>
      <c r="P204" s="128"/>
      <c r="Q204" s="132">
        <v>42947</v>
      </c>
      <c r="R204" s="118" t="s">
        <v>365</v>
      </c>
      <c r="S204" s="129">
        <v>6</v>
      </c>
      <c r="T204" s="118"/>
      <c r="U204" s="118"/>
      <c r="V204" s="118"/>
      <c r="W204" s="118"/>
      <c r="X204" s="118"/>
      <c r="Y204" s="132">
        <v>42947</v>
      </c>
      <c r="Z204" s="132">
        <v>42835</v>
      </c>
      <c r="AA204" s="118">
        <v>-9291.4</v>
      </c>
      <c r="AB204" s="118">
        <v>0</v>
      </c>
      <c r="AC204" s="118">
        <v>-1208</v>
      </c>
      <c r="AD204" s="118">
        <v>0</v>
      </c>
      <c r="AE204" s="118">
        <v>0</v>
      </c>
    </row>
    <row r="205" spans="1:31">
      <c r="A205" s="119" t="s">
        <v>229</v>
      </c>
      <c r="B205" s="120"/>
      <c r="C205" s="130"/>
      <c r="D205" s="120"/>
      <c r="E205" s="123">
        <f>SUBTOTAL(109,[5])</f>
        <v>9376781738.7999992</v>
      </c>
      <c r="F205" s="123">
        <f>SUBTOTAL(109,[6])</f>
        <v>48100100</v>
      </c>
      <c r="G205" s="123">
        <f>SUBTOTAL(109,[7])</f>
        <v>1213024681</v>
      </c>
      <c r="H205" s="123">
        <f>SUBTOTAL(109,[8])</f>
        <v>19878733.430000003</v>
      </c>
      <c r="I205" s="123">
        <f>SUBTOTAL(109,[9])</f>
        <v>6044537</v>
      </c>
      <c r="J205" s="131"/>
      <c r="K205" s="120"/>
      <c r="L205" s="123">
        <f>SUBTOTAL(109,[12])</f>
        <v>-2881108.44</v>
      </c>
      <c r="M205" s="123">
        <f>SUBTOTAL(109,[13])</f>
        <v>-5000</v>
      </c>
      <c r="N205" s="123">
        <f>SUBTOTAL(109,[14])</f>
        <v>-376073</v>
      </c>
      <c r="O205" s="123">
        <f>SUBTOTAL(109,[15])</f>
        <v>0</v>
      </c>
      <c r="P205" s="124">
        <f>SUBTOTAL(109,[16])</f>
        <v>-3504</v>
      </c>
      <c r="Q205" s="121"/>
      <c r="R205" s="121"/>
      <c r="S205" s="120"/>
      <c r="T205" s="123">
        <f>SUBTOTAL(109,[20])</f>
        <v>9376781738.7999992</v>
      </c>
      <c r="U205" s="123">
        <f>SUBTOTAL(109,[21])</f>
        <v>48100100</v>
      </c>
      <c r="V205" s="123">
        <f>SUBTOTAL(109,[22])</f>
        <v>1213024681</v>
      </c>
      <c r="W205" s="123">
        <f>SUBTOTAL(109,[23])</f>
        <v>19878733.430000003</v>
      </c>
      <c r="X205" s="123">
        <f>SUBTOTAL(109,[24])</f>
        <v>6044537</v>
      </c>
      <c r="Y205" s="121"/>
      <c r="Z205" s="121"/>
      <c r="AA205" s="123">
        <f>SUBTOTAL(109,[27])</f>
        <v>-2881108.44</v>
      </c>
      <c r="AB205" s="123">
        <f>SUBTOTAL(109,[28])</f>
        <v>-5000</v>
      </c>
      <c r="AC205" s="123">
        <f>SUBTOTAL(109,[29])</f>
        <v>-376073</v>
      </c>
      <c r="AD205" s="123">
        <f>SUBTOTAL(109,[30])</f>
        <v>0</v>
      </c>
      <c r="AE205" s="123">
        <f>SUBTOTAL(109,[31])</f>
        <v>-3504</v>
      </c>
    </row>
    <row r="206" spans="1:31">
      <c r="E206">
        <f>Таблица2229[[#Totals],[5]]-Таблица2229[[#Totals],[20]]</f>
        <v>0</v>
      </c>
      <c r="F206">
        <f>Таблица2229[[#Totals],[6]]-Таблица2229[[#Totals],[21]]</f>
        <v>0</v>
      </c>
      <c r="G206">
        <f>Таблица2229[[#Totals],[7]]-Таблица2229[[#Totals],[22]]</f>
        <v>0</v>
      </c>
      <c r="H206">
        <f>Таблица2229[[#Totals],[8]]-Таблица2229[[#Totals],[23]]</f>
        <v>0</v>
      </c>
      <c r="I206">
        <f>Таблица2229[[#Totals],[9]]-Таблица2229[[#Totals],[24]]</f>
        <v>0</v>
      </c>
      <c r="L206">
        <f>Таблица2229[[#Totals],[12]]-Таблица2229[[#Totals],[27]]</f>
        <v>0</v>
      </c>
      <c r="M206">
        <f>Таблица2229[[#Totals],[13]]-Таблица2229[[#Totals],[28]]</f>
        <v>0</v>
      </c>
      <c r="N206">
        <f>Таблица2229[[#Totals],[14]]-Таблица2229[[#Totals],[29]]</f>
        <v>0</v>
      </c>
      <c r="O206">
        <f>Таблица2229[[#Totals],[15]]-Таблица2229[[#Totals],[30]]</f>
        <v>0</v>
      </c>
      <c r="P206">
        <f>Таблица2229[[#Totals],[16]]-Таблица2229[[#Totals],[31]]</f>
        <v>0</v>
      </c>
    </row>
  </sheetData>
  <mergeCells count="12">
    <mergeCell ref="L2:N2"/>
    <mergeCell ref="O2:P2"/>
    <mergeCell ref="A1:I1"/>
    <mergeCell ref="J1:P1"/>
    <mergeCell ref="A2:A3"/>
    <mergeCell ref="B2:B3"/>
    <mergeCell ref="C2:C3"/>
    <mergeCell ref="D2:D3"/>
    <mergeCell ref="E2:G2"/>
    <mergeCell ref="H2:I2"/>
    <mergeCell ref="J2:J3"/>
    <mergeCell ref="K2:K3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>
  <sheetPr codeName="Лист5"/>
  <dimension ref="A1:T92"/>
  <sheetViews>
    <sheetView topLeftCell="A59" zoomScale="85" zoomScaleNormal="85" workbookViewId="0">
      <selection activeCell="R91" sqref="R91:T91"/>
    </sheetView>
  </sheetViews>
  <sheetFormatPr defaultRowHeight="15"/>
  <cols>
    <col min="1" max="1" width="13.5703125" customWidth="1"/>
    <col min="2" max="2" width="12.42578125" customWidth="1"/>
    <col min="3" max="5" width="16.7109375" customWidth="1"/>
    <col min="6" max="7" width="13.5703125" customWidth="1"/>
    <col min="8" max="10" width="16.7109375" customWidth="1"/>
    <col min="11" max="12" width="10.140625" bestFit="1" customWidth="1"/>
    <col min="13" max="13" width="16.5703125" bestFit="1" customWidth="1"/>
    <col min="14" max="14" width="15.28515625" customWidth="1"/>
    <col min="15" max="15" width="17.140625" customWidth="1"/>
    <col min="16" max="17" width="10.140625" bestFit="1" customWidth="1"/>
    <col min="18" max="18" width="14" customWidth="1"/>
    <col min="19" max="19" width="10.28515625" bestFit="1" customWidth="1"/>
    <col min="20" max="20" width="14.28515625" customWidth="1"/>
  </cols>
  <sheetData>
    <row r="1" spans="1:20" ht="31.5" customHeight="1">
      <c r="A1" s="157" t="s">
        <v>4</v>
      </c>
      <c r="B1" s="157"/>
      <c r="C1" s="157"/>
      <c r="D1" s="157"/>
      <c r="E1" s="157"/>
      <c r="F1" s="158" t="s">
        <v>23</v>
      </c>
      <c r="G1" s="158"/>
      <c r="H1" s="158"/>
      <c r="I1" s="158"/>
      <c r="J1" s="158"/>
    </row>
    <row r="2" spans="1:20" ht="78" customHeight="1">
      <c r="A2" s="111" t="s">
        <v>0</v>
      </c>
      <c r="B2" s="111" t="s">
        <v>30</v>
      </c>
      <c r="C2" s="109" t="s">
        <v>1</v>
      </c>
      <c r="D2" s="109" t="s">
        <v>2</v>
      </c>
      <c r="E2" s="111" t="s">
        <v>22</v>
      </c>
      <c r="F2" s="21" t="s">
        <v>29</v>
      </c>
      <c r="G2" s="21" t="s">
        <v>33</v>
      </c>
      <c r="H2" s="21" t="s">
        <v>1</v>
      </c>
      <c r="I2" s="21" t="s">
        <v>2</v>
      </c>
      <c r="J2" s="21" t="s">
        <v>22</v>
      </c>
    </row>
    <row r="3" spans="1:20">
      <c r="A3" s="22" t="s">
        <v>7</v>
      </c>
      <c r="B3" s="22" t="s">
        <v>8</v>
      </c>
      <c r="C3" s="22" t="s">
        <v>9</v>
      </c>
      <c r="D3" s="22" t="s">
        <v>10</v>
      </c>
      <c r="E3" s="22" t="s">
        <v>11</v>
      </c>
      <c r="F3" s="23" t="s">
        <v>12</v>
      </c>
      <c r="G3" s="23" t="s">
        <v>13</v>
      </c>
      <c r="H3" s="23" t="s">
        <v>14</v>
      </c>
      <c r="I3" s="23" t="s">
        <v>15</v>
      </c>
      <c r="J3" s="23" t="s">
        <v>16</v>
      </c>
      <c r="K3" s="116" t="s">
        <v>17</v>
      </c>
      <c r="L3" s="116" t="s">
        <v>18</v>
      </c>
      <c r="M3" s="116" t="s">
        <v>19</v>
      </c>
      <c r="N3" s="116" t="s">
        <v>20</v>
      </c>
      <c r="O3" s="116" t="s">
        <v>21</v>
      </c>
      <c r="P3" s="116" t="s">
        <v>24</v>
      </c>
      <c r="Q3" s="116" t="s">
        <v>49</v>
      </c>
      <c r="R3" s="116" t="s">
        <v>50</v>
      </c>
      <c r="S3" s="116" t="s">
        <v>360</v>
      </c>
      <c r="T3" s="116" t="s">
        <v>361</v>
      </c>
    </row>
    <row r="4" spans="1:20">
      <c r="A4" s="1" t="s">
        <v>254</v>
      </c>
      <c r="B4" s="1" t="s">
        <v>255</v>
      </c>
      <c r="C4" s="24">
        <v>1283335409.8499999</v>
      </c>
      <c r="D4" s="24">
        <v>6308000</v>
      </c>
      <c r="E4" s="24">
        <v>166581807</v>
      </c>
      <c r="F4" s="1"/>
      <c r="G4" s="1"/>
      <c r="H4" s="24"/>
      <c r="I4" s="24"/>
      <c r="J4" s="24"/>
      <c r="K4" s="114">
        <v>42745</v>
      </c>
      <c r="L4" s="114">
        <v>42746</v>
      </c>
      <c r="M4" s="24">
        <v>1283335409.8499999</v>
      </c>
      <c r="N4" s="24">
        <v>6308000</v>
      </c>
      <c r="O4" s="24">
        <v>166581807</v>
      </c>
      <c r="P4" s="114">
        <v>42745</v>
      </c>
      <c r="Q4" s="115"/>
      <c r="R4" s="24"/>
      <c r="S4" s="24"/>
      <c r="T4" s="24"/>
    </row>
    <row r="5" spans="1:20">
      <c r="A5" s="112" t="s">
        <v>256</v>
      </c>
      <c r="B5" s="1" t="s">
        <v>257</v>
      </c>
      <c r="C5" s="24">
        <v>5153171.72</v>
      </c>
      <c r="D5" s="24"/>
      <c r="E5" s="24">
        <v>669913</v>
      </c>
      <c r="F5" s="1"/>
      <c r="G5" s="1"/>
      <c r="H5" s="24"/>
      <c r="I5" s="24"/>
      <c r="J5" s="113"/>
      <c r="K5" s="114">
        <v>42748</v>
      </c>
      <c r="L5" s="114">
        <v>42749</v>
      </c>
      <c r="M5" s="24">
        <v>5153171.72</v>
      </c>
      <c r="N5" s="24"/>
      <c r="O5" s="24">
        <v>669913</v>
      </c>
      <c r="P5" s="114">
        <v>42748</v>
      </c>
      <c r="Q5" s="115"/>
      <c r="R5" s="24"/>
      <c r="S5" s="24"/>
      <c r="T5" s="24"/>
    </row>
    <row r="6" spans="1:20">
      <c r="A6" s="112" t="s">
        <v>258</v>
      </c>
      <c r="B6" s="1" t="s">
        <v>259</v>
      </c>
      <c r="C6" s="24"/>
      <c r="D6" s="24"/>
      <c r="E6" s="24"/>
      <c r="F6" s="1" t="s">
        <v>258</v>
      </c>
      <c r="G6" s="1" t="s">
        <v>260</v>
      </c>
      <c r="H6" s="24">
        <v>-82000</v>
      </c>
      <c r="I6" s="24"/>
      <c r="J6" s="113">
        <v>-10660</v>
      </c>
      <c r="K6" s="114">
        <v>42755</v>
      </c>
      <c r="L6" s="115"/>
      <c r="M6" s="24"/>
      <c r="N6" s="24"/>
      <c r="O6" s="24"/>
      <c r="P6" s="114">
        <v>42755</v>
      </c>
      <c r="Q6" s="114">
        <v>42643</v>
      </c>
      <c r="R6" s="24">
        <v>-82000</v>
      </c>
      <c r="S6" s="24"/>
      <c r="T6" s="24">
        <v>-10660</v>
      </c>
    </row>
    <row r="7" spans="1:20">
      <c r="A7" s="112"/>
      <c r="B7" s="1"/>
      <c r="C7" s="24"/>
      <c r="D7" s="24"/>
      <c r="E7" s="24"/>
      <c r="F7" s="1" t="s">
        <v>258</v>
      </c>
      <c r="G7" s="1" t="s">
        <v>261</v>
      </c>
      <c r="H7" s="24">
        <v>-45000</v>
      </c>
      <c r="I7" s="24"/>
      <c r="J7" s="113">
        <v>-5850</v>
      </c>
      <c r="K7" s="114">
        <v>42755</v>
      </c>
      <c r="L7" s="115"/>
      <c r="M7" s="24"/>
      <c r="N7" s="24"/>
      <c r="O7" s="24"/>
      <c r="P7" s="114">
        <v>42755</v>
      </c>
      <c r="Q7" s="114">
        <v>42706</v>
      </c>
      <c r="R7" s="24">
        <v>-45000</v>
      </c>
      <c r="S7" s="24"/>
      <c r="T7" s="24">
        <v>-5850</v>
      </c>
    </row>
    <row r="8" spans="1:20">
      <c r="A8" s="112"/>
      <c r="B8" s="1"/>
      <c r="C8" s="24"/>
      <c r="D8" s="24"/>
      <c r="E8" s="24"/>
      <c r="F8" s="1" t="s">
        <v>258</v>
      </c>
      <c r="G8" s="1" t="s">
        <v>262</v>
      </c>
      <c r="H8" s="24">
        <v>-53000</v>
      </c>
      <c r="I8" s="24"/>
      <c r="J8" s="113">
        <v>-6890</v>
      </c>
      <c r="K8" s="114">
        <v>42755</v>
      </c>
      <c r="L8" s="115"/>
      <c r="M8" s="24"/>
      <c r="N8" s="24"/>
      <c r="O8" s="24"/>
      <c r="P8" s="114">
        <v>42755</v>
      </c>
      <c r="Q8" s="114">
        <v>42720</v>
      </c>
      <c r="R8" s="24">
        <v>-53000</v>
      </c>
      <c r="S8" s="24"/>
      <c r="T8" s="24">
        <v>-6890</v>
      </c>
    </row>
    <row r="9" spans="1:20">
      <c r="A9" s="112" t="s">
        <v>263</v>
      </c>
      <c r="B9" s="1" t="s">
        <v>264</v>
      </c>
      <c r="C9" s="24">
        <v>12551085.619999999</v>
      </c>
      <c r="D9" s="24">
        <v>20400</v>
      </c>
      <c r="E9" s="24">
        <v>1630610</v>
      </c>
      <c r="F9" s="1"/>
      <c r="G9" s="1"/>
      <c r="H9" s="24"/>
      <c r="I9" s="24"/>
      <c r="J9" s="113"/>
      <c r="K9" s="114">
        <v>42760</v>
      </c>
      <c r="L9" s="114">
        <v>42761</v>
      </c>
      <c r="M9" s="24">
        <v>12551085.619999999</v>
      </c>
      <c r="N9" s="24">
        <v>20400</v>
      </c>
      <c r="O9" s="24">
        <v>1630610</v>
      </c>
      <c r="P9" s="114">
        <v>42760</v>
      </c>
      <c r="Q9" s="115"/>
      <c r="R9" s="24"/>
      <c r="S9" s="24"/>
      <c r="T9" s="24"/>
    </row>
    <row r="10" spans="1:20">
      <c r="A10" s="112" t="s">
        <v>265</v>
      </c>
      <c r="B10" s="1" t="s">
        <v>266</v>
      </c>
      <c r="C10" s="24">
        <v>4946399.78</v>
      </c>
      <c r="D10" s="24"/>
      <c r="E10" s="24">
        <v>671161</v>
      </c>
      <c r="F10" s="1" t="s">
        <v>265</v>
      </c>
      <c r="G10" s="1" t="s">
        <v>267</v>
      </c>
      <c r="H10" s="24">
        <v>-66000</v>
      </c>
      <c r="I10" s="24"/>
      <c r="J10" s="113">
        <v>-8580</v>
      </c>
      <c r="K10" s="114">
        <v>42762</v>
      </c>
      <c r="L10" s="114">
        <v>42763</v>
      </c>
      <c r="M10" s="24">
        <v>4946399.78</v>
      </c>
      <c r="N10" s="24"/>
      <c r="O10" s="24">
        <v>671161</v>
      </c>
      <c r="P10" s="114">
        <v>42762</v>
      </c>
      <c r="Q10" s="114">
        <v>42671</v>
      </c>
      <c r="R10" s="24">
        <v>-66000</v>
      </c>
      <c r="S10" s="24"/>
      <c r="T10" s="24">
        <v>-8580</v>
      </c>
    </row>
    <row r="11" spans="1:20">
      <c r="A11" s="112"/>
      <c r="B11" s="1"/>
      <c r="C11" s="24"/>
      <c r="D11" s="24"/>
      <c r="E11" s="24"/>
      <c r="F11" s="1" t="s">
        <v>265</v>
      </c>
      <c r="G11" s="1" t="s">
        <v>268</v>
      </c>
      <c r="H11" s="24">
        <v>-62000</v>
      </c>
      <c r="I11" s="24"/>
      <c r="J11" s="113">
        <v>-8060</v>
      </c>
      <c r="K11" s="114">
        <v>42762</v>
      </c>
      <c r="L11" s="115"/>
      <c r="M11" s="24"/>
      <c r="N11" s="24"/>
      <c r="O11" s="24"/>
      <c r="P11" s="114">
        <v>42762</v>
      </c>
      <c r="Q11" s="114">
        <v>42716</v>
      </c>
      <c r="R11" s="24">
        <v>-62000</v>
      </c>
      <c r="S11" s="24"/>
      <c r="T11" s="24">
        <v>-8060</v>
      </c>
    </row>
    <row r="12" spans="1:20">
      <c r="A12" s="112"/>
      <c r="B12" s="1"/>
      <c r="C12" s="24"/>
      <c r="D12" s="24"/>
      <c r="E12" s="24"/>
      <c r="F12" s="1" t="s">
        <v>265</v>
      </c>
      <c r="G12" s="1" t="s">
        <v>269</v>
      </c>
      <c r="H12" s="24">
        <v>-49500</v>
      </c>
      <c r="I12" s="24"/>
      <c r="J12" s="113">
        <v>-6435</v>
      </c>
      <c r="K12" s="114">
        <v>42762</v>
      </c>
      <c r="L12" s="115"/>
      <c r="M12" s="24"/>
      <c r="N12" s="24"/>
      <c r="O12" s="24"/>
      <c r="P12" s="114">
        <v>42762</v>
      </c>
      <c r="Q12" s="114">
        <v>42727</v>
      </c>
      <c r="R12" s="24">
        <v>-49500</v>
      </c>
      <c r="S12" s="24"/>
      <c r="T12" s="24">
        <v>-6435</v>
      </c>
    </row>
    <row r="13" spans="1:20">
      <c r="A13" s="112" t="s">
        <v>270</v>
      </c>
      <c r="B13" s="1" t="s">
        <v>271</v>
      </c>
      <c r="C13" s="24"/>
      <c r="D13" s="24"/>
      <c r="E13" s="24"/>
      <c r="F13" s="1" t="s">
        <v>270</v>
      </c>
      <c r="G13" s="1" t="s">
        <v>254</v>
      </c>
      <c r="H13" s="24">
        <v>-26995.02</v>
      </c>
      <c r="I13" s="24">
        <v>-500</v>
      </c>
      <c r="J13" s="113">
        <v>-3444</v>
      </c>
      <c r="K13" s="114">
        <v>42766</v>
      </c>
      <c r="L13" s="115"/>
      <c r="M13" s="24"/>
      <c r="N13" s="24"/>
      <c r="O13" s="24"/>
      <c r="P13" s="114">
        <v>42766</v>
      </c>
      <c r="Q13" s="114">
        <v>42745</v>
      </c>
      <c r="R13" s="24">
        <v>-26995.02</v>
      </c>
      <c r="S13" s="24">
        <v>-500</v>
      </c>
      <c r="T13" s="24">
        <v>-3444</v>
      </c>
    </row>
    <row r="14" spans="1:20">
      <c r="A14" s="112" t="s">
        <v>272</v>
      </c>
      <c r="B14" s="1" t="s">
        <v>273</v>
      </c>
      <c r="C14" s="24"/>
      <c r="D14" s="24"/>
      <c r="E14" s="24"/>
      <c r="F14" s="1" t="s">
        <v>272</v>
      </c>
      <c r="G14" s="1" t="s">
        <v>274</v>
      </c>
      <c r="H14" s="24">
        <v>-210000</v>
      </c>
      <c r="I14" s="24"/>
      <c r="J14" s="113">
        <v>-27300</v>
      </c>
      <c r="K14" s="114">
        <v>42769</v>
      </c>
      <c r="L14" s="115"/>
      <c r="M14" s="24"/>
      <c r="N14" s="24"/>
      <c r="O14" s="24"/>
      <c r="P14" s="114">
        <v>42769</v>
      </c>
      <c r="Q14" s="114">
        <v>42731</v>
      </c>
      <c r="R14" s="24">
        <v>-210000</v>
      </c>
      <c r="S14" s="24"/>
      <c r="T14" s="24">
        <v>-27300</v>
      </c>
    </row>
    <row r="15" spans="1:20">
      <c r="A15" s="112" t="s">
        <v>275</v>
      </c>
      <c r="B15" s="1" t="s">
        <v>276</v>
      </c>
      <c r="C15" s="24">
        <v>1287654754.45</v>
      </c>
      <c r="D15" s="24">
        <v>6373800</v>
      </c>
      <c r="E15" s="24">
        <v>167054697</v>
      </c>
      <c r="F15" s="1" t="s">
        <v>275</v>
      </c>
      <c r="G15" s="1" t="s">
        <v>254</v>
      </c>
      <c r="H15" s="24"/>
      <c r="I15" s="24"/>
      <c r="J15" s="113">
        <v>-3504</v>
      </c>
      <c r="K15" s="114">
        <v>42776</v>
      </c>
      <c r="L15" s="114">
        <v>42777</v>
      </c>
      <c r="M15" s="24">
        <v>1287654754.45</v>
      </c>
      <c r="N15" s="24">
        <v>6373800</v>
      </c>
      <c r="O15" s="24">
        <v>167054697</v>
      </c>
      <c r="P15" s="114">
        <v>42776</v>
      </c>
      <c r="Q15" s="114">
        <v>42745</v>
      </c>
      <c r="R15" s="24">
        <v>0</v>
      </c>
      <c r="S15" s="24"/>
      <c r="T15" s="24">
        <v>-3504</v>
      </c>
    </row>
    <row r="16" spans="1:20">
      <c r="A16" s="112" t="s">
        <v>277</v>
      </c>
      <c r="B16" s="1" t="s">
        <v>278</v>
      </c>
      <c r="C16" s="24">
        <v>4825209.93</v>
      </c>
      <c r="D16" s="24"/>
      <c r="E16" s="24">
        <v>646568</v>
      </c>
      <c r="F16" s="1" t="s">
        <v>277</v>
      </c>
      <c r="G16" s="1" t="s">
        <v>279</v>
      </c>
      <c r="H16" s="24">
        <v>-10000</v>
      </c>
      <c r="I16" s="24"/>
      <c r="J16" s="113">
        <v>-1300</v>
      </c>
      <c r="K16" s="114">
        <v>42779</v>
      </c>
      <c r="L16" s="114">
        <v>42780</v>
      </c>
      <c r="M16" s="24">
        <v>4825209.93</v>
      </c>
      <c r="N16" s="24"/>
      <c r="O16" s="24">
        <v>646568</v>
      </c>
      <c r="P16" s="114">
        <v>42779</v>
      </c>
      <c r="Q16" s="114">
        <v>42657</v>
      </c>
      <c r="R16" s="24">
        <v>-10000</v>
      </c>
      <c r="S16" s="24"/>
      <c r="T16" s="24">
        <v>-1300</v>
      </c>
    </row>
    <row r="17" spans="1:20">
      <c r="A17" s="112"/>
      <c r="B17" s="1"/>
      <c r="C17" s="24"/>
      <c r="D17" s="24"/>
      <c r="E17" s="24"/>
      <c r="F17" s="1" t="s">
        <v>277</v>
      </c>
      <c r="G17" s="1" t="s">
        <v>280</v>
      </c>
      <c r="H17" s="24">
        <v>-40000</v>
      </c>
      <c r="I17" s="24"/>
      <c r="J17" s="113">
        <v>-5200</v>
      </c>
      <c r="K17" s="114">
        <v>42779</v>
      </c>
      <c r="L17" s="115"/>
      <c r="M17" s="24"/>
      <c r="N17" s="24"/>
      <c r="O17" s="24"/>
      <c r="P17" s="114">
        <v>42779</v>
      </c>
      <c r="Q17" s="114">
        <v>42692</v>
      </c>
      <c r="R17" s="24">
        <v>-40000</v>
      </c>
      <c r="S17" s="24"/>
      <c r="T17" s="24">
        <v>-5200</v>
      </c>
    </row>
    <row r="18" spans="1:20">
      <c r="A18" s="112"/>
      <c r="B18" s="1"/>
      <c r="C18" s="24"/>
      <c r="D18" s="24"/>
      <c r="E18" s="24"/>
      <c r="F18" s="1" t="s">
        <v>277</v>
      </c>
      <c r="G18" s="1" t="s">
        <v>281</v>
      </c>
      <c r="H18" s="24">
        <v>-104000</v>
      </c>
      <c r="I18" s="24"/>
      <c r="J18" s="113">
        <v>-13520</v>
      </c>
      <c r="K18" s="114">
        <v>42779</v>
      </c>
      <c r="L18" s="115"/>
      <c r="M18" s="24"/>
      <c r="N18" s="24"/>
      <c r="O18" s="24"/>
      <c r="P18" s="114">
        <v>42779</v>
      </c>
      <c r="Q18" s="114">
        <v>42702</v>
      </c>
      <c r="R18" s="24">
        <v>-104000</v>
      </c>
      <c r="S18" s="24"/>
      <c r="T18" s="24">
        <v>-13520</v>
      </c>
    </row>
    <row r="19" spans="1:20">
      <c r="A19" s="112"/>
      <c r="B19" s="1"/>
      <c r="C19" s="24"/>
      <c r="D19" s="24"/>
      <c r="E19" s="24"/>
      <c r="F19" s="1" t="s">
        <v>277</v>
      </c>
      <c r="G19" s="1" t="s">
        <v>269</v>
      </c>
      <c r="H19" s="24">
        <v>-28500</v>
      </c>
      <c r="I19" s="24"/>
      <c r="J19" s="113">
        <v>-3705</v>
      </c>
      <c r="K19" s="114">
        <v>42779</v>
      </c>
      <c r="L19" s="115"/>
      <c r="M19" s="24"/>
      <c r="N19" s="24"/>
      <c r="O19" s="24"/>
      <c r="P19" s="114">
        <v>42779</v>
      </c>
      <c r="Q19" s="114">
        <v>42727</v>
      </c>
      <c r="R19" s="24">
        <v>-28500</v>
      </c>
      <c r="S19" s="24"/>
      <c r="T19" s="24">
        <v>-3705</v>
      </c>
    </row>
    <row r="20" spans="1:20">
      <c r="A20" s="112" t="s">
        <v>282</v>
      </c>
      <c r="B20" s="1" t="s">
        <v>283</v>
      </c>
      <c r="C20" s="24">
        <v>8154389.2400000002</v>
      </c>
      <c r="D20" s="24">
        <v>3900</v>
      </c>
      <c r="E20" s="24">
        <v>1064515</v>
      </c>
      <c r="F20" s="1"/>
      <c r="G20" s="1"/>
      <c r="H20" s="24"/>
      <c r="I20" s="24"/>
      <c r="J20" s="113"/>
      <c r="K20" s="114">
        <v>42793</v>
      </c>
      <c r="L20" s="114">
        <v>42794</v>
      </c>
      <c r="M20" s="24">
        <v>8154389.2400000002</v>
      </c>
      <c r="N20" s="24">
        <v>3900</v>
      </c>
      <c r="O20" s="24">
        <v>1064515</v>
      </c>
      <c r="P20" s="114">
        <v>42793</v>
      </c>
      <c r="Q20" s="115"/>
      <c r="R20" s="24"/>
      <c r="S20" s="24"/>
      <c r="T20" s="24"/>
    </row>
    <row r="21" spans="1:20">
      <c r="A21" s="112" t="s">
        <v>283</v>
      </c>
      <c r="B21" s="1" t="s">
        <v>284</v>
      </c>
      <c r="C21" s="24">
        <v>6597302.0999999996</v>
      </c>
      <c r="D21" s="24"/>
      <c r="E21" s="24">
        <v>857649</v>
      </c>
      <c r="F21" s="1" t="s">
        <v>283</v>
      </c>
      <c r="G21" s="1" t="s">
        <v>254</v>
      </c>
      <c r="H21" s="24">
        <v>-15112.68</v>
      </c>
      <c r="I21" s="24">
        <v>-500</v>
      </c>
      <c r="J21" s="113">
        <v>-1899</v>
      </c>
      <c r="K21" s="114">
        <v>42794</v>
      </c>
      <c r="L21" s="114">
        <v>42795</v>
      </c>
      <c r="M21" s="24">
        <v>6597302.0999999996</v>
      </c>
      <c r="N21" s="24"/>
      <c r="O21" s="24">
        <v>857649</v>
      </c>
      <c r="P21" s="114">
        <v>42794</v>
      </c>
      <c r="Q21" s="114">
        <v>42745</v>
      </c>
      <c r="R21" s="24">
        <v>-15112.68</v>
      </c>
      <c r="S21" s="24">
        <v>-500</v>
      </c>
      <c r="T21" s="24">
        <v>-1899</v>
      </c>
    </row>
    <row r="22" spans="1:20">
      <c r="A22" s="112"/>
      <c r="B22" s="1"/>
      <c r="C22" s="24"/>
      <c r="D22" s="24"/>
      <c r="E22" s="24"/>
      <c r="F22" s="1" t="s">
        <v>283</v>
      </c>
      <c r="G22" s="1" t="s">
        <v>275</v>
      </c>
      <c r="H22" s="24">
        <v>-8935.0499999999993</v>
      </c>
      <c r="I22" s="24"/>
      <c r="J22" s="113">
        <v>-1162</v>
      </c>
      <c r="K22" s="114">
        <v>42794</v>
      </c>
      <c r="L22" s="115"/>
      <c r="M22" s="24"/>
      <c r="N22" s="24"/>
      <c r="O22" s="24"/>
      <c r="P22" s="114">
        <v>42794</v>
      </c>
      <c r="Q22" s="114">
        <v>42776</v>
      </c>
      <c r="R22" s="24">
        <v>-8935.0499999999993</v>
      </c>
      <c r="S22" s="24"/>
      <c r="T22" s="24">
        <v>-1162</v>
      </c>
    </row>
    <row r="23" spans="1:20">
      <c r="A23" s="112" t="s">
        <v>285</v>
      </c>
      <c r="B23" s="1" t="s">
        <v>286</v>
      </c>
      <c r="C23" s="24">
        <v>1289499772.21</v>
      </c>
      <c r="D23" s="24">
        <v>7033900</v>
      </c>
      <c r="E23" s="24">
        <v>167213134</v>
      </c>
      <c r="F23" s="1"/>
      <c r="G23" s="1"/>
      <c r="H23" s="24"/>
      <c r="I23" s="24"/>
      <c r="J23" s="113"/>
      <c r="K23" s="114">
        <v>42804</v>
      </c>
      <c r="L23" s="114">
        <v>42805</v>
      </c>
      <c r="M23" s="24">
        <v>1289499772.21</v>
      </c>
      <c r="N23" s="24">
        <v>7033900</v>
      </c>
      <c r="O23" s="24">
        <v>167213134</v>
      </c>
      <c r="P23" s="114">
        <v>42804</v>
      </c>
      <c r="Q23" s="115"/>
      <c r="R23" s="24"/>
      <c r="S23" s="24"/>
      <c r="T23" s="24"/>
    </row>
    <row r="24" spans="1:20">
      <c r="A24" s="112" t="s">
        <v>287</v>
      </c>
      <c r="B24" s="1" t="s">
        <v>288</v>
      </c>
      <c r="C24" s="24">
        <v>6888208.5700000003</v>
      </c>
      <c r="D24" s="24"/>
      <c r="E24" s="24">
        <v>895467</v>
      </c>
      <c r="F24" s="1"/>
      <c r="G24" s="1"/>
      <c r="H24" s="24"/>
      <c r="I24" s="24"/>
      <c r="J24" s="113"/>
      <c r="K24" s="114">
        <v>42807</v>
      </c>
      <c r="L24" s="114">
        <v>42808</v>
      </c>
      <c r="M24" s="24">
        <v>6888208.5700000003</v>
      </c>
      <c r="N24" s="24"/>
      <c r="O24" s="24">
        <v>895467</v>
      </c>
      <c r="P24" s="114">
        <v>42807</v>
      </c>
      <c r="Q24" s="115"/>
      <c r="R24" s="24"/>
      <c r="S24" s="24"/>
      <c r="T24" s="24"/>
    </row>
    <row r="25" spans="1:20">
      <c r="A25" s="112" t="s">
        <v>289</v>
      </c>
      <c r="B25" s="1" t="s">
        <v>290</v>
      </c>
      <c r="C25" s="24"/>
      <c r="D25" s="24"/>
      <c r="E25" s="24"/>
      <c r="F25" s="1" t="s">
        <v>289</v>
      </c>
      <c r="G25" s="1" t="s">
        <v>291</v>
      </c>
      <c r="H25" s="24">
        <v>-50000</v>
      </c>
      <c r="I25" s="24"/>
      <c r="J25" s="113">
        <v>-6500</v>
      </c>
      <c r="K25" s="114">
        <v>42811</v>
      </c>
      <c r="L25" s="115"/>
      <c r="M25" s="24"/>
      <c r="N25" s="24"/>
      <c r="O25" s="24"/>
      <c r="P25" s="114">
        <v>42811</v>
      </c>
      <c r="Q25" s="114">
        <v>42587</v>
      </c>
      <c r="R25" s="24">
        <v>-50000</v>
      </c>
      <c r="S25" s="24"/>
      <c r="T25" s="24">
        <v>-6500</v>
      </c>
    </row>
    <row r="26" spans="1:20">
      <c r="A26" s="112" t="s">
        <v>292</v>
      </c>
      <c r="B26" s="1" t="s">
        <v>293</v>
      </c>
      <c r="C26" s="24">
        <v>12032292.210000001</v>
      </c>
      <c r="D26" s="24">
        <v>26300</v>
      </c>
      <c r="E26" s="24">
        <v>1562754</v>
      </c>
      <c r="F26" s="1"/>
      <c r="G26" s="1"/>
      <c r="H26" s="24"/>
      <c r="I26" s="24"/>
      <c r="J26" s="113"/>
      <c r="K26" s="114">
        <v>42818</v>
      </c>
      <c r="L26" s="114">
        <v>42819</v>
      </c>
      <c r="M26" s="24">
        <v>12032292.210000001</v>
      </c>
      <c r="N26" s="24">
        <v>26300</v>
      </c>
      <c r="O26" s="24">
        <v>1562754</v>
      </c>
      <c r="P26" s="114">
        <v>42818</v>
      </c>
      <c r="Q26" s="115"/>
      <c r="R26" s="24"/>
      <c r="S26" s="24"/>
      <c r="T26" s="24"/>
    </row>
    <row r="27" spans="1:20">
      <c r="A27" s="112" t="s">
        <v>294</v>
      </c>
      <c r="B27" s="1" t="s">
        <v>295</v>
      </c>
      <c r="C27" s="24">
        <v>5595558.9900000002</v>
      </c>
      <c r="D27" s="24"/>
      <c r="E27" s="24">
        <v>736304</v>
      </c>
      <c r="F27" s="1" t="s">
        <v>294</v>
      </c>
      <c r="G27" s="1" t="s">
        <v>296</v>
      </c>
      <c r="H27" s="24">
        <v>-35000</v>
      </c>
      <c r="I27" s="24"/>
      <c r="J27" s="113">
        <v>-4550</v>
      </c>
      <c r="K27" s="114">
        <v>42821</v>
      </c>
      <c r="L27" s="114">
        <v>42822</v>
      </c>
      <c r="M27" s="24">
        <v>5595558.9900000002</v>
      </c>
      <c r="N27" s="24"/>
      <c r="O27" s="24">
        <v>736304</v>
      </c>
      <c r="P27" s="114">
        <v>42821</v>
      </c>
      <c r="Q27" s="114">
        <v>42650</v>
      </c>
      <c r="R27" s="24">
        <v>-35000</v>
      </c>
      <c r="S27" s="24"/>
      <c r="T27" s="24">
        <v>-4550</v>
      </c>
    </row>
    <row r="28" spans="1:20">
      <c r="A28" s="112" t="s">
        <v>297</v>
      </c>
      <c r="B28" s="1" t="s">
        <v>298</v>
      </c>
      <c r="C28" s="24"/>
      <c r="D28" s="24"/>
      <c r="E28" s="24"/>
      <c r="F28" s="1" t="s">
        <v>297</v>
      </c>
      <c r="G28" s="1" t="s">
        <v>254</v>
      </c>
      <c r="H28" s="24">
        <v>-10090.99</v>
      </c>
      <c r="I28" s="24">
        <v>-500</v>
      </c>
      <c r="J28" s="113">
        <v>-1247</v>
      </c>
      <c r="K28" s="114">
        <v>42825</v>
      </c>
      <c r="L28" s="115"/>
      <c r="M28" s="24"/>
      <c r="N28" s="24"/>
      <c r="O28" s="24"/>
      <c r="P28" s="114">
        <v>42825</v>
      </c>
      <c r="Q28" s="114">
        <v>42745</v>
      </c>
      <c r="R28" s="24">
        <v>-10090.99</v>
      </c>
      <c r="S28" s="24">
        <v>-500</v>
      </c>
      <c r="T28" s="24">
        <v>-1247</v>
      </c>
    </row>
    <row r="29" spans="1:20">
      <c r="A29" s="112"/>
      <c r="B29" s="1"/>
      <c r="C29" s="24"/>
      <c r="D29" s="24"/>
      <c r="E29" s="24"/>
      <c r="F29" s="1" t="s">
        <v>297</v>
      </c>
      <c r="G29" s="1" t="s">
        <v>275</v>
      </c>
      <c r="H29" s="24">
        <v>-34138.81</v>
      </c>
      <c r="I29" s="24">
        <v>-1000</v>
      </c>
      <c r="J29" s="113">
        <v>-4304</v>
      </c>
      <c r="K29" s="114">
        <v>42825</v>
      </c>
      <c r="L29" s="115"/>
      <c r="M29" s="24"/>
      <c r="N29" s="24"/>
      <c r="O29" s="24"/>
      <c r="P29" s="114">
        <v>42825</v>
      </c>
      <c r="Q29" s="114">
        <v>42776</v>
      </c>
      <c r="R29" s="24">
        <v>-34138.81</v>
      </c>
      <c r="S29" s="24">
        <v>-1000</v>
      </c>
      <c r="T29" s="24">
        <v>-4304</v>
      </c>
    </row>
    <row r="30" spans="1:20">
      <c r="A30" s="112"/>
      <c r="B30" s="1"/>
      <c r="C30" s="24"/>
      <c r="D30" s="24"/>
      <c r="E30" s="24"/>
      <c r="F30" s="1" t="s">
        <v>297</v>
      </c>
      <c r="G30" s="1" t="s">
        <v>285</v>
      </c>
      <c r="H30" s="24">
        <v>-3738.4</v>
      </c>
      <c r="I30" s="24"/>
      <c r="J30" s="113">
        <v>-486</v>
      </c>
      <c r="K30" s="114">
        <v>42825</v>
      </c>
      <c r="L30" s="115"/>
      <c r="M30" s="24"/>
      <c r="N30" s="24"/>
      <c r="O30" s="24"/>
      <c r="P30" s="114">
        <v>42825</v>
      </c>
      <c r="Q30" s="114">
        <v>42804</v>
      </c>
      <c r="R30" s="24">
        <v>-3738.4</v>
      </c>
      <c r="S30" s="24"/>
      <c r="T30" s="24">
        <v>-486</v>
      </c>
    </row>
    <row r="31" spans="1:20">
      <c r="A31" s="112" t="s">
        <v>299</v>
      </c>
      <c r="B31" s="1" t="s">
        <v>300</v>
      </c>
      <c r="C31" s="24">
        <v>17238626.34</v>
      </c>
      <c r="D31" s="24"/>
      <c r="E31" s="24">
        <v>2283896</v>
      </c>
      <c r="F31" s="1" t="s">
        <v>299</v>
      </c>
      <c r="G31" s="1" t="s">
        <v>269</v>
      </c>
      <c r="H31" s="24">
        <v>-7000</v>
      </c>
      <c r="I31" s="24"/>
      <c r="J31" s="113">
        <v>-910</v>
      </c>
      <c r="K31" s="114">
        <v>42832</v>
      </c>
      <c r="L31" s="114">
        <v>42833</v>
      </c>
      <c r="M31" s="24">
        <v>17238626.34</v>
      </c>
      <c r="N31" s="24"/>
      <c r="O31" s="24">
        <v>2283896</v>
      </c>
      <c r="P31" s="114">
        <v>42832</v>
      </c>
      <c r="Q31" s="114">
        <v>42727</v>
      </c>
      <c r="R31" s="24">
        <v>-7000</v>
      </c>
      <c r="S31" s="24"/>
      <c r="T31" s="24">
        <v>-910</v>
      </c>
    </row>
    <row r="32" spans="1:20">
      <c r="A32" s="112" t="s">
        <v>301</v>
      </c>
      <c r="B32" s="1" t="s">
        <v>302</v>
      </c>
      <c r="C32" s="24">
        <v>1310411543.99</v>
      </c>
      <c r="D32" s="24">
        <v>7638700</v>
      </c>
      <c r="E32" s="24">
        <v>169874688</v>
      </c>
      <c r="F32" s="1"/>
      <c r="G32" s="1"/>
      <c r="H32" s="24"/>
      <c r="I32" s="24"/>
      <c r="J32" s="113"/>
      <c r="K32" s="114">
        <v>42835</v>
      </c>
      <c r="L32" s="114">
        <v>42836</v>
      </c>
      <c r="M32" s="24">
        <v>1310411543.99</v>
      </c>
      <c r="N32" s="24">
        <v>7638700</v>
      </c>
      <c r="O32" s="24">
        <v>169874688</v>
      </c>
      <c r="P32" s="114">
        <v>42835</v>
      </c>
      <c r="Q32" s="115"/>
      <c r="R32" s="24"/>
      <c r="S32" s="24"/>
      <c r="T32" s="24"/>
    </row>
    <row r="33" spans="1:20">
      <c r="A33" s="112" t="s">
        <v>303</v>
      </c>
      <c r="B33" s="1" t="s">
        <v>304</v>
      </c>
      <c r="C33" s="24">
        <v>1971442.36</v>
      </c>
      <c r="D33" s="24"/>
      <c r="E33" s="24">
        <v>256287</v>
      </c>
      <c r="F33" s="1" t="s">
        <v>303</v>
      </c>
      <c r="G33" s="1" t="s">
        <v>305</v>
      </c>
      <c r="H33" s="24">
        <v>-24000</v>
      </c>
      <c r="I33" s="24"/>
      <c r="J33" s="113">
        <v>-3120</v>
      </c>
      <c r="K33" s="114">
        <v>42839</v>
      </c>
      <c r="L33" s="114">
        <v>42840</v>
      </c>
      <c r="M33" s="24">
        <v>1971442.36</v>
      </c>
      <c r="N33" s="24"/>
      <c r="O33" s="24">
        <v>256287</v>
      </c>
      <c r="P33" s="114">
        <v>42839</v>
      </c>
      <c r="Q33" s="114">
        <v>42216</v>
      </c>
      <c r="R33" s="24">
        <v>-24000</v>
      </c>
      <c r="S33" s="24"/>
      <c r="T33" s="24">
        <v>-3120</v>
      </c>
    </row>
    <row r="34" spans="1:20">
      <c r="A34" s="112"/>
      <c r="B34" s="1"/>
      <c r="C34" s="24"/>
      <c r="D34" s="24"/>
      <c r="E34" s="24"/>
      <c r="F34" s="1" t="s">
        <v>303</v>
      </c>
      <c r="G34" s="1" t="s">
        <v>281</v>
      </c>
      <c r="H34" s="24">
        <v>-20000</v>
      </c>
      <c r="I34" s="24"/>
      <c r="J34" s="113">
        <v>-2600</v>
      </c>
      <c r="K34" s="114">
        <v>42839</v>
      </c>
      <c r="L34" s="115"/>
      <c r="M34" s="24"/>
      <c r="N34" s="24"/>
      <c r="O34" s="24"/>
      <c r="P34" s="114">
        <v>42839</v>
      </c>
      <c r="Q34" s="114">
        <v>42702</v>
      </c>
      <c r="R34" s="24">
        <v>-20000</v>
      </c>
      <c r="S34" s="24"/>
      <c r="T34" s="24">
        <v>-2600</v>
      </c>
    </row>
    <row r="35" spans="1:20">
      <c r="A35" s="112"/>
      <c r="B35" s="1"/>
      <c r="C35" s="24"/>
      <c r="D35" s="24"/>
      <c r="E35" s="24"/>
      <c r="F35" s="1" t="s">
        <v>303</v>
      </c>
      <c r="G35" s="1" t="s">
        <v>268</v>
      </c>
      <c r="H35" s="24">
        <v>-10000</v>
      </c>
      <c r="I35" s="24"/>
      <c r="J35" s="113">
        <v>-1300</v>
      </c>
      <c r="K35" s="114">
        <v>42839</v>
      </c>
      <c r="L35" s="115"/>
      <c r="M35" s="24"/>
      <c r="N35" s="24"/>
      <c r="O35" s="24"/>
      <c r="P35" s="114">
        <v>42839</v>
      </c>
      <c r="Q35" s="114">
        <v>42716</v>
      </c>
      <c r="R35" s="24">
        <v>-10000</v>
      </c>
      <c r="S35" s="24"/>
      <c r="T35" s="24">
        <v>-1300</v>
      </c>
    </row>
    <row r="36" spans="1:20">
      <c r="A36" s="112"/>
      <c r="B36" s="1"/>
      <c r="C36" s="24"/>
      <c r="D36" s="24"/>
      <c r="E36" s="24"/>
      <c r="F36" s="1" t="s">
        <v>303</v>
      </c>
      <c r="G36" s="1" t="s">
        <v>299</v>
      </c>
      <c r="H36" s="24">
        <v>-164000</v>
      </c>
      <c r="I36" s="24"/>
      <c r="J36" s="113">
        <v>-21320</v>
      </c>
      <c r="K36" s="114">
        <v>42839</v>
      </c>
      <c r="L36" s="115"/>
      <c r="M36" s="24"/>
      <c r="N36" s="24"/>
      <c r="O36" s="24"/>
      <c r="P36" s="114">
        <v>42839</v>
      </c>
      <c r="Q36" s="114">
        <v>42832</v>
      </c>
      <c r="R36" s="24">
        <v>-164000</v>
      </c>
      <c r="S36" s="24"/>
      <c r="T36" s="24">
        <v>-21320</v>
      </c>
    </row>
    <row r="37" spans="1:20">
      <c r="A37" s="112" t="s">
        <v>306</v>
      </c>
      <c r="B37" s="1" t="s">
        <v>307</v>
      </c>
      <c r="C37" s="24">
        <v>6324114.5999999996</v>
      </c>
      <c r="D37" s="24"/>
      <c r="E37" s="24">
        <v>822138</v>
      </c>
      <c r="F37" s="1" t="s">
        <v>306</v>
      </c>
      <c r="G37" s="1" t="s">
        <v>299</v>
      </c>
      <c r="H37" s="24">
        <v>-109000</v>
      </c>
      <c r="I37" s="24"/>
      <c r="J37" s="113">
        <v>-14170</v>
      </c>
      <c r="K37" s="114">
        <v>42846</v>
      </c>
      <c r="L37" s="114">
        <v>42847</v>
      </c>
      <c r="M37" s="24">
        <v>6324114.5999999996</v>
      </c>
      <c r="N37" s="24"/>
      <c r="O37" s="24">
        <v>822138</v>
      </c>
      <c r="P37" s="114">
        <v>42846</v>
      </c>
      <c r="Q37" s="114">
        <v>42832</v>
      </c>
      <c r="R37" s="24">
        <v>-109000</v>
      </c>
      <c r="S37" s="24"/>
      <c r="T37" s="24">
        <v>-14170</v>
      </c>
    </row>
    <row r="38" spans="1:20">
      <c r="A38" s="112"/>
      <c r="B38" s="1"/>
      <c r="C38" s="24"/>
      <c r="D38" s="24"/>
      <c r="E38" s="24"/>
      <c r="F38" s="1" t="s">
        <v>306</v>
      </c>
      <c r="G38" s="1" t="s">
        <v>303</v>
      </c>
      <c r="H38" s="24">
        <v>-55500</v>
      </c>
      <c r="I38" s="24"/>
      <c r="J38" s="113">
        <v>-7215</v>
      </c>
      <c r="K38" s="114">
        <v>42846</v>
      </c>
      <c r="L38" s="115"/>
      <c r="M38" s="24"/>
      <c r="N38" s="24"/>
      <c r="O38" s="24"/>
      <c r="P38" s="114">
        <v>42846</v>
      </c>
      <c r="Q38" s="114">
        <v>42839</v>
      </c>
      <c r="R38" s="24">
        <v>-55500</v>
      </c>
      <c r="S38" s="24"/>
      <c r="T38" s="24">
        <v>-7215</v>
      </c>
    </row>
    <row r="39" spans="1:20">
      <c r="A39" s="112" t="s">
        <v>308</v>
      </c>
      <c r="B39" s="1" t="s">
        <v>309</v>
      </c>
      <c r="C39" s="24">
        <v>10239982.59</v>
      </c>
      <c r="D39" s="24">
        <v>15300</v>
      </c>
      <c r="E39" s="24">
        <v>1330199</v>
      </c>
      <c r="F39" s="1"/>
      <c r="G39" s="1"/>
      <c r="H39" s="24"/>
      <c r="I39" s="24"/>
      <c r="J39" s="113"/>
      <c r="K39" s="114">
        <v>42850</v>
      </c>
      <c r="L39" s="114">
        <v>42851</v>
      </c>
      <c r="M39" s="24">
        <v>10239982.59</v>
      </c>
      <c r="N39" s="24">
        <v>15300</v>
      </c>
      <c r="O39" s="24">
        <v>1330199</v>
      </c>
      <c r="P39" s="114">
        <v>42850</v>
      </c>
      <c r="Q39" s="115"/>
      <c r="R39" s="24"/>
      <c r="S39" s="24"/>
      <c r="T39" s="24"/>
    </row>
    <row r="40" spans="1:20">
      <c r="A40" s="112" t="s">
        <v>310</v>
      </c>
      <c r="B40" s="1" t="s">
        <v>311</v>
      </c>
      <c r="C40" s="24">
        <v>820776.25</v>
      </c>
      <c r="D40" s="24"/>
      <c r="E40" s="24">
        <v>106701</v>
      </c>
      <c r="F40" s="1" t="s">
        <v>310</v>
      </c>
      <c r="G40" s="1" t="s">
        <v>312</v>
      </c>
      <c r="H40" s="24">
        <v>-65000</v>
      </c>
      <c r="I40" s="24"/>
      <c r="J40" s="113">
        <v>-8450</v>
      </c>
      <c r="K40" s="114">
        <v>42853</v>
      </c>
      <c r="L40" s="114">
        <v>42854</v>
      </c>
      <c r="M40" s="24">
        <v>820776.25</v>
      </c>
      <c r="N40" s="24"/>
      <c r="O40" s="24">
        <v>106701</v>
      </c>
      <c r="P40" s="114">
        <v>42853</v>
      </c>
      <c r="Q40" s="114">
        <v>42461</v>
      </c>
      <c r="R40" s="24">
        <v>-65000</v>
      </c>
      <c r="S40" s="24"/>
      <c r="T40" s="24">
        <v>-8450</v>
      </c>
    </row>
    <row r="41" spans="1:20">
      <c r="A41" s="112" t="s">
        <v>313</v>
      </c>
      <c r="B41" s="1" t="s">
        <v>314</v>
      </c>
      <c r="C41" s="24"/>
      <c r="D41" s="24"/>
      <c r="E41" s="24">
        <v>0</v>
      </c>
      <c r="F41" s="1" t="s">
        <v>313</v>
      </c>
      <c r="G41" s="1" t="s">
        <v>254</v>
      </c>
      <c r="H41" s="24">
        <v>-11450.4</v>
      </c>
      <c r="I41" s="24"/>
      <c r="J41" s="113">
        <v>-1489</v>
      </c>
      <c r="K41" s="114">
        <v>42855</v>
      </c>
      <c r="L41" s="115"/>
      <c r="M41" s="24">
        <v>0</v>
      </c>
      <c r="N41" s="24"/>
      <c r="O41" s="24">
        <v>0</v>
      </c>
      <c r="P41" s="114">
        <v>42855</v>
      </c>
      <c r="Q41" s="114">
        <v>42745</v>
      </c>
      <c r="R41" s="24">
        <v>-11450.4</v>
      </c>
      <c r="S41" s="24"/>
      <c r="T41" s="24">
        <v>-1489</v>
      </c>
    </row>
    <row r="42" spans="1:20">
      <c r="A42" s="112"/>
      <c r="B42" s="1"/>
      <c r="C42" s="24"/>
      <c r="D42" s="24"/>
      <c r="E42" s="24"/>
      <c r="F42" s="1" t="s">
        <v>313</v>
      </c>
      <c r="G42" s="1" t="s">
        <v>275</v>
      </c>
      <c r="H42" s="24">
        <v>-7016.89</v>
      </c>
      <c r="I42" s="24"/>
      <c r="J42" s="113">
        <v>-911</v>
      </c>
      <c r="K42" s="114">
        <v>42855</v>
      </c>
      <c r="L42" s="115"/>
      <c r="M42" s="24"/>
      <c r="N42" s="24"/>
      <c r="O42" s="24"/>
      <c r="P42" s="114">
        <v>42855</v>
      </c>
      <c r="Q42" s="114">
        <v>42776</v>
      </c>
      <c r="R42" s="24">
        <v>-7016.89</v>
      </c>
      <c r="S42" s="24"/>
      <c r="T42" s="24">
        <v>-911</v>
      </c>
    </row>
    <row r="43" spans="1:20">
      <c r="A43" s="112"/>
      <c r="B43" s="1"/>
      <c r="C43" s="24"/>
      <c r="D43" s="24"/>
      <c r="E43" s="24"/>
      <c r="F43" s="1" t="s">
        <v>313</v>
      </c>
      <c r="G43" s="1" t="s">
        <v>285</v>
      </c>
      <c r="H43" s="24">
        <v>-18717.7</v>
      </c>
      <c r="I43" s="24"/>
      <c r="J43" s="113">
        <v>-2433</v>
      </c>
      <c r="K43" s="114">
        <v>42855</v>
      </c>
      <c r="L43" s="115"/>
      <c r="M43" s="24"/>
      <c r="N43" s="24"/>
      <c r="O43" s="24"/>
      <c r="P43" s="114">
        <v>42855</v>
      </c>
      <c r="Q43" s="114">
        <v>42804</v>
      </c>
      <c r="R43" s="24">
        <v>-18717.7</v>
      </c>
      <c r="S43" s="24"/>
      <c r="T43" s="24">
        <v>-2433</v>
      </c>
    </row>
    <row r="44" spans="1:20">
      <c r="A44" s="112"/>
      <c r="B44" s="1"/>
      <c r="C44" s="24"/>
      <c r="D44" s="24"/>
      <c r="E44" s="24"/>
      <c r="F44" s="1" t="s">
        <v>313</v>
      </c>
      <c r="G44" s="1" t="s">
        <v>301</v>
      </c>
      <c r="H44" s="24">
        <v>-12644.45</v>
      </c>
      <c r="I44" s="24"/>
      <c r="J44" s="113">
        <v>-1643</v>
      </c>
      <c r="K44" s="114">
        <v>42855</v>
      </c>
      <c r="L44" s="115"/>
      <c r="M44" s="24"/>
      <c r="N44" s="24"/>
      <c r="O44" s="24"/>
      <c r="P44" s="114">
        <v>42855</v>
      </c>
      <c r="Q44" s="114">
        <v>42835</v>
      </c>
      <c r="R44" s="24">
        <v>-12644.45</v>
      </c>
      <c r="S44" s="24"/>
      <c r="T44" s="24">
        <v>-1643</v>
      </c>
    </row>
    <row r="45" spans="1:20">
      <c r="A45" s="112" t="s">
        <v>315</v>
      </c>
      <c r="B45" s="1" t="s">
        <v>316</v>
      </c>
      <c r="C45" s="24">
        <v>27403809.07</v>
      </c>
      <c r="D45" s="24">
        <v>170600</v>
      </c>
      <c r="E45" s="24">
        <v>3546044</v>
      </c>
      <c r="F45" s="1"/>
      <c r="G45" s="1"/>
      <c r="H45" s="24"/>
      <c r="I45" s="24"/>
      <c r="J45" s="113"/>
      <c r="K45" s="114">
        <v>42857</v>
      </c>
      <c r="L45" s="114">
        <v>42858</v>
      </c>
      <c r="M45" s="24">
        <v>27403809.07</v>
      </c>
      <c r="N45" s="24">
        <v>170600</v>
      </c>
      <c r="O45" s="24">
        <v>3546044</v>
      </c>
      <c r="P45" s="114">
        <v>42857</v>
      </c>
      <c r="Q45" s="115"/>
      <c r="R45" s="24"/>
      <c r="S45" s="24"/>
      <c r="T45" s="24"/>
    </row>
    <row r="46" spans="1:20">
      <c r="A46" s="112" t="s">
        <v>316</v>
      </c>
      <c r="B46" s="1" t="s">
        <v>317</v>
      </c>
      <c r="C46" s="24">
        <v>325387797.25999999</v>
      </c>
      <c r="D46" s="24">
        <v>2346800</v>
      </c>
      <c r="E46" s="24">
        <v>42059172</v>
      </c>
      <c r="F46" s="1" t="s">
        <v>316</v>
      </c>
      <c r="G46" s="1" t="s">
        <v>318</v>
      </c>
      <c r="H46" s="24"/>
      <c r="I46" s="24">
        <v>0</v>
      </c>
      <c r="J46" s="113">
        <v>-2184</v>
      </c>
      <c r="K46" s="114">
        <v>42858</v>
      </c>
      <c r="L46" s="114">
        <v>42859</v>
      </c>
      <c r="M46" s="24">
        <v>325387797.25999999</v>
      </c>
      <c r="N46" s="24">
        <v>2346800</v>
      </c>
      <c r="O46" s="24">
        <v>42059172</v>
      </c>
      <c r="P46" s="114">
        <v>42858</v>
      </c>
      <c r="Q46" s="114">
        <v>42735</v>
      </c>
      <c r="R46" s="24">
        <v>0</v>
      </c>
      <c r="S46" s="24">
        <v>0</v>
      </c>
      <c r="T46" s="24">
        <v>-2184</v>
      </c>
    </row>
    <row r="47" spans="1:20">
      <c r="A47" s="112" t="s">
        <v>317</v>
      </c>
      <c r="B47" s="1" t="s">
        <v>319</v>
      </c>
      <c r="C47" s="24">
        <v>952756992.61000001</v>
      </c>
      <c r="D47" s="24">
        <v>4381400</v>
      </c>
      <c r="E47" s="24">
        <v>123729554</v>
      </c>
      <c r="F47" s="1"/>
      <c r="G47" s="1"/>
      <c r="H47" s="24"/>
      <c r="I47" s="24"/>
      <c r="J47" s="113"/>
      <c r="K47" s="114">
        <v>42859</v>
      </c>
      <c r="L47" s="114">
        <v>42860</v>
      </c>
      <c r="M47" s="24">
        <v>952756992.61000001</v>
      </c>
      <c r="N47" s="24">
        <v>4381400</v>
      </c>
      <c r="O47" s="24">
        <v>123729554</v>
      </c>
      <c r="P47" s="114">
        <v>42859</v>
      </c>
      <c r="Q47" s="115"/>
      <c r="R47" s="24"/>
      <c r="S47" s="24"/>
      <c r="T47" s="24"/>
    </row>
    <row r="48" spans="1:20">
      <c r="A48" s="112" t="s">
        <v>320</v>
      </c>
      <c r="B48" s="1" t="s">
        <v>321</v>
      </c>
      <c r="C48" s="24">
        <v>11206283.720000001</v>
      </c>
      <c r="D48" s="24"/>
      <c r="E48" s="24">
        <v>1469217</v>
      </c>
      <c r="F48" s="1"/>
      <c r="G48" s="1"/>
      <c r="H48" s="24"/>
      <c r="I48" s="24"/>
      <c r="J48" s="113"/>
      <c r="K48" s="114">
        <v>42865</v>
      </c>
      <c r="L48" s="114">
        <v>42866</v>
      </c>
      <c r="M48" s="24">
        <v>11206283.720000001</v>
      </c>
      <c r="N48" s="24"/>
      <c r="O48" s="24">
        <v>1469217</v>
      </c>
      <c r="P48" s="114">
        <v>42865</v>
      </c>
      <c r="Q48" s="115"/>
      <c r="R48" s="24"/>
      <c r="S48" s="24"/>
      <c r="T48" s="24"/>
    </row>
    <row r="49" spans="1:20">
      <c r="A49" s="112" t="s">
        <v>322</v>
      </c>
      <c r="B49" s="1" t="s">
        <v>323</v>
      </c>
      <c r="C49" s="24">
        <v>6141243.1699999999</v>
      </c>
      <c r="D49" s="24"/>
      <c r="E49" s="24">
        <v>798364</v>
      </c>
      <c r="F49" s="1"/>
      <c r="G49" s="1"/>
      <c r="H49" s="24"/>
      <c r="I49" s="24"/>
      <c r="J49" s="113"/>
      <c r="K49" s="114">
        <v>42874</v>
      </c>
      <c r="L49" s="114">
        <v>42875</v>
      </c>
      <c r="M49" s="24">
        <v>6141243.1699999999</v>
      </c>
      <c r="N49" s="24"/>
      <c r="O49" s="24">
        <v>798364</v>
      </c>
      <c r="P49" s="114">
        <v>42874</v>
      </c>
      <c r="Q49" s="115"/>
      <c r="R49" s="24"/>
      <c r="S49" s="24"/>
      <c r="T49" s="24"/>
    </row>
    <row r="50" spans="1:20">
      <c r="A50" s="112" t="s">
        <v>324</v>
      </c>
      <c r="B50" s="1" t="s">
        <v>325</v>
      </c>
      <c r="C50" s="24">
        <v>11707334.43</v>
      </c>
      <c r="D50" s="24">
        <v>1400</v>
      </c>
      <c r="E50" s="24">
        <v>1522917</v>
      </c>
      <c r="F50" s="1"/>
      <c r="G50" s="1"/>
      <c r="H50" s="24"/>
      <c r="I50" s="24"/>
      <c r="J50" s="113"/>
      <c r="K50" s="114">
        <v>42880</v>
      </c>
      <c r="L50" s="114">
        <v>42881</v>
      </c>
      <c r="M50" s="24">
        <v>11707334.43</v>
      </c>
      <c r="N50" s="24">
        <v>1400</v>
      </c>
      <c r="O50" s="24">
        <v>1522917</v>
      </c>
      <c r="P50" s="114">
        <v>42880</v>
      </c>
      <c r="Q50" s="115"/>
      <c r="R50" s="24"/>
      <c r="S50" s="24"/>
      <c r="T50" s="24"/>
    </row>
    <row r="51" spans="1:20">
      <c r="A51" s="112" t="s">
        <v>325</v>
      </c>
      <c r="B51" s="1" t="s">
        <v>326</v>
      </c>
      <c r="C51" s="24">
        <v>2352052.9300000002</v>
      </c>
      <c r="D51" s="24"/>
      <c r="E51" s="24">
        <v>305766</v>
      </c>
      <c r="F51" s="1" t="s">
        <v>325</v>
      </c>
      <c r="G51" s="1" t="s">
        <v>303</v>
      </c>
      <c r="H51" s="24">
        <v>-52500</v>
      </c>
      <c r="I51" s="24"/>
      <c r="J51" s="113">
        <v>-6825</v>
      </c>
      <c r="K51" s="114">
        <v>42881</v>
      </c>
      <c r="L51" s="114">
        <v>42882</v>
      </c>
      <c r="M51" s="24">
        <v>2352052.9300000002</v>
      </c>
      <c r="N51" s="24"/>
      <c r="O51" s="24">
        <v>305766</v>
      </c>
      <c r="P51" s="114">
        <v>42881</v>
      </c>
      <c r="Q51" s="114">
        <v>42839</v>
      </c>
      <c r="R51" s="24">
        <v>-52500</v>
      </c>
      <c r="S51" s="24"/>
      <c r="T51" s="24">
        <v>-6825</v>
      </c>
    </row>
    <row r="52" spans="1:20">
      <c r="A52" s="112"/>
      <c r="B52" s="1"/>
      <c r="C52" s="24"/>
      <c r="D52" s="24"/>
      <c r="E52" s="24"/>
      <c r="F52" s="1" t="s">
        <v>325</v>
      </c>
      <c r="G52" s="1" t="s">
        <v>320</v>
      </c>
      <c r="H52" s="24">
        <v>-40000</v>
      </c>
      <c r="I52" s="24"/>
      <c r="J52" s="113">
        <v>-5200</v>
      </c>
      <c r="K52" s="114">
        <v>42881</v>
      </c>
      <c r="L52" s="115"/>
      <c r="M52" s="24"/>
      <c r="N52" s="24"/>
      <c r="O52" s="24"/>
      <c r="P52" s="114">
        <v>42881</v>
      </c>
      <c r="Q52" s="114">
        <v>42865</v>
      </c>
      <c r="R52" s="24">
        <v>-40000</v>
      </c>
      <c r="S52" s="24"/>
      <c r="T52" s="24">
        <v>-5200</v>
      </c>
    </row>
    <row r="53" spans="1:20">
      <c r="A53" s="112" t="s">
        <v>327</v>
      </c>
      <c r="B53" s="1" t="s">
        <v>328</v>
      </c>
      <c r="C53" s="24"/>
      <c r="D53" s="24"/>
      <c r="E53" s="24"/>
      <c r="F53" s="1" t="s">
        <v>327</v>
      </c>
      <c r="G53" s="1" t="s">
        <v>254</v>
      </c>
      <c r="H53" s="24">
        <v>-20227.080000000002</v>
      </c>
      <c r="I53" s="24"/>
      <c r="J53" s="113">
        <v>-2630</v>
      </c>
      <c r="K53" s="114">
        <v>42886</v>
      </c>
      <c r="L53" s="115"/>
      <c r="M53" s="24"/>
      <c r="N53" s="24"/>
      <c r="O53" s="24"/>
      <c r="P53" s="114">
        <v>42886</v>
      </c>
      <c r="Q53" s="114">
        <v>42745</v>
      </c>
      <c r="R53" s="24">
        <v>-20227.080000000002</v>
      </c>
      <c r="S53" s="24"/>
      <c r="T53" s="24">
        <v>-2630</v>
      </c>
    </row>
    <row r="54" spans="1:20">
      <c r="A54" s="112"/>
      <c r="B54" s="1"/>
      <c r="C54" s="24"/>
      <c r="D54" s="24"/>
      <c r="E54" s="24"/>
      <c r="F54" s="1" t="s">
        <v>327</v>
      </c>
      <c r="G54" s="1" t="s">
        <v>275</v>
      </c>
      <c r="H54" s="24">
        <v>-20227.080000000002</v>
      </c>
      <c r="I54" s="24"/>
      <c r="J54" s="113">
        <v>-2629</v>
      </c>
      <c r="K54" s="114">
        <v>42886</v>
      </c>
      <c r="L54" s="115"/>
      <c r="M54" s="24"/>
      <c r="N54" s="24"/>
      <c r="O54" s="24"/>
      <c r="P54" s="114">
        <v>42886</v>
      </c>
      <c r="Q54" s="114">
        <v>42776</v>
      </c>
      <c r="R54" s="24">
        <v>-20227.080000000002</v>
      </c>
      <c r="S54" s="24"/>
      <c r="T54" s="24">
        <v>-2629</v>
      </c>
    </row>
    <row r="55" spans="1:20">
      <c r="A55" s="112"/>
      <c r="B55" s="1"/>
      <c r="C55" s="24"/>
      <c r="D55" s="24"/>
      <c r="E55" s="24"/>
      <c r="F55" s="1" t="s">
        <v>327</v>
      </c>
      <c r="G55" s="1" t="s">
        <v>285</v>
      </c>
      <c r="H55" s="24">
        <v>-25661.29</v>
      </c>
      <c r="I55" s="24"/>
      <c r="J55" s="113">
        <v>-3336</v>
      </c>
      <c r="K55" s="114">
        <v>42886</v>
      </c>
      <c r="L55" s="115"/>
      <c r="M55" s="24"/>
      <c r="N55" s="24"/>
      <c r="O55" s="24"/>
      <c r="P55" s="114">
        <v>42886</v>
      </c>
      <c r="Q55" s="114">
        <v>42804</v>
      </c>
      <c r="R55" s="24">
        <v>-25661.29</v>
      </c>
      <c r="S55" s="24"/>
      <c r="T55" s="24">
        <v>-3336</v>
      </c>
    </row>
    <row r="56" spans="1:20">
      <c r="A56" s="112"/>
      <c r="B56" s="1"/>
      <c r="C56" s="24"/>
      <c r="D56" s="24"/>
      <c r="E56" s="24"/>
      <c r="F56" s="1" t="s">
        <v>327</v>
      </c>
      <c r="G56" s="1" t="s">
        <v>301</v>
      </c>
      <c r="H56" s="24">
        <v>-53496.91</v>
      </c>
      <c r="I56" s="24">
        <v>-500</v>
      </c>
      <c r="J56" s="113">
        <v>-6889</v>
      </c>
      <c r="K56" s="114">
        <v>42886</v>
      </c>
      <c r="L56" s="115"/>
      <c r="M56" s="24"/>
      <c r="N56" s="24"/>
      <c r="O56" s="24"/>
      <c r="P56" s="114">
        <v>42886</v>
      </c>
      <c r="Q56" s="114">
        <v>42835</v>
      </c>
      <c r="R56" s="24">
        <v>-53496.91</v>
      </c>
      <c r="S56" s="24">
        <v>-500</v>
      </c>
      <c r="T56" s="24">
        <v>-6889</v>
      </c>
    </row>
    <row r="57" spans="1:20">
      <c r="A57" s="112"/>
      <c r="B57" s="1"/>
      <c r="C57" s="24"/>
      <c r="D57" s="24"/>
      <c r="E57" s="24"/>
      <c r="F57" s="1" t="s">
        <v>327</v>
      </c>
      <c r="G57" s="1" t="s">
        <v>316</v>
      </c>
      <c r="H57" s="24">
        <v>-5440.1</v>
      </c>
      <c r="I57" s="24"/>
      <c r="J57" s="113">
        <v>-707</v>
      </c>
      <c r="K57" s="114">
        <v>42886</v>
      </c>
      <c r="L57" s="115"/>
      <c r="M57" s="24"/>
      <c r="N57" s="24"/>
      <c r="O57" s="24"/>
      <c r="P57" s="114">
        <v>42886</v>
      </c>
      <c r="Q57" s="114">
        <v>42858</v>
      </c>
      <c r="R57" s="24">
        <v>-5440.1</v>
      </c>
      <c r="S57" s="24"/>
      <c r="T57" s="24">
        <v>-707</v>
      </c>
    </row>
    <row r="58" spans="1:20">
      <c r="A58" s="112"/>
      <c r="B58" s="1"/>
      <c r="C58" s="24"/>
      <c r="D58" s="24"/>
      <c r="E58" s="24"/>
      <c r="F58" s="1" t="s">
        <v>327</v>
      </c>
      <c r="G58" s="1" t="s">
        <v>317</v>
      </c>
      <c r="H58" s="24">
        <v>-14887.7</v>
      </c>
      <c r="I58" s="24"/>
      <c r="J58" s="113">
        <v>-1935</v>
      </c>
      <c r="K58" s="114">
        <v>42886</v>
      </c>
      <c r="L58" s="115"/>
      <c r="M58" s="24"/>
      <c r="N58" s="24"/>
      <c r="O58" s="24"/>
      <c r="P58" s="114">
        <v>42886</v>
      </c>
      <c r="Q58" s="114">
        <v>42859</v>
      </c>
      <c r="R58" s="24">
        <v>-14887.7</v>
      </c>
      <c r="S58" s="24"/>
      <c r="T58" s="24">
        <v>-1935</v>
      </c>
    </row>
    <row r="59" spans="1:20">
      <c r="A59" s="112" t="s">
        <v>329</v>
      </c>
      <c r="B59" s="1" t="s">
        <v>330</v>
      </c>
      <c r="C59" s="24">
        <v>6281071.54</v>
      </c>
      <c r="D59" s="24"/>
      <c r="E59" s="24">
        <v>820805</v>
      </c>
      <c r="F59" s="1" t="s">
        <v>329</v>
      </c>
      <c r="G59" s="1" t="s">
        <v>331</v>
      </c>
      <c r="H59" s="24">
        <v>-6000</v>
      </c>
      <c r="I59" s="24"/>
      <c r="J59" s="113">
        <v>-780</v>
      </c>
      <c r="K59" s="114">
        <v>42888</v>
      </c>
      <c r="L59" s="114">
        <v>42889</v>
      </c>
      <c r="M59" s="24">
        <v>6281071.54</v>
      </c>
      <c r="N59" s="24"/>
      <c r="O59" s="24">
        <v>820805</v>
      </c>
      <c r="P59" s="114">
        <v>42888</v>
      </c>
      <c r="Q59" s="114">
        <v>42580</v>
      </c>
      <c r="R59" s="24">
        <v>-6000</v>
      </c>
      <c r="S59" s="24"/>
      <c r="T59" s="24">
        <v>-780</v>
      </c>
    </row>
    <row r="60" spans="1:20">
      <c r="A60" s="112"/>
      <c r="B60" s="1"/>
      <c r="C60" s="24"/>
      <c r="D60" s="24"/>
      <c r="E60" s="24"/>
      <c r="F60" s="1" t="s">
        <v>329</v>
      </c>
      <c r="G60" s="1" t="s">
        <v>332</v>
      </c>
      <c r="H60" s="24">
        <v>-259000</v>
      </c>
      <c r="I60" s="24"/>
      <c r="J60" s="113">
        <v>-33670</v>
      </c>
      <c r="K60" s="114">
        <v>42888</v>
      </c>
      <c r="L60" s="115"/>
      <c r="M60" s="24"/>
      <c r="N60" s="24"/>
      <c r="O60" s="24"/>
      <c r="P60" s="114">
        <v>42888</v>
      </c>
      <c r="Q60" s="114">
        <v>42636</v>
      </c>
      <c r="R60" s="24">
        <v>-259000</v>
      </c>
      <c r="S60" s="24"/>
      <c r="T60" s="24">
        <v>-33670</v>
      </c>
    </row>
    <row r="61" spans="1:20">
      <c r="A61" s="112" t="s">
        <v>333</v>
      </c>
      <c r="B61" s="1" t="s">
        <v>334</v>
      </c>
      <c r="C61" s="24">
        <v>1331407821.3199999</v>
      </c>
      <c r="D61" s="24">
        <v>7034700</v>
      </c>
      <c r="E61" s="24">
        <v>172680366</v>
      </c>
      <c r="F61" s="1"/>
      <c r="G61" s="1"/>
      <c r="H61" s="24"/>
      <c r="I61" s="24"/>
      <c r="J61" s="113"/>
      <c r="K61" s="114">
        <v>42895</v>
      </c>
      <c r="L61" s="114">
        <v>42896</v>
      </c>
      <c r="M61" s="24">
        <v>1331407821.3199999</v>
      </c>
      <c r="N61" s="24">
        <v>7034700</v>
      </c>
      <c r="O61" s="24">
        <v>172680366</v>
      </c>
      <c r="P61" s="114">
        <v>42895</v>
      </c>
      <c r="Q61" s="115"/>
      <c r="R61" s="24"/>
      <c r="S61" s="24"/>
      <c r="T61" s="24"/>
    </row>
    <row r="62" spans="1:20">
      <c r="A62" s="112" t="s">
        <v>335</v>
      </c>
      <c r="B62" s="1" t="s">
        <v>336</v>
      </c>
      <c r="C62" s="24">
        <v>3650589.45</v>
      </c>
      <c r="D62" s="24"/>
      <c r="E62" s="24">
        <v>474576</v>
      </c>
      <c r="F62" s="1" t="s">
        <v>335</v>
      </c>
      <c r="G62" s="1" t="s">
        <v>332</v>
      </c>
      <c r="H62" s="24">
        <v>-445000</v>
      </c>
      <c r="I62" s="24"/>
      <c r="J62" s="113">
        <v>-57850</v>
      </c>
      <c r="K62" s="114">
        <v>42899</v>
      </c>
      <c r="L62" s="114">
        <v>42900</v>
      </c>
      <c r="M62" s="24">
        <v>3650589.45</v>
      </c>
      <c r="N62" s="24"/>
      <c r="O62" s="24">
        <v>474576</v>
      </c>
      <c r="P62" s="114">
        <v>42899</v>
      </c>
      <c r="Q62" s="114">
        <v>42636</v>
      </c>
      <c r="R62" s="24">
        <v>-445000</v>
      </c>
      <c r="S62" s="24"/>
      <c r="T62" s="24">
        <v>-57850</v>
      </c>
    </row>
    <row r="63" spans="1:20">
      <c r="A63" s="112" t="s">
        <v>337</v>
      </c>
      <c r="B63" s="1" t="s">
        <v>338</v>
      </c>
      <c r="C63" s="24">
        <v>32595233.170000002</v>
      </c>
      <c r="D63" s="24"/>
      <c r="E63" s="24">
        <v>4237379</v>
      </c>
      <c r="F63" s="1" t="s">
        <v>337</v>
      </c>
      <c r="G63" s="1" t="s">
        <v>339</v>
      </c>
      <c r="H63" s="24">
        <v>-53500</v>
      </c>
      <c r="I63" s="24"/>
      <c r="J63" s="113">
        <v>-6955</v>
      </c>
      <c r="K63" s="114">
        <v>42902</v>
      </c>
      <c r="L63" s="114">
        <v>42903</v>
      </c>
      <c r="M63" s="24">
        <v>32595233.170000002</v>
      </c>
      <c r="N63" s="24"/>
      <c r="O63" s="24">
        <v>4237379</v>
      </c>
      <c r="P63" s="114">
        <v>42902</v>
      </c>
      <c r="Q63" s="114">
        <v>42517</v>
      </c>
      <c r="R63" s="24">
        <v>-53500</v>
      </c>
      <c r="S63" s="24"/>
      <c r="T63" s="24">
        <v>-6955</v>
      </c>
    </row>
    <row r="64" spans="1:20">
      <c r="A64" s="112" t="s">
        <v>340</v>
      </c>
      <c r="B64" s="1" t="s">
        <v>341</v>
      </c>
      <c r="C64" s="24">
        <v>2342966.84</v>
      </c>
      <c r="D64" s="24"/>
      <c r="E64" s="24">
        <v>304584</v>
      </c>
      <c r="F64" s="1" t="s">
        <v>340</v>
      </c>
      <c r="G64" s="1" t="s">
        <v>261</v>
      </c>
      <c r="H64" s="24">
        <v>-4000</v>
      </c>
      <c r="I64" s="24"/>
      <c r="J64" s="113">
        <v>-520</v>
      </c>
      <c r="K64" s="114">
        <v>42907</v>
      </c>
      <c r="L64" s="114">
        <v>42908</v>
      </c>
      <c r="M64" s="24">
        <v>2342966.84</v>
      </c>
      <c r="N64" s="24"/>
      <c r="O64" s="24">
        <v>304584</v>
      </c>
      <c r="P64" s="114">
        <v>42907</v>
      </c>
      <c r="Q64" s="114">
        <v>42706</v>
      </c>
      <c r="R64" s="24">
        <v>-4000</v>
      </c>
      <c r="S64" s="24"/>
      <c r="T64" s="24">
        <v>-520</v>
      </c>
    </row>
    <row r="65" spans="1:20">
      <c r="A65" s="112"/>
      <c r="B65" s="1"/>
      <c r="C65" s="24"/>
      <c r="D65" s="24"/>
      <c r="E65" s="24"/>
      <c r="F65" s="1" t="s">
        <v>340</v>
      </c>
      <c r="G65" s="1" t="s">
        <v>310</v>
      </c>
      <c r="H65" s="24">
        <v>-12000</v>
      </c>
      <c r="I65" s="24"/>
      <c r="J65" s="113">
        <v>-1560</v>
      </c>
      <c r="K65" s="114">
        <v>42907</v>
      </c>
      <c r="L65" s="115"/>
      <c r="M65" s="24"/>
      <c r="N65" s="24"/>
      <c r="O65" s="24"/>
      <c r="P65" s="114">
        <v>42907</v>
      </c>
      <c r="Q65" s="114">
        <v>42853</v>
      </c>
      <c r="R65" s="24">
        <v>-12000</v>
      </c>
      <c r="S65" s="24"/>
      <c r="T65" s="24">
        <v>-1560</v>
      </c>
    </row>
    <row r="66" spans="1:20">
      <c r="A66" s="112" t="s">
        <v>342</v>
      </c>
      <c r="B66" s="1" t="s">
        <v>343</v>
      </c>
      <c r="C66" s="24">
        <v>15134289.43</v>
      </c>
      <c r="D66" s="24">
        <v>3000</v>
      </c>
      <c r="E66" s="24">
        <v>1967099</v>
      </c>
      <c r="F66" s="1"/>
      <c r="G66" s="1"/>
      <c r="H66" s="24"/>
      <c r="I66" s="24"/>
      <c r="J66" s="113"/>
      <c r="K66" s="114">
        <v>42912</v>
      </c>
      <c r="L66" s="114">
        <v>42913</v>
      </c>
      <c r="M66" s="24">
        <v>15134289.43</v>
      </c>
      <c r="N66" s="24">
        <v>3000</v>
      </c>
      <c r="O66" s="24">
        <v>1967099</v>
      </c>
      <c r="P66" s="114">
        <v>42912</v>
      </c>
      <c r="Q66" s="115"/>
      <c r="R66" s="24"/>
      <c r="S66" s="24"/>
      <c r="T66" s="24"/>
    </row>
    <row r="67" spans="1:20">
      <c r="A67" s="112" t="s">
        <v>344</v>
      </c>
      <c r="B67" s="1" t="s">
        <v>345</v>
      </c>
      <c r="C67" s="24">
        <v>5108827.5199999996</v>
      </c>
      <c r="D67" s="24"/>
      <c r="E67" s="24">
        <v>679266</v>
      </c>
      <c r="F67" s="1" t="s">
        <v>344</v>
      </c>
      <c r="G67" s="1" t="s">
        <v>254</v>
      </c>
      <c r="H67" s="24">
        <v>-15226.8</v>
      </c>
      <c r="I67" s="24"/>
      <c r="J67" s="113">
        <v>-1980</v>
      </c>
      <c r="K67" s="114">
        <v>42916</v>
      </c>
      <c r="L67" s="114">
        <v>42917</v>
      </c>
      <c r="M67" s="24">
        <v>5108827.5199999996</v>
      </c>
      <c r="N67" s="24"/>
      <c r="O67" s="24">
        <v>679266</v>
      </c>
      <c r="P67" s="114">
        <v>42916</v>
      </c>
      <c r="Q67" s="114">
        <v>42745</v>
      </c>
      <c r="R67" s="24">
        <v>-15226.8</v>
      </c>
      <c r="S67" s="24"/>
      <c r="T67" s="24">
        <v>-1980</v>
      </c>
    </row>
    <row r="68" spans="1:20">
      <c r="A68" s="112"/>
      <c r="B68" s="1"/>
      <c r="C68" s="24"/>
      <c r="D68" s="24"/>
      <c r="E68" s="24"/>
      <c r="F68" s="1" t="s">
        <v>344</v>
      </c>
      <c r="G68" s="1" t="s">
        <v>275</v>
      </c>
      <c r="H68" s="24">
        <v>-5931.8</v>
      </c>
      <c r="I68" s="24"/>
      <c r="J68" s="113">
        <v>-771</v>
      </c>
      <c r="K68" s="114">
        <v>42916</v>
      </c>
      <c r="L68" s="115"/>
      <c r="M68" s="24"/>
      <c r="N68" s="24"/>
      <c r="O68" s="24"/>
      <c r="P68" s="114">
        <v>42916</v>
      </c>
      <c r="Q68" s="114">
        <v>42776</v>
      </c>
      <c r="R68" s="24">
        <v>-5931.8</v>
      </c>
      <c r="S68" s="24"/>
      <c r="T68" s="24">
        <v>-771</v>
      </c>
    </row>
    <row r="69" spans="1:20">
      <c r="A69" s="112"/>
      <c r="B69" s="1"/>
      <c r="C69" s="24"/>
      <c r="D69" s="24"/>
      <c r="E69" s="24"/>
      <c r="F69" s="1" t="s">
        <v>344</v>
      </c>
      <c r="G69" s="1" t="s">
        <v>285</v>
      </c>
      <c r="H69" s="24">
        <v>-12510.42</v>
      </c>
      <c r="I69" s="24"/>
      <c r="J69" s="113">
        <v>-1627</v>
      </c>
      <c r="K69" s="114">
        <v>42916</v>
      </c>
      <c r="L69" s="115"/>
      <c r="M69" s="24"/>
      <c r="N69" s="24"/>
      <c r="O69" s="24"/>
      <c r="P69" s="114">
        <v>42916</v>
      </c>
      <c r="Q69" s="114">
        <v>42804</v>
      </c>
      <c r="R69" s="24">
        <v>-12510.42</v>
      </c>
      <c r="S69" s="24"/>
      <c r="T69" s="24">
        <v>-1627</v>
      </c>
    </row>
    <row r="70" spans="1:20">
      <c r="A70" s="112"/>
      <c r="B70" s="1"/>
      <c r="C70" s="24"/>
      <c r="D70" s="24"/>
      <c r="E70" s="24"/>
      <c r="F70" s="1" t="s">
        <v>344</v>
      </c>
      <c r="G70" s="1" t="s">
        <v>301</v>
      </c>
      <c r="H70" s="24">
        <v>-25224.799999999999</v>
      </c>
      <c r="I70" s="24">
        <v>-500</v>
      </c>
      <c r="J70" s="113">
        <v>-3216</v>
      </c>
      <c r="K70" s="114">
        <v>42916</v>
      </c>
      <c r="L70" s="115"/>
      <c r="M70" s="24"/>
      <c r="N70" s="24"/>
      <c r="O70" s="24"/>
      <c r="P70" s="114">
        <v>42916</v>
      </c>
      <c r="Q70" s="114">
        <v>42835</v>
      </c>
      <c r="R70" s="24">
        <v>-25224.799999999999</v>
      </c>
      <c r="S70" s="24">
        <v>-500</v>
      </c>
      <c r="T70" s="24">
        <v>-3216</v>
      </c>
    </row>
    <row r="71" spans="1:20">
      <c r="A71" s="112"/>
      <c r="B71" s="1"/>
      <c r="C71" s="24"/>
      <c r="D71" s="24"/>
      <c r="E71" s="24"/>
      <c r="F71" s="1" t="s">
        <v>344</v>
      </c>
      <c r="G71" s="1" t="s">
        <v>303</v>
      </c>
      <c r="H71" s="24">
        <v>-252000</v>
      </c>
      <c r="I71" s="24"/>
      <c r="J71" s="113">
        <v>-32760</v>
      </c>
      <c r="K71" s="114">
        <v>42916</v>
      </c>
      <c r="L71" s="115"/>
      <c r="M71" s="24"/>
      <c r="N71" s="24"/>
      <c r="O71" s="24"/>
      <c r="P71" s="114">
        <v>42916</v>
      </c>
      <c r="Q71" s="114">
        <v>42839</v>
      </c>
      <c r="R71" s="24">
        <v>-252000</v>
      </c>
      <c r="S71" s="24"/>
      <c r="T71" s="24">
        <v>-32760</v>
      </c>
    </row>
    <row r="72" spans="1:20">
      <c r="A72" s="112"/>
      <c r="B72" s="1"/>
      <c r="C72" s="24"/>
      <c r="D72" s="24"/>
      <c r="E72" s="24"/>
      <c r="F72" s="1" t="s">
        <v>344</v>
      </c>
      <c r="G72" s="1" t="s">
        <v>316</v>
      </c>
      <c r="H72" s="24">
        <v>-9381</v>
      </c>
      <c r="I72" s="24"/>
      <c r="J72" s="113">
        <v>-1220</v>
      </c>
      <c r="K72" s="114">
        <v>42916</v>
      </c>
      <c r="L72" s="115"/>
      <c r="M72" s="24"/>
      <c r="N72" s="24"/>
      <c r="O72" s="24"/>
      <c r="P72" s="114">
        <v>42916</v>
      </c>
      <c r="Q72" s="114">
        <v>42858</v>
      </c>
      <c r="R72" s="24">
        <v>-9381</v>
      </c>
      <c r="S72" s="24"/>
      <c r="T72" s="24">
        <v>-1220</v>
      </c>
    </row>
    <row r="73" spans="1:20">
      <c r="A73" s="112"/>
      <c r="B73" s="1"/>
      <c r="C73" s="24"/>
      <c r="D73" s="24"/>
      <c r="E73" s="24"/>
      <c r="F73" s="1" t="s">
        <v>344</v>
      </c>
      <c r="G73" s="1" t="s">
        <v>317</v>
      </c>
      <c r="H73" s="24">
        <v>-14359.21</v>
      </c>
      <c r="I73" s="24">
        <v>-500</v>
      </c>
      <c r="J73" s="113">
        <v>-1802</v>
      </c>
      <c r="K73" s="114">
        <v>42916</v>
      </c>
      <c r="L73" s="115"/>
      <c r="M73" s="24"/>
      <c r="N73" s="24"/>
      <c r="O73" s="24"/>
      <c r="P73" s="114">
        <v>42916</v>
      </c>
      <c r="Q73" s="114">
        <v>42859</v>
      </c>
      <c r="R73" s="24">
        <v>-14359.21</v>
      </c>
      <c r="S73" s="24">
        <v>-500</v>
      </c>
      <c r="T73" s="24">
        <v>-1802</v>
      </c>
    </row>
    <row r="74" spans="1:20">
      <c r="A74" s="112"/>
      <c r="B74" s="1"/>
      <c r="C74" s="24"/>
      <c r="D74" s="24"/>
      <c r="E74" s="24"/>
      <c r="F74" s="1" t="s">
        <v>344</v>
      </c>
      <c r="G74" s="1" t="s">
        <v>333</v>
      </c>
      <c r="H74" s="24">
        <v>-8631.41</v>
      </c>
      <c r="I74" s="24">
        <v>-500</v>
      </c>
      <c r="J74" s="113">
        <v>-1057</v>
      </c>
      <c r="K74" s="114">
        <v>42916</v>
      </c>
      <c r="L74" s="115"/>
      <c r="M74" s="24"/>
      <c r="N74" s="24"/>
      <c r="O74" s="24"/>
      <c r="P74" s="114">
        <v>42916</v>
      </c>
      <c r="Q74" s="114">
        <v>42895</v>
      </c>
      <c r="R74" s="24">
        <v>-8631.41</v>
      </c>
      <c r="S74" s="24">
        <v>-500</v>
      </c>
      <c r="T74" s="24">
        <v>-1057</v>
      </c>
    </row>
    <row r="75" spans="1:20">
      <c r="A75" s="112"/>
      <c r="B75" s="1"/>
      <c r="C75" s="24"/>
      <c r="D75" s="24"/>
      <c r="E75" s="24"/>
      <c r="F75" s="1" t="s">
        <v>344</v>
      </c>
      <c r="G75" s="1" t="s">
        <v>340</v>
      </c>
      <c r="H75" s="24">
        <v>-22000</v>
      </c>
      <c r="I75" s="24"/>
      <c r="J75" s="113">
        <v>-2860</v>
      </c>
      <c r="K75" s="114">
        <v>42916</v>
      </c>
      <c r="L75" s="115"/>
      <c r="M75" s="24"/>
      <c r="N75" s="24"/>
      <c r="O75" s="24"/>
      <c r="P75" s="114">
        <v>42916</v>
      </c>
      <c r="Q75" s="114">
        <v>42907</v>
      </c>
      <c r="R75" s="24">
        <v>-22000</v>
      </c>
      <c r="S75" s="24"/>
      <c r="T75" s="24">
        <v>-2860</v>
      </c>
    </row>
    <row r="76" spans="1:20">
      <c r="A76" s="112" t="s">
        <v>346</v>
      </c>
      <c r="B76" s="1" t="s">
        <v>347</v>
      </c>
      <c r="C76" s="24">
        <v>2454296.08</v>
      </c>
      <c r="D76" s="24"/>
      <c r="E76" s="24">
        <v>319061</v>
      </c>
      <c r="F76" s="1"/>
      <c r="G76" s="1"/>
      <c r="H76" s="24"/>
      <c r="I76" s="24"/>
      <c r="J76" s="113"/>
      <c r="K76" s="114">
        <v>42923</v>
      </c>
      <c r="L76" s="114">
        <v>42924</v>
      </c>
      <c r="M76" s="24">
        <v>2454296.08</v>
      </c>
      <c r="N76" s="24"/>
      <c r="O76" s="24">
        <v>319061</v>
      </c>
      <c r="P76" s="114">
        <v>42923</v>
      </c>
      <c r="Q76" s="115"/>
      <c r="R76" s="24"/>
      <c r="S76" s="24"/>
      <c r="T76" s="24"/>
    </row>
    <row r="77" spans="1:20">
      <c r="A77" s="112" t="s">
        <v>348</v>
      </c>
      <c r="B77" s="1" t="s">
        <v>349</v>
      </c>
      <c r="C77" s="24">
        <v>1021865761.8</v>
      </c>
      <c r="D77" s="24">
        <v>4435400</v>
      </c>
      <c r="E77" s="24">
        <v>132715833</v>
      </c>
      <c r="F77" s="1"/>
      <c r="G77" s="1"/>
      <c r="H77" s="24"/>
      <c r="I77" s="24"/>
      <c r="J77" s="113"/>
      <c r="K77" s="114">
        <v>42926</v>
      </c>
      <c r="L77" s="114">
        <v>42927</v>
      </c>
      <c r="M77" s="24">
        <v>1021865761.8</v>
      </c>
      <c r="N77" s="24">
        <v>4435400</v>
      </c>
      <c r="O77" s="24">
        <v>132715833</v>
      </c>
      <c r="P77" s="114">
        <v>42926</v>
      </c>
      <c r="Q77" s="115"/>
      <c r="R77" s="24"/>
      <c r="S77" s="24"/>
      <c r="T77" s="24"/>
    </row>
    <row r="78" spans="1:20">
      <c r="A78" s="112" t="s">
        <v>349</v>
      </c>
      <c r="B78" s="1" t="s">
        <v>350</v>
      </c>
      <c r="C78" s="24">
        <v>330538392.24000001</v>
      </c>
      <c r="D78" s="24">
        <v>2301100</v>
      </c>
      <c r="E78" s="24">
        <v>42736251</v>
      </c>
      <c r="F78" s="1"/>
      <c r="G78" s="1"/>
      <c r="H78" s="24"/>
      <c r="I78" s="24"/>
      <c r="J78" s="113"/>
      <c r="K78" s="114">
        <v>42927</v>
      </c>
      <c r="L78" s="114">
        <v>42928</v>
      </c>
      <c r="M78" s="24">
        <v>330538392.24000001</v>
      </c>
      <c r="N78" s="24">
        <v>2301100</v>
      </c>
      <c r="O78" s="24">
        <v>42736251</v>
      </c>
      <c r="P78" s="114">
        <v>42927</v>
      </c>
      <c r="Q78" s="115"/>
      <c r="R78" s="24"/>
      <c r="S78" s="24"/>
      <c r="T78" s="24"/>
    </row>
    <row r="79" spans="1:20">
      <c r="A79" s="112" t="s">
        <v>350</v>
      </c>
      <c r="B79" s="1" t="s">
        <v>351</v>
      </c>
      <c r="C79" s="24">
        <v>2668642.09</v>
      </c>
      <c r="D79" s="24"/>
      <c r="E79" s="24">
        <v>346922</v>
      </c>
      <c r="F79" s="1"/>
      <c r="G79" s="1"/>
      <c r="H79" s="24"/>
      <c r="I79" s="24"/>
      <c r="J79" s="113"/>
      <c r="K79" s="114">
        <v>42928</v>
      </c>
      <c r="L79" s="114">
        <v>42929</v>
      </c>
      <c r="M79" s="24">
        <v>2668642.09</v>
      </c>
      <c r="N79" s="24"/>
      <c r="O79" s="24">
        <v>346922</v>
      </c>
      <c r="P79" s="114">
        <v>42928</v>
      </c>
      <c r="Q79" s="115"/>
      <c r="R79" s="24"/>
      <c r="S79" s="24"/>
      <c r="T79" s="24"/>
    </row>
    <row r="80" spans="1:20">
      <c r="A80" s="112" t="s">
        <v>352</v>
      </c>
      <c r="B80" s="1" t="s">
        <v>353</v>
      </c>
      <c r="C80" s="24">
        <v>11465316.380000001</v>
      </c>
      <c r="D80" s="24"/>
      <c r="E80" s="24">
        <v>1504519</v>
      </c>
      <c r="F80" s="1"/>
      <c r="G80" s="1"/>
      <c r="H80" s="24"/>
      <c r="I80" s="24"/>
      <c r="J80" s="113"/>
      <c r="K80" s="114">
        <v>42930</v>
      </c>
      <c r="L80" s="114">
        <v>42931</v>
      </c>
      <c r="M80" s="24">
        <v>11465316.380000001</v>
      </c>
      <c r="N80" s="24"/>
      <c r="O80" s="24">
        <v>1504519</v>
      </c>
      <c r="P80" s="114">
        <v>42930</v>
      </c>
      <c r="Q80" s="115"/>
      <c r="R80" s="24"/>
      <c r="S80" s="24"/>
      <c r="T80" s="24"/>
    </row>
    <row r="81" spans="1:20">
      <c r="A81" s="112" t="s">
        <v>354</v>
      </c>
      <c r="B81" s="1" t="s">
        <v>355</v>
      </c>
      <c r="C81" s="24">
        <v>7660049.0300000003</v>
      </c>
      <c r="D81" s="24"/>
      <c r="E81" s="24">
        <v>995810</v>
      </c>
      <c r="F81" s="1"/>
      <c r="G81" s="1"/>
      <c r="H81" s="24"/>
      <c r="I81" s="24"/>
      <c r="J81" s="113"/>
      <c r="K81" s="114">
        <v>42937</v>
      </c>
      <c r="L81" s="114">
        <v>42938</v>
      </c>
      <c r="M81" s="24">
        <v>7660049.0300000003</v>
      </c>
      <c r="N81" s="24"/>
      <c r="O81" s="24">
        <v>995810</v>
      </c>
      <c r="P81" s="114">
        <v>42937</v>
      </c>
      <c r="Q81" s="115"/>
      <c r="R81" s="24"/>
      <c r="S81" s="24"/>
      <c r="T81" s="24"/>
    </row>
    <row r="82" spans="1:20">
      <c r="A82" s="112" t="s">
        <v>356</v>
      </c>
      <c r="B82" s="1" t="s">
        <v>357</v>
      </c>
      <c r="C82" s="24">
        <v>12291661.35</v>
      </c>
      <c r="D82" s="24">
        <v>5400</v>
      </c>
      <c r="E82" s="24">
        <v>1597225</v>
      </c>
      <c r="F82" s="1"/>
      <c r="G82" s="1"/>
      <c r="H82" s="24"/>
      <c r="I82" s="24"/>
      <c r="J82" s="113"/>
      <c r="K82" s="114">
        <v>42941</v>
      </c>
      <c r="L82" s="114">
        <v>42942</v>
      </c>
      <c r="M82" s="24">
        <v>12291661.35</v>
      </c>
      <c r="N82" s="24">
        <v>5400</v>
      </c>
      <c r="O82" s="24">
        <v>1597225</v>
      </c>
      <c r="P82" s="114">
        <v>42941</v>
      </c>
      <c r="Q82" s="115"/>
      <c r="R82" s="24"/>
      <c r="S82" s="24"/>
      <c r="T82" s="24"/>
    </row>
    <row r="83" spans="1:20">
      <c r="A83" s="112" t="s">
        <v>358</v>
      </c>
      <c r="B83" s="1" t="s">
        <v>359</v>
      </c>
      <c r="C83" s="24"/>
      <c r="D83" s="24"/>
      <c r="E83" s="24">
        <v>0</v>
      </c>
      <c r="F83" s="1" t="s">
        <v>358</v>
      </c>
      <c r="G83" s="1" t="s">
        <v>254</v>
      </c>
      <c r="H83" s="24">
        <v>-10720.5</v>
      </c>
      <c r="I83" s="24"/>
      <c r="J83" s="113">
        <v>-1393</v>
      </c>
      <c r="K83" s="114">
        <v>42947</v>
      </c>
      <c r="L83" s="115"/>
      <c r="M83" s="24">
        <v>0</v>
      </c>
      <c r="N83" s="24"/>
      <c r="O83" s="24">
        <v>0</v>
      </c>
      <c r="P83" s="114">
        <v>42947</v>
      </c>
      <c r="Q83" s="114">
        <v>42745</v>
      </c>
      <c r="R83" s="24">
        <v>-10720.5</v>
      </c>
      <c r="S83" s="24"/>
      <c r="T83" s="24">
        <v>-1393</v>
      </c>
    </row>
    <row r="84" spans="1:20">
      <c r="A84" s="112"/>
      <c r="B84" s="1"/>
      <c r="C84" s="24"/>
      <c r="D84" s="24"/>
      <c r="E84" s="24"/>
      <c r="F84" s="1" t="s">
        <v>358</v>
      </c>
      <c r="G84" s="1" t="s">
        <v>275</v>
      </c>
      <c r="H84" s="24">
        <v>-1784.7</v>
      </c>
      <c r="I84" s="24"/>
      <c r="J84" s="113">
        <v>-232</v>
      </c>
      <c r="K84" s="114">
        <v>42947</v>
      </c>
      <c r="L84" s="115"/>
      <c r="M84" s="24"/>
      <c r="N84" s="24"/>
      <c r="O84" s="24"/>
      <c r="P84" s="114">
        <v>42947</v>
      </c>
      <c r="Q84" s="114">
        <v>42776</v>
      </c>
      <c r="R84" s="24">
        <v>-1784.7</v>
      </c>
      <c r="S84" s="24"/>
      <c r="T84" s="24">
        <v>-232</v>
      </c>
    </row>
    <row r="85" spans="1:20">
      <c r="A85" s="112"/>
      <c r="B85" s="1"/>
      <c r="C85" s="24"/>
      <c r="D85" s="24"/>
      <c r="E85" s="24"/>
      <c r="F85" s="1" t="s">
        <v>358</v>
      </c>
      <c r="G85" s="1" t="s">
        <v>285</v>
      </c>
      <c r="H85" s="24">
        <v>-12285</v>
      </c>
      <c r="I85" s="24"/>
      <c r="J85" s="113">
        <v>-1597</v>
      </c>
      <c r="K85" s="114">
        <v>42947</v>
      </c>
      <c r="L85" s="115"/>
      <c r="M85" s="24"/>
      <c r="N85" s="24"/>
      <c r="O85" s="24"/>
      <c r="P85" s="114">
        <v>42947</v>
      </c>
      <c r="Q85" s="114">
        <v>42804</v>
      </c>
      <c r="R85" s="24">
        <v>-12285</v>
      </c>
      <c r="S85" s="24"/>
      <c r="T85" s="24">
        <v>-1597</v>
      </c>
    </row>
    <row r="86" spans="1:20">
      <c r="A86" s="112"/>
      <c r="B86" s="1"/>
      <c r="C86" s="24"/>
      <c r="D86" s="24"/>
      <c r="E86" s="24"/>
      <c r="F86" s="1" t="s">
        <v>358</v>
      </c>
      <c r="G86" s="1" t="s">
        <v>301</v>
      </c>
      <c r="H86" s="24">
        <v>-9291.4</v>
      </c>
      <c r="I86" s="24"/>
      <c r="J86" s="113">
        <v>-1208</v>
      </c>
      <c r="K86" s="114">
        <v>42947</v>
      </c>
      <c r="L86" s="115"/>
      <c r="M86" s="24"/>
      <c r="N86" s="24"/>
      <c r="O86" s="24"/>
      <c r="P86" s="114">
        <v>42947</v>
      </c>
      <c r="Q86" s="114">
        <v>42835</v>
      </c>
      <c r="R86" s="24">
        <v>-9291.4</v>
      </c>
      <c r="S86" s="24"/>
      <c r="T86" s="24">
        <v>-1208</v>
      </c>
    </row>
    <row r="87" spans="1:20">
      <c r="A87" s="112"/>
      <c r="B87" s="1"/>
      <c r="C87" s="24"/>
      <c r="D87" s="24"/>
      <c r="E87" s="24"/>
      <c r="F87" s="1" t="s">
        <v>358</v>
      </c>
      <c r="G87" s="1" t="s">
        <v>316</v>
      </c>
      <c r="H87" s="24">
        <v>-949.5</v>
      </c>
      <c r="I87" s="24"/>
      <c r="J87" s="113">
        <v>-123</v>
      </c>
      <c r="K87" s="114">
        <v>42947</v>
      </c>
      <c r="L87" s="115"/>
      <c r="M87" s="24"/>
      <c r="N87" s="24"/>
      <c r="O87" s="24"/>
      <c r="P87" s="114">
        <v>42947</v>
      </c>
      <c r="Q87" s="114">
        <v>42858</v>
      </c>
      <c r="R87" s="24">
        <v>-949.5</v>
      </c>
      <c r="S87" s="24"/>
      <c r="T87" s="24">
        <v>-123</v>
      </c>
    </row>
    <row r="88" spans="1:20">
      <c r="A88" s="112"/>
      <c r="B88" s="1"/>
      <c r="C88" s="24"/>
      <c r="D88" s="24"/>
      <c r="E88" s="24"/>
      <c r="F88" s="1" t="s">
        <v>358</v>
      </c>
      <c r="G88" s="1" t="s">
        <v>333</v>
      </c>
      <c r="H88" s="24">
        <v>-10948.61</v>
      </c>
      <c r="I88" s="24">
        <v>-500</v>
      </c>
      <c r="J88" s="113">
        <v>-1357</v>
      </c>
      <c r="K88" s="114">
        <v>42947</v>
      </c>
      <c r="L88" s="115"/>
      <c r="M88" s="24"/>
      <c r="N88" s="24"/>
      <c r="O88" s="24"/>
      <c r="P88" s="114">
        <v>42947</v>
      </c>
      <c r="Q88" s="114">
        <v>42895</v>
      </c>
      <c r="R88" s="24">
        <v>-10948.61</v>
      </c>
      <c r="S88" s="24">
        <v>-500</v>
      </c>
      <c r="T88" s="24">
        <v>-1357</v>
      </c>
    </row>
    <row r="89" spans="1:20">
      <c r="A89" s="112"/>
      <c r="B89" s="1"/>
      <c r="C89" s="24"/>
      <c r="D89" s="24"/>
      <c r="E89" s="24"/>
      <c r="F89" s="1" t="s">
        <v>358</v>
      </c>
      <c r="G89" s="1" t="s">
        <v>348</v>
      </c>
      <c r="H89" s="24">
        <v>-10236</v>
      </c>
      <c r="I89" s="24"/>
      <c r="J89" s="113">
        <v>-1331</v>
      </c>
      <c r="K89" s="114">
        <v>42947</v>
      </c>
      <c r="L89" s="115"/>
      <c r="M89" s="24"/>
      <c r="N89" s="24"/>
      <c r="O89" s="24"/>
      <c r="P89" s="114">
        <v>42947</v>
      </c>
      <c r="Q89" s="114">
        <v>42926</v>
      </c>
      <c r="R89" s="24">
        <v>-10236</v>
      </c>
      <c r="S89" s="24"/>
      <c r="T89" s="24">
        <v>-1331</v>
      </c>
    </row>
    <row r="90" spans="1:20">
      <c r="A90" s="112"/>
      <c r="B90" s="1"/>
      <c r="C90" s="24"/>
      <c r="D90" s="24"/>
      <c r="E90" s="24"/>
      <c r="F90" s="1" t="s">
        <v>358</v>
      </c>
      <c r="G90" s="1" t="s">
        <v>349</v>
      </c>
      <c r="H90" s="24">
        <v>-9346.74</v>
      </c>
      <c r="I90" s="24"/>
      <c r="J90" s="113">
        <v>-1216</v>
      </c>
      <c r="K90" s="114">
        <v>42947</v>
      </c>
      <c r="L90" s="115"/>
      <c r="M90" s="24"/>
      <c r="N90" s="24"/>
      <c r="O90" s="24"/>
      <c r="P90" s="114">
        <v>42947</v>
      </c>
      <c r="Q90" s="114">
        <v>42927</v>
      </c>
      <c r="R90" s="24">
        <v>-9346.74</v>
      </c>
      <c r="S90" s="24"/>
      <c r="T90" s="24">
        <v>-1216</v>
      </c>
    </row>
    <row r="91" spans="1:20">
      <c r="A91" s="119" t="s">
        <v>229</v>
      </c>
      <c r="B91" s="120"/>
      <c r="C91" s="123">
        <f>SUBTOTAL(109,[3])</f>
        <v>9396660472.2300014</v>
      </c>
      <c r="D91" s="123">
        <f>SUBTOTAL(109,[4])</f>
        <v>48100100</v>
      </c>
      <c r="E91" s="123">
        <f>SUBTOTAL(109,[5])</f>
        <v>1219069218</v>
      </c>
      <c r="F91" s="120"/>
      <c r="G91" s="120"/>
      <c r="H91" s="123">
        <f>SUBTOTAL(109,[8])</f>
        <v>-2881108.4399999995</v>
      </c>
      <c r="I91" s="123">
        <f>SUBTOTAL(109,[9])</f>
        <v>-5000</v>
      </c>
      <c r="J91" s="124">
        <f>SUBTOTAL(109,[10])</f>
        <v>-379577</v>
      </c>
      <c r="K91" s="122"/>
      <c r="L91" s="122"/>
      <c r="M91" s="123">
        <f>SUBTOTAL(109,[13])</f>
        <v>9396660472.2300014</v>
      </c>
      <c r="N91" s="123">
        <f>SUBTOTAL(109,[14])</f>
        <v>48100100</v>
      </c>
      <c r="O91" s="123">
        <f>SUBTOTAL(109,[15])</f>
        <v>1219069218</v>
      </c>
      <c r="P91" s="122"/>
      <c r="Q91" s="122"/>
      <c r="R91" s="123">
        <f>SUBTOTAL(109,[18])</f>
        <v>-2881108.4399999995</v>
      </c>
      <c r="S91" s="123">
        <f>SUBTOTAL(109,[19])</f>
        <v>-5000</v>
      </c>
      <c r="T91" s="123">
        <f>SUBTOTAL(109,[20])</f>
        <v>-379577</v>
      </c>
    </row>
    <row r="92" spans="1:20">
      <c r="C92">
        <f>Таблица228[[#Totals],[3]]-Таблица228[[#Totals],[13]]</f>
        <v>0</v>
      </c>
      <c r="D92">
        <f>Таблица228[[#Totals],[4]]-Таблица228[[#Totals],[14]]</f>
        <v>0</v>
      </c>
      <c r="E92">
        <f>Таблица228[[#Totals],[5]]-Таблица228[[#Totals],[15]]</f>
        <v>0</v>
      </c>
      <c r="H92">
        <f>Таблица228[[#Totals],[8]]-Таблица228[[#Totals],[18]]</f>
        <v>0</v>
      </c>
      <c r="I92">
        <f>Таблица228[[#Totals],[9]]-Таблица228[[#Totals],[19]]</f>
        <v>0</v>
      </c>
      <c r="J92">
        <f>Таблица228[[#Totals],[10]]-Таблица228[[#Totals],[20]]</f>
        <v>0</v>
      </c>
    </row>
  </sheetData>
  <mergeCells count="2">
    <mergeCell ref="A1:E1"/>
    <mergeCell ref="F1:J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>
  <sheetPr codeName="Лист17"/>
  <dimension ref="A1:D9"/>
  <sheetViews>
    <sheetView zoomScale="145" zoomScaleNormal="145" workbookViewId="0">
      <selection activeCell="B6" sqref="B6"/>
    </sheetView>
  </sheetViews>
  <sheetFormatPr defaultRowHeight="15"/>
  <cols>
    <col min="1" max="1" width="10.7109375" customWidth="1"/>
    <col min="2" max="2" width="16.140625" customWidth="1"/>
    <col min="3" max="3" width="19.5703125" customWidth="1"/>
    <col min="4" max="4" width="19.28515625" customWidth="1"/>
    <col min="5" max="5" width="10.42578125" bestFit="1" customWidth="1"/>
    <col min="6" max="6" width="12.42578125" bestFit="1" customWidth="1"/>
    <col min="7" max="7" width="10.28515625" bestFit="1" customWidth="1"/>
    <col min="8" max="8" width="11" customWidth="1"/>
  </cols>
  <sheetData>
    <row r="1" spans="1:4">
      <c r="B1" s="96"/>
      <c r="C1" s="65" t="s">
        <v>237</v>
      </c>
      <c r="D1" s="65" t="s">
        <v>238</v>
      </c>
    </row>
    <row r="2" spans="1:4">
      <c r="B2" s="97" t="s">
        <v>239</v>
      </c>
      <c r="C2" s="66">
        <f>SUM(Таблица26[130])</f>
        <v>0</v>
      </c>
      <c r="D2" s="66">
        <f>SUM(Таблица26[140])</f>
        <v>0</v>
      </c>
    </row>
    <row r="3" spans="1:4" ht="15.75" thickBot="1">
      <c r="B3" s="96"/>
      <c r="C3" s="96"/>
      <c r="D3" s="96"/>
    </row>
    <row r="4" spans="1:4" ht="43.15" customHeight="1">
      <c r="A4" s="98" t="s">
        <v>192</v>
      </c>
      <c r="B4" s="99" t="s">
        <v>240</v>
      </c>
      <c r="C4" s="100" t="s">
        <v>241</v>
      </c>
      <c r="D4" s="101" t="s">
        <v>241</v>
      </c>
    </row>
    <row r="5" spans="1:4" s="103" customFormat="1" ht="12" thickBot="1">
      <c r="A5" s="102" t="s">
        <v>193</v>
      </c>
      <c r="B5" s="106" t="s">
        <v>246</v>
      </c>
      <c r="C5" s="107" t="s">
        <v>242</v>
      </c>
      <c r="D5" s="108" t="s">
        <v>243</v>
      </c>
    </row>
    <row r="6" spans="1:4">
      <c r="A6" s="52"/>
      <c r="B6" s="104" t="s">
        <v>247</v>
      </c>
      <c r="C6" s="105"/>
      <c r="D6" s="105"/>
    </row>
    <row r="8" spans="1:4">
      <c r="B8" t="s">
        <v>244</v>
      </c>
    </row>
    <row r="9" spans="1:4">
      <c r="B9" t="s">
        <v>245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>
  <sheetPr codeName="Лист8"/>
  <dimension ref="A1:F13"/>
  <sheetViews>
    <sheetView zoomScale="130" zoomScaleNormal="130" workbookViewId="0">
      <selection activeCell="B10" sqref="B10"/>
    </sheetView>
  </sheetViews>
  <sheetFormatPr defaultRowHeight="15"/>
  <cols>
    <col min="1" max="1" width="11.5703125" customWidth="1"/>
    <col min="2" max="2" width="16.7109375" customWidth="1"/>
    <col min="3" max="3" width="18.28515625" customWidth="1"/>
    <col min="4" max="4" width="19.28515625" customWidth="1"/>
    <col min="5" max="5" width="16.5703125" customWidth="1"/>
  </cols>
  <sheetData>
    <row r="1" spans="1:6" ht="28.5" customHeight="1">
      <c r="A1" s="187" t="s">
        <v>190</v>
      </c>
      <c r="B1" s="187"/>
      <c r="C1" s="187"/>
      <c r="D1" s="187"/>
      <c r="E1" s="187"/>
    </row>
    <row r="2" spans="1:6" ht="19.5" customHeight="1">
      <c r="A2" s="188" t="s">
        <v>191</v>
      </c>
      <c r="B2" s="189"/>
      <c r="C2" s="189"/>
      <c r="D2" s="189"/>
      <c r="E2" s="190"/>
    </row>
    <row r="3" spans="1:6" ht="30">
      <c r="A3" s="78" t="s">
        <v>192</v>
      </c>
      <c r="B3" s="78" t="s">
        <v>69</v>
      </c>
      <c r="C3" s="78" t="s">
        <v>70</v>
      </c>
      <c r="D3" s="78" t="s">
        <v>71</v>
      </c>
      <c r="E3" s="78" t="s">
        <v>72</v>
      </c>
    </row>
    <row r="4" spans="1:6">
      <c r="A4" s="79" t="s">
        <v>193</v>
      </c>
      <c r="B4" s="77" t="s">
        <v>73</v>
      </c>
      <c r="C4" s="77" t="s">
        <v>74</v>
      </c>
      <c r="D4" s="77" t="s">
        <v>75</v>
      </c>
      <c r="E4" s="77" t="s">
        <v>76</v>
      </c>
    </row>
    <row r="5" spans="1:6">
      <c r="A5" s="80"/>
      <c r="B5" s="81" t="s">
        <v>140</v>
      </c>
      <c r="C5" s="82"/>
      <c r="D5" s="83"/>
      <c r="E5" s="84"/>
    </row>
    <row r="6" spans="1:6">
      <c r="D6" t="s">
        <v>201</v>
      </c>
    </row>
    <row r="7" spans="1:6">
      <c r="D7" t="s">
        <v>194</v>
      </c>
    </row>
    <row r="8" spans="1:6" ht="20.25" customHeight="1">
      <c r="D8" s="180" t="s">
        <v>195</v>
      </c>
      <c r="E8" s="180"/>
    </row>
    <row r="9" spans="1:6">
      <c r="C9" s="6"/>
      <c r="D9" s="6" t="s">
        <v>198</v>
      </c>
      <c r="E9" s="56"/>
      <c r="F9" s="6"/>
    </row>
    <row r="10" spans="1:6">
      <c r="C10" s="56"/>
      <c r="D10" s="57" t="s">
        <v>196</v>
      </c>
      <c r="E10" s="58">
        <f>SUBTOTAL(109,ndfl6_part1_general_recalc_curr[[#All],[Столбец2]])</f>
        <v>0</v>
      </c>
      <c r="F10" s="6"/>
    </row>
    <row r="11" spans="1:6" ht="19.5" customHeight="1">
      <c r="C11" s="54"/>
      <c r="D11" s="180" t="s">
        <v>197</v>
      </c>
      <c r="E11" s="180"/>
    </row>
    <row r="12" spans="1:6">
      <c r="D12" s="6" t="s">
        <v>199</v>
      </c>
      <c r="E12" s="54"/>
    </row>
    <row r="13" spans="1:6">
      <c r="D13" s="55" t="s">
        <v>196</v>
      </c>
      <c r="E13" s="58">
        <f>SUBTOTAL(109,ndfl6_recalc_prev_year[[#All],[Столбец2]])</f>
        <v>0</v>
      </c>
    </row>
  </sheetData>
  <mergeCells count="4">
    <mergeCell ref="A1:E1"/>
    <mergeCell ref="D8:E8"/>
    <mergeCell ref="D11:E11"/>
    <mergeCell ref="A2:E2"/>
  </mergeCells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</worksheet>
</file>

<file path=xl/worksheets/sheet20.xml><?xml version="1.0" encoding="utf-8"?>
<worksheet xmlns="http://schemas.openxmlformats.org/spreadsheetml/2006/main" xmlns:r="http://schemas.openxmlformats.org/officeDocument/2006/relationships">
  <sheetPr codeName="Лист9"/>
  <dimension ref="A1:H25"/>
  <sheetViews>
    <sheetView topLeftCell="A8" zoomScale="115" zoomScaleNormal="115" workbookViewId="0">
      <selection activeCell="D15" sqref="D15"/>
    </sheetView>
  </sheetViews>
  <sheetFormatPr defaultRowHeight="15"/>
  <cols>
    <col min="1" max="1" width="13.7109375" customWidth="1"/>
    <col min="2" max="2" width="11.85546875" customWidth="1"/>
    <col min="3" max="3" width="18" customWidth="1"/>
    <col min="4" max="5" width="17.7109375" customWidth="1"/>
    <col min="6" max="6" width="15.5703125" customWidth="1"/>
    <col min="7" max="7" width="13" customWidth="1"/>
    <col min="8" max="8" width="11.85546875" customWidth="1"/>
  </cols>
  <sheetData>
    <row r="1" spans="1:8" ht="28.5" customHeight="1" thickBot="1">
      <c r="A1" s="191" t="s">
        <v>202</v>
      </c>
      <c r="B1" s="191"/>
      <c r="C1" s="191"/>
      <c r="D1" s="191"/>
      <c r="E1" s="191"/>
      <c r="F1" s="191"/>
      <c r="G1" s="191"/>
      <c r="H1" s="191"/>
    </row>
    <row r="2" spans="1:8" ht="30.75" thickBot="1">
      <c r="A2" s="75" t="s">
        <v>192</v>
      </c>
      <c r="B2" s="73" t="s">
        <v>80</v>
      </c>
      <c r="C2" s="73" t="s">
        <v>1</v>
      </c>
      <c r="D2" s="73" t="s">
        <v>81</v>
      </c>
      <c r="E2" s="73" t="s">
        <v>82</v>
      </c>
      <c r="F2" s="73" t="s">
        <v>83</v>
      </c>
      <c r="G2" s="73" t="s">
        <v>84</v>
      </c>
      <c r="H2" s="74" t="s">
        <v>85</v>
      </c>
    </row>
    <row r="3" spans="1:8">
      <c r="A3" s="76" t="s">
        <v>193</v>
      </c>
      <c r="B3" s="59" t="s">
        <v>86</v>
      </c>
      <c r="C3" s="59" t="s">
        <v>87</v>
      </c>
      <c r="D3" s="59" t="s">
        <v>88</v>
      </c>
      <c r="E3" s="59" t="s">
        <v>89</v>
      </c>
      <c r="F3" s="59" t="s">
        <v>90</v>
      </c>
      <c r="G3" s="59" t="s">
        <v>91</v>
      </c>
      <c r="H3" s="60" t="s">
        <v>92</v>
      </c>
    </row>
    <row r="4" spans="1:8">
      <c r="A4" s="69"/>
      <c r="B4" s="70" t="s">
        <v>141</v>
      </c>
      <c r="C4" s="71"/>
      <c r="D4" s="71"/>
      <c r="E4" s="71"/>
      <c r="F4" s="72"/>
      <c r="G4" s="72"/>
      <c r="H4" s="72"/>
    </row>
    <row r="5" spans="1:8">
      <c r="A5" s="92" t="s">
        <v>226</v>
      </c>
      <c r="B5" s="93"/>
      <c r="C5" s="94">
        <f>SUBTOTAL(109,[Столбец3])</f>
        <v>0</v>
      </c>
      <c r="D5" s="94">
        <f>SUBTOTAL(109,[Столбец4])</f>
        <v>0</v>
      </c>
      <c r="E5" s="94">
        <f>SUBTOTAL(109,[Столбец5])</f>
        <v>0</v>
      </c>
      <c r="F5" s="95">
        <f>SUBTOTAL(109,[Столбец6])</f>
        <v>0</v>
      </c>
      <c r="G5" s="95">
        <f>SUBTOTAL(109,[Столбец7])</f>
        <v>0</v>
      </c>
      <c r="H5" s="95">
        <f>SUBTOTAL(109,[Столбец8])</f>
        <v>0</v>
      </c>
    </row>
    <row r="6" spans="1:8">
      <c r="A6" t="s">
        <v>203</v>
      </c>
    </row>
    <row r="7" spans="1:8">
      <c r="A7" s="61" t="s">
        <v>204</v>
      </c>
      <c r="C7" s="54"/>
      <c r="D7" s="54"/>
      <c r="E7" s="192" t="s">
        <v>205</v>
      </c>
      <c r="F7" s="192"/>
      <c r="G7" s="192"/>
      <c r="H7" s="192"/>
    </row>
    <row r="8" spans="1:8">
      <c r="A8" s="85" t="s">
        <v>206</v>
      </c>
      <c r="B8" s="85" t="s">
        <v>207</v>
      </c>
      <c r="C8" s="85" t="s">
        <v>232</v>
      </c>
      <c r="D8" s="85" t="s">
        <v>208</v>
      </c>
      <c r="E8" s="85" t="s">
        <v>209</v>
      </c>
      <c r="F8" s="85" t="s">
        <v>210</v>
      </c>
      <c r="G8" s="85" t="s">
        <v>222</v>
      </c>
      <c r="H8" s="85" t="s">
        <v>223</v>
      </c>
    </row>
    <row r="9" spans="1:8">
      <c r="A9" s="6" t="s">
        <v>220</v>
      </c>
      <c r="C9" s="54"/>
      <c r="D9" s="54"/>
    </row>
    <row r="10" spans="1:8">
      <c r="A10" s="6"/>
      <c r="C10" s="54"/>
      <c r="D10" s="54"/>
    </row>
    <row r="11" spans="1:8" ht="15.75" thickBot="1">
      <c r="C11" s="54"/>
      <c r="E11" s="193" t="s">
        <v>211</v>
      </c>
      <c r="F11" s="193"/>
      <c r="G11" s="193"/>
      <c r="H11" s="193"/>
    </row>
    <row r="12" spans="1:8">
      <c r="C12" s="54"/>
      <c r="D12" s="86"/>
      <c r="E12" s="194" t="s">
        <v>212</v>
      </c>
      <c r="F12" s="195"/>
      <c r="G12" s="196"/>
      <c r="H12" s="197" t="s">
        <v>224</v>
      </c>
    </row>
    <row r="13" spans="1:8" ht="15.75" thickBot="1">
      <c r="C13" s="90" t="s">
        <v>232</v>
      </c>
      <c r="D13" s="86" t="s">
        <v>213</v>
      </c>
      <c r="E13" s="87" t="s">
        <v>214</v>
      </c>
      <c r="F13" s="88" t="s">
        <v>215</v>
      </c>
      <c r="G13" s="89" t="s">
        <v>216</v>
      </c>
      <c r="H13" s="197"/>
    </row>
    <row r="14" spans="1:8">
      <c r="A14" s="6" t="s">
        <v>221</v>
      </c>
      <c r="C14" s="54"/>
    </row>
    <row r="15" spans="1:8">
      <c r="C15" s="62">
        <f>SUM(Таблица30[Столбец1])+SUM(Таблица31[Столбец3])</f>
        <v>0</v>
      </c>
      <c r="D15" t="s">
        <v>217</v>
      </c>
      <c r="E15" s="54"/>
    </row>
    <row r="16" spans="1:8">
      <c r="A16" s="61" t="s">
        <v>218</v>
      </c>
      <c r="E16" s="54"/>
    </row>
    <row r="17" spans="1:8" ht="37.5" customHeight="1">
      <c r="A17" s="90" t="s">
        <v>206</v>
      </c>
      <c r="B17" s="90" t="s">
        <v>207</v>
      </c>
      <c r="C17" s="90" t="s">
        <v>232</v>
      </c>
      <c r="D17" s="90" t="s">
        <v>233</v>
      </c>
      <c r="E17" s="91" t="s">
        <v>234</v>
      </c>
    </row>
    <row r="18" spans="1:8">
      <c r="A18" t="s">
        <v>225</v>
      </c>
      <c r="F18" s="63"/>
    </row>
    <row r="19" spans="1:8" ht="15.75" thickBot="1">
      <c r="C19" s="64">
        <f>SUM(C18:C18)</f>
        <v>0</v>
      </c>
      <c r="D19" t="s">
        <v>219</v>
      </c>
      <c r="F19" s="63"/>
    </row>
    <row r="20" spans="1:8" ht="15.75" thickTop="1">
      <c r="C20" s="65">
        <f>tax_13+tax_30</f>
        <v>0</v>
      </c>
      <c r="D20" t="s">
        <v>231</v>
      </c>
    </row>
    <row r="21" spans="1:8">
      <c r="C21" s="66"/>
      <c r="H21" s="67"/>
    </row>
    <row r="22" spans="1:8">
      <c r="A22" s="198" t="s">
        <v>230</v>
      </c>
      <c r="B22" s="198"/>
      <c r="C22" s="198"/>
      <c r="D22" s="198"/>
      <c r="E22" s="198"/>
      <c r="F22" s="198"/>
      <c r="G22" s="67"/>
      <c r="H22" s="67"/>
    </row>
    <row r="23" spans="1:8">
      <c r="A23" s="68" t="s">
        <v>64</v>
      </c>
      <c r="B23" s="68" t="s">
        <v>65</v>
      </c>
      <c r="C23" s="68" t="s">
        <v>66</v>
      </c>
      <c r="D23" s="68" t="s">
        <v>83</v>
      </c>
      <c r="E23" s="68" t="s">
        <v>70</v>
      </c>
      <c r="F23" s="68" t="s">
        <v>228</v>
      </c>
      <c r="G23" s="67"/>
    </row>
    <row r="24" spans="1:8">
      <c r="A24" t="s">
        <v>227</v>
      </c>
      <c r="D24" s="54"/>
      <c r="E24" s="54"/>
      <c r="F24" s="54"/>
    </row>
    <row r="25" spans="1:8">
      <c r="A25" t="s">
        <v>229</v>
      </c>
      <c r="D25" s="54">
        <f>SUBTOTAL(109,[Налог исчисленный])</f>
        <v>0</v>
      </c>
      <c r="E25" s="54">
        <f>SUBTOTAL(109,[Налог удержанный])</f>
        <v>0</v>
      </c>
      <c r="F25" s="54">
        <f>SUBTOTAL(109,[Разница])</f>
        <v>0</v>
      </c>
      <c r="G25" s="54"/>
      <c r="H25" s="54"/>
    </row>
  </sheetData>
  <mergeCells count="6">
    <mergeCell ref="A1:H1"/>
    <mergeCell ref="H12:H13"/>
    <mergeCell ref="A22:F22"/>
    <mergeCell ref="E12:G12"/>
    <mergeCell ref="E7:H7"/>
    <mergeCell ref="E11:H11"/>
  </mergeCells>
  <pageMargins left="0.7" right="0.7" top="0.75" bottom="0.75" header="0.3" footer="0.3"/>
  <pageSetup paperSize="9" orientation="portrait" r:id="rId1"/>
  <tableParts count="5">
    <tablePart r:id="rId2"/>
    <tablePart r:id="rId3"/>
    <tablePart r:id="rId4"/>
    <tablePart r:id="rId5"/>
    <tablePart r:id="rId6"/>
  </tableParts>
</worksheet>
</file>

<file path=xl/worksheets/sheet21.xml><?xml version="1.0" encoding="utf-8"?>
<worksheet xmlns="http://schemas.openxmlformats.org/spreadsheetml/2006/main" xmlns:r="http://schemas.openxmlformats.org/officeDocument/2006/relationships">
  <sheetPr codeName="Лист10"/>
  <dimension ref="A1:D2"/>
  <sheetViews>
    <sheetView showGridLines="0" workbookViewId="0">
      <pane ySplit="1" topLeftCell="A2" activePane="bottomLeft" state="frozen"/>
      <selection pane="bottomLeft" activeCell="A2" sqref="A2"/>
    </sheetView>
  </sheetViews>
  <sheetFormatPr defaultRowHeight="15"/>
  <cols>
    <col min="1" max="1" width="41.42578125" customWidth="1"/>
    <col min="2" max="2" width="21.85546875" customWidth="1"/>
    <col min="3" max="3" width="27.140625" customWidth="1"/>
    <col min="4" max="4" width="28.42578125" customWidth="1"/>
  </cols>
  <sheetData>
    <row r="1" spans="1:4" ht="34.5" customHeight="1">
      <c r="A1" s="33" t="s">
        <v>100</v>
      </c>
      <c r="B1" s="34" t="s">
        <v>101</v>
      </c>
      <c r="C1" s="34" t="s">
        <v>102</v>
      </c>
      <c r="D1" s="34" t="s">
        <v>103</v>
      </c>
    </row>
    <row r="2" spans="1:4">
      <c r="B2" s="35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2.xml><?xml version="1.0" encoding="utf-8"?>
<worksheet xmlns="http://schemas.openxmlformats.org/spreadsheetml/2006/main" xmlns:r="http://schemas.openxmlformats.org/officeDocument/2006/relationships">
  <sheetPr codeName="Лист12"/>
  <dimension ref="A1:I2"/>
  <sheetViews>
    <sheetView showGridLines="0" workbookViewId="0">
      <pane ySplit="1" topLeftCell="A2" activePane="bottomLeft" state="frozen"/>
      <selection pane="bottomLeft" activeCell="A2" sqref="A2"/>
    </sheetView>
  </sheetViews>
  <sheetFormatPr defaultRowHeight="15"/>
  <cols>
    <col min="1" max="3" width="21.42578125" customWidth="1"/>
    <col min="4" max="4" width="21.85546875" customWidth="1"/>
    <col min="5" max="5" width="28.42578125" customWidth="1"/>
    <col min="6" max="6" width="21.7109375" customWidth="1"/>
    <col min="7" max="7" width="19" customWidth="1"/>
    <col min="8" max="8" width="21.85546875" bestFit="1" customWidth="1"/>
    <col min="9" max="9" width="15.5703125" bestFit="1" customWidth="1"/>
  </cols>
  <sheetData>
    <row r="1" spans="1:9" ht="34.5" customHeight="1">
      <c r="A1" s="33" t="s">
        <v>64</v>
      </c>
      <c r="B1" s="48" t="s">
        <v>65</v>
      </c>
      <c r="C1" s="48" t="s">
        <v>66</v>
      </c>
      <c r="D1" s="48" t="s">
        <v>101</v>
      </c>
      <c r="E1" s="48" t="s">
        <v>103</v>
      </c>
      <c r="F1" s="52" t="s">
        <v>180</v>
      </c>
      <c r="G1" s="52" t="s">
        <v>1</v>
      </c>
      <c r="H1" s="52" t="s">
        <v>181</v>
      </c>
      <c r="I1" s="53" t="s">
        <v>182</v>
      </c>
    </row>
    <row r="2" spans="1:9">
      <c r="A2" t="s">
        <v>185</v>
      </c>
      <c r="B2" s="49"/>
      <c r="C2" s="49"/>
      <c r="D2" s="50"/>
      <c r="E2" s="49"/>
      <c r="F2" s="49"/>
      <c r="G2" s="49"/>
      <c r="H2" s="49"/>
      <c r="I2" s="51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>
  <sheetPr codeName="Лист16"/>
  <dimension ref="A1:A2"/>
  <sheetViews>
    <sheetView workbookViewId="0">
      <selection activeCell="B6" sqref="B6"/>
    </sheetView>
  </sheetViews>
  <sheetFormatPr defaultRowHeight="15"/>
  <sheetData>
    <row r="1" spans="1:1">
      <c r="A1" t="s">
        <v>122</v>
      </c>
    </row>
    <row r="2" spans="1:1">
      <c r="A2" t="s">
        <v>78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23</vt:i4>
      </vt:variant>
      <vt:variant>
        <vt:lpstr>Именованные диапазоны</vt:lpstr>
      </vt:variant>
      <vt:variant>
        <vt:i4>18</vt:i4>
      </vt:variant>
    </vt:vector>
  </HeadingPairs>
  <TitlesOfParts>
    <vt:vector size="41" baseType="lpstr">
      <vt:lpstr>detail_report</vt:lpstr>
      <vt:lpstr>detail_report_2</vt:lpstr>
      <vt:lpstr>error_report</vt:lpstr>
      <vt:lpstr>correcting_report</vt:lpstr>
      <vt:lpstr>Settings</vt:lpstr>
      <vt:lpstr>Отчеты</vt:lpstr>
      <vt:lpstr>Сотрудники фонда</vt:lpstr>
      <vt:lpstr>НДФЛ6 Раздел 1 Общие итоги</vt:lpstr>
      <vt:lpstr>НДФЛ6 Раздел 1 Итоги по ставкам</vt:lpstr>
      <vt:lpstr>НФДЛ Раздел 2</vt:lpstr>
      <vt:lpstr>Расшифровка 6 НДФЛ</vt:lpstr>
      <vt:lpstr>Ошибки в движении средств</vt:lpstr>
      <vt:lpstr>Операции перерасчета</vt:lpstr>
      <vt:lpstr>07Операции перерасчета</vt:lpstr>
      <vt:lpstr>Расшифровка 6 НДФЛ (дет)</vt:lpstr>
      <vt:lpstr>07Расшифровка 6 НДФЛ (дет)</vt:lpstr>
      <vt:lpstr>07Расшифровка 6 НДФЛ</vt:lpstr>
      <vt:lpstr>ndfl6_part2</vt:lpstr>
      <vt:lpstr>ndfl6_part1_general</vt:lpstr>
      <vt:lpstr>ndfl6_part1_rates</vt:lpstr>
      <vt:lpstr>funds_employees</vt:lpstr>
      <vt:lpstr>funds_employees_report</vt:lpstr>
      <vt:lpstr>ndfl6_part1</vt:lpstr>
      <vt:lpstr>data_source_name</vt:lpstr>
      <vt:lpstr>end_date</vt:lpstr>
      <vt:lpstr>EndDate</vt:lpstr>
      <vt:lpstr>menu_item_selected</vt:lpstr>
      <vt:lpstr>oracle_owner</vt:lpstr>
      <vt:lpstr>output</vt:lpstr>
      <vt:lpstr>report_code</vt:lpstr>
      <vt:lpstr>ReportSelected</vt:lpstr>
      <vt:lpstr>start_date</vt:lpstr>
      <vt:lpstr>start_sheet_name</vt:lpstr>
      <vt:lpstr>StartDate</vt:lpstr>
      <vt:lpstr>StartDateRow</vt:lpstr>
      <vt:lpstr>'НДФЛ6 Раздел 1 Итоги по ставкам'!tax_13</vt:lpstr>
      <vt:lpstr>tax_13</vt:lpstr>
      <vt:lpstr>'НДФЛ6 Раздел 1 Итоги по ставкам'!tax_13_amount</vt:lpstr>
      <vt:lpstr>tax_13_amount</vt:lpstr>
      <vt:lpstr>'НДФЛ6 Раздел 1 Итоги по ставкам'!tax_30</vt:lpstr>
      <vt:lpstr>tax_30</vt:lpstr>
    </vt:vector>
  </TitlesOfParts>
  <Company>GAZFOND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Apetrashishin</dc:creator>
  <cp:lastModifiedBy>Zhuravov</cp:lastModifiedBy>
  <cp:lastPrinted>2017-06-23T10:15:42Z</cp:lastPrinted>
  <dcterms:created xsi:type="dcterms:W3CDTF">2017-06-22T11:11:41Z</dcterms:created>
  <dcterms:modified xsi:type="dcterms:W3CDTF">2017-08-25T10:17:28Z</dcterms:modified>
</cp:coreProperties>
</file>