
<file path=[Content_Types].xml><?xml version="1.0" encoding="utf-8"?>
<Types xmlns="http://schemas.openxmlformats.org/package/2006/content-types">
  <Override PartName="/xl/tables/table4.xml" ContentType="application/vnd.openxmlformats-officedocument.spreadsheetml.table+xml"/>
  <Override PartName="/xl/tables/table16.xml" ContentType="application/vnd.openxmlformats-officedocument.spreadsheetml.table+xml"/>
  <Override PartName="/xl/tables/table25.xml" ContentType="application/vnd.openxmlformats-officedocument.spreadsheetml.table+xml"/>
  <Override PartName="/xl/tables/table34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tables/table14.xml" ContentType="application/vnd.openxmlformats-officedocument.spreadsheetml.table+xml"/>
  <Override PartName="/xl/tables/table23.xml" ContentType="application/vnd.openxmlformats-officedocument.spreadsheetml.table+xml"/>
  <Override PartName="/xl/tables/table32.xml" ContentType="application/vnd.openxmlformats-officedocument.spreadsheetml.table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tables/table12.xml" ContentType="application/vnd.openxmlformats-officedocument.spreadsheetml.table+xml"/>
  <Override PartName="/xl/tables/table21.xml" ContentType="application/vnd.openxmlformats-officedocument.spreadsheetml.table+xml"/>
  <Override PartName="/xl/tables/table30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19.xml" ContentType="application/vnd.openxmlformats-officedocument.spreadsheetml.table+xml"/>
  <Override PartName="/xl/tables/table29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docProps/core.xml" ContentType="application/vnd.openxmlformats-package.core-properties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24.xml" ContentType="application/vnd.openxmlformats-officedocument.spreadsheetml.table+xml"/>
  <Override PartName="/xl/tables/table35.xml" ContentType="application/vnd.openxmlformats-officedocument.spreadsheetml.table+xml"/>
  <Override PartName="/xl/worksheets/sheet14.xml" ContentType="application/vnd.openxmlformats-officedocument.spreadsheetml.worksheet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tables/table22.xml" ContentType="application/vnd.openxmlformats-officedocument.spreadsheetml.table+xml"/>
  <Override PartName="/xl/tables/table33.xml" ContentType="application/vnd.openxmlformats-officedocument.spreadsheetml.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tables/table11.xml" ContentType="application/vnd.openxmlformats-officedocument.spreadsheetml.table+xml"/>
  <Override PartName="/xl/tables/table20.xml" ContentType="application/vnd.openxmlformats-officedocument.spreadsheetml.table+xml"/>
  <Override PartName="/xl/tables/table31.xml" ContentType="application/vnd.openxmlformats-officedocument.spreadsheetml.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/>
  <bookViews>
    <workbookView xWindow="0" yWindow="0" windowWidth="12450" windowHeight="11685" tabRatio="698" firstSheet="5" activeTab="5"/>
  </bookViews>
  <sheets>
    <sheet name="detail_report" sheetId="55" state="hidden" r:id="rId1"/>
    <sheet name="detail_report_2" sheetId="56" state="hidden" r:id="rId2"/>
    <sheet name="error_report" sheetId="57" state="hidden" r:id="rId3"/>
    <sheet name="correcting_report" sheetId="60" state="hidden" r:id="rId4"/>
    <sheet name="Settings" sheetId="103" state="hidden" r:id="rId5"/>
    <sheet name="Отчеты" sheetId="6" r:id="rId6"/>
    <sheet name="tax_retained_report" sheetId="281" state="hidden" r:id="rId7"/>
    <sheet name="ndfl6_part2" sheetId="249" state="hidden" r:id="rId8"/>
    <sheet name="ndfl6_part1_general" sheetId="71" state="hidden" r:id="rId9"/>
    <sheet name="ndfl6_part1_rates" sheetId="69" state="hidden" r:id="rId10"/>
    <sheet name="funds_employees" sheetId="73" state="hidden" r:id="rId11"/>
    <sheet name="funds_employees_report" sheetId="123" state="hidden" r:id="rId12"/>
    <sheet name="ndfl6_part1" sheetId="248" state="hidden" r:id="rId13"/>
    <sheet name="tax_diff_report" sheetId="271" state="hidden" r:id="rId14"/>
  </sheets>
  <functionGroups/>
  <definedNames>
    <definedName name="data_source_name">Settings!$B$3</definedName>
    <definedName name="end_date">Отчеты!$C$5</definedName>
    <definedName name="EndDate">Отчеты!$C$5</definedName>
    <definedName name="menu_item_selected">Settings!$B$7</definedName>
    <definedName name="oracle_gateway">Settings!$B$5</definedName>
    <definedName name="oracle_owner">Settings!$B$4</definedName>
    <definedName name="output">Отчеты!$B$8</definedName>
    <definedName name="report_code">Settings!$B$8</definedName>
    <definedName name="ReportSelected">Отчеты!$C$2</definedName>
    <definedName name="start_date">Отчеты!$C$4</definedName>
    <definedName name="start_sheet_name">Settings!$B$6</definedName>
    <definedName name="StartDate">Отчеты!$C$4</definedName>
    <definedName name="StartDateRow">Отчеты!$4:$4</definedName>
    <definedName name="tax_13">ndfl6_part1_rates!$C$15</definedName>
    <definedName name="tax_13_amount">ndfl6_part1_rates!$C$15</definedName>
    <definedName name="tax_30">ndfl6_part1_rates!$C$19</definedName>
    <definedName name="TAX_NOT_RETAINED" localSheetId="6">tax_retained_report!$B$44</definedName>
    <definedName name="TAX_RETAINED_DATE" localSheetId="6">tax_retained_report!$B$38</definedName>
    <definedName name="TAX_RETURN" localSheetId="6">tax_retained_report!$B$41</definedName>
    <definedName name="TAX_RETURN_83" localSheetId="6">tax_retained_report!$B$46</definedName>
  </definedNames>
  <calcPr calcId="125725" calcOnSave="0"/>
</workbook>
</file>

<file path=xl/calcChain.xml><?xml version="1.0" encoding="utf-8"?>
<calcChain xmlns="http://schemas.openxmlformats.org/spreadsheetml/2006/main">
  <c r="G5" i="281"/>
  <c r="F5"/>
  <c r="G13"/>
  <c r="G12"/>
  <c r="G11"/>
  <c r="F13"/>
  <c r="F12"/>
  <c r="F11"/>
  <c r="G7"/>
  <c r="G10"/>
  <c r="G9"/>
  <c r="G8"/>
  <c r="H8" s="1"/>
  <c r="G6"/>
  <c r="F10"/>
  <c r="F9"/>
  <c r="F8"/>
  <c r="F7"/>
  <c r="F6"/>
  <c r="B32"/>
  <c r="C32"/>
  <c r="E13"/>
  <c r="E12"/>
  <c r="E11"/>
  <c r="E10"/>
  <c r="E9"/>
  <c r="E8"/>
  <c r="E7"/>
  <c r="E6"/>
  <c r="E5"/>
  <c r="B14"/>
  <c r="C14"/>
  <c r="I6" i="271"/>
  <c r="I3" s="1"/>
  <c r="H7" i="281" l="1"/>
  <c r="C15"/>
  <c r="B33"/>
  <c r="B37" s="1"/>
  <c r="B39" s="1"/>
  <c r="E14"/>
  <c r="H6"/>
  <c r="H12"/>
  <c r="H11"/>
  <c r="H10"/>
  <c r="B15"/>
  <c r="H13"/>
  <c r="H5"/>
  <c r="H9"/>
  <c r="D3" i="249"/>
  <c r="C3"/>
  <c r="F25" i="69"/>
  <c r="E25"/>
  <c r="D25"/>
  <c r="H5"/>
  <c r="G5"/>
  <c r="F5"/>
  <c r="E5"/>
  <c r="D5"/>
  <c r="C5"/>
  <c r="C15"/>
  <c r="C19"/>
  <c r="E13" i="71"/>
  <c r="E10"/>
  <c r="E15" i="281" l="1"/>
  <c r="C20" i="69"/>
</calcChain>
</file>

<file path=xl/comments1.xml><?xml version="1.0" encoding="utf-8"?>
<comments xmlns="http://schemas.openxmlformats.org/spreadsheetml/2006/main">
  <authors>
    <author>Zhuravov</author>
  </authors>
  <commentList>
    <comment ref="B8" authorId="0">
      <text>
        <r>
          <rPr>
            <b/>
            <sz val="9"/>
            <color indexed="81"/>
            <rFont val="Tahoma"/>
            <family val="2"/>
            <charset val="204"/>
          </rPr>
          <t>Zhuravov:</t>
        </r>
        <r>
          <rPr>
            <sz val="9"/>
            <color indexed="81"/>
            <rFont val="Tahoma"/>
            <family val="2"/>
            <charset val="204"/>
          </rPr>
          <t xml:space="preserve">
API Processor пишет сюда код текущего отчета</t>
        </r>
      </text>
    </comment>
  </commentList>
</comments>
</file>

<file path=xl/comments2.xml><?xml version="1.0" encoding="utf-8"?>
<comments xmlns="http://schemas.openxmlformats.org/spreadsheetml/2006/main">
  <authors>
    <author>Zhuravov</author>
  </authors>
  <commentList>
    <comment ref="A3" authorId="0">
      <text>
        <r>
          <rPr>
            <b/>
            <sz val="9"/>
            <color indexed="81"/>
            <rFont val="Tahoma"/>
            <family val="2"/>
            <charset val="204"/>
          </rPr>
          <t>Данные по удержаниям налогов, сверенные с бухгалтерией</t>
        </r>
      </text>
    </comment>
  </commentList>
</comments>
</file>

<file path=xl/sharedStrings.xml><?xml version="1.0" encoding="utf-8"?>
<sst xmlns="http://schemas.openxmlformats.org/spreadsheetml/2006/main" count="472" uniqueCount="290">
  <si>
    <t>Дата дохода</t>
  </si>
  <si>
    <t>Доход</t>
  </si>
  <si>
    <t>Вычет</t>
  </si>
  <si>
    <t>Тип дохода</t>
  </si>
  <si>
    <t>Операции текущего периода</t>
  </si>
  <si>
    <t>Ставка 13%</t>
  </si>
  <si>
    <t>Ставка 30%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</si>
  <si>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</si>
  <si>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</si>
  <si>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</si>
  <si>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</si>
  <si>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</si>
  <si>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</si>
  <si>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</si>
  <si>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</si>
  <si>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</si>
  <si>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</si>
  <si>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</si>
  <si>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</si>
  <si>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</si>
  <si>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</si>
  <si>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</si>
  <si>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НДФЛ</t>
  </si>
  <si>
    <t>Коррекция операций предыдущих периодов</t>
  </si>
  <si>
    <t>16</t>
  </si>
  <si>
    <t>Отчеты</t>
  </si>
  <si>
    <t>detail_report</t>
  </si>
  <si>
    <t>Дата
коррекции</t>
  </si>
  <si>
    <t>Срок
перечисления
дохода</t>
  </si>
  <si>
    <t>Пенсионная
схема</t>
  </si>
  <si>
    <t>TemplateSheetName</t>
  </si>
  <si>
    <t>Дата
корректи-
руемой
операции</t>
  </si>
  <si>
    <t>detail_report_2</t>
  </si>
  <si>
    <t>Дата операции</t>
  </si>
  <si>
    <t>Номер вкладчика</t>
  </si>
  <si>
    <t>Номер ИПС</t>
  </si>
  <si>
    <t>Счет</t>
  </si>
  <si>
    <t>Субсчет</t>
  </si>
  <si>
    <t>Сумма</t>
  </si>
  <si>
    <t>Корректируемые документы</t>
  </si>
  <si>
    <t>Описание ошибки</t>
  </si>
  <si>
    <t>error_report</t>
  </si>
  <si>
    <t>Документ (ссылка)</t>
  </si>
  <si>
    <t xml:space="preserve">НДФЛ6:  Расшифровка детализированная </t>
  </si>
  <si>
    <t>Дата</t>
  </si>
  <si>
    <t>17</t>
  </si>
  <si>
    <t>18</t>
  </si>
  <si>
    <t>Год</t>
  </si>
  <si>
    <t>Квартал</t>
  </si>
  <si>
    <t>Вкладчик</t>
  </si>
  <si>
    <t>ИПС</t>
  </si>
  <si>
    <t>Суб-счет</t>
  </si>
  <si>
    <t>Исходная сумма</t>
  </si>
  <si>
    <t>Изменение</t>
  </si>
  <si>
    <t>Месяц</t>
  </si>
  <si>
    <t>Исходная операция</t>
  </si>
  <si>
    <t>Операция коррекции</t>
  </si>
  <si>
    <t>SP_FIZ_LITS</t>
  </si>
  <si>
    <t>Документ-основание</t>
  </si>
  <si>
    <t>SSYLKA</t>
  </si>
  <si>
    <t>Фамилия</t>
  </si>
  <si>
    <t>Имя</t>
  </si>
  <si>
    <t>Отчество</t>
  </si>
  <si>
    <t>correcting_report</t>
  </si>
  <si>
    <t>Число физ.лиц</t>
  </si>
  <si>
    <t>Налог удержанный</t>
  </si>
  <si>
    <t>Налог НЕ удержанный</t>
  </si>
  <si>
    <t>Налог возвращенный</t>
  </si>
  <si>
    <t>060</t>
  </si>
  <si>
    <t>070</t>
  </si>
  <si>
    <t>080</t>
  </si>
  <si>
    <t>090</t>
  </si>
  <si>
    <t>ndfl6_part1_rates</t>
  </si>
  <si>
    <t>Ставка</t>
  </si>
  <si>
    <t>Доход в т.ч. с дивидентов</t>
  </si>
  <si>
    <t>Вычеты</t>
  </si>
  <si>
    <t>Налог исчисленный</t>
  </si>
  <si>
    <t>НИ в т.ч. с дивидентов</t>
  </si>
  <si>
    <t>Аванс</t>
  </si>
  <si>
    <t>010</t>
  </si>
  <si>
    <t>020</t>
  </si>
  <si>
    <t>025</t>
  </si>
  <si>
    <t>030</t>
  </si>
  <si>
    <t>040</t>
  </si>
  <si>
    <t>045</t>
  </si>
  <si>
    <t>050</t>
  </si>
  <si>
    <t>Выберите отчет:</t>
  </si>
  <si>
    <t>Период с:</t>
  </si>
  <si>
    <t>Сотрудники фонда: отчет</t>
  </si>
  <si>
    <t>funds_employees</t>
  </si>
  <si>
    <t>NewSheetName</t>
  </si>
  <si>
    <t>Сотрудники фонда</t>
  </si>
  <si>
    <t>ФИО</t>
  </si>
  <si>
    <t>Дата рождения</t>
  </si>
  <si>
    <t>Снилс</t>
  </si>
  <si>
    <t>ИНН</t>
  </si>
  <si>
    <t>oracle_owner</t>
  </si>
  <si>
    <t>start_sheet_name</t>
  </si>
  <si>
    <t>Programs</t>
  </si>
  <si>
    <t>report</t>
  </si>
  <si>
    <t>program</t>
  </si>
  <si>
    <t>Reports</t>
  </si>
  <si>
    <t>Code</t>
  </si>
  <si>
    <t>employees_load</t>
  </si>
  <si>
    <t>employees_report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</si>
  <si>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</si>
  <si>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</si>
  <si>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</si>
  <si>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</si>
  <si>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</si>
  <si>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</si>
  <si>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</si>
  <si>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</si>
  <si>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</si>
  <si>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ndfl6_part1_general</t>
  </si>
  <si>
    <t>Сотрудники фонда: загрузить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</si>
  <si>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</si>
  <si>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</si>
  <si>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</si>
  <si>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</si>
  <si>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</si>
  <si>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</si>
  <si>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</si>
  <si>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</si>
  <si>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</si>
  <si>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</si>
  <si>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</si>
  <si>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</si>
  <si>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</si>
  <si>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</si>
  <si>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</si>
  <si>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</si>
  <si>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ndfl6_part1_general_data</t>
  </si>
  <si>
    <t>ndfl6_part1_rates_data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</si>
  <si>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</si>
  <si>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</si>
  <si>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</si>
  <si>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</si>
  <si>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</si>
  <si>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</si>
  <si>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</si>
  <si>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</si>
  <si>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</si>
  <si>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</si>
  <si>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</si>
  <si>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</si>
  <si>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</si>
  <si>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</si>
  <si>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</si>
  <si>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</si>
  <si>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</si>
  <si>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</si>
  <si>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</si>
  <si>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start_date</t>
  </si>
  <si>
    <t>end_date</t>
  </si>
  <si>
    <t>Size</t>
  </si>
  <si>
    <t>Oracle</t>
  </si>
  <si>
    <t>x_err_msg</t>
  </si>
  <si>
    <t>p_from_date</t>
  </si>
  <si>
    <t>p_end_date</t>
  </si>
  <si>
    <t>output</t>
  </si>
  <si>
    <t>AfterAction</t>
  </si>
  <si>
    <t>Break</t>
  </si>
  <si>
    <t>parse_fio</t>
  </si>
  <si>
    <t>EmployeesApi.parse_fio</t>
  </si>
  <si>
    <t>employees_send</t>
  </si>
  <si>
    <t>p_load_date</t>
  </si>
  <si>
    <t>send_employees</t>
  </si>
  <si>
    <t>load_employees</t>
  </si>
  <si>
    <t>EmployeesApi.send_employees</t>
  </si>
  <si>
    <t>Участник/Не участник</t>
  </si>
  <si>
    <t>Пенсионные схемы</t>
  </si>
  <si>
    <t>Типы дохода</t>
  </si>
  <si>
    <t>funds_employees_report</t>
  </si>
  <si>
    <t>employees_sheet</t>
  </si>
  <si>
    <t>ndfl6_employees_report</t>
  </si>
  <si>
    <t>data_source_name</t>
  </si>
  <si>
    <t>FONDDB</t>
  </si>
  <si>
    <t>Итоги общие</t>
  </si>
  <si>
    <t>показатель</t>
  </si>
  <si>
    <t>поле справки</t>
  </si>
  <si>
    <t>в т.ч. За перерасчеты НДФЛ с доходов</t>
  </si>
  <si>
    <t>в текущем году</t>
  </si>
  <si>
    <t>всего</t>
  </si>
  <si>
    <t>в предыдущих годах</t>
  </si>
  <si>
    <t>ndfl6_recalc_curr_year</t>
  </si>
  <si>
    <t>ndfl6_recalc_prev_year</t>
  </si>
  <si>
    <t xml:space="preserve"> </t>
  </si>
  <si>
    <t>расшифровка сумм, в т.ч.</t>
  </si>
  <si>
    <t xml:space="preserve"> по ставке 13%</t>
  </si>
  <si>
    <t>в сумме доходов по 13% учтены операции сторно за период</t>
  </si>
  <si>
    <t>тип</t>
  </si>
  <si>
    <t>схема</t>
  </si>
  <si>
    <t>итог</t>
  </si>
  <si>
    <t>в 1 кв</t>
  </si>
  <si>
    <t>во 2 кв</t>
  </si>
  <si>
    <t>расшифровка по выкупным суммам 13%</t>
  </si>
  <si>
    <t>исправленное в текущем году</t>
  </si>
  <si>
    <t>неправленные</t>
  </si>
  <si>
    <t>первоначально</t>
  </si>
  <si>
    <t>изменение</t>
  </si>
  <si>
    <t>результат</t>
  </si>
  <si>
    <t>сумма доходов 13% по всем источникам</t>
  </si>
  <si>
    <t xml:space="preserve"> по ставке 30%</t>
  </si>
  <si>
    <t>сумма доходов 30% по всем источникам</t>
  </si>
  <si>
    <t>ndfl6_part1_rates_13_wo_bb</t>
  </si>
  <si>
    <t>ndfl6_part1_rates_13_bb</t>
  </si>
  <si>
    <t>в 3 кв</t>
  </si>
  <si>
    <t>в 4 кв</t>
  </si>
  <si>
    <t>год дохода предыдущий</t>
  </si>
  <si>
    <t>ndfl6_part1_rates_30</t>
  </si>
  <si>
    <t>Итого:</t>
  </si>
  <si>
    <t>ndfl6_part1_rates_persn</t>
  </si>
  <si>
    <t>Разница</t>
  </si>
  <si>
    <t>Итог</t>
  </si>
  <si>
    <t>Недоплата налога по ставке 30%</t>
  </si>
  <si>
    <t>сумма доходов. Должна совпадать с суммой дохода из раздела 2</t>
  </si>
  <si>
    <t>доход</t>
  </si>
  <si>
    <t>налог</t>
  </si>
  <si>
    <t>Недоплата/
переплата</t>
  </si>
  <si>
    <t>Полученный доход</t>
  </si>
  <si>
    <t>Удержанный налог</t>
  </si>
  <si>
    <t>Итого за период:</t>
  </si>
  <si>
    <t>Дата получения дохода</t>
  </si>
  <si>
    <t>Сумма на дату</t>
  </si>
  <si>
    <t>130</t>
  </si>
  <si>
    <t>140</t>
  </si>
  <si>
    <t>значение поля 110 равно значению поля 100</t>
  </si>
  <si>
    <t>значение поля 120 равно значению поля 100 + 1 день</t>
  </si>
  <si>
    <t>100</t>
  </si>
  <si>
    <t>ndfl6_part2_data</t>
  </si>
  <si>
    <t>Tokens</t>
  </si>
  <si>
    <t>START_DATE</t>
  </si>
  <si>
    <t>END_DATE</t>
  </si>
  <si>
    <r>
      <rPr>
        <b/>
        <sz val="13"/>
        <color theme="1"/>
        <rFont val="Calibri"/>
        <family val="2"/>
        <charset val="204"/>
        <scheme val="minor"/>
      </rPr>
      <t>Движение средств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</si>
  <si>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Ошибки в движении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</si>
  <si>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Операции коррекции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</si>
  <si>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Раздел 2 справки 6-НДФЛ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</si>
  <si>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t>Раздел 1 справки 6-НДФЛ (общие итоги)
за период с #START_DATE#  по #END_DATE#</t>
  </si>
  <si>
    <t>Раздел 1 справок 6-НДФЛ (итоги по ставкам)
за период с #START_DATE#  по #END_DATE#</t>
  </si>
  <si>
    <r>
      <t xml:space="preserve">Отчет по сотрудникам фонда
</t>
    </r>
    <r>
      <rPr>
        <sz val="12"/>
        <color theme="1"/>
        <rFont val="Calibri"/>
        <family val="2"/>
        <charset val="204"/>
        <scheme val="minor"/>
      </rPr>
      <t xml:space="preserve">за период с </t>
    </r>
    <r>
      <rPr>
        <b/>
        <sz val="12"/>
        <color theme="1"/>
        <rFont val="Calibri"/>
        <family val="2"/>
        <charset val="204"/>
        <scheme val="minor"/>
      </rPr>
      <t xml:space="preserve">#START_DATE# </t>
    </r>
    <r>
      <rPr>
        <sz val="12"/>
        <color theme="1"/>
        <rFont val="Calibri"/>
        <family val="2"/>
        <charset val="204"/>
        <scheme val="minor"/>
      </rPr>
      <t xml:space="preserve"> по </t>
    </r>
    <r>
      <rPr>
        <b/>
        <sz val="12"/>
        <color theme="1"/>
        <rFont val="Calibri"/>
        <family val="2"/>
        <charset val="204"/>
        <scheme val="minor"/>
      </rPr>
      <t>#END_DATE#</t>
    </r>
  </si>
  <si>
    <t>tax_diff_report</t>
  </si>
  <si>
    <t>Контрагент ID</t>
  </si>
  <si>
    <t>Исчисленный налог</t>
  </si>
  <si>
    <t>Недоплата</t>
  </si>
  <si>
    <t>Количество счетов</t>
  </si>
  <si>
    <t xml:space="preserve">Итого расхождение:  </t>
  </si>
  <si>
    <t>Расхождение сумм исчисленного и удержанного налогов
за период с #START_DATE# по #END_DATE#</t>
  </si>
  <si>
    <t>tax_retained_report</t>
  </si>
  <si>
    <t>Данные сверки</t>
  </si>
  <si>
    <t>Разница с расчетом (минус - в расчете меньше)</t>
  </si>
  <si>
    <t>13%</t>
  </si>
  <si>
    <t>30%</t>
  </si>
  <si>
    <t>Сумма по ставкам</t>
  </si>
  <si>
    <t>Пенсия схема 1</t>
  </si>
  <si>
    <t>Пенсия схема 2-3</t>
  </si>
  <si>
    <t>Пенсия схема 5</t>
  </si>
  <si>
    <t>Пенсия схема 6</t>
  </si>
  <si>
    <t>Пенсия схема 7</t>
  </si>
  <si>
    <t>Ритуальные пособия, схема 1</t>
  </si>
  <si>
    <t>Выкупные суммы по схеме 2-3</t>
  </si>
  <si>
    <t>Выкупные суммы по схеме 4</t>
  </si>
  <si>
    <t>Выкупные суммы по схеме 5</t>
  </si>
  <si>
    <t>Итого по ставке</t>
  </si>
  <si>
    <t>разница по ставке</t>
  </si>
  <si>
    <t>Результаты расчета</t>
  </si>
  <si>
    <t>перечисленный налог, расшифровка по выплатам</t>
  </si>
  <si>
    <t>ВИД ВЫПЛАТЫ</t>
  </si>
  <si>
    <t>без исправлений</t>
  </si>
  <si>
    <t>с корректоровкой</t>
  </si>
  <si>
    <t>Удержано</t>
  </si>
  <si>
    <t>по движению на ЛСПВ</t>
  </si>
  <si>
    <t>несовпадение</t>
  </si>
  <si>
    <t>Не удержано</t>
  </si>
  <si>
    <t>Удержание налогов. Данные для сверки с квартальными отчетами.
За период с #START_DATE# по #END_DATE#</t>
  </si>
  <si>
    <t>Итого</t>
  </si>
  <si>
    <t>Всего</t>
  </si>
  <si>
    <t>без исправлений2</t>
  </si>
  <si>
    <t>с корректоровкой3</t>
  </si>
  <si>
    <t>Расхождение по ставкам</t>
  </si>
  <si>
    <t>по выплатам на даты</t>
  </si>
  <si>
    <t>Возвращено
по заявлениям (ст.231 НК)</t>
  </si>
  <si>
    <t>Исправление НДФЛ за предыдущий период (83 счет)</t>
  </si>
  <si>
    <t>01.01.2017</t>
  </si>
  <si>
    <t>points</t>
  </si>
  <si>
    <t>FND</t>
  </si>
  <si>
    <t>oracle_gateway</t>
  </si>
  <si>
    <t>gateway_user_pkg</t>
  </si>
  <si>
    <t>Дата загрузки</t>
  </si>
  <si>
    <t>Ок</t>
  </si>
</sst>
</file>

<file path=xl/styles.xml><?xml version="1.0" encoding="utf-8"?>
<styleSheet xmlns="http://schemas.openxmlformats.org/spreadsheetml/2006/main">
  <numFmts count="2">
    <numFmt numFmtId="164" formatCode="#,##0.00\ _₽"/>
    <numFmt numFmtId="165" formatCode="[$-419]mmmm\ yyyy;@"/>
  </numFmts>
  <fonts count="3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rgb="FF3D454C"/>
      <name val="Helvetica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1"/>
      <color theme="0" tint="-0.1499984740745262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sz val="9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8"/>
      <name val="Arial Cyr"/>
    </font>
    <font>
      <sz val="13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1"/>
      <name val="Arial Cyr"/>
      <charset val="204"/>
    </font>
    <font>
      <sz val="14"/>
      <color indexed="8"/>
      <name val="Arial"/>
      <family val="2"/>
      <charset val="204"/>
    </font>
    <font>
      <sz val="10"/>
      <name val="Arial Cyr"/>
    </font>
    <font>
      <b/>
      <sz val="14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b/>
      <sz val="10"/>
      <name val="Arial Cyr"/>
    </font>
    <font>
      <b/>
      <sz val="11"/>
      <name val="Arial Cyr"/>
    </font>
    <font>
      <b/>
      <sz val="11"/>
      <color theme="0"/>
      <name val="Arial Cyr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6">
    <xf numFmtId="0" fontId="0" fillId="0" borderId="0"/>
    <xf numFmtId="0" fontId="7" fillId="0" borderId="0"/>
    <xf numFmtId="165" fontId="16" fillId="0" borderId="0"/>
    <xf numFmtId="0" fontId="11" fillId="0" borderId="0"/>
    <xf numFmtId="0" fontId="7" fillId="0" borderId="0"/>
    <xf numFmtId="0" fontId="11" fillId="0" borderId="0"/>
  </cellStyleXfs>
  <cellXfs count="226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/>
    <xf numFmtId="0" fontId="4" fillId="0" borderId="2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164" fontId="0" fillId="0" borderId="6" xfId="0" applyNumberFormat="1" applyBorder="1" applyAlignment="1">
      <alignment horizontal="right" vertical="center"/>
    </xf>
    <xf numFmtId="164" fontId="0" fillId="0" borderId="18" xfId="0" applyNumberFormat="1" applyBorder="1" applyAlignment="1">
      <alignment horizontal="right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49" fontId="0" fillId="0" borderId="1" xfId="0" applyNumberFormat="1" applyBorder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0" fontId="0" fillId="4" borderId="0" xfId="0" applyFill="1" applyAlignment="1">
      <alignment horizontal="right" vertical="center" indent="1"/>
    </xf>
    <xf numFmtId="0" fontId="0" fillId="4" borderId="0" xfId="0" applyFill="1"/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21" xfId="0" applyFont="1" applyBorder="1"/>
    <xf numFmtId="0" fontId="0" fillId="5" borderId="0" xfId="0" applyFont="1" applyFill="1" applyBorder="1"/>
    <xf numFmtId="0" fontId="3" fillId="4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6" xfId="0" applyFill="1" applyBorder="1" applyAlignment="1">
      <alignment horizontal="left" vertical="center"/>
    </xf>
    <xf numFmtId="14" fontId="0" fillId="0" borderId="6" xfId="0" applyNumberFormat="1" applyFill="1" applyBorder="1" applyAlignment="1">
      <alignment horizontal="center" vertical="center"/>
    </xf>
    <xf numFmtId="14" fontId="0" fillId="0" borderId="2" xfId="0" applyNumberFormat="1" applyFill="1" applyBorder="1" applyAlignment="1">
      <alignment horizontal="center" vertical="center"/>
    </xf>
    <xf numFmtId="0" fontId="8" fillId="4" borderId="0" xfId="0" applyFont="1" applyFill="1" applyBorder="1"/>
    <xf numFmtId="0" fontId="0" fillId="0" borderId="0" xfId="0" applyFill="1" applyAlignment="1"/>
    <xf numFmtId="0" fontId="0" fillId="4" borderId="0" xfId="0" applyFill="1" applyBorder="1" applyAlignment="1">
      <alignment horizontal="center"/>
    </xf>
    <xf numFmtId="0" fontId="0" fillId="0" borderId="0" xfId="0" applyFont="1" applyBorder="1"/>
    <xf numFmtId="0" fontId="0" fillId="0" borderId="2" xfId="0" applyBorder="1" applyAlignment="1">
      <alignment horizontal="center" vertical="center"/>
    </xf>
    <xf numFmtId="0" fontId="0" fillId="0" borderId="6" xfId="0" applyBorder="1"/>
    <xf numFmtId="14" fontId="0" fillId="0" borderId="6" xfId="0" applyNumberFormat="1" applyBorder="1" applyAlignment="1">
      <alignment horizontal="center"/>
    </xf>
    <xf numFmtId="0" fontId="0" fillId="0" borderId="18" xfId="0" applyBorder="1"/>
    <xf numFmtId="0" fontId="0" fillId="0" borderId="2" xfId="0" applyBorder="1"/>
    <xf numFmtId="0" fontId="0" fillId="0" borderId="16" xfId="0" applyBorder="1"/>
    <xf numFmtId="4" fontId="0" fillId="0" borderId="0" xfId="0" applyNumberFormat="1"/>
    <xf numFmtId="0" fontId="0" fillId="0" borderId="0" xfId="0" applyAlignment="1">
      <alignment horizontal="right"/>
    </xf>
    <xf numFmtId="4" fontId="0" fillId="0" borderId="0" xfId="0" applyNumberFormat="1" applyBorder="1"/>
    <xf numFmtId="0" fontId="0" fillId="0" borderId="0" xfId="0" applyBorder="1" applyAlignment="1">
      <alignment horizontal="right"/>
    </xf>
    <xf numFmtId="4" fontId="0" fillId="0" borderId="23" xfId="0" applyNumberFormat="1" applyBorder="1"/>
    <xf numFmtId="0" fontId="6" fillId="3" borderId="25" xfId="0" quotePrefix="1" applyFont="1" applyFill="1" applyBorder="1" applyAlignment="1">
      <alignment horizontal="center"/>
    </xf>
    <xf numFmtId="0" fontId="6" fillId="3" borderId="26" xfId="0" quotePrefix="1" applyFont="1" applyFill="1" applyBorder="1" applyAlignment="1">
      <alignment horizontal="center"/>
    </xf>
    <xf numFmtId="0" fontId="3" fillId="0" borderId="0" xfId="0" applyFont="1"/>
    <xf numFmtId="4" fontId="3" fillId="0" borderId="0" xfId="0" applyNumberFormat="1" applyFont="1"/>
    <xf numFmtId="3" fontId="0" fillId="0" borderId="0" xfId="0" applyNumberFormat="1"/>
    <xf numFmtId="4" fontId="3" fillId="0" borderId="28" xfId="0" applyNumberFormat="1" applyFont="1" applyBorder="1"/>
    <xf numFmtId="4" fontId="12" fillId="0" borderId="0" xfId="1" applyNumberFormat="1" applyFont="1"/>
    <xf numFmtId="4" fontId="7" fillId="0" borderId="0" xfId="1" applyNumberFormat="1"/>
    <xf numFmtId="0" fontId="13" fillId="0" borderId="0" xfId="0" applyFont="1"/>
    <xf numFmtId="0" fontId="14" fillId="0" borderId="0" xfId="0" applyFont="1"/>
    <xf numFmtId="0" fontId="0" fillId="0" borderId="1" xfId="0" applyFont="1" applyFill="1" applyBorder="1"/>
    <xf numFmtId="0" fontId="0" fillId="0" borderId="1" xfId="0" applyFont="1" applyBorder="1"/>
    <xf numFmtId="4" fontId="0" fillId="0" borderId="1" xfId="0" applyNumberFormat="1" applyFont="1" applyFill="1" applyBorder="1"/>
    <xf numFmtId="3" fontId="0" fillId="0" borderId="1" xfId="0" applyNumberFormat="1" applyFont="1" applyFill="1" applyBorder="1"/>
    <xf numFmtId="0" fontId="3" fillId="3" borderId="19" xfId="0" applyFont="1" applyFill="1" applyBorder="1" applyAlignment="1">
      <alignment horizontal="center" vertical="center" wrapText="1"/>
    </xf>
    <xf numFmtId="0" fontId="3" fillId="3" borderId="20" xfId="0" applyFont="1" applyFill="1" applyBorder="1" applyAlignment="1">
      <alignment horizontal="center" vertical="center" wrapText="1"/>
    </xf>
    <xf numFmtId="0" fontId="3" fillId="3" borderId="27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/>
    </xf>
    <xf numFmtId="0" fontId="6" fillId="3" borderId="7" xfId="0" quotePrefix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/>
    </xf>
    <xf numFmtId="0" fontId="0" fillId="0" borderId="1" xfId="0" applyBorder="1"/>
    <xf numFmtId="3" fontId="7" fillId="0" borderId="1" xfId="1" applyNumberFormat="1" applyFont="1" applyFill="1" applyBorder="1"/>
    <xf numFmtId="4" fontId="7" fillId="0" borderId="1" xfId="1" applyNumberFormat="1" applyFont="1" applyFill="1" applyBorder="1"/>
    <xf numFmtId="0" fontId="4" fillId="0" borderId="1" xfId="0" applyFont="1" applyFill="1" applyBorder="1"/>
    <xf numFmtId="4" fontId="7" fillId="0" borderId="1" xfId="1" applyNumberFormat="1" applyFont="1" applyFill="1" applyBorder="1" applyAlignment="1">
      <alignment horizontal="right"/>
    </xf>
    <xf numFmtId="0" fontId="3" fillId="0" borderId="2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15" fillId="0" borderId="0" xfId="0" applyFont="1" applyFill="1" applyAlignment="1">
      <alignment horizontal="right"/>
    </xf>
    <xf numFmtId="0" fontId="15" fillId="0" borderId="0" xfId="0" applyFont="1" applyFill="1"/>
    <xf numFmtId="4" fontId="15" fillId="0" borderId="0" xfId="0" applyNumberFormat="1" applyFont="1" applyFill="1"/>
    <xf numFmtId="3" fontId="15" fillId="0" borderId="0" xfId="0" applyNumberFormat="1" applyFont="1" applyFill="1"/>
    <xf numFmtId="0" fontId="7" fillId="0" borderId="0" xfId="1"/>
    <xf numFmtId="49" fontId="12" fillId="0" borderId="0" xfId="1" applyNumberFormat="1" applyFont="1" applyAlignment="1" applyProtection="1">
      <alignment horizontal="right"/>
      <protection locked="0" hidden="1"/>
    </xf>
    <xf numFmtId="0" fontId="3" fillId="2" borderId="33" xfId="0" applyFont="1" applyFill="1" applyBorder="1" applyAlignment="1">
      <alignment wrapText="1"/>
    </xf>
    <xf numFmtId="14" fontId="12" fillId="2" borderId="34" xfId="1" applyNumberFormat="1" applyFont="1" applyFill="1" applyBorder="1" applyAlignment="1">
      <alignment horizontal="center" wrapText="1"/>
    </xf>
    <xf numFmtId="4" fontId="12" fillId="2" borderId="34" xfId="1" applyNumberFormat="1" applyFont="1" applyFill="1" applyBorder="1" applyAlignment="1">
      <alignment horizontal="center" wrapText="1"/>
    </xf>
    <xf numFmtId="4" fontId="12" fillId="2" borderId="35" xfId="1" applyNumberFormat="1" applyFont="1" applyFill="1" applyBorder="1" applyAlignment="1">
      <alignment horizontal="center" wrapText="1"/>
    </xf>
    <xf numFmtId="0" fontId="6" fillId="2" borderId="27" xfId="0" applyFont="1" applyFill="1" applyBorder="1" applyAlignment="1">
      <alignment horizontal="right"/>
    </xf>
    <xf numFmtId="49" fontId="6" fillId="0" borderId="0" xfId="0" applyNumberFormat="1" applyFont="1"/>
    <xf numFmtId="14" fontId="7" fillId="0" borderId="39" xfId="1" applyNumberFormat="1" applyBorder="1"/>
    <xf numFmtId="4" fontId="7" fillId="0" borderId="7" xfId="1" applyNumberFormat="1" applyBorder="1"/>
    <xf numFmtId="49" fontId="17" fillId="2" borderId="36" xfId="0" applyNumberFormat="1" applyFont="1" applyFill="1" applyBorder="1" applyAlignment="1" applyProtection="1">
      <alignment horizontal="center" wrapText="1"/>
    </xf>
    <xf numFmtId="49" fontId="17" fillId="2" borderId="37" xfId="0" applyNumberFormat="1" applyFont="1" applyFill="1" applyBorder="1" applyAlignment="1" applyProtection="1">
      <alignment horizontal="center" wrapText="1"/>
    </xf>
    <xf numFmtId="49" fontId="17" fillId="2" borderId="38" xfId="0" applyNumberFormat="1" applyFont="1" applyFill="1" applyBorder="1" applyAlignment="1" applyProtection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18" fillId="0" borderId="31" xfId="0" applyFont="1" applyBorder="1" applyAlignment="1">
      <alignment vertical="center" wrapText="1"/>
    </xf>
    <xf numFmtId="0" fontId="18" fillId="0" borderId="0" xfId="0" applyFont="1" applyBorder="1" applyAlignment="1">
      <alignment vertical="center"/>
    </xf>
    <xf numFmtId="0" fontId="21" fillId="0" borderId="0" xfId="0" applyNumberFormat="1" applyFont="1" applyAlignment="1"/>
    <xf numFmtId="4" fontId="12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3" fontId="0" fillId="0" borderId="0" xfId="0" applyNumberFormat="1" applyAlignment="1">
      <alignment horizontal="right" vertical="center"/>
    </xf>
    <xf numFmtId="3" fontId="3" fillId="0" borderId="1" xfId="0" applyNumberFormat="1" applyFont="1" applyBorder="1" applyAlignment="1">
      <alignment horizontal="right" vertical="center"/>
    </xf>
    <xf numFmtId="0" fontId="7" fillId="0" borderId="0" xfId="4"/>
    <xf numFmtId="49" fontId="12" fillId="0" borderId="0" xfId="4" applyNumberFormat="1" applyFont="1" applyAlignment="1">
      <alignment horizontal="center" wrapText="1"/>
    </xf>
    <xf numFmtId="49" fontId="7" fillId="0" borderId="0" xfId="4" applyNumberFormat="1" applyAlignment="1">
      <alignment horizontal="center"/>
    </xf>
    <xf numFmtId="4" fontId="7" fillId="0" borderId="0" xfId="4" applyNumberFormat="1" applyFill="1" applyBorder="1" applyAlignment="1">
      <alignment horizontal="right"/>
    </xf>
    <xf numFmtId="4" fontId="7" fillId="0" borderId="0" xfId="4" applyNumberFormat="1"/>
    <xf numFmtId="4" fontId="7" fillId="0" borderId="0" xfId="4" applyNumberFormat="1" applyAlignment="1">
      <alignment horizontal="left"/>
    </xf>
    <xf numFmtId="4" fontId="24" fillId="0" borderId="1" xfId="4" applyNumberFormat="1" applyFont="1" applyFill="1" applyBorder="1" applyAlignment="1">
      <alignment horizontal="right" vertical="center" wrapText="1"/>
    </xf>
    <xf numFmtId="49" fontId="23" fillId="0" borderId="1" xfId="4" applyNumberFormat="1" applyFont="1" applyBorder="1" applyAlignment="1">
      <alignment horizontal="center" wrapText="1"/>
    </xf>
    <xf numFmtId="49" fontId="23" fillId="0" borderId="1" xfId="4" applyNumberFormat="1" applyFont="1" applyBorder="1" applyAlignment="1" applyProtection="1">
      <alignment horizontal="center"/>
      <protection locked="0" hidden="1"/>
    </xf>
    <xf numFmtId="49" fontId="7" fillId="0" borderId="1" xfId="4" applyNumberFormat="1" applyBorder="1"/>
    <xf numFmtId="0" fontId="12" fillId="0" borderId="1" xfId="0" applyNumberFormat="1" applyFont="1" applyFill="1" applyBorder="1" applyAlignment="1" applyProtection="1">
      <alignment horizontal="right" vertical="center"/>
    </xf>
    <xf numFmtId="49" fontId="12" fillId="0" borderId="1" xfId="4" applyNumberFormat="1" applyFont="1" applyBorder="1" applyAlignment="1">
      <alignment horizontal="right"/>
    </xf>
    <xf numFmtId="0" fontId="25" fillId="0" borderId="0" xfId="0" applyNumberFormat="1" applyFont="1" applyFill="1" applyBorder="1" applyAlignment="1" applyProtection="1">
      <alignment horizontal="right"/>
    </xf>
    <xf numFmtId="4" fontId="25" fillId="0" borderId="0" xfId="0" applyNumberFormat="1" applyFont="1" applyFill="1" applyBorder="1" applyAlignment="1" applyProtection="1">
      <alignment horizontal="right"/>
    </xf>
    <xf numFmtId="4" fontId="26" fillId="0" borderId="1" xfId="0" applyNumberFormat="1" applyFont="1" applyFill="1" applyBorder="1" applyAlignment="1" applyProtection="1">
      <alignment horizontal="right" vertical="center" wrapText="1"/>
    </xf>
    <xf numFmtId="0" fontId="12" fillId="0" borderId="0" xfId="4" applyFont="1"/>
    <xf numFmtId="0" fontId="7" fillId="0" borderId="0" xfId="4" applyBorder="1"/>
    <xf numFmtId="4" fontId="22" fillId="0" borderId="0" xfId="4" applyNumberFormat="1" applyFont="1" applyAlignment="1">
      <alignment horizontal="left"/>
    </xf>
    <xf numFmtId="4" fontId="24" fillId="0" borderId="0" xfId="4" applyNumberFormat="1" applyFont="1" applyFill="1" applyBorder="1" applyAlignment="1">
      <alignment horizontal="right" vertical="center" wrapText="1"/>
    </xf>
    <xf numFmtId="49" fontId="23" fillId="0" borderId="1" xfId="4" applyNumberFormat="1" applyFont="1" applyBorder="1" applyAlignment="1" applyProtection="1">
      <alignment horizontal="left"/>
      <protection locked="0" hidden="1"/>
    </xf>
    <xf numFmtId="4" fontId="26" fillId="0" borderId="0" xfId="0" applyNumberFormat="1" applyFont="1" applyFill="1" applyBorder="1" applyAlignment="1" applyProtection="1">
      <alignment horizontal="right" vertical="center" wrapText="1"/>
    </xf>
    <xf numFmtId="49" fontId="23" fillId="0" borderId="22" xfId="4" applyNumberFormat="1" applyFont="1" applyBorder="1" applyAlignment="1" applyProtection="1">
      <alignment wrapText="1"/>
      <protection locked="0" hidden="1"/>
    </xf>
    <xf numFmtId="4" fontId="24" fillId="0" borderId="22" xfId="4" applyNumberFormat="1" applyFont="1" applyFill="1" applyBorder="1" applyAlignment="1">
      <alignment vertical="center"/>
    </xf>
    <xf numFmtId="0" fontId="7" fillId="0" borderId="1" xfId="4" applyBorder="1"/>
    <xf numFmtId="4" fontId="24" fillId="0" borderId="1" xfId="4" applyNumberFormat="1" applyFont="1" applyFill="1" applyBorder="1" applyAlignment="1">
      <alignment horizontal="right" vertical="center"/>
    </xf>
    <xf numFmtId="4" fontId="27" fillId="0" borderId="0" xfId="0" applyNumberFormat="1" applyFont="1" applyFill="1" applyBorder="1" applyAlignment="1" applyProtection="1">
      <alignment horizontal="right" vertical="center" wrapText="1"/>
    </xf>
    <xf numFmtId="49" fontId="12" fillId="0" borderId="1" xfId="4" applyNumberFormat="1" applyFont="1" applyBorder="1" applyAlignment="1">
      <alignment horizontal="left"/>
    </xf>
    <xf numFmtId="49" fontId="28" fillId="0" borderId="1" xfId="0" applyNumberFormat="1" applyFont="1" applyFill="1" applyBorder="1" applyAlignment="1" applyProtection="1"/>
    <xf numFmtId="0" fontId="7" fillId="0" borderId="0" xfId="4" applyFill="1"/>
    <xf numFmtId="49" fontId="29" fillId="0" borderId="2" xfId="4" applyNumberFormat="1" applyFont="1" applyFill="1" applyBorder="1" applyAlignment="1" applyProtection="1">
      <alignment horizontal="center"/>
      <protection locked="0" hidden="1"/>
    </xf>
    <xf numFmtId="49" fontId="23" fillId="0" borderId="10" xfId="4" applyNumberFormat="1" applyFont="1" applyBorder="1" applyAlignment="1" applyProtection="1">
      <alignment horizontal="center"/>
      <protection locked="0" hidden="1"/>
    </xf>
    <xf numFmtId="49" fontId="29" fillId="0" borderId="15" xfId="4" applyNumberFormat="1" applyFont="1" applyFill="1" applyBorder="1" applyAlignment="1" applyProtection="1">
      <alignment horizontal="center"/>
      <protection locked="0" hidden="1"/>
    </xf>
    <xf numFmtId="49" fontId="30" fillId="0" borderId="0" xfId="4" applyNumberFormat="1" applyFont="1" applyFill="1" applyBorder="1" applyAlignment="1" applyProtection="1">
      <alignment horizontal="center"/>
      <protection locked="0" hidden="1"/>
    </xf>
    <xf numFmtId="49" fontId="29" fillId="0" borderId="1" xfId="4" applyNumberFormat="1" applyFont="1" applyFill="1" applyBorder="1" applyAlignment="1" applyProtection="1">
      <alignment horizontal="center"/>
      <protection locked="0" hidden="1"/>
    </xf>
    <xf numFmtId="0" fontId="0" fillId="0" borderId="40" xfId="0" applyBorder="1" applyAlignment="1"/>
    <xf numFmtId="0" fontId="0" fillId="0" borderId="23" xfId="0" applyBorder="1" applyAlignment="1"/>
    <xf numFmtId="49" fontId="7" fillId="0" borderId="1" xfId="4" applyNumberFormat="1" applyFill="1" applyBorder="1"/>
    <xf numFmtId="49" fontId="23" fillId="4" borderId="1" xfId="4" applyNumberFormat="1" applyFont="1" applyFill="1" applyBorder="1" applyAlignment="1" applyProtection="1">
      <alignment horizontal="center"/>
      <protection locked="0" hidden="1"/>
    </xf>
    <xf numFmtId="49" fontId="23" fillId="4" borderId="1" xfId="4" applyNumberFormat="1" applyFont="1" applyFill="1" applyBorder="1" applyAlignment="1">
      <alignment horizontal="center" wrapText="1"/>
    </xf>
    <xf numFmtId="49" fontId="7" fillId="4" borderId="1" xfId="4" applyNumberFormat="1" applyFont="1" applyFill="1" applyBorder="1"/>
    <xf numFmtId="4" fontId="24" fillId="4" borderId="1" xfId="4" applyNumberFormat="1" applyFont="1" applyFill="1" applyBorder="1" applyAlignment="1">
      <alignment horizontal="right" vertical="center" wrapText="1"/>
    </xf>
    <xf numFmtId="4" fontId="24" fillId="4" borderId="1" xfId="4" applyNumberFormat="1" applyFont="1" applyFill="1" applyBorder="1" applyAlignment="1">
      <alignment vertical="center" wrapText="1"/>
    </xf>
    <xf numFmtId="4" fontId="7" fillId="4" borderId="1" xfId="4" applyNumberFormat="1" applyFill="1" applyBorder="1" applyAlignment="1">
      <alignment horizontal="right"/>
    </xf>
    <xf numFmtId="49" fontId="23" fillId="0" borderId="1" xfId="4" applyNumberFormat="1" applyFont="1" applyBorder="1" applyAlignment="1" applyProtection="1">
      <alignment horizontal="left" wrapText="1"/>
      <protection locked="0" hidden="1"/>
    </xf>
    <xf numFmtId="4" fontId="24" fillId="0" borderId="1" xfId="4" applyNumberFormat="1" applyFont="1" applyFill="1" applyBorder="1" applyAlignment="1">
      <alignment vertical="center"/>
    </xf>
    <xf numFmtId="0" fontId="0" fillId="7" borderId="0" xfId="0" applyFill="1"/>
    <xf numFmtId="0" fontId="0" fillId="7" borderId="0" xfId="0" applyFill="1" applyBorder="1"/>
    <xf numFmtId="0" fontId="1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8" fillId="0" borderId="22" xfId="0" applyFont="1" applyBorder="1" applyAlignment="1">
      <alignment horizontal="center" vertical="center" wrapText="1"/>
    </xf>
    <xf numFmtId="0" fontId="18" fillId="0" borderId="2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3" fillId="0" borderId="14" xfId="0" applyFont="1" applyFill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/>
    </xf>
    <xf numFmtId="0" fontId="1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1" fillId="0" borderId="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vertical="center"/>
    </xf>
    <xf numFmtId="0" fontId="18" fillId="0" borderId="0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16" xfId="0" applyFill="1" applyBorder="1" applyAlignment="1">
      <alignment horizontal="left" vertical="top"/>
    </xf>
    <xf numFmtId="0" fontId="0" fillId="6" borderId="22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4" borderId="0" xfId="0" applyFill="1" applyBorder="1" applyAlignment="1">
      <alignment horizontal="center"/>
    </xf>
    <xf numFmtId="0" fontId="4" fillId="6" borderId="0" xfId="0" applyFont="1" applyFill="1" applyBorder="1" applyAlignment="1">
      <alignment horizontal="left" vertical="top" wrapText="1"/>
    </xf>
    <xf numFmtId="0" fontId="4" fillId="6" borderId="0" xfId="0" applyFont="1" applyFill="1" applyBorder="1" applyAlignment="1">
      <alignment horizontal="left" vertical="top"/>
    </xf>
    <xf numFmtId="49" fontId="23" fillId="0" borderId="1" xfId="4" applyNumberFormat="1" applyFont="1" applyBorder="1" applyAlignment="1" applyProtection="1">
      <alignment horizontal="left" wrapText="1"/>
      <protection locked="0" hidden="1"/>
    </xf>
    <xf numFmtId="4" fontId="24" fillId="0" borderId="1" xfId="4" applyNumberFormat="1" applyFont="1" applyFill="1" applyBorder="1" applyAlignment="1">
      <alignment horizontal="right" vertical="center"/>
    </xf>
    <xf numFmtId="49" fontId="21" fillId="0" borderId="0" xfId="4" applyNumberFormat="1" applyFont="1" applyAlignment="1">
      <alignment horizontal="center" wrapText="1"/>
    </xf>
    <xf numFmtId="49" fontId="21" fillId="0" borderId="0" xfId="4" applyNumberFormat="1" applyFont="1" applyAlignment="1">
      <alignment horizontal="center"/>
    </xf>
    <xf numFmtId="49" fontId="23" fillId="0" borderId="1" xfId="4" applyNumberFormat="1" applyFont="1" applyBorder="1" applyAlignment="1" applyProtection="1">
      <alignment horizontal="center" vertical="center"/>
      <protection locked="0" hidden="1"/>
    </xf>
    <xf numFmtId="49" fontId="21" fillId="0" borderId="1" xfId="4" applyNumberFormat="1" applyFont="1" applyBorder="1" applyAlignment="1" applyProtection="1">
      <alignment horizontal="center" vertical="center"/>
      <protection locked="0" hidden="1"/>
    </xf>
    <xf numFmtId="49" fontId="23" fillId="0" borderId="1" xfId="4" applyNumberFormat="1" applyFont="1" applyBorder="1" applyAlignment="1">
      <alignment horizontal="center" vertical="center" wrapText="1"/>
    </xf>
    <xf numFmtId="49" fontId="7" fillId="0" borderId="0" xfId="4" applyNumberForma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1" fillId="0" borderId="31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 wrapText="1"/>
    </xf>
    <xf numFmtId="0" fontId="13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1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right" vertical="center"/>
    </xf>
    <xf numFmtId="0" fontId="22" fillId="0" borderId="0" xfId="0" applyNumberFormat="1" applyFont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</cellXfs>
  <cellStyles count="6">
    <cellStyle name="Обычный" xfId="0" builtinId="0"/>
    <cellStyle name="Обычный 2" xfId="2"/>
    <cellStyle name="Обычный 3" xfId="3"/>
    <cellStyle name="Обычный 4" xfId="1"/>
    <cellStyle name="Обычный 4 2" xfId="5"/>
    <cellStyle name="Обычный 5" xfId="4"/>
  </cellStyles>
  <dxfs count="220"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border diagonalUp="0" diagonalDown="0" outline="0">
        <left/>
        <right/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</dxf>
    <dxf>
      <font>
        <b val="0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9" formatCode="dd/mm/yyyy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textRotation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solid">
          <fgColor indexed="64"/>
          <bgColor theme="0" tint="-0.149998474074526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FF0000"/>
      </font>
      <fill>
        <patternFill patternType="none">
          <bgColor auto="1"/>
        </patternFill>
      </fill>
    </dxf>
    <dxf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187686</xdr:colOff>
      <xdr:row>0</xdr:row>
      <xdr:rowOff>136823</xdr:rowOff>
    </xdr:from>
    <xdr:to>
      <xdr:col>4</xdr:col>
      <xdr:colOff>167604</xdr:colOff>
      <xdr:row>2</xdr:row>
      <xdr:rowOff>38288</xdr:rowOff>
    </xdr:to>
    <xdr:sp macro="[0]!Reports.go_onclick" textlink="">
      <xdr:nvSpPr>
        <xdr:cNvPr id="7" name="Стрелка вправо 6"/>
        <xdr:cNvSpPr/>
      </xdr:nvSpPr>
      <xdr:spPr>
        <a:xfrm>
          <a:off x="3845286" y="136823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0</xdr:rowOff>
    </xdr:from>
    <xdr:to>
      <xdr:col>0</xdr:col>
      <xdr:colOff>1095375</xdr:colOff>
      <xdr:row>0</xdr:row>
      <xdr:rowOff>400050</xdr:rowOff>
    </xdr:to>
    <xdr:sp macro="[0]!Processor.continue" textlink="">
      <xdr:nvSpPr>
        <xdr:cNvPr id="2" name="Стрелка вправо 1"/>
        <xdr:cNvSpPr/>
      </xdr:nvSpPr>
      <xdr:spPr>
        <a:xfrm>
          <a:off x="152400" y="0"/>
          <a:ext cx="942975" cy="400050"/>
        </a:xfrm>
        <a:prstGeom prst="rightArrow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>
              <a:solidFill>
                <a:sysClr val="windowText" lastClr="000000"/>
              </a:solidFill>
            </a:rPr>
            <a:t>Разобрать</a:t>
          </a:r>
        </a:p>
      </xdr:txBody>
    </xdr:sp>
    <xdr:clientData/>
  </xdr:twoCellAnchor>
  <xdr:twoCellAnchor>
    <xdr:from>
      <xdr:col>4</xdr:col>
      <xdr:colOff>85726</xdr:colOff>
      <xdr:row>0</xdr:row>
      <xdr:rowOff>38100</xdr:rowOff>
    </xdr:from>
    <xdr:to>
      <xdr:col>4</xdr:col>
      <xdr:colOff>485776</xdr:colOff>
      <xdr:row>0</xdr:row>
      <xdr:rowOff>409575</xdr:rowOff>
    </xdr:to>
    <xdr:sp macro="[0]!send" textlink="">
      <xdr:nvSpPr>
        <xdr:cNvPr id="4" name="btnSend" hidden="1"/>
        <xdr:cNvSpPr/>
      </xdr:nvSpPr>
      <xdr:spPr>
        <a:xfrm>
          <a:off x="8010526" y="38100"/>
          <a:ext cx="400050" cy="371475"/>
        </a:xfrm>
        <a:prstGeom prst="lightningBol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ru-RU" sz="1100"/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id="2" name="Таблица2" displayName="Таблица2" ref="A4:J5" totalsRowShown="0" headerRowDxfId="219" dataDxfId="217" headerRowBorderDxfId="218" tableBorderDxfId="216" totalsRowBorderDxfId="215">
  <autoFilter ref="A4:J5"/>
  <tableColumns count="10">
    <tableColumn id="1" name="1" dataDxfId="214"/>
    <tableColumn id="2" name="2" dataDxfId="213"/>
    <tableColumn id="5" name="3" dataDxfId="212"/>
    <tableColumn id="6" name="4" dataDxfId="211"/>
    <tableColumn id="7" name="5" dataDxfId="210"/>
    <tableColumn id="10" name="6" dataDxfId="209"/>
    <tableColumn id="11" name="7" dataDxfId="208"/>
    <tableColumn id="12" name="8" dataDxfId="207"/>
    <tableColumn id="13" name="9" dataDxfId="206"/>
    <tableColumn id="14" name="10" dataDxfId="20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22" displayName="Таблица22" ref="A5:P6" totalsRowShown="0" headerRowDxfId="204" dataDxfId="202" headerRowBorderDxfId="203" tableBorderDxfId="201" totalsRowBorderDxfId="200">
  <autoFilter ref="A5:P6"/>
  <tableColumns count="16">
    <tableColumn id="1" name="1" dataDxfId="199"/>
    <tableColumn id="2" name="2" dataDxfId="198"/>
    <tableColumn id="3" name="3" dataDxfId="197"/>
    <tableColumn id="4" name="4" dataDxfId="196"/>
    <tableColumn id="5" name="5" dataDxfId="195"/>
    <tableColumn id="6" name="6" dataDxfId="194"/>
    <tableColumn id="7" name="7" dataDxfId="193"/>
    <tableColumn id="8" name="8" dataDxfId="192"/>
    <tableColumn id="9" name="9" dataDxfId="191"/>
    <tableColumn id="10" name="10" dataDxfId="190"/>
    <tableColumn id="11" name="11" dataDxfId="189"/>
    <tableColumn id="12" name="12" dataDxfId="188"/>
    <tableColumn id="13" name="13" dataDxfId="187"/>
    <tableColumn id="14" name="14" dataDxfId="186"/>
    <tableColumn id="15" name="15" dataDxfId="185"/>
    <tableColumn id="16" name="16" dataDxfId="18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Таблица24" displayName="Таблица24" ref="A3:I4" totalsRowShown="0" headerRowDxfId="183" dataDxfId="181" headerRowBorderDxfId="182" tableBorderDxfId="180" totalsRowBorderDxfId="179">
  <autoFilter ref="A3:I4">
    <filterColumn colId="1"/>
  </autoFilter>
  <tableColumns count="9">
    <tableColumn id="1" name="1" dataDxfId="178"/>
    <tableColumn id="3" name="2" dataDxfId="177"/>
    <tableColumn id="2" name="3" dataDxfId="176"/>
    <tableColumn id="5" name="4" dataDxfId="175"/>
    <tableColumn id="6" name="5" dataDxfId="174"/>
    <tableColumn id="7" name="6" dataDxfId="173"/>
    <tableColumn id="10" name="7" dataDxfId="172"/>
    <tableColumn id="11" name="8" dataDxfId="171"/>
    <tableColumn id="12" name="9" dataDxfId="17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Таблица225" displayName="Таблица225" ref="A4:R5" totalsRowShown="0" headerRowDxfId="169" dataDxfId="167" headerRowBorderDxfId="168" tableBorderDxfId="166" totalsRowBorderDxfId="165">
  <autoFilter ref="A4:R5">
    <filterColumn colId="1"/>
    <filterColumn colId="2"/>
    <filterColumn colId="3"/>
    <filterColumn colId="4"/>
    <filterColumn colId="5"/>
    <filterColumn colId="6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  <filterColumn colId="16"/>
    <filterColumn colId="17"/>
  </autoFilter>
  <tableColumns count="18">
    <tableColumn id="1" name="1" dataDxfId="164"/>
    <tableColumn id="20" name="2" dataDxfId="163"/>
    <tableColumn id="19" name="3" dataDxfId="162"/>
    <tableColumn id="18" name="4" dataDxfId="161"/>
    <tableColumn id="17" name="5" dataDxfId="160"/>
    <tableColumn id="23" name="6" dataDxfId="159"/>
    <tableColumn id="22" name="7" dataDxfId="158"/>
    <tableColumn id="21" name="8" dataDxfId="157"/>
    <tableColumn id="28" name="9" dataDxfId="156"/>
    <tableColumn id="29" name="10" dataDxfId="155"/>
    <tableColumn id="27" name="11" dataDxfId="154"/>
    <tableColumn id="26" name="12" dataDxfId="153"/>
    <tableColumn id="25" name="13" dataDxfId="152"/>
    <tableColumn id="5" name="14" dataDxfId="151"/>
    <tableColumn id="4" name="15" dataDxfId="150"/>
    <tableColumn id="3" name="16" dataDxfId="149"/>
    <tableColumn id="2" name="17" dataDxfId="148"/>
    <tableColumn id="24" name="18" dataDxfId="14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9" name="Menu" displayName="Menu" ref="D2:E4" totalsRowShown="0">
  <autoFilter ref="D2:E4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0" name="Actions" displayName="Actions" ref="G2:J8" totalsRowShown="0">
  <autoFilter ref="G2:J8">
    <filterColumn colId="3"/>
  </autoFilter>
  <tableColumns count="4">
    <tableColumn id="1" name="Code"/>
    <tableColumn id="2" name="Type"/>
    <tableColumn id="3" name="ActionCode"/>
    <tableColumn id="4" name="AfterAction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1" name="Programs" displayName="Programs" ref="V2:Z6" totalsRowShown="0">
  <autoFilter ref="V2:Z6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2" name="Reports" displayName="Reports" ref="L2:Q4" totalsRowShown="0">
  <autoFilter ref="L2:Q4">
    <filterColumn colId="3"/>
    <filterColumn colId="4"/>
  </autoFilter>
  <tableColumns count="6">
    <tableColumn id="1" name="Code"/>
    <tableColumn id="2" name="TemplateSheetName"/>
    <tableColumn id="3" name="NewSheetName"/>
    <tableColumn id="5" name="CreateMode"/>
    <tableColumn id="6" name="Program"/>
    <tableColumn id="4" name="ReportTyp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3" name="SubReports" displayName="SubReports" ref="S2:T3" insertRow="1" totalsRowShown="0">
  <autoFilter ref="S2:T3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4" name="GeneralOptions" displayName="GeneralOptions" ref="A2:B8" headerRowBorderDxfId="146" tableBorderDxfId="145" totalsRowBorderDxfId="144">
  <autoFilter ref="A2:B8"/>
  <tableColumns count="2">
    <tableColumn id="1" name="Key" totalsRowLabel="Итог" totalsRowDxfId="143"/>
    <tableColumn id="2" name="Value" totalsRowFunction="count" totalsRowDxfId="14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7" name="ActionTypes" displayName="ActionTypes" ref="AJ2:AJ4" totalsRowShown="0" tableBorderDxfId="141">
  <autoFilter ref="AJ2:AJ4"/>
  <tableColumns count="1">
    <tableColumn id="1" name="Cod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8" name="CreateModes" displayName="CreateModes" ref="AL2:AL4" totalsRowShown="0">
  <autoFilter ref="AL2:AL4"/>
  <tableColumns count="1">
    <tableColumn id="1" name="Cod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20" name="ReportTypes" displayName="ReportTypes" ref="AN2:AN5" totalsRowShown="0">
  <autoFilter ref="AN2:AN5"/>
  <tableColumns count="1">
    <tableColumn id="1" name="Cod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5" name="ProgramTypes" displayName="ProgramTypes" ref="AP2:AP4" totalsRowShown="0">
  <autoFilter ref="AP2:AP4"/>
  <tableColumns count="1">
    <tableColumn id="1" name="Cod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9" name="ParamPurpose" displayName="ParamPurpose" ref="AR2:AR3" totalsRowShown="0">
  <autoFilter ref="AR2:AR3"/>
  <tableColumns count="1">
    <tableColumn id="1" name="Cod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21" name="ReturnTypes" displayName="ReturnTypes" ref="AT2:AT3" totalsRowShown="0">
  <autoFilter ref="AT2:AT3"/>
  <tableColumns count="1">
    <tableColumn id="1" name="Code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23" name="Direction" displayName="Direction" ref="AV2:AV4" totalsRowShown="0">
  <autoFilter ref="AV2:AV4"/>
  <tableColumns count="1">
    <tableColumn id="1" name="Code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2" name="Parameters" displayName="Parameters" ref="AB2:AH8" totalsRowShown="0">
  <autoFilter ref="AB2:AH8">
    <filterColumn colId="5"/>
    <filterColumn colId="6"/>
  </autoFilter>
  <tableColumns count="7">
    <tableColumn id="1" name="Program" dataDxfId="140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4" name="YesNo" displayName="YesNo" ref="AX2:AX4" totalsRowShown="0">
  <autoFilter ref="AX2:AX4"/>
  <tableColumns count="1">
    <tableColumn id="1" name="Cod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7" name="AfterAction" displayName="AfterAction" ref="AZ2:AZ3" totalsRowShown="0">
  <autoFilter ref="AZ2:AZ3"/>
  <tableColumns count="1">
    <tableColumn id="1" name="Code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7" name="CommonTokens" displayName="CommonTokens" ref="BB2:BC4" totalsRowShown="0">
  <autoFilter ref="BB2:BC4"/>
  <tableColumns count="2">
    <tableColumn id="1" name="Key"/>
    <tableColumn id="2" name="Value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16" name="Таблица16" displayName="Таблица16" ref="C3:C5" totalsRowShown="0" headerRowDxfId="139" dataDxfId="138" tableBorderDxfId="137">
  <tableColumns count="1">
    <tableColumn id="1" name="Столбец1" dataDxfId="136"/>
  </tableColumns>
  <tableStyleInfo name="TableStyleMedium2" showFirstColumn="0" showLastColumn="0" showRowStripes="0" showColumnStripes="0"/>
</table>
</file>

<file path=xl/tables/table23.xml><?xml version="1.0" encoding="utf-8"?>
<table xmlns="http://schemas.openxmlformats.org/spreadsheetml/2006/main" id="42" name="Таблица42" displayName="Таблица42" ref="A4:C14" totalsRowCount="1" headerRowDxfId="134" totalsRowDxfId="133">
  <tableColumns count="3">
    <tableColumn id="1" name="ВИД ВЫПЛАТЫ" totalsRowLabel="Итого" dataDxfId="132" totalsRowDxfId="131" dataCellStyle="Обычный 5"/>
    <tableColumn id="2" name="13%" totalsRowFunction="sum" dataDxfId="130" totalsRowDxfId="129" dataCellStyle="Обычный 5"/>
    <tableColumn id="3" name="30%" totalsRowFunction="sum" dataDxfId="128" totalsRowDxfId="127" dataCellStyle="Обычный 5"/>
  </tableColumns>
  <tableStyleInfo showFirstColumn="0" showLastColumn="0" showRowStripes="1" showColumnStripes="0"/>
</table>
</file>

<file path=xl/tables/table24.xml><?xml version="1.0" encoding="utf-8"?>
<table xmlns="http://schemas.openxmlformats.org/spreadsheetml/2006/main" id="43" name="Таблица43" displayName="Таблица43" ref="E4:H14" totalsRowCount="1" headerRowDxfId="126" dataDxfId="124" headerRowBorderDxfId="125" headerRowCellStyle="Обычный 5" dataCellStyle="Обычный 5">
  <tableColumns count="4">
    <tableColumn id="1" name="Сумма по ставкам" totalsRowFunction="sum" dataDxfId="123" totalsRowDxfId="122" dataCellStyle="Обычный 5"/>
    <tableColumn id="2" name="13%" dataDxfId="121" totalsRowDxfId="120" dataCellStyle="Обычный 5">
      <calculatedColumnFormula>B31+#REF!-Таблица42[[#This Row],[13%]]</calculatedColumnFormula>
    </tableColumn>
    <tableColumn id="3" name="30%" dataDxfId="119" totalsRowDxfId="118" dataCellStyle="Обычный 5"/>
    <tableColumn id="4" name="Расхождение по ставкам" dataDxfId="117" totalsRowDxfId="116" dataCellStyle="Обычный 5">
      <calculatedColumnFormula>Таблица43[[#This Row],[13%]]+Таблица43[[#This Row],[30%]]</calculatedColumnFormula>
    </tableColumn>
  </tableColumns>
  <tableStyleInfo showFirstColumn="0" showLastColumn="0" showRowStripes="1" showColumnStripes="0"/>
</table>
</file>

<file path=xl/tables/table25.xml><?xml version="1.0" encoding="utf-8"?>
<table xmlns="http://schemas.openxmlformats.org/spreadsheetml/2006/main" id="44" name="Таблица44" displayName="Таблица44" ref="A20:H32" totalsRowCount="1" headerRowDxfId="115" totalsRowDxfId="113" headerRowBorderDxfId="114" headerRowCellStyle="Обычный 5">
  <tableColumns count="8">
    <tableColumn id="1" name="ВИД ВЫПЛАТЫ" totalsRowLabel="Итого по ставке" dataDxfId="112" totalsRowDxfId="111" dataCellStyle="Обычный 5"/>
    <tableColumn id="2" name="13%" totalsRowFunction="sum" dataDxfId="110" totalsRowDxfId="109" dataCellStyle="Обычный 5"/>
    <tableColumn id="3" name="30%" totalsRowFunction="sum" dataDxfId="108" totalsRowDxfId="107" dataCellStyle="Обычный 5"/>
    <tableColumn id="4" name="Столбец1" totalsRowDxfId="106" dataCellStyle="Обычный 5"/>
    <tableColumn id="5" name="без исправлений" dataDxfId="105" totalsRowDxfId="104" dataCellStyle="Обычный 5"/>
    <tableColumn id="6" name="с корректоровкой" dataDxfId="103" totalsRowDxfId="102" dataCellStyle="Обычный 5"/>
    <tableColumn id="7" name="без исправлений2" dataDxfId="101" totalsRowDxfId="100" dataCellStyle="Обычный 5"/>
    <tableColumn id="8" name="с корректоровкой3" dataDxfId="99" totalsRowDxfId="98" dataCellStyle="Обычный 5"/>
  </tableColumns>
  <tableStyleInfo showFirstColumn="0" showLastColumn="0" showRowStripes="1" showColumnStripes="0"/>
</table>
</file>

<file path=xl/tables/table26.xml><?xml version="1.0" encoding="utf-8"?>
<table xmlns="http://schemas.openxmlformats.org/spreadsheetml/2006/main" id="26" name="Таблица26" displayName="Таблица26" ref="B6:D7" totalsRowShown="0" headerRowDxfId="97" headerRowBorderDxfId="96" tableBorderDxfId="95" headerRowCellStyle="Обычный 4">
  <autoFilter ref="B6:D7"/>
  <tableColumns count="3">
    <tableColumn id="1" name="100" dataDxfId="94" dataCellStyle="Обычный 4"/>
    <tableColumn id="2" name="130" dataDxfId="93" dataCellStyle="Обычный 4"/>
    <tableColumn id="3" name="140" dataDxfId="92" dataCellStyle="Обычный 4"/>
  </tableColumns>
  <tableStyleInfo name="TableStyleLight1" showFirstColumn="0" showLastColumn="0" showRowStripes="0" showColumnStripes="0"/>
</table>
</file>

<file path=xl/tables/table27.xml><?xml version="1.0" encoding="utf-8"?>
<table xmlns="http://schemas.openxmlformats.org/spreadsheetml/2006/main" id="33" name="ndfl6_recalc_prev_year" displayName="ndfl6_recalc_prev_year" ref="D12:E12" headerRowCount="0" totalsRowShown="0">
  <tableColumns count="2">
    <tableColumn id="1" name="Столбец1"/>
    <tableColumn id="2" name="Столбец2" headerRowDxfId="91" dataDxfId="90"/>
  </tableColumns>
  <tableStyleInfo showFirstColumn="0" showLastColumn="0" showRowStripes="0" showColumnStripes="0"/>
</table>
</file>

<file path=xl/tables/table28.xml><?xml version="1.0" encoding="utf-8"?>
<table xmlns="http://schemas.openxmlformats.org/spreadsheetml/2006/main" id="32" name="ndfl6_part1_general_recalc_curr" displayName="ndfl6_part1_general_recalc_curr" ref="D9:E9" headerRowCount="0" totalsRowShown="0">
  <tableColumns count="2">
    <tableColumn id="1" name="Столбец1"/>
    <tableColumn id="2" name="Столбец2" headerRowDxfId="89" dataDxfId="88"/>
  </tableColumns>
  <tableStyleInfo showFirstColumn="0" showLastColumn="0" showRowStripes="0" showColumnStripes="0"/>
</table>
</file>

<file path=xl/tables/table29.xml><?xml version="1.0" encoding="utf-8"?>
<table xmlns="http://schemas.openxmlformats.org/spreadsheetml/2006/main" id="4" name="Таблица4" displayName="Таблица4" ref="B5:E5" headerRowCount="0" totalsRowShown="0" headerRowDxfId="87" dataDxfId="86" tableBorderDxfId="85" totalsRowBorderDxfId="84">
  <tableColumns count="4">
    <tableColumn id="1" name="Столбец1" headerRowDxfId="83" dataDxfId="82" dataCellStyle="Обычный 4"/>
    <tableColumn id="2" name="Столбец2" headerRowDxfId="81" dataDxfId="80" headerRowCellStyle="Обычный 4" dataCellStyle="Обычный 4"/>
    <tableColumn id="3" name="Столбец3" headerRowDxfId="79" dataDxfId="78"/>
    <tableColumn id="4" name="Столбец4" headerRowDxfId="77" dataDxfId="76" headerRowCellStyle="Обычный 4" dataCellStyle="Обычный 4"/>
  </tableColumns>
  <tableStyleInfo name="TableStyleLight1" showFirstColumn="0" showLastColumn="0" showRowStripes="0" showColumnStripes="0"/>
</table>
</file>

<file path=xl/tables/table30.xml><?xml version="1.0" encoding="utf-8"?>
<table xmlns="http://schemas.openxmlformats.org/spreadsheetml/2006/main" id="29" name="Таблица29" displayName="Таблица29" ref="A4:H5" headerRowCount="0" totalsRowCount="1" headerRowDxfId="75" dataDxfId="74">
  <tableColumns count="8">
    <tableColumn id="1" name="Столбец1" totalsRowLabel="Итого:" headerRowDxfId="73" dataDxfId="72" totalsRowDxfId="71"/>
    <tableColumn id="2" name="Столбец2" headerRowDxfId="70" dataDxfId="69" totalsRowDxfId="68"/>
    <tableColumn id="3" name="Столбец3" totalsRowFunction="sum" headerRowDxfId="67" dataDxfId="66" totalsRowDxfId="65"/>
    <tableColumn id="4" name="Столбец4" totalsRowFunction="sum" headerRowDxfId="64" dataDxfId="63" totalsRowDxfId="62"/>
    <tableColumn id="5" name="Столбец5" totalsRowFunction="sum" headerRowDxfId="61" dataDxfId="60" totalsRowDxfId="59"/>
    <tableColumn id="6" name="Столбец6" totalsRowFunction="sum" headerRowDxfId="58" dataDxfId="57" totalsRowDxfId="56"/>
    <tableColumn id="7" name="Столбец7" totalsRowFunction="sum" headerRowDxfId="55" dataDxfId="54" totalsRowDxfId="53"/>
    <tableColumn id="8" name="Столбец8" totalsRowFunction="sum" headerRowDxfId="52" dataDxfId="51" totalsRowDxfId="50"/>
  </tableColumns>
  <tableStyleInfo name="TableStyleLight1" showFirstColumn="0" showLastColumn="0" showRowStripes="0" showColumnStripes="0"/>
</table>
</file>

<file path=xl/tables/table31.xml><?xml version="1.0" encoding="utf-8"?>
<table xmlns="http://schemas.openxmlformats.org/spreadsheetml/2006/main" id="30" name="Таблица30" displayName="Таблица30" ref="A9:H9" headerRowCount="0">
  <tableColumns count="8">
    <tableColumn id="1" name="тип" totalsRowLabel="Итог"/>
    <tableColumn id="2" name="схема"/>
    <tableColumn id="3" name="Столбец1" totalsRowFunction="sum" dataDxfId="49" totalsRowDxfId="48"/>
    <tableColumn id="4" name="Столбец2" dataDxfId="47"/>
    <tableColumn id="5" name="итог" dataDxfId="46"/>
    <tableColumn id="6" name="в 1 кв"/>
    <tableColumn id="7" name="во 2 кв"/>
    <tableColumn id="8" name="в 3 кв"/>
  </tableColumns>
  <tableStyleInfo name="TableStyleLight1" showFirstColumn="0" showLastColumn="0" showRowStripes="0" showColumnStripes="0"/>
</table>
</file>

<file path=xl/tables/table32.xml><?xml version="1.0" encoding="utf-8"?>
<table xmlns="http://schemas.openxmlformats.org/spreadsheetml/2006/main" id="31" name="Таблица31" displayName="Таблица31" ref="A14:H14" headerRowCount="0">
  <tableColumns count="8">
    <tableColumn id="1" name="Столбец1" totalsRowLabel="Итог" headerRowDxfId="45"/>
    <tableColumn id="2" name="Столбец2"/>
    <tableColumn id="3" name="Столбец3" totalsRowFunction="sum" headerRowDxfId="44" dataDxfId="43" totalsRowDxfId="42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0" showColumnStripes="0"/>
</table>
</file>

<file path=xl/tables/table33.xml><?xml version="1.0" encoding="utf-8"?>
<table xmlns="http://schemas.openxmlformats.org/spreadsheetml/2006/main" id="5" name="Таблица5" displayName="Таблица5" ref="A18:E18" headerRowCount="0" totalsRowShown="0">
  <tableColumns count="5">
    <tableColumn id="1" name="Столбец1"/>
    <tableColumn id="2" name="Столбец2"/>
    <tableColumn id="3" name="Столбец3"/>
    <tableColumn id="4" name="Столбец4"/>
    <tableColumn id="5" name="Столбец5"/>
  </tableColumns>
  <tableStyleInfo name="TableStyleLight1" showFirstColumn="0" showLastColumn="0" showRowStripes="0" showColumnStripes="0"/>
</table>
</file>

<file path=xl/tables/table34.xml><?xml version="1.0" encoding="utf-8"?>
<table xmlns="http://schemas.openxmlformats.org/spreadsheetml/2006/main" id="47" name="Таблица47" displayName="Таблица47" ref="A23:F25" totalsRowCount="1" headerRowDxfId="41">
  <autoFilter ref="A23:F24"/>
  <tableColumns count="6">
    <tableColumn id="1" name="Фамилия" totalsRowLabel="Итог"/>
    <tableColumn id="2" name="Имя"/>
    <tableColumn id="3" name="Отчество"/>
    <tableColumn id="4" name="Налог исчисленный" totalsRowFunction="sum" dataDxfId="40"/>
    <tableColumn id="5" name="Налог удержанный" totalsRowFunction="sum" dataDxfId="39"/>
    <tableColumn id="6" name="Разница" totalsRowFunction="sum" dataDxfId="38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id="8" name="Таблица8" displayName="Таблица8" ref="A1:D2" insertRow="1" totalsRowShown="0" headerRowDxfId="37" headerRowBorderDxfId="36" tableBorderDxfId="35" totalsRowBorderDxfId="34">
  <autoFilter ref="A1:D2">
    <filterColumn colId="2"/>
    <filterColumn colId="3"/>
  </autoFilter>
  <tableColumns count="4">
    <tableColumn id="1" name="ФИО" dataDxfId="33"/>
    <tableColumn id="5" name="Дата рождения" dataDxfId="32"/>
    <tableColumn id="2" name="Снилс"/>
    <tableColumn id="3" name="ИНН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25" name="Таблица8526" displayName="Таблица8526" ref="A2:I3" totalsRowShown="0" headerRowDxfId="31" headerRowBorderDxfId="30" tableBorderDxfId="29" totalsRowBorderDxfId="28">
  <autoFilter ref="A2:I3">
    <filterColumn colId="0"/>
    <filterColumn colId="1"/>
    <filterColumn colId="2"/>
    <filterColumn colId="4"/>
    <filterColumn colId="5"/>
    <filterColumn colId="6"/>
    <filterColumn colId="7"/>
    <filterColumn colId="8"/>
  </autoFilter>
  <tableColumns count="9">
    <tableColumn id="7" name="Фамилия" dataDxfId="27"/>
    <tableColumn id="6" name="Имя" dataDxfId="26"/>
    <tableColumn id="4" name="Отчество" dataDxfId="25"/>
    <tableColumn id="5" name="Дата рождения" dataDxfId="24"/>
    <tableColumn id="3" name="ИНН" dataDxfId="23"/>
    <tableColumn id="1" name="Участник/Не участник" dataDxfId="22"/>
    <tableColumn id="2" name="Доход" dataDxfId="21"/>
    <tableColumn id="8" name="Пенсионные схемы" dataDxfId="20"/>
    <tableColumn id="9" name="Типы дохода" dataDxfId="19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52" name="Таблица52" displayName="Таблица52" ref="A5:I6" headerRowDxfId="18">
  <autoFilter ref="A5:I6">
    <filterColumn colId="5"/>
  </autoFilter>
  <tableColumns count="9">
    <tableColumn id="1" name="Контрагент ID" totalsRowLabel="Итог" dataDxfId="17" totalsRowDxfId="16"/>
    <tableColumn id="2" name="Фамилия" dataDxfId="15" totalsRowDxfId="14"/>
    <tableColumn id="3" name="Имя" dataDxfId="13" totalsRowDxfId="12"/>
    <tableColumn id="4" name="Отчество" dataDxfId="11" totalsRowDxfId="10"/>
    <tableColumn id="5" name="Ставка" dataDxfId="9" totalsRowDxfId="8"/>
    <tableColumn id="9" name="Количество счетов" dataDxfId="7" totalsRowDxfId="6"/>
    <tableColumn id="6" name="Исчисленный налог" dataDxfId="5" totalsRowDxfId="4"/>
    <tableColumn id="7" name="Удержанный налог" dataDxfId="3" totalsRowDxfId="2"/>
    <tableColumn id="8" name="Недоплата" totalsRowFunction="sum" dataDxfId="1" totalsRowDxfId="0">
      <calculatedColumnFormula>[Исчисленный налог]-[Удержанный налог]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13" Type="http://schemas.openxmlformats.org/officeDocument/2006/relationships/table" Target="../tables/table15.xml"/><Relationship Id="rId18" Type="http://schemas.openxmlformats.org/officeDocument/2006/relationships/table" Target="../tables/table2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12" Type="http://schemas.openxmlformats.org/officeDocument/2006/relationships/table" Target="../tables/table14.xml"/><Relationship Id="rId17" Type="http://schemas.openxmlformats.org/officeDocument/2006/relationships/table" Target="../tables/table19.xml"/><Relationship Id="rId2" Type="http://schemas.openxmlformats.org/officeDocument/2006/relationships/vmlDrawing" Target="../drawings/vmlDrawing1.vml"/><Relationship Id="rId16" Type="http://schemas.openxmlformats.org/officeDocument/2006/relationships/table" Target="../tables/table18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8.xml"/><Relationship Id="rId11" Type="http://schemas.openxmlformats.org/officeDocument/2006/relationships/table" Target="../tables/table13.xml"/><Relationship Id="rId5" Type="http://schemas.openxmlformats.org/officeDocument/2006/relationships/table" Target="../tables/table7.xml"/><Relationship Id="rId15" Type="http://schemas.openxmlformats.org/officeDocument/2006/relationships/table" Target="../tables/table17.xml"/><Relationship Id="rId10" Type="http://schemas.openxmlformats.org/officeDocument/2006/relationships/table" Target="../tables/table12.xml"/><Relationship Id="rId19" Type="http://schemas.openxmlformats.org/officeDocument/2006/relationships/table" Target="../tables/table21.xml"/><Relationship Id="rId4" Type="http://schemas.openxmlformats.org/officeDocument/2006/relationships/table" Target="../tables/table6.xml"/><Relationship Id="rId9" Type="http://schemas.openxmlformats.org/officeDocument/2006/relationships/table" Target="../tables/table11.xml"/><Relationship Id="rId14" Type="http://schemas.openxmlformats.org/officeDocument/2006/relationships/table" Target="../tables/table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2.xml"/><Relationship Id="rId5" Type="http://schemas.openxmlformats.org/officeDocument/2006/relationships/table" Target="../tables/table25.xml"/><Relationship Id="rId4" Type="http://schemas.openxmlformats.org/officeDocument/2006/relationships/table" Target="../tables/table2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8.xml"/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9.bin"/><Relationship Id="rId4" Type="http://schemas.openxmlformats.org/officeDocument/2006/relationships/table" Target="../tables/table2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1.xml"/><Relationship Id="rId2" Type="http://schemas.openxmlformats.org/officeDocument/2006/relationships/table" Target="../tables/table30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34.xml"/><Relationship Id="rId5" Type="http://schemas.openxmlformats.org/officeDocument/2006/relationships/table" Target="../tables/table33.xml"/><Relationship Id="rId4" Type="http://schemas.openxmlformats.org/officeDocument/2006/relationships/table" Target="../tables/table3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J5"/>
  <sheetViews>
    <sheetView workbookViewId="0">
      <pane ySplit="4" topLeftCell="A5" activePane="bottomLeft" state="frozen"/>
      <selection pane="bottomLeft" sqref="A1:XFD1"/>
    </sheetView>
  </sheetViews>
  <sheetFormatPr defaultRowHeight="15"/>
  <cols>
    <col min="1" max="1" width="13.5703125" customWidth="1"/>
    <col min="2" max="2" width="12.42578125" customWidth="1"/>
    <col min="3" max="5" width="16.7109375" customWidth="1"/>
    <col min="6" max="7" width="13.5703125" customWidth="1"/>
    <col min="8" max="10" width="16.7109375" customWidth="1"/>
  </cols>
  <sheetData>
    <row r="1" spans="1:10" ht="44.25" customHeight="1">
      <c r="A1" s="166" t="s">
        <v>234</v>
      </c>
      <c r="B1" s="167"/>
      <c r="C1" s="167"/>
      <c r="D1" s="167"/>
      <c r="E1" s="167"/>
      <c r="F1" s="167"/>
      <c r="G1" s="167"/>
      <c r="H1" s="167"/>
      <c r="I1" s="167"/>
      <c r="J1" s="167"/>
    </row>
    <row r="2" spans="1:10" ht="31.5" customHeight="1">
      <c r="A2" s="164" t="s">
        <v>4</v>
      </c>
      <c r="B2" s="164"/>
      <c r="C2" s="164"/>
      <c r="D2" s="164"/>
      <c r="E2" s="164"/>
      <c r="F2" s="165" t="s">
        <v>23</v>
      </c>
      <c r="G2" s="165"/>
      <c r="H2" s="165"/>
      <c r="I2" s="165"/>
      <c r="J2" s="165"/>
    </row>
    <row r="3" spans="1:10" ht="78" customHeight="1">
      <c r="A3" s="19" t="s">
        <v>0</v>
      </c>
      <c r="B3" s="19" t="s">
        <v>28</v>
      </c>
      <c r="C3" s="20" t="s">
        <v>1</v>
      </c>
      <c r="D3" s="20" t="s">
        <v>2</v>
      </c>
      <c r="E3" s="19" t="s">
        <v>22</v>
      </c>
      <c r="F3" s="21" t="s">
        <v>27</v>
      </c>
      <c r="G3" s="21" t="s">
        <v>31</v>
      </c>
      <c r="H3" s="21" t="s">
        <v>1</v>
      </c>
      <c r="I3" s="21" t="s">
        <v>2</v>
      </c>
      <c r="J3" s="21" t="s">
        <v>22</v>
      </c>
    </row>
    <row r="4" spans="1:10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3" t="s">
        <v>12</v>
      </c>
      <c r="G4" s="23" t="s">
        <v>13</v>
      </c>
      <c r="H4" s="23" t="s">
        <v>14</v>
      </c>
      <c r="I4" s="23" t="s">
        <v>15</v>
      </c>
      <c r="J4" s="23" t="s">
        <v>16</v>
      </c>
    </row>
    <row r="5" spans="1:10">
      <c r="A5" s="1" t="s">
        <v>26</v>
      </c>
      <c r="B5" s="1"/>
      <c r="C5" s="24"/>
      <c r="D5" s="24"/>
      <c r="E5" s="24"/>
      <c r="F5" s="1"/>
      <c r="G5" s="1"/>
      <c r="H5" s="24"/>
      <c r="I5" s="24"/>
      <c r="J5" s="24"/>
    </row>
  </sheetData>
  <mergeCells count="3">
    <mergeCell ref="A2:E2"/>
    <mergeCell ref="F2:J2"/>
    <mergeCell ref="A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P6"/>
  <sheetViews>
    <sheetView workbookViewId="0">
      <selection sqref="A1:XFD1"/>
    </sheetView>
  </sheetViews>
  <sheetFormatPr defaultRowHeight="15"/>
  <cols>
    <col min="1" max="1" width="13.5703125" customWidth="1"/>
    <col min="2" max="2" width="12.42578125" customWidth="1"/>
    <col min="3" max="3" width="20.85546875" customWidth="1"/>
    <col min="4" max="4" width="13.140625" customWidth="1"/>
    <col min="5" max="9" width="16.7109375" customWidth="1"/>
    <col min="10" max="11" width="13.5703125" customWidth="1"/>
    <col min="12" max="16" width="16.7109375" customWidth="1"/>
  </cols>
  <sheetData>
    <row r="1" spans="1:16" ht="44.25" customHeight="1" thickBot="1">
      <c r="A1" s="168" t="s">
        <v>234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</row>
    <row r="2" spans="1:16" ht="31.5" customHeight="1">
      <c r="A2" s="173" t="s">
        <v>4</v>
      </c>
      <c r="B2" s="174"/>
      <c r="C2" s="174"/>
      <c r="D2" s="174"/>
      <c r="E2" s="174"/>
      <c r="F2" s="174"/>
      <c r="G2" s="174"/>
      <c r="H2" s="174"/>
      <c r="I2" s="175"/>
      <c r="J2" s="176" t="s">
        <v>23</v>
      </c>
      <c r="K2" s="177"/>
      <c r="L2" s="177"/>
      <c r="M2" s="177"/>
      <c r="N2" s="177"/>
      <c r="O2" s="177"/>
      <c r="P2" s="178"/>
    </row>
    <row r="3" spans="1:16" ht="24" customHeight="1">
      <c r="A3" s="179" t="s">
        <v>0</v>
      </c>
      <c r="B3" s="181" t="s">
        <v>28</v>
      </c>
      <c r="C3" s="181" t="s">
        <v>3</v>
      </c>
      <c r="D3" s="181" t="s">
        <v>29</v>
      </c>
      <c r="E3" s="183" t="s">
        <v>5</v>
      </c>
      <c r="F3" s="184"/>
      <c r="G3" s="185"/>
      <c r="H3" s="183" t="s">
        <v>6</v>
      </c>
      <c r="I3" s="186"/>
      <c r="J3" s="187" t="s">
        <v>27</v>
      </c>
      <c r="K3" s="187" t="s">
        <v>31</v>
      </c>
      <c r="L3" s="169" t="s">
        <v>5</v>
      </c>
      <c r="M3" s="170"/>
      <c r="N3" s="171"/>
      <c r="O3" s="169" t="s">
        <v>6</v>
      </c>
      <c r="P3" s="172"/>
    </row>
    <row r="4" spans="1:16" ht="38.25" customHeight="1">
      <c r="A4" s="180"/>
      <c r="B4" s="182"/>
      <c r="C4" s="182"/>
      <c r="D4" s="182"/>
      <c r="E4" s="2" t="s">
        <v>1</v>
      </c>
      <c r="F4" s="2" t="s">
        <v>2</v>
      </c>
      <c r="G4" s="18" t="s">
        <v>22</v>
      </c>
      <c r="H4" s="2" t="s">
        <v>1</v>
      </c>
      <c r="I4" s="3" t="s">
        <v>22</v>
      </c>
      <c r="J4" s="188"/>
      <c r="K4" s="188"/>
      <c r="L4" s="4" t="s">
        <v>1</v>
      </c>
      <c r="M4" s="4" t="s">
        <v>2</v>
      </c>
      <c r="N4" s="4" t="s">
        <v>22</v>
      </c>
      <c r="O4" s="4" t="s">
        <v>1</v>
      </c>
      <c r="P4" s="5" t="s">
        <v>22</v>
      </c>
    </row>
    <row r="5" spans="1:16">
      <c r="A5" s="10" t="s">
        <v>7</v>
      </c>
      <c r="B5" s="8" t="s">
        <v>8</v>
      </c>
      <c r="C5" s="8" t="s">
        <v>9</v>
      </c>
      <c r="D5" s="8" t="s">
        <v>10</v>
      </c>
      <c r="E5" s="8" t="s">
        <v>11</v>
      </c>
      <c r="F5" s="8" t="s">
        <v>12</v>
      </c>
      <c r="G5" s="8" t="s">
        <v>13</v>
      </c>
      <c r="H5" s="8" t="s">
        <v>14</v>
      </c>
      <c r="I5" s="8" t="s">
        <v>15</v>
      </c>
      <c r="J5" s="9" t="s">
        <v>16</v>
      </c>
      <c r="K5" s="9" t="s">
        <v>17</v>
      </c>
      <c r="L5" s="9" t="s">
        <v>18</v>
      </c>
      <c r="M5" s="9" t="s">
        <v>19</v>
      </c>
      <c r="N5" s="9" t="s">
        <v>20</v>
      </c>
      <c r="O5" s="9" t="s">
        <v>21</v>
      </c>
      <c r="P5" s="11" t="s">
        <v>24</v>
      </c>
    </row>
    <row r="6" spans="1:16">
      <c r="A6" s="12" t="s">
        <v>32</v>
      </c>
      <c r="B6" s="13"/>
      <c r="C6" s="14"/>
      <c r="D6" s="15"/>
      <c r="E6" s="16"/>
      <c r="F6" s="16"/>
      <c r="G6" s="16"/>
      <c r="H6" s="16"/>
      <c r="I6" s="16"/>
      <c r="J6" s="13"/>
      <c r="K6" s="13"/>
      <c r="L6" s="16"/>
      <c r="M6" s="16"/>
      <c r="N6" s="16"/>
      <c r="O6" s="16"/>
      <c r="P6" s="17"/>
    </row>
  </sheetData>
  <mergeCells count="13">
    <mergeCell ref="A1:P1"/>
    <mergeCell ref="L3:N3"/>
    <mergeCell ref="O3:P3"/>
    <mergeCell ref="A2:I2"/>
    <mergeCell ref="J2:P2"/>
    <mergeCell ref="A3:A4"/>
    <mergeCell ref="B3:B4"/>
    <mergeCell ref="C3:C4"/>
    <mergeCell ref="D3:D4"/>
    <mergeCell ref="E3:G3"/>
    <mergeCell ref="H3:I3"/>
    <mergeCell ref="J3:J4"/>
    <mergeCell ref="K3:K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P4"/>
  <sheetViews>
    <sheetView workbookViewId="0">
      <selection sqref="A1:I1"/>
    </sheetView>
  </sheetViews>
  <sheetFormatPr defaultRowHeight="15"/>
  <cols>
    <col min="1" max="2" width="13.140625" customWidth="1"/>
    <col min="3" max="4" width="15.28515625" customWidth="1"/>
    <col min="5" max="5" width="11.42578125" customWidth="1"/>
    <col min="6" max="6" width="10.5703125" customWidth="1"/>
    <col min="7" max="7" width="20.7109375" customWidth="1"/>
    <col min="8" max="8" width="62" customWidth="1"/>
    <col min="9" max="9" width="99" customWidth="1"/>
  </cols>
  <sheetData>
    <row r="1" spans="1:16" ht="44.25" customHeight="1" thickBot="1">
      <c r="A1" s="168" t="s">
        <v>235</v>
      </c>
      <c r="B1" s="168"/>
      <c r="C1" s="168"/>
      <c r="D1" s="168"/>
      <c r="E1" s="168"/>
      <c r="F1" s="168"/>
      <c r="G1" s="168"/>
      <c r="H1" s="168"/>
      <c r="I1" s="168"/>
      <c r="J1" s="110"/>
      <c r="K1" s="110"/>
      <c r="L1" s="110"/>
      <c r="M1" s="110"/>
      <c r="N1" s="110"/>
      <c r="O1" s="110"/>
      <c r="P1" s="110"/>
    </row>
    <row r="2" spans="1:16" ht="31.5">
      <c r="A2" s="19" t="s">
        <v>33</v>
      </c>
      <c r="B2" s="19" t="s">
        <v>42</v>
      </c>
      <c r="C2" s="19" t="s">
        <v>34</v>
      </c>
      <c r="D2" s="25" t="s">
        <v>35</v>
      </c>
      <c r="E2" s="25" t="s">
        <v>36</v>
      </c>
      <c r="F2" s="19" t="s">
        <v>37</v>
      </c>
      <c r="G2" s="21" t="s">
        <v>38</v>
      </c>
      <c r="H2" s="21" t="s">
        <v>39</v>
      </c>
      <c r="I2" s="21" t="s">
        <v>40</v>
      </c>
    </row>
    <row r="3" spans="1:16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2" t="s">
        <v>12</v>
      </c>
      <c r="G3" s="23" t="s">
        <v>13</v>
      </c>
      <c r="H3" s="23" t="s">
        <v>14</v>
      </c>
      <c r="I3" s="23" t="s">
        <v>15</v>
      </c>
    </row>
    <row r="4" spans="1:16">
      <c r="A4" s="1" t="s">
        <v>41</v>
      </c>
      <c r="B4" s="27"/>
      <c r="C4" s="27"/>
      <c r="D4" s="28"/>
      <c r="E4" s="27"/>
      <c r="F4" s="27"/>
      <c r="G4" s="24"/>
      <c r="H4" s="29"/>
      <c r="I4" s="29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R5"/>
  <sheetViews>
    <sheetView workbookViewId="0">
      <selection activeCell="A2" sqref="A2:D2"/>
    </sheetView>
  </sheetViews>
  <sheetFormatPr defaultRowHeight="15"/>
  <cols>
    <col min="1" max="2" width="9.140625" customWidth="1"/>
    <col min="3" max="3" width="13.5703125" customWidth="1"/>
    <col min="4" max="4" width="14.28515625" customWidth="1"/>
    <col min="5" max="6" width="9.140625" customWidth="1"/>
    <col min="7" max="10" width="13.5703125" customWidth="1"/>
    <col min="11" max="11" width="6.7109375" customWidth="1"/>
    <col min="12" max="12" width="13.5703125" customWidth="1"/>
    <col min="13" max="13" width="10.42578125" customWidth="1"/>
    <col min="14" max="14" width="8" customWidth="1"/>
    <col min="15" max="15" width="13.85546875" customWidth="1"/>
    <col min="16" max="18" width="26.42578125" customWidth="1"/>
  </cols>
  <sheetData>
    <row r="1" spans="1:18" ht="44.25" customHeight="1">
      <c r="A1" s="189" t="s">
        <v>236</v>
      </c>
      <c r="B1" s="189"/>
      <c r="C1" s="189"/>
      <c r="D1" s="189"/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89"/>
      <c r="P1" s="189"/>
      <c r="Q1" s="189"/>
      <c r="R1" s="189"/>
    </row>
    <row r="2" spans="1:18" ht="31.5" customHeight="1">
      <c r="A2" s="164" t="s">
        <v>56</v>
      </c>
      <c r="B2" s="164"/>
      <c r="C2" s="164"/>
      <c r="D2" s="164"/>
      <c r="E2" s="164" t="s">
        <v>55</v>
      </c>
      <c r="F2" s="164"/>
      <c r="G2" s="164"/>
      <c r="H2" s="164"/>
      <c r="I2" s="164"/>
      <c r="J2" s="164"/>
      <c r="K2" s="190" t="s">
        <v>49</v>
      </c>
      <c r="L2" s="190" t="s">
        <v>50</v>
      </c>
      <c r="M2" s="190" t="s">
        <v>36</v>
      </c>
      <c r="N2" s="190" t="s">
        <v>51</v>
      </c>
      <c r="O2" s="164" t="s">
        <v>57</v>
      </c>
      <c r="P2" s="164"/>
      <c r="Q2" s="164"/>
      <c r="R2" s="164"/>
    </row>
    <row r="3" spans="1:18" ht="31.5">
      <c r="A3" s="19" t="s">
        <v>48</v>
      </c>
      <c r="B3" s="19" t="s">
        <v>54</v>
      </c>
      <c r="C3" s="19" t="s">
        <v>44</v>
      </c>
      <c r="D3" s="19" t="s">
        <v>58</v>
      </c>
      <c r="E3" s="19" t="s">
        <v>47</v>
      </c>
      <c r="F3" s="19" t="s">
        <v>48</v>
      </c>
      <c r="G3" s="19" t="s">
        <v>44</v>
      </c>
      <c r="H3" s="19" t="s">
        <v>58</v>
      </c>
      <c r="I3" s="19" t="s">
        <v>52</v>
      </c>
      <c r="J3" s="19" t="s">
        <v>53</v>
      </c>
      <c r="K3" s="190"/>
      <c r="L3" s="190"/>
      <c r="M3" s="190"/>
      <c r="N3" s="190"/>
      <c r="O3" s="19" t="s">
        <v>59</v>
      </c>
      <c r="P3" s="19" t="s">
        <v>60</v>
      </c>
      <c r="Q3" s="19" t="s">
        <v>61</v>
      </c>
      <c r="R3" s="19" t="s">
        <v>62</v>
      </c>
    </row>
    <row r="4" spans="1:18" ht="15" customHeight="1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2" t="s">
        <v>12</v>
      </c>
      <c r="G4" s="22" t="s">
        <v>13</v>
      </c>
      <c r="H4" s="22" t="s">
        <v>14</v>
      </c>
      <c r="I4" s="22" t="s">
        <v>15</v>
      </c>
      <c r="J4" s="22" t="s">
        <v>16</v>
      </c>
      <c r="K4" s="22" t="s">
        <v>17</v>
      </c>
      <c r="L4" s="22" t="s">
        <v>18</v>
      </c>
      <c r="M4" s="22" t="s">
        <v>19</v>
      </c>
      <c r="N4" s="22" t="s">
        <v>20</v>
      </c>
      <c r="O4" s="22" t="s">
        <v>21</v>
      </c>
      <c r="P4" s="22" t="s">
        <v>24</v>
      </c>
      <c r="Q4" s="22" t="s">
        <v>45</v>
      </c>
      <c r="R4" s="22" t="s">
        <v>46</v>
      </c>
    </row>
    <row r="5" spans="1:18">
      <c r="A5" s="30" t="s">
        <v>63</v>
      </c>
      <c r="B5" s="30"/>
      <c r="C5" s="1"/>
      <c r="D5" s="27"/>
      <c r="E5" s="30"/>
      <c r="F5" s="30"/>
      <c r="G5" s="1"/>
      <c r="H5" s="27"/>
      <c r="I5" s="24"/>
      <c r="J5" s="24"/>
      <c r="K5" s="30"/>
      <c r="L5" s="30"/>
      <c r="M5" s="30"/>
      <c r="N5" s="30"/>
      <c r="O5" s="30"/>
      <c r="P5" s="29"/>
      <c r="Q5" s="29"/>
      <c r="R5" s="29"/>
    </row>
  </sheetData>
  <mergeCells count="8">
    <mergeCell ref="A1:R1"/>
    <mergeCell ref="O2:R2"/>
    <mergeCell ref="A2:D2"/>
    <mergeCell ref="E2:J2"/>
    <mergeCell ref="K2:K3"/>
    <mergeCell ref="L2:L3"/>
    <mergeCell ref="M2:M3"/>
    <mergeCell ref="N2:N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ettings"/>
  <dimension ref="A1:BE12"/>
  <sheetViews>
    <sheetView workbookViewId="0">
      <selection activeCell="A8" sqref="A8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0" width="23" customWidth="1"/>
    <col min="11" max="11" width="7.5703125" customWidth="1"/>
    <col min="12" max="13" width="30.7109375" bestFit="1" customWidth="1"/>
    <col min="14" max="14" width="32.42578125" bestFit="1" customWidth="1"/>
    <col min="15" max="16" width="16.7109375" customWidth="1"/>
    <col min="17" max="17" width="13.85546875" customWidth="1"/>
    <col min="18" max="18" width="7.5703125" customWidth="1"/>
    <col min="19" max="19" width="23" customWidth="1"/>
    <col min="20" max="20" width="30.7109375" bestFit="1" customWidth="1"/>
    <col min="21" max="21" width="7.5703125" customWidth="1"/>
    <col min="22" max="22" width="19.7109375" bestFit="1" customWidth="1"/>
    <col min="23" max="25" width="17.85546875" customWidth="1"/>
    <col min="26" max="26" width="34" bestFit="1" customWidth="1"/>
    <col min="27" max="27" width="7.5703125" customWidth="1"/>
    <col min="28" max="28" width="19.7109375" bestFit="1" customWidth="1"/>
    <col min="29" max="29" width="14.140625" bestFit="1" customWidth="1"/>
    <col min="30" max="30" width="11.28515625" customWidth="1"/>
    <col min="31" max="31" width="11.85546875" bestFit="1" customWidth="1"/>
    <col min="32" max="34" width="13.7109375" customWidth="1"/>
    <col min="35" max="35" width="7.5703125" customWidth="1"/>
    <col min="36" max="36" width="11.85546875" bestFit="1" customWidth="1"/>
    <col min="37" max="37" width="7.5703125" customWidth="1"/>
    <col min="38" max="38" width="13.140625" bestFit="1" customWidth="1"/>
    <col min="39" max="39" width="7.5703125" customWidth="1"/>
    <col min="40" max="40" width="12.140625" bestFit="1" customWidth="1"/>
    <col min="41" max="41" width="7.5703125" customWidth="1"/>
    <col min="42" max="42" width="13.7109375" bestFit="1" customWidth="1"/>
    <col min="43" max="43" width="7.5703125" customWidth="1"/>
    <col min="44" max="44" width="14" bestFit="1" customWidth="1"/>
    <col min="45" max="45" width="7.5703125" customWidth="1"/>
    <col min="46" max="46" width="12.140625" bestFit="1" customWidth="1"/>
    <col min="47" max="47" width="7.5703125" customWidth="1"/>
    <col min="48" max="48" width="13.5703125" customWidth="1"/>
    <col min="49" max="49" width="7.5703125" customWidth="1"/>
    <col min="52" max="52" width="11.28515625" bestFit="1" customWidth="1"/>
    <col min="54" max="55" width="12.140625" customWidth="1"/>
  </cols>
  <sheetData>
    <row r="1" spans="1:57" ht="29.25" customHeight="1">
      <c r="A1" s="191" t="s">
        <v>110</v>
      </c>
      <c r="B1" s="191"/>
      <c r="D1" s="192" t="s">
        <v>111</v>
      </c>
      <c r="E1" s="192"/>
      <c r="G1" s="192" t="s">
        <v>106</v>
      </c>
      <c r="H1" s="192"/>
      <c r="I1" s="192"/>
      <c r="J1" s="192"/>
      <c r="L1" s="192" t="s">
        <v>101</v>
      </c>
      <c r="M1" s="192"/>
      <c r="N1" s="192"/>
      <c r="O1" s="192"/>
      <c r="P1" s="192"/>
      <c r="Q1" s="192"/>
      <c r="S1" s="192" t="s">
        <v>107</v>
      </c>
      <c r="T1" s="192"/>
      <c r="V1" s="192" t="s">
        <v>98</v>
      </c>
      <c r="W1" s="192"/>
      <c r="X1" s="192"/>
      <c r="Y1" s="192"/>
      <c r="Z1" s="192"/>
      <c r="AB1" s="192" t="s">
        <v>138</v>
      </c>
      <c r="AC1" s="192"/>
      <c r="AD1" s="192"/>
      <c r="AE1" s="192"/>
      <c r="AF1" s="192"/>
      <c r="AG1" s="192"/>
      <c r="AH1" s="192"/>
      <c r="AJ1" s="38" t="s">
        <v>124</v>
      </c>
      <c r="AL1" s="38" t="s">
        <v>126</v>
      </c>
      <c r="AN1" s="38" t="s">
        <v>128</v>
      </c>
      <c r="AP1" s="38" t="s">
        <v>137</v>
      </c>
      <c r="AR1" s="38" t="s">
        <v>146</v>
      </c>
      <c r="AT1" s="38" t="s">
        <v>147</v>
      </c>
      <c r="AV1" s="38" t="s">
        <v>139</v>
      </c>
      <c r="AX1" s="38" t="s">
        <v>152</v>
      </c>
      <c r="AZ1" s="38" t="s">
        <v>161</v>
      </c>
      <c r="BB1" s="193" t="s">
        <v>231</v>
      </c>
      <c r="BC1" s="193"/>
    </row>
    <row r="2" spans="1:57">
      <c r="A2" s="6" t="s">
        <v>131</v>
      </c>
      <c r="B2" s="6" t="s">
        <v>109</v>
      </c>
      <c r="D2" t="s">
        <v>102</v>
      </c>
      <c r="E2" t="s">
        <v>116</v>
      </c>
      <c r="G2" t="s">
        <v>102</v>
      </c>
      <c r="H2" t="s">
        <v>118</v>
      </c>
      <c r="I2" t="s">
        <v>105</v>
      </c>
      <c r="J2" t="s">
        <v>161</v>
      </c>
      <c r="L2" t="s">
        <v>102</v>
      </c>
      <c r="M2" t="s">
        <v>30</v>
      </c>
      <c r="N2" t="s">
        <v>90</v>
      </c>
      <c r="O2" t="s">
        <v>125</v>
      </c>
      <c r="P2" t="s">
        <v>120</v>
      </c>
      <c r="Q2" t="s">
        <v>112</v>
      </c>
      <c r="S2" t="s">
        <v>102</v>
      </c>
      <c r="T2" t="s">
        <v>108</v>
      </c>
      <c r="V2" t="s">
        <v>102</v>
      </c>
      <c r="W2" t="s">
        <v>118</v>
      </c>
      <c r="X2" t="s">
        <v>134</v>
      </c>
      <c r="Y2" t="s">
        <v>140</v>
      </c>
      <c r="Z2" t="s">
        <v>122</v>
      </c>
      <c r="AB2" t="s">
        <v>120</v>
      </c>
      <c r="AC2" t="s">
        <v>148</v>
      </c>
      <c r="AD2" t="s">
        <v>139</v>
      </c>
      <c r="AE2" t="s">
        <v>149</v>
      </c>
      <c r="AF2" t="s">
        <v>150</v>
      </c>
      <c r="AG2" t="s">
        <v>155</v>
      </c>
      <c r="AH2" t="s">
        <v>160</v>
      </c>
      <c r="AJ2" t="s">
        <v>102</v>
      </c>
      <c r="AL2" t="s">
        <v>102</v>
      </c>
      <c r="AN2" t="s">
        <v>102</v>
      </c>
      <c r="AP2" t="s">
        <v>102</v>
      </c>
      <c r="AR2" t="s">
        <v>102</v>
      </c>
      <c r="AT2" t="s">
        <v>102</v>
      </c>
      <c r="AV2" t="s">
        <v>102</v>
      </c>
      <c r="AX2" t="s">
        <v>102</v>
      </c>
      <c r="AZ2" t="s">
        <v>102</v>
      </c>
      <c r="BB2" t="s">
        <v>131</v>
      </c>
      <c r="BC2" t="s">
        <v>109</v>
      </c>
    </row>
    <row r="3" spans="1:57">
      <c r="A3" s="6" t="s">
        <v>176</v>
      </c>
      <c r="B3" s="6" t="s">
        <v>177</v>
      </c>
      <c r="D3" t="s">
        <v>115</v>
      </c>
      <c r="E3" t="s">
        <v>103</v>
      </c>
      <c r="G3" t="s">
        <v>103</v>
      </c>
      <c r="H3" t="s">
        <v>99</v>
      </c>
      <c r="I3" t="s">
        <v>174</v>
      </c>
      <c r="J3" t="s">
        <v>162</v>
      </c>
      <c r="L3" s="162" t="s">
        <v>175</v>
      </c>
      <c r="M3" t="s">
        <v>173</v>
      </c>
      <c r="N3" t="s">
        <v>91</v>
      </c>
      <c r="O3" t="s">
        <v>123</v>
      </c>
      <c r="P3" t="s">
        <v>121</v>
      </c>
      <c r="Q3" t="s">
        <v>129</v>
      </c>
      <c r="V3" s="163" t="s">
        <v>167</v>
      </c>
      <c r="W3" t="s">
        <v>119</v>
      </c>
      <c r="X3" t="s">
        <v>136</v>
      </c>
      <c r="Z3" t="s">
        <v>169</v>
      </c>
      <c r="AB3" s="6" t="s">
        <v>121</v>
      </c>
      <c r="AC3" t="s">
        <v>157</v>
      </c>
      <c r="AD3" t="s">
        <v>142</v>
      </c>
      <c r="AG3">
        <v>2000</v>
      </c>
      <c r="AH3" t="s">
        <v>136</v>
      </c>
      <c r="AJ3" s="36" t="s">
        <v>99</v>
      </c>
      <c r="AL3" t="s">
        <v>123</v>
      </c>
      <c r="AN3" t="s">
        <v>129</v>
      </c>
      <c r="AP3" t="s">
        <v>119</v>
      </c>
      <c r="AR3" t="s">
        <v>145</v>
      </c>
      <c r="AT3" t="s">
        <v>141</v>
      </c>
      <c r="AV3" t="s">
        <v>143</v>
      </c>
      <c r="AX3" t="s">
        <v>136</v>
      </c>
      <c r="AZ3" t="s">
        <v>162</v>
      </c>
      <c r="BB3" t="s">
        <v>232</v>
      </c>
      <c r="BC3" t="s">
        <v>153</v>
      </c>
    </row>
    <row r="4" spans="1:57">
      <c r="A4" s="7" t="s">
        <v>96</v>
      </c>
      <c r="B4" s="7" t="s">
        <v>285</v>
      </c>
      <c r="D4" t="s">
        <v>88</v>
      </c>
      <c r="E4" t="s">
        <v>104</v>
      </c>
      <c r="G4" t="s">
        <v>103</v>
      </c>
      <c r="H4" t="s">
        <v>100</v>
      </c>
      <c r="I4" t="s">
        <v>163</v>
      </c>
      <c r="L4" s="162" t="s">
        <v>174</v>
      </c>
      <c r="M4" t="s">
        <v>89</v>
      </c>
      <c r="N4" t="s">
        <v>91</v>
      </c>
      <c r="O4" t="s">
        <v>123</v>
      </c>
      <c r="P4" s="6"/>
      <c r="Q4" t="s">
        <v>129</v>
      </c>
      <c r="V4" s="6" t="s">
        <v>121</v>
      </c>
      <c r="W4" t="s">
        <v>156</v>
      </c>
      <c r="X4" t="s">
        <v>136</v>
      </c>
      <c r="Y4" t="s">
        <v>141</v>
      </c>
      <c r="Z4" s="6" t="s">
        <v>121</v>
      </c>
      <c r="AA4" s="6"/>
      <c r="AB4" s="46" t="s">
        <v>121</v>
      </c>
      <c r="AC4" s="6" t="s">
        <v>151</v>
      </c>
      <c r="AD4" s="6" t="s">
        <v>143</v>
      </c>
      <c r="AE4" s="6" t="s">
        <v>144</v>
      </c>
      <c r="AF4" s="6" t="s">
        <v>136</v>
      </c>
      <c r="AG4" s="6">
        <v>40</v>
      </c>
      <c r="AH4" s="6" t="s">
        <v>135</v>
      </c>
      <c r="AJ4" s="37" t="s">
        <v>100</v>
      </c>
      <c r="AL4" t="s">
        <v>127</v>
      </c>
      <c r="AN4" t="s">
        <v>113</v>
      </c>
      <c r="AP4" t="s">
        <v>156</v>
      </c>
      <c r="AV4" t="s">
        <v>142</v>
      </c>
      <c r="AX4" t="s">
        <v>135</v>
      </c>
      <c r="BB4" t="s">
        <v>233</v>
      </c>
      <c r="BC4" t="s">
        <v>154</v>
      </c>
    </row>
    <row r="5" spans="1:57">
      <c r="A5" s="7" t="s">
        <v>286</v>
      </c>
      <c r="B5" s="7" t="s">
        <v>287</v>
      </c>
      <c r="D5" s="6"/>
      <c r="G5" t="s">
        <v>165</v>
      </c>
      <c r="H5" t="s">
        <v>100</v>
      </c>
      <c r="I5" t="s">
        <v>167</v>
      </c>
      <c r="V5" s="163" t="s">
        <v>163</v>
      </c>
      <c r="W5" t="s">
        <v>119</v>
      </c>
      <c r="X5" t="s">
        <v>135</v>
      </c>
      <c r="Y5" s="6"/>
      <c r="Z5" t="s">
        <v>164</v>
      </c>
      <c r="AB5" s="46" t="s">
        <v>121</v>
      </c>
      <c r="AC5" s="6" t="s">
        <v>158</v>
      </c>
      <c r="AD5" s="6" t="s">
        <v>143</v>
      </c>
      <c r="AE5" s="6" t="s">
        <v>153</v>
      </c>
      <c r="AF5" s="6" t="s">
        <v>136</v>
      </c>
      <c r="AG5" s="6">
        <v>20</v>
      </c>
      <c r="AH5" s="6" t="s">
        <v>135</v>
      </c>
      <c r="AN5" s="6" t="s">
        <v>284</v>
      </c>
    </row>
    <row r="6" spans="1:57">
      <c r="A6" s="7" t="s">
        <v>97</v>
      </c>
      <c r="B6" s="7" t="s">
        <v>25</v>
      </c>
      <c r="G6" t="s">
        <v>165</v>
      </c>
      <c r="H6" t="s">
        <v>100</v>
      </c>
      <c r="I6" t="s">
        <v>168</v>
      </c>
      <c r="V6" s="163" t="s">
        <v>168</v>
      </c>
      <c r="W6" t="s">
        <v>156</v>
      </c>
      <c r="X6" t="s">
        <v>136</v>
      </c>
      <c r="Y6" s="6"/>
      <c r="Z6" s="6" t="s">
        <v>168</v>
      </c>
      <c r="AB6" s="46" t="s">
        <v>121</v>
      </c>
      <c r="AC6" s="6" t="s">
        <v>159</v>
      </c>
      <c r="AD6" s="6" t="s">
        <v>143</v>
      </c>
      <c r="AE6" s="6" t="s">
        <v>154</v>
      </c>
      <c r="AF6" s="6" t="s">
        <v>136</v>
      </c>
      <c r="AG6" s="6">
        <v>20</v>
      </c>
      <c r="AH6" s="6" t="s">
        <v>135</v>
      </c>
    </row>
    <row r="7" spans="1:57">
      <c r="A7" s="6" t="s">
        <v>117</v>
      </c>
      <c r="B7" s="6"/>
      <c r="G7" t="s">
        <v>165</v>
      </c>
      <c r="H7" t="s">
        <v>99</v>
      </c>
      <c r="I7" t="s">
        <v>175</v>
      </c>
      <c r="AB7" s="6" t="s">
        <v>168</v>
      </c>
      <c r="AC7" t="s">
        <v>157</v>
      </c>
      <c r="AD7" t="s">
        <v>142</v>
      </c>
      <c r="AG7">
        <v>2000</v>
      </c>
      <c r="AH7" t="s">
        <v>136</v>
      </c>
    </row>
    <row r="8" spans="1:57">
      <c r="A8" s="39" t="s">
        <v>144</v>
      </c>
      <c r="B8" s="6" t="s">
        <v>175</v>
      </c>
      <c r="G8" t="s">
        <v>104</v>
      </c>
      <c r="H8" t="s">
        <v>99</v>
      </c>
      <c r="I8" t="s">
        <v>175</v>
      </c>
      <c r="AB8" s="6" t="s">
        <v>168</v>
      </c>
      <c r="AC8" s="6" t="s">
        <v>166</v>
      </c>
      <c r="AD8" s="6" t="s">
        <v>143</v>
      </c>
      <c r="AE8" s="6" t="s">
        <v>154</v>
      </c>
      <c r="AF8" s="6" t="s">
        <v>136</v>
      </c>
      <c r="AG8" s="6">
        <v>20</v>
      </c>
      <c r="AH8" s="6" t="s">
        <v>135</v>
      </c>
      <c r="BE8" s="108"/>
    </row>
    <row r="9" spans="1:57">
      <c r="A9" s="6"/>
      <c r="B9" s="6"/>
    </row>
    <row r="10" spans="1:57">
      <c r="A10" s="6"/>
      <c r="B10" s="6"/>
    </row>
    <row r="11" spans="1:57">
      <c r="A11" s="6"/>
      <c r="B11" s="6"/>
    </row>
    <row r="12" spans="1:57">
      <c r="A12" s="6"/>
      <c r="B12" s="6"/>
    </row>
  </sheetData>
  <dataConsolidate/>
  <mergeCells count="8">
    <mergeCell ref="A1:B1"/>
    <mergeCell ref="D1:E1"/>
    <mergeCell ref="G1:J1"/>
    <mergeCell ref="BB1:BC1"/>
    <mergeCell ref="AB1:AH1"/>
    <mergeCell ref="V1:Z1"/>
    <mergeCell ref="L1:Q1"/>
    <mergeCell ref="S1:T1"/>
  </mergeCells>
  <dataValidations count="13">
    <dataValidation type="list" allowBlank="1" showInputMessage="1" showErrorMessage="1" sqref="S3">
      <formula1>INDIRECT("Reports[Code]")</formula1>
    </dataValidation>
    <dataValidation type="list" allowBlank="1" showInputMessage="1" showErrorMessage="1" sqref="E4:E5">
      <formula1>INDIRECT("Actions[Code]")</formula1>
    </dataValidation>
    <dataValidation type="list" allowBlank="1" showInputMessage="1" showErrorMessage="1" sqref="AI3:AI6">
      <formula1>INDIRECT("ParamPurpose[Code]")</formula1>
    </dataValidation>
    <dataValidation type="list" allowBlank="1" showInputMessage="1" showErrorMessage="1" sqref="AD3:AD8">
      <formula1>INDIRECT("Direction[Code]")</formula1>
    </dataValidation>
    <dataValidation type="list" allowBlank="1" showInputMessage="1" showErrorMessage="1" sqref="W3:W6">
      <formula1>INDIRECT("ProgramTypes[Code]")</formula1>
    </dataValidation>
    <dataValidation type="list" allowBlank="1" showInputMessage="1" showErrorMessage="1" sqref="Y3:Y6">
      <formula1>INDIRECT("ReturnTypes[Code]")</formula1>
    </dataValidation>
    <dataValidation type="list" allowBlank="1" showInputMessage="1" showErrorMessage="1" sqref="AH3:AH8 AF3:AF8">
      <formula1>INDIRECT("YesNo[Code]")</formula1>
    </dataValidation>
    <dataValidation type="whole" allowBlank="1" showInputMessage="1" showErrorMessage="1" sqref="AG3:AG8">
      <formula1>1</formula1>
      <formula2>32767</formula2>
    </dataValidation>
    <dataValidation type="list" allowBlank="1" showInputMessage="1" showErrorMessage="1" sqref="O3:O4">
      <formula1>INDIRECT("CreateModes[Code]")</formula1>
    </dataValidation>
    <dataValidation type="list" allowBlank="1" showInputMessage="1" showErrorMessage="1" sqref="Q3:Q4">
      <formula1>INDIRECT("ReportTypes[Code]")</formula1>
    </dataValidation>
    <dataValidation type="list" allowBlank="1" showInputMessage="1" showErrorMessage="1" sqref="P3:P4">
      <formula1>INDIRECT("Programs[Code]")</formula1>
    </dataValidation>
    <dataValidation type="list" allowBlank="1" showInputMessage="1" showErrorMessage="1" sqref="H3:H8">
      <formula1>INDIRECT("ActionTypes[Code]")</formula1>
    </dataValidation>
    <dataValidation type="list" allowBlank="1" showInputMessage="1" showErrorMessage="1" sqref="J3:J8">
      <formula1>INDIRECT("AfterAction")</formula1>
    </dataValidation>
  </dataValidations>
  <pageMargins left="0.7" right="0.7" top="0.75" bottom="0.75" header="0.3" footer="0.3"/>
  <pageSetup paperSize="9" orientation="portrait" r:id="rId1"/>
  <legacyDrawing r:id="rId2"/>
  <tableParts count="17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Reports"/>
  <dimension ref="A1:F24"/>
  <sheetViews>
    <sheetView showGridLines="0" tabSelected="1" zoomScale="175" zoomScaleNormal="175" workbookViewId="0">
      <selection activeCell="B5" sqref="B5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6">
      <c r="A1" s="32"/>
      <c r="B1" s="32"/>
      <c r="C1" s="32"/>
      <c r="D1" s="32"/>
      <c r="E1" s="32"/>
    </row>
    <row r="2" spans="1:6" ht="30.75" customHeight="1">
      <c r="A2" s="32"/>
      <c r="B2" s="31" t="s">
        <v>86</v>
      </c>
      <c r="C2" s="40" t="s">
        <v>115</v>
      </c>
      <c r="D2" s="32" t="s">
        <v>187</v>
      </c>
      <c r="E2" s="32"/>
    </row>
    <row r="3" spans="1:6" ht="28.5" customHeight="1">
      <c r="A3" s="32"/>
      <c r="B3" s="31"/>
      <c r="C3" s="43" t="s">
        <v>130</v>
      </c>
      <c r="D3" s="32"/>
      <c r="E3" s="32"/>
    </row>
    <row r="4" spans="1:6" hidden="1">
      <c r="A4" s="32"/>
      <c r="B4" s="31" t="s">
        <v>87</v>
      </c>
      <c r="C4" s="42" t="s">
        <v>283</v>
      </c>
      <c r="D4" s="32"/>
      <c r="E4" s="32"/>
    </row>
    <row r="5" spans="1:6">
      <c r="A5" s="32"/>
      <c r="B5" s="31" t="s">
        <v>288</v>
      </c>
      <c r="C5" s="41">
        <v>43008</v>
      </c>
      <c r="D5" s="32"/>
      <c r="E5" s="32"/>
    </row>
    <row r="6" spans="1:6">
      <c r="A6" s="32"/>
      <c r="B6" s="32"/>
      <c r="C6" s="32"/>
      <c r="D6" s="32"/>
      <c r="E6" s="32"/>
    </row>
    <row r="7" spans="1:6" ht="1.5" customHeight="1">
      <c r="A7" s="197"/>
      <c r="B7" s="197"/>
      <c r="C7" s="197"/>
      <c r="D7" s="197"/>
      <c r="E7" s="197"/>
    </row>
    <row r="8" spans="1:6" ht="51" customHeight="1">
      <c r="A8" s="45"/>
      <c r="B8" s="198" t="s">
        <v>289</v>
      </c>
      <c r="C8" s="199"/>
      <c r="D8" s="199"/>
      <c r="E8" s="45"/>
    </row>
    <row r="9" spans="1:6" s="44" customFormat="1" ht="14.25" customHeight="1">
      <c r="A9" s="197"/>
      <c r="B9" s="197"/>
      <c r="C9" s="197"/>
      <c r="D9" s="197"/>
      <c r="E9" s="197"/>
    </row>
    <row r="10" spans="1:6" hidden="1">
      <c r="A10" s="194"/>
      <c r="B10" s="195"/>
      <c r="C10" s="195"/>
      <c r="D10" s="195"/>
      <c r="E10" s="196"/>
    </row>
    <row r="11" spans="1:6" hidden="1"/>
    <row r="12" spans="1:6" hidden="1"/>
    <row r="13" spans="1:6" hidden="1"/>
    <row r="14" spans="1:6" hidden="1">
      <c r="F14" s="26" t="s">
        <v>43</v>
      </c>
    </row>
    <row r="15" spans="1:6" hidden="1"/>
    <row r="16" spans="1:6" hidden="1"/>
    <row r="17" spans="5:5" hidden="1"/>
    <row r="18" spans="5:5" hidden="1"/>
    <row r="19" spans="5:5" hidden="1"/>
    <row r="20" spans="5:5" hidden="1"/>
    <row r="21" spans="5:5" hidden="1"/>
    <row r="22" spans="5:5" hidden="1"/>
    <row r="23" spans="5:5" hidden="1"/>
    <row r="24" spans="5:5" hidden="1">
      <c r="E24" s="26" t="s">
        <v>43</v>
      </c>
    </row>
  </sheetData>
  <dataConsolidate/>
  <mergeCells count="4">
    <mergeCell ref="A10:E10"/>
    <mergeCell ref="A7:E7"/>
    <mergeCell ref="A9:E9"/>
    <mergeCell ref="B8:D8"/>
  </mergeCells>
  <dataValidations count="1">
    <dataValidation type="list" allowBlank="1" showInputMessage="1" showErrorMessage="1" sqref="C2">
      <formula1>INDIRECT("Menu[Code]")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6"/>
  <dimension ref="A1:H54"/>
  <sheetViews>
    <sheetView showGridLines="0" workbookViewId="0">
      <selection sqref="A1:H1"/>
    </sheetView>
  </sheetViews>
  <sheetFormatPr defaultRowHeight="15"/>
  <cols>
    <col min="1" max="3" width="29.7109375" customWidth="1"/>
    <col min="4" max="4" width="2.5703125" customWidth="1"/>
    <col min="5" max="8" width="29.7109375" customWidth="1"/>
  </cols>
  <sheetData>
    <row r="1" spans="1:8" ht="33.75" customHeight="1">
      <c r="A1" s="202" t="s">
        <v>274</v>
      </c>
      <c r="B1" s="203"/>
      <c r="C1" s="203"/>
      <c r="D1" s="203"/>
      <c r="E1" s="203"/>
      <c r="F1" s="203"/>
      <c r="G1" s="203"/>
      <c r="H1" s="203"/>
    </row>
    <row r="2" spans="1:8" ht="15.75" customHeight="1">
      <c r="A2" s="207"/>
      <c r="B2" s="207"/>
      <c r="C2" s="207"/>
      <c r="D2" s="207"/>
      <c r="E2" s="207"/>
      <c r="F2" s="207"/>
      <c r="G2" s="207"/>
      <c r="H2" s="207"/>
    </row>
    <row r="3" spans="1:8" ht="27" customHeight="1">
      <c r="A3" s="204" t="s">
        <v>249</v>
      </c>
      <c r="B3" s="204"/>
      <c r="C3" s="204"/>
      <c r="D3" s="117"/>
      <c r="E3" s="204" t="s">
        <v>250</v>
      </c>
      <c r="F3" s="204"/>
      <c r="G3" s="204"/>
      <c r="H3" s="204"/>
    </row>
    <row r="4" spans="1:8">
      <c r="A4" s="154" t="s">
        <v>267</v>
      </c>
      <c r="B4" s="155" t="s">
        <v>251</v>
      </c>
      <c r="C4" s="155" t="s">
        <v>252</v>
      </c>
      <c r="D4" s="117"/>
      <c r="E4" s="124" t="s">
        <v>253</v>
      </c>
      <c r="F4" s="124" t="s">
        <v>251</v>
      </c>
      <c r="G4" s="124" t="s">
        <v>252</v>
      </c>
      <c r="H4" s="124" t="s">
        <v>279</v>
      </c>
    </row>
    <row r="5" spans="1:8" ht="18">
      <c r="A5" s="156" t="s">
        <v>254</v>
      </c>
      <c r="B5" s="157"/>
      <c r="C5" s="157"/>
      <c r="D5" s="117"/>
      <c r="E5" s="123">
        <f>Таблица42[[#This Row],[13%]]+Таблица42[[#This Row],[30%]]</f>
        <v>0</v>
      </c>
      <c r="F5" s="123">
        <f>B21-Таблица42[[#This Row],[13%]]</f>
        <v>0</v>
      </c>
      <c r="G5" s="123">
        <f>C21-Таблица42[[#This Row],[30%]]</f>
        <v>0</v>
      </c>
      <c r="H5" s="123">
        <f>Таблица43[[#This Row],[13%]]+Таблица43[[#This Row],[30%]]</f>
        <v>0</v>
      </c>
    </row>
    <row r="6" spans="1:8" ht="18">
      <c r="A6" s="156" t="s">
        <v>255</v>
      </c>
      <c r="B6" s="157"/>
      <c r="C6" s="157"/>
      <c r="D6" s="117"/>
      <c r="E6" s="123">
        <f>Таблица42[[#This Row],[13%]]+Таблица42[[#This Row],[30%]]</f>
        <v>0</v>
      </c>
      <c r="F6" s="123">
        <f>B22+B23-Таблица42[[#This Row],[13%]]</f>
        <v>0</v>
      </c>
      <c r="G6" s="123">
        <f>C22+C23-Таблица42[[#This Row],[30%]]</f>
        <v>0</v>
      </c>
      <c r="H6" s="123">
        <f>Таблица43[[#This Row],[13%]]+Таблица43[[#This Row],[30%]]</f>
        <v>0</v>
      </c>
    </row>
    <row r="7" spans="1:8" ht="18">
      <c r="A7" s="156" t="s">
        <v>256</v>
      </c>
      <c r="B7" s="157"/>
      <c r="C7" s="157"/>
      <c r="D7" s="117"/>
      <c r="E7" s="123">
        <f>Таблица42[[#This Row],[13%]]+Таблица42[[#This Row],[30%]]</f>
        <v>0</v>
      </c>
      <c r="F7" s="123">
        <f>B24-Таблица42[[#This Row],[13%]]</f>
        <v>0</v>
      </c>
      <c r="G7" s="123">
        <f>C24-Таблица42[[#This Row],[30%]]</f>
        <v>0</v>
      </c>
      <c r="H7" s="123">
        <f>Таблица43[[#This Row],[13%]]+Таблица43[[#This Row],[30%]]</f>
        <v>0</v>
      </c>
    </row>
    <row r="8" spans="1:8" ht="18">
      <c r="A8" s="156" t="s">
        <v>257</v>
      </c>
      <c r="B8" s="157"/>
      <c r="C8" s="158"/>
      <c r="D8" s="117"/>
      <c r="E8" s="123">
        <f>Таблица42[[#This Row],[13%]]+Таблица42[[#This Row],[30%]]</f>
        <v>0</v>
      </c>
      <c r="F8" s="123">
        <f>B25-Таблица42[[#This Row],[13%]]</f>
        <v>0</v>
      </c>
      <c r="G8" s="123">
        <f>C25-Таблица42[[#This Row],[30%]]</f>
        <v>0</v>
      </c>
      <c r="H8" s="123">
        <f>Таблица43[[#This Row],[13%]]+Таблица43[[#This Row],[30%]]</f>
        <v>0</v>
      </c>
    </row>
    <row r="9" spans="1:8" ht="18">
      <c r="A9" s="156" t="s">
        <v>258</v>
      </c>
      <c r="B9" s="157"/>
      <c r="C9" s="158"/>
      <c r="D9" s="117"/>
      <c r="E9" s="123">
        <f>Таблица42[[#This Row],[13%]]+Таблица42[[#This Row],[30%]]</f>
        <v>0</v>
      </c>
      <c r="F9" s="123">
        <f>B26-Таблица42[[#This Row],[13%]]</f>
        <v>0</v>
      </c>
      <c r="G9" s="123">
        <f>C26-Таблица42[[#This Row],[30%]]</f>
        <v>0</v>
      </c>
      <c r="H9" s="123">
        <f>Таблица43[[#This Row],[13%]]+Таблица43[[#This Row],[30%]]</f>
        <v>0</v>
      </c>
    </row>
    <row r="10" spans="1:8" ht="18">
      <c r="A10" s="156" t="s">
        <v>259</v>
      </c>
      <c r="B10" s="157"/>
      <c r="C10" s="157"/>
      <c r="D10" s="117"/>
      <c r="E10" s="123">
        <f>Таблица42[[#This Row],[13%]]+Таблица42[[#This Row],[30%]]</f>
        <v>0</v>
      </c>
      <c r="F10" s="123">
        <f>B27-Таблица42[[#This Row],[13%]]</f>
        <v>0</v>
      </c>
      <c r="G10" s="123">
        <f>C27-Таблица42[[#This Row],[30%]]</f>
        <v>0</v>
      </c>
      <c r="H10" s="123">
        <f>Таблица43[[#This Row],[13%]]+Таблица43[[#This Row],[30%]]</f>
        <v>0</v>
      </c>
    </row>
    <row r="11" spans="1:8" ht="18">
      <c r="A11" s="156" t="s">
        <v>260</v>
      </c>
      <c r="B11" s="157"/>
      <c r="C11" s="159"/>
      <c r="D11" s="117"/>
      <c r="E11" s="123">
        <f>Таблица42[[#This Row],[13%]]+Таблица42[[#This Row],[30%]]</f>
        <v>0</v>
      </c>
      <c r="F11" s="123">
        <f>B28+B29-Таблица42[[#This Row],[13%]]</f>
        <v>0</v>
      </c>
      <c r="G11" s="123">
        <f>C28+C29-Таблица42[[#This Row],[30%]]</f>
        <v>0</v>
      </c>
      <c r="H11" s="123">
        <f>Таблица43[[#This Row],[13%]]+Таблица43[[#This Row],[30%]]</f>
        <v>0</v>
      </c>
    </row>
    <row r="12" spans="1:8" ht="18">
      <c r="A12" s="156" t="s">
        <v>261</v>
      </c>
      <c r="B12" s="157"/>
      <c r="C12" s="159"/>
      <c r="D12" s="117"/>
      <c r="E12" s="123">
        <f>Таблица42[[#This Row],[13%]]+Таблица42[[#This Row],[30%]]</f>
        <v>0</v>
      </c>
      <c r="F12" s="123">
        <f>B30-Таблица42[[#This Row],[13%]]</f>
        <v>0</v>
      </c>
      <c r="G12" s="123">
        <f>C30-Таблица42[[#This Row],[30%]]</f>
        <v>0</v>
      </c>
      <c r="H12" s="123">
        <f>Таблица43[[#This Row],[13%]]+Таблица43[[#This Row],[30%]]</f>
        <v>0</v>
      </c>
    </row>
    <row r="13" spans="1:8" ht="18">
      <c r="A13" s="156" t="s">
        <v>262</v>
      </c>
      <c r="B13" s="157"/>
      <c r="C13" s="159"/>
      <c r="D13" s="117"/>
      <c r="E13" s="123">
        <f>Таблица42[[#This Row],[13%]]+Таблица42[[#This Row],[30%]]</f>
        <v>0</v>
      </c>
      <c r="F13" s="123">
        <f>B31-Таблица42[[#This Row],[13%]]</f>
        <v>0</v>
      </c>
      <c r="G13" s="123">
        <f>C31-Таблица42[[#This Row],[30%]]</f>
        <v>0</v>
      </c>
      <c r="H13" s="123">
        <f>Таблица43[[#This Row],[13%]]+Таблица43[[#This Row],[30%]]</f>
        <v>0</v>
      </c>
    </row>
    <row r="14" spans="1:8" ht="18">
      <c r="A14" s="127" t="s">
        <v>275</v>
      </c>
      <c r="B14" s="131">
        <f>SUBTOTAL(109,[13%])</f>
        <v>0</v>
      </c>
      <c r="C14" s="131">
        <f>SUBTOTAL(109,[30%])</f>
        <v>0</v>
      </c>
      <c r="D14" s="132"/>
      <c r="E14" s="131">
        <f>SUBTOTAL(109,[Сумма по ставкам])</f>
        <v>0</v>
      </c>
      <c r="F14" s="142"/>
      <c r="G14" s="129"/>
      <c r="H14" s="130"/>
    </row>
    <row r="15" spans="1:8" ht="18">
      <c r="A15" s="128" t="s">
        <v>264</v>
      </c>
      <c r="B15" s="123">
        <f>Таблица44[[#Totals],[13%]]-Таблица42[[#Totals],[13%]]</f>
        <v>0</v>
      </c>
      <c r="C15" s="123">
        <f>Таблица44[[#Totals],[30%]]-Таблица42[[#Totals],[30%]]</f>
        <v>0</v>
      </c>
      <c r="D15" s="117"/>
      <c r="E15" s="123">
        <f>B33-Таблица43[[#Totals],[Сумма по ставкам]]</f>
        <v>0</v>
      </c>
      <c r="F15" s="117"/>
      <c r="G15" s="117"/>
      <c r="H15" s="117"/>
    </row>
    <row r="16" spans="1:8">
      <c r="A16" s="117"/>
      <c r="B16" s="120"/>
      <c r="C16" s="120"/>
      <c r="D16" s="117"/>
      <c r="E16" s="117"/>
      <c r="F16" s="117"/>
      <c r="G16" s="117"/>
      <c r="H16" s="117"/>
    </row>
    <row r="17" spans="1:8">
      <c r="A17" s="117"/>
      <c r="B17" s="117"/>
      <c r="C17" s="117"/>
      <c r="D17" s="119"/>
      <c r="E17" s="117"/>
      <c r="F17" s="117"/>
      <c r="G17" s="117"/>
      <c r="H17" s="117"/>
    </row>
    <row r="18" spans="1:8" ht="24.75" customHeight="1">
      <c r="A18" s="205" t="s">
        <v>265</v>
      </c>
      <c r="B18" s="205"/>
      <c r="C18" s="205"/>
      <c r="D18" s="119"/>
      <c r="E18" s="205" t="s">
        <v>266</v>
      </c>
      <c r="F18" s="205"/>
      <c r="G18" s="205"/>
      <c r="H18" s="205"/>
    </row>
    <row r="19" spans="1:8" ht="14.25" customHeight="1">
      <c r="A19" s="205"/>
      <c r="B19" s="205"/>
      <c r="C19" s="205"/>
      <c r="D19" s="118"/>
      <c r="E19" s="206" t="s">
        <v>251</v>
      </c>
      <c r="F19" s="206"/>
      <c r="G19" s="206" t="s">
        <v>252</v>
      </c>
      <c r="H19" s="206"/>
    </row>
    <row r="20" spans="1:8">
      <c r="A20" s="125" t="s">
        <v>267</v>
      </c>
      <c r="B20" s="147" t="s">
        <v>251</v>
      </c>
      <c r="C20" s="125" t="s">
        <v>252</v>
      </c>
      <c r="D20" s="149" t="s">
        <v>130</v>
      </c>
      <c r="E20" s="150" t="s">
        <v>268</v>
      </c>
      <c r="F20" s="148" t="s">
        <v>269</v>
      </c>
      <c r="G20" s="146" t="s">
        <v>277</v>
      </c>
      <c r="H20" s="146" t="s">
        <v>278</v>
      </c>
    </row>
    <row r="21" spans="1:8" ht="18">
      <c r="A21" s="126" t="s">
        <v>248</v>
      </c>
      <c r="B21" s="123"/>
      <c r="C21" s="123"/>
      <c r="D21" s="145"/>
      <c r="E21" s="123"/>
      <c r="F21" s="123"/>
      <c r="G21" s="123"/>
      <c r="H21" s="123"/>
    </row>
    <row r="22" spans="1:8" ht="18">
      <c r="A22" s="153"/>
      <c r="B22" s="123"/>
      <c r="C22" s="123"/>
      <c r="D22" s="145"/>
      <c r="E22" s="123"/>
      <c r="F22" s="123"/>
      <c r="G22" s="123"/>
      <c r="H22" s="123"/>
    </row>
    <row r="23" spans="1:8" ht="18">
      <c r="A23" s="153"/>
      <c r="B23" s="123"/>
      <c r="C23" s="123"/>
      <c r="D23" s="145"/>
      <c r="E23" s="123"/>
      <c r="F23" s="123"/>
      <c r="G23" s="123"/>
      <c r="H23" s="123"/>
    </row>
    <row r="24" spans="1:8" ht="18">
      <c r="A24" s="153"/>
      <c r="B24" s="123"/>
      <c r="C24" s="123"/>
      <c r="D24" s="145"/>
      <c r="E24" s="123"/>
      <c r="F24" s="123"/>
      <c r="G24" s="123"/>
      <c r="H24" s="123"/>
    </row>
    <row r="25" spans="1:8" ht="18">
      <c r="A25" s="153"/>
      <c r="B25" s="123"/>
      <c r="C25" s="123"/>
      <c r="D25" s="145"/>
      <c r="E25" s="123"/>
      <c r="F25" s="123"/>
      <c r="G25" s="123"/>
      <c r="H25" s="123"/>
    </row>
    <row r="26" spans="1:8" ht="18">
      <c r="A26" s="153"/>
      <c r="B26" s="123"/>
      <c r="C26" s="123"/>
      <c r="D26" s="145"/>
      <c r="E26" s="123"/>
      <c r="F26" s="123"/>
      <c r="G26" s="123"/>
      <c r="H26" s="123"/>
    </row>
    <row r="27" spans="1:8" ht="18">
      <c r="A27" s="153"/>
      <c r="B27" s="123"/>
      <c r="C27" s="123"/>
      <c r="D27" s="145"/>
      <c r="E27" s="123"/>
      <c r="F27" s="123"/>
      <c r="G27" s="123"/>
      <c r="H27" s="123"/>
    </row>
    <row r="28" spans="1:8" ht="18">
      <c r="A28" s="153"/>
      <c r="B28" s="123"/>
      <c r="C28" s="123"/>
      <c r="D28" s="145"/>
      <c r="E28" s="123"/>
      <c r="F28" s="123"/>
      <c r="G28" s="123"/>
      <c r="H28" s="123"/>
    </row>
    <row r="29" spans="1:8" ht="18">
      <c r="A29" s="153"/>
      <c r="B29" s="123"/>
      <c r="C29" s="123"/>
      <c r="D29" s="145"/>
      <c r="E29" s="123"/>
      <c r="F29" s="123"/>
      <c r="G29" s="123"/>
      <c r="H29" s="123"/>
    </row>
    <row r="30" spans="1:8" ht="18">
      <c r="A30" s="153"/>
      <c r="B30" s="123"/>
      <c r="C30" s="123"/>
      <c r="D30" s="145"/>
      <c r="E30" s="123"/>
      <c r="F30" s="123"/>
      <c r="G30" s="123"/>
      <c r="H30" s="123"/>
    </row>
    <row r="31" spans="1:8" ht="18">
      <c r="A31" s="126"/>
      <c r="B31" s="141"/>
      <c r="C31" s="123"/>
      <c r="D31" s="117"/>
      <c r="E31" s="123"/>
      <c r="F31" s="123"/>
      <c r="G31" s="123"/>
      <c r="H31" s="123"/>
    </row>
    <row r="32" spans="1:8" ht="18">
      <c r="A32" s="144" t="s">
        <v>263</v>
      </c>
      <c r="B32" s="131">
        <f>SUBTOTAL(109,[13%])</f>
        <v>0</v>
      </c>
      <c r="C32" s="131">
        <f>SUBTOTAL(109,[30%])</f>
        <v>0</v>
      </c>
      <c r="D32" s="151"/>
      <c r="E32" s="152"/>
      <c r="F32" s="152"/>
      <c r="G32" s="152"/>
      <c r="H32" s="152"/>
    </row>
    <row r="33" spans="1:8" ht="18">
      <c r="A33" s="143" t="s">
        <v>276</v>
      </c>
      <c r="B33" s="131">
        <f>Таблица44[[#Totals],[13%]]+Таблица44[[#Totals],[30%]]</f>
        <v>0</v>
      </c>
      <c r="C33" s="131"/>
      <c r="D33" s="117"/>
      <c r="E33" s="133"/>
      <c r="F33" s="133"/>
      <c r="G33" s="133"/>
      <c r="H33" s="133"/>
    </row>
    <row r="34" spans="1:8" ht="18">
      <c r="C34" s="137"/>
      <c r="D34" s="117"/>
      <c r="E34" s="6"/>
      <c r="F34" s="6"/>
      <c r="G34" s="6"/>
      <c r="H34" s="6"/>
    </row>
    <row r="35" spans="1:8">
      <c r="A35" s="117"/>
      <c r="B35" s="121"/>
      <c r="C35" s="117"/>
      <c r="D35" s="117"/>
      <c r="E35" s="117"/>
      <c r="F35" s="117"/>
      <c r="G35" s="117"/>
      <c r="H35" s="117"/>
    </row>
    <row r="36" spans="1:8">
      <c r="A36" s="136" t="s">
        <v>270</v>
      </c>
      <c r="B36" s="140"/>
      <c r="C36" s="117"/>
      <c r="D36" s="117"/>
      <c r="F36" s="117"/>
      <c r="G36" s="117"/>
      <c r="H36" s="117"/>
    </row>
    <row r="37" spans="1:8" ht="18">
      <c r="A37" s="126" t="s">
        <v>271</v>
      </c>
      <c r="B37" s="123">
        <f>B33</f>
        <v>0</v>
      </c>
      <c r="C37" s="117"/>
      <c r="D37" s="117"/>
      <c r="E37" s="134"/>
      <c r="F37" s="117"/>
      <c r="G37" s="117"/>
      <c r="H37" s="117"/>
    </row>
    <row r="38" spans="1:8" ht="18">
      <c r="A38" s="126" t="s">
        <v>280</v>
      </c>
      <c r="B38" s="141"/>
      <c r="C38" s="135"/>
      <c r="D38" s="117"/>
      <c r="F38" s="117"/>
      <c r="G38" s="117"/>
      <c r="H38" s="117"/>
    </row>
    <row r="39" spans="1:8" ht="18">
      <c r="A39" s="126" t="s">
        <v>272</v>
      </c>
      <c r="B39" s="123">
        <f>B37-B38</f>
        <v>0</v>
      </c>
      <c r="C39" s="117"/>
      <c r="D39" s="117"/>
    </row>
    <row r="40" spans="1:8">
      <c r="D40" s="117"/>
    </row>
    <row r="41" spans="1:8">
      <c r="A41" s="200" t="s">
        <v>281</v>
      </c>
      <c r="B41" s="201"/>
      <c r="D41" s="117"/>
    </row>
    <row r="42" spans="1:8">
      <c r="A42" s="200"/>
      <c r="B42" s="201"/>
      <c r="C42" s="117"/>
      <c r="D42" s="117"/>
    </row>
    <row r="43" spans="1:8" ht="18">
      <c r="A43" s="138"/>
      <c r="B43" s="139"/>
      <c r="C43" s="122"/>
      <c r="D43" s="117"/>
    </row>
    <row r="44" spans="1:8" ht="18">
      <c r="A44" s="136" t="s">
        <v>273</v>
      </c>
      <c r="B44" s="141"/>
      <c r="C44" s="117"/>
      <c r="D44" s="117"/>
    </row>
    <row r="45" spans="1:8">
      <c r="D45" s="117"/>
    </row>
    <row r="46" spans="1:8" ht="51.75" customHeight="1">
      <c r="A46" s="160" t="s">
        <v>282</v>
      </c>
      <c r="B46" s="161"/>
      <c r="D46" s="117"/>
    </row>
    <row r="49" ht="15" customHeight="1"/>
    <row r="50" ht="18" customHeight="1"/>
    <row r="51" ht="15" customHeight="1"/>
    <row r="54" ht="18" customHeight="1"/>
  </sheetData>
  <mergeCells count="10">
    <mergeCell ref="A41:A42"/>
    <mergeCell ref="B41:B42"/>
    <mergeCell ref="A1:H1"/>
    <mergeCell ref="E3:H3"/>
    <mergeCell ref="A3:C3"/>
    <mergeCell ref="A18:C19"/>
    <mergeCell ref="E19:F19"/>
    <mergeCell ref="G19:H19"/>
    <mergeCell ref="E18:H18"/>
    <mergeCell ref="A2:H2"/>
  </mergeCells>
  <conditionalFormatting sqref="E15 F14 B15:C15">
    <cfRule type="cellIs" dxfId="135" priority="1" operator="notEqual">
      <formula>0</formula>
    </cfRule>
  </conditionalFormatting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17"/>
  <dimension ref="A1:J10"/>
  <sheetViews>
    <sheetView zoomScale="145" zoomScaleNormal="145" workbookViewId="0">
      <pane ySplit="6" topLeftCell="A7" activePane="bottomLeft" state="frozen"/>
      <selection pane="bottomLeft" activeCell="B7" sqref="B7"/>
    </sheetView>
  </sheetViews>
  <sheetFormatPr defaultRowHeight="15"/>
  <cols>
    <col min="1" max="1" width="10.7109375" customWidth="1"/>
    <col min="2" max="2" width="16.140625" customWidth="1"/>
    <col min="3" max="3" width="19.5703125" customWidth="1"/>
    <col min="4" max="4" width="19.28515625" customWidth="1"/>
    <col min="5" max="5" width="10.42578125" bestFit="1" customWidth="1"/>
    <col min="6" max="6" width="12.42578125" bestFit="1" customWidth="1"/>
    <col min="7" max="7" width="10.28515625" bestFit="1" customWidth="1"/>
    <col min="8" max="8" width="11" customWidth="1"/>
  </cols>
  <sheetData>
    <row r="1" spans="1:10" ht="44.25" customHeight="1">
      <c r="A1" s="166" t="s">
        <v>237</v>
      </c>
      <c r="B1" s="166"/>
      <c r="C1" s="166"/>
      <c r="D1" s="166"/>
      <c r="E1" s="111"/>
      <c r="F1" s="111"/>
      <c r="G1" s="111"/>
      <c r="H1" s="111"/>
      <c r="I1" s="111"/>
      <c r="J1" s="111"/>
    </row>
    <row r="2" spans="1:10">
      <c r="B2" s="95"/>
      <c r="C2" s="64" t="s">
        <v>220</v>
      </c>
      <c r="D2" s="64" t="s">
        <v>221</v>
      </c>
      <c r="E2" s="6"/>
      <c r="F2" s="6"/>
      <c r="G2" s="6"/>
      <c r="H2" s="6"/>
      <c r="I2" s="6"/>
      <c r="J2" s="6"/>
    </row>
    <row r="3" spans="1:10">
      <c r="B3" s="96" t="s">
        <v>222</v>
      </c>
      <c r="C3" s="65">
        <f>SUM(Таблица26[130])</f>
        <v>0</v>
      </c>
      <c r="D3" s="65">
        <f>SUM(Таблица26[140])</f>
        <v>0</v>
      </c>
    </row>
    <row r="4" spans="1:10" ht="15.75" thickBot="1">
      <c r="B4" s="95"/>
      <c r="C4" s="95"/>
      <c r="D4" s="95"/>
    </row>
    <row r="5" spans="1:10" ht="43.15" customHeight="1">
      <c r="A5" s="97" t="s">
        <v>179</v>
      </c>
      <c r="B5" s="98" t="s">
        <v>223</v>
      </c>
      <c r="C5" s="99" t="s">
        <v>224</v>
      </c>
      <c r="D5" s="100" t="s">
        <v>224</v>
      </c>
    </row>
    <row r="6" spans="1:10" s="102" customFormat="1" ht="12" thickBot="1">
      <c r="A6" s="101" t="s">
        <v>180</v>
      </c>
      <c r="B6" s="105" t="s">
        <v>229</v>
      </c>
      <c r="C6" s="106" t="s">
        <v>225</v>
      </c>
      <c r="D6" s="107" t="s">
        <v>226</v>
      </c>
    </row>
    <row r="7" spans="1:10">
      <c r="A7" s="51"/>
      <c r="B7" s="103" t="s">
        <v>230</v>
      </c>
      <c r="C7" s="104"/>
      <c r="D7" s="104"/>
    </row>
    <row r="9" spans="1:10">
      <c r="B9" t="s">
        <v>227</v>
      </c>
    </row>
    <row r="10" spans="1:10">
      <c r="B10" t="s">
        <v>228</v>
      </c>
    </row>
  </sheetData>
  <mergeCells count="1">
    <mergeCell ref="A1:D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8"/>
  <dimension ref="A1:F13"/>
  <sheetViews>
    <sheetView zoomScale="130" zoomScaleNormal="130" workbookViewId="0">
      <selection activeCell="A2" sqref="A2:E2"/>
    </sheetView>
  </sheetViews>
  <sheetFormatPr defaultRowHeight="15"/>
  <cols>
    <col min="1" max="1" width="11.5703125" customWidth="1"/>
    <col min="2" max="2" width="16.7109375" customWidth="1"/>
    <col min="3" max="3" width="18.28515625" customWidth="1"/>
    <col min="4" max="4" width="19.28515625" customWidth="1"/>
    <col min="5" max="5" width="16.5703125" customWidth="1"/>
  </cols>
  <sheetData>
    <row r="1" spans="1:6" ht="42" customHeight="1">
      <c r="A1" s="208" t="s">
        <v>238</v>
      </c>
      <c r="B1" s="209"/>
      <c r="C1" s="209"/>
      <c r="D1" s="209"/>
      <c r="E1" s="209"/>
    </row>
    <row r="2" spans="1:6" ht="19.5" customHeight="1">
      <c r="A2" s="210" t="s">
        <v>178</v>
      </c>
      <c r="B2" s="211"/>
      <c r="C2" s="211"/>
      <c r="D2" s="211"/>
      <c r="E2" s="212"/>
    </row>
    <row r="3" spans="1:6" ht="30">
      <c r="A3" s="77" t="s">
        <v>179</v>
      </c>
      <c r="B3" s="77" t="s">
        <v>64</v>
      </c>
      <c r="C3" s="77" t="s">
        <v>65</v>
      </c>
      <c r="D3" s="77" t="s">
        <v>66</v>
      </c>
      <c r="E3" s="77" t="s">
        <v>67</v>
      </c>
    </row>
    <row r="4" spans="1:6">
      <c r="A4" s="78" t="s">
        <v>180</v>
      </c>
      <c r="B4" s="76" t="s">
        <v>68</v>
      </c>
      <c r="C4" s="76" t="s">
        <v>69</v>
      </c>
      <c r="D4" s="76" t="s">
        <v>70</v>
      </c>
      <c r="E4" s="76" t="s">
        <v>71</v>
      </c>
    </row>
    <row r="5" spans="1:6">
      <c r="A5" s="79"/>
      <c r="B5" s="80" t="s">
        <v>132</v>
      </c>
      <c r="C5" s="81"/>
      <c r="D5" s="82"/>
      <c r="E5" s="83"/>
    </row>
    <row r="6" spans="1:6">
      <c r="D6" t="s">
        <v>187</v>
      </c>
    </row>
    <row r="7" spans="1:6">
      <c r="D7" t="s">
        <v>181</v>
      </c>
    </row>
    <row r="8" spans="1:6" ht="20.25" customHeight="1">
      <c r="D8" s="192" t="s">
        <v>182</v>
      </c>
      <c r="E8" s="192"/>
    </row>
    <row r="9" spans="1:6">
      <c r="C9" s="6"/>
      <c r="D9" s="6" t="s">
        <v>185</v>
      </c>
      <c r="E9" s="55"/>
      <c r="F9" s="6"/>
    </row>
    <row r="10" spans="1:6">
      <c r="C10" s="55"/>
      <c r="D10" s="56" t="s">
        <v>183</v>
      </c>
      <c r="E10" s="57">
        <f>SUBTOTAL(109,ndfl6_part1_general_recalc_curr[[#All],[Столбец2]])</f>
        <v>0</v>
      </c>
      <c r="F10" s="6"/>
    </row>
    <row r="11" spans="1:6" ht="19.5" customHeight="1">
      <c r="C11" s="53"/>
      <c r="D11" s="192" t="s">
        <v>184</v>
      </c>
      <c r="E11" s="192"/>
    </row>
    <row r="12" spans="1:6">
      <c r="D12" s="6" t="s">
        <v>186</v>
      </c>
      <c r="E12" s="53"/>
    </row>
    <row r="13" spans="1:6">
      <c r="D13" s="54" t="s">
        <v>183</v>
      </c>
      <c r="E13" s="57">
        <f>SUBTOTAL(109,ndfl6_recalc_prev_year[[#All],[Столбец2]])</f>
        <v>0</v>
      </c>
    </row>
  </sheetData>
  <mergeCells count="4">
    <mergeCell ref="A1:E1"/>
    <mergeCell ref="D8:E8"/>
    <mergeCell ref="D11:E11"/>
    <mergeCell ref="A2:E2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9"/>
  <dimension ref="A1:H25"/>
  <sheetViews>
    <sheetView zoomScale="115" zoomScaleNormal="115" workbookViewId="0">
      <pane ySplit="2" topLeftCell="A3" activePane="bottomLeft" state="frozen"/>
      <selection pane="bottomLeft" sqref="A1:XFD1"/>
    </sheetView>
  </sheetViews>
  <sheetFormatPr defaultRowHeight="15"/>
  <cols>
    <col min="1" max="1" width="13.7109375" customWidth="1"/>
    <col min="2" max="2" width="11.85546875" customWidth="1"/>
    <col min="3" max="3" width="18" customWidth="1"/>
    <col min="4" max="5" width="17.7109375" customWidth="1"/>
    <col min="6" max="6" width="15.5703125" customWidth="1"/>
    <col min="7" max="7" width="13" customWidth="1"/>
    <col min="8" max="8" width="11.85546875" customWidth="1"/>
  </cols>
  <sheetData>
    <row r="1" spans="1:8" ht="37.5" customHeight="1" thickBot="1">
      <c r="A1" s="213" t="s">
        <v>239</v>
      </c>
      <c r="B1" s="214"/>
      <c r="C1" s="214"/>
      <c r="D1" s="214"/>
      <c r="E1" s="214"/>
      <c r="F1" s="214"/>
      <c r="G1" s="214"/>
      <c r="H1" s="214"/>
    </row>
    <row r="2" spans="1:8" ht="30.75" thickBot="1">
      <c r="A2" s="74" t="s">
        <v>179</v>
      </c>
      <c r="B2" s="72" t="s">
        <v>73</v>
      </c>
      <c r="C2" s="72" t="s">
        <v>1</v>
      </c>
      <c r="D2" s="72" t="s">
        <v>74</v>
      </c>
      <c r="E2" s="72" t="s">
        <v>75</v>
      </c>
      <c r="F2" s="72" t="s">
        <v>76</v>
      </c>
      <c r="G2" s="72" t="s">
        <v>77</v>
      </c>
      <c r="H2" s="73" t="s">
        <v>78</v>
      </c>
    </row>
    <row r="3" spans="1:8">
      <c r="A3" s="75" t="s">
        <v>180</v>
      </c>
      <c r="B3" s="58" t="s">
        <v>79</v>
      </c>
      <c r="C3" s="58" t="s">
        <v>80</v>
      </c>
      <c r="D3" s="58" t="s">
        <v>81</v>
      </c>
      <c r="E3" s="58" t="s">
        <v>82</v>
      </c>
      <c r="F3" s="58" t="s">
        <v>83</v>
      </c>
      <c r="G3" s="58" t="s">
        <v>84</v>
      </c>
      <c r="H3" s="59" t="s">
        <v>85</v>
      </c>
    </row>
    <row r="4" spans="1:8">
      <c r="A4" s="68"/>
      <c r="B4" s="69" t="s">
        <v>133</v>
      </c>
      <c r="C4" s="70"/>
      <c r="D4" s="70"/>
      <c r="E4" s="70"/>
      <c r="F4" s="71"/>
      <c r="G4" s="71"/>
      <c r="H4" s="71"/>
    </row>
    <row r="5" spans="1:8">
      <c r="A5" s="91" t="s">
        <v>211</v>
      </c>
      <c r="B5" s="92"/>
      <c r="C5" s="93">
        <f>SUBTOTAL(109,[Столбец3])</f>
        <v>0</v>
      </c>
      <c r="D5" s="93">
        <f>SUBTOTAL(109,[Столбец4])</f>
        <v>0</v>
      </c>
      <c r="E5" s="93">
        <f>SUBTOTAL(109,[Столбец5])</f>
        <v>0</v>
      </c>
      <c r="F5" s="94">
        <f>SUBTOTAL(109,[Столбец6])</f>
        <v>0</v>
      </c>
      <c r="G5" s="94">
        <f>SUBTOTAL(109,[Столбец7])</f>
        <v>0</v>
      </c>
      <c r="H5" s="94">
        <f>SUBTOTAL(109,[Столбец8])</f>
        <v>0</v>
      </c>
    </row>
    <row r="6" spans="1:8">
      <c r="A6" t="s">
        <v>188</v>
      </c>
    </row>
    <row r="7" spans="1:8">
      <c r="A7" s="60" t="s">
        <v>189</v>
      </c>
      <c r="C7" s="53"/>
      <c r="D7" s="53"/>
      <c r="E7" s="220" t="s">
        <v>190</v>
      </c>
      <c r="F7" s="220"/>
      <c r="G7" s="220"/>
      <c r="H7" s="220"/>
    </row>
    <row r="8" spans="1:8">
      <c r="A8" s="84" t="s">
        <v>191</v>
      </c>
      <c r="B8" s="84" t="s">
        <v>192</v>
      </c>
      <c r="C8" s="84" t="s">
        <v>217</v>
      </c>
      <c r="D8" s="84" t="s">
        <v>193</v>
      </c>
      <c r="E8" s="84" t="s">
        <v>194</v>
      </c>
      <c r="F8" s="84" t="s">
        <v>195</v>
      </c>
      <c r="G8" s="84" t="s">
        <v>207</v>
      </c>
      <c r="H8" s="84" t="s">
        <v>208</v>
      </c>
    </row>
    <row r="9" spans="1:8">
      <c r="A9" s="6" t="s">
        <v>205</v>
      </c>
      <c r="C9" s="53"/>
      <c r="D9" s="53"/>
    </row>
    <row r="10" spans="1:8">
      <c r="A10" s="6"/>
      <c r="C10" s="53"/>
      <c r="D10" s="53"/>
    </row>
    <row r="11" spans="1:8" ht="15.75" thickBot="1">
      <c r="C11" s="53"/>
      <c r="E11" s="221" t="s">
        <v>196</v>
      </c>
      <c r="F11" s="221"/>
      <c r="G11" s="221"/>
      <c r="H11" s="221"/>
    </row>
    <row r="12" spans="1:8">
      <c r="C12" s="53"/>
      <c r="D12" s="85"/>
      <c r="E12" s="217" t="s">
        <v>197</v>
      </c>
      <c r="F12" s="218"/>
      <c r="G12" s="219"/>
      <c r="H12" s="215" t="s">
        <v>209</v>
      </c>
    </row>
    <row r="13" spans="1:8" ht="15.75" thickBot="1">
      <c r="C13" s="89" t="s">
        <v>217</v>
      </c>
      <c r="D13" s="85" t="s">
        <v>198</v>
      </c>
      <c r="E13" s="86" t="s">
        <v>199</v>
      </c>
      <c r="F13" s="87" t="s">
        <v>200</v>
      </c>
      <c r="G13" s="88" t="s">
        <v>201</v>
      </c>
      <c r="H13" s="215"/>
    </row>
    <row r="14" spans="1:8">
      <c r="A14" s="6" t="s">
        <v>206</v>
      </c>
      <c r="C14" s="53"/>
    </row>
    <row r="15" spans="1:8">
      <c r="C15" s="61">
        <f>SUM(Таблица30[Столбец1])+SUM(Таблица31[Столбец3])</f>
        <v>0</v>
      </c>
      <c r="D15" t="s">
        <v>202</v>
      </c>
      <c r="E15" s="53"/>
    </row>
    <row r="16" spans="1:8">
      <c r="A16" s="60" t="s">
        <v>203</v>
      </c>
      <c r="E16" s="53"/>
    </row>
    <row r="17" spans="1:8" ht="37.5" customHeight="1">
      <c r="A17" s="89" t="s">
        <v>191</v>
      </c>
      <c r="B17" s="89" t="s">
        <v>192</v>
      </c>
      <c r="C17" s="89" t="s">
        <v>217</v>
      </c>
      <c r="D17" s="89" t="s">
        <v>218</v>
      </c>
      <c r="E17" s="90" t="s">
        <v>219</v>
      </c>
    </row>
    <row r="18" spans="1:8">
      <c r="A18" t="s">
        <v>210</v>
      </c>
      <c r="F18" s="62"/>
    </row>
    <row r="19" spans="1:8" ht="15.75" thickBot="1">
      <c r="C19" s="63">
        <f>SUM(C18:C18)</f>
        <v>0</v>
      </c>
      <c r="D19" t="s">
        <v>204</v>
      </c>
      <c r="F19" s="62"/>
    </row>
    <row r="20" spans="1:8" ht="15.75" thickTop="1">
      <c r="C20" s="64">
        <f>tax_13+tax_30</f>
        <v>0</v>
      </c>
      <c r="D20" t="s">
        <v>216</v>
      </c>
    </row>
    <row r="21" spans="1:8">
      <c r="C21" s="65"/>
      <c r="H21" s="66"/>
    </row>
    <row r="22" spans="1:8">
      <c r="A22" s="216" t="s">
        <v>215</v>
      </c>
      <c r="B22" s="216"/>
      <c r="C22" s="216"/>
      <c r="D22" s="216"/>
      <c r="E22" s="216"/>
      <c r="F22" s="216"/>
      <c r="G22" s="66"/>
      <c r="H22" s="66"/>
    </row>
    <row r="23" spans="1:8">
      <c r="A23" s="67" t="s">
        <v>60</v>
      </c>
      <c r="B23" s="67" t="s">
        <v>61</v>
      </c>
      <c r="C23" s="67" t="s">
        <v>62</v>
      </c>
      <c r="D23" s="67" t="s">
        <v>76</v>
      </c>
      <c r="E23" s="67" t="s">
        <v>65</v>
      </c>
      <c r="F23" s="67" t="s">
        <v>213</v>
      </c>
      <c r="G23" s="66"/>
    </row>
    <row r="24" spans="1:8">
      <c r="A24" t="s">
        <v>212</v>
      </c>
      <c r="D24" s="53"/>
      <c r="E24" s="53"/>
      <c r="F24" s="53"/>
    </row>
    <row r="25" spans="1:8">
      <c r="A25" t="s">
        <v>214</v>
      </c>
      <c r="D25" s="53">
        <f>SUBTOTAL(109,[Налог исчисленный])</f>
        <v>0</v>
      </c>
      <c r="E25" s="53">
        <f>SUBTOTAL(109,[Налог удержанный])</f>
        <v>0</v>
      </c>
      <c r="F25" s="53">
        <f>SUBTOTAL(109,[Разница])</f>
        <v>0</v>
      </c>
      <c r="G25" s="53"/>
      <c r="H25" s="53"/>
    </row>
  </sheetData>
  <mergeCells count="6">
    <mergeCell ref="A1:H1"/>
    <mergeCell ref="H12:H13"/>
    <mergeCell ref="A22:F22"/>
    <mergeCell ref="E12:G12"/>
    <mergeCell ref="E7:H7"/>
    <mergeCell ref="E11:H11"/>
  </mergeCells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0"/>
  <dimension ref="A1:D2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41.42578125" customWidth="1"/>
    <col min="2" max="2" width="21.85546875" customWidth="1"/>
    <col min="3" max="3" width="27.140625" customWidth="1"/>
    <col min="4" max="4" width="28.42578125" customWidth="1"/>
  </cols>
  <sheetData>
    <row r="1" spans="1:4" ht="34.5" customHeight="1">
      <c r="A1" s="33" t="s">
        <v>92</v>
      </c>
      <c r="B1" s="34" t="s">
        <v>93</v>
      </c>
      <c r="C1" s="34" t="s">
        <v>94</v>
      </c>
      <c r="D1" s="34" t="s">
        <v>95</v>
      </c>
    </row>
    <row r="2" spans="1:4">
      <c r="B2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2"/>
  <dimension ref="A1:I3"/>
  <sheetViews>
    <sheetView showGridLines="0" workbookViewId="0">
      <pane ySplit="2" topLeftCell="A3" activePane="bottomLeft" state="frozen"/>
      <selection pane="bottomLeft" activeCell="A3" sqref="A3"/>
    </sheetView>
  </sheetViews>
  <sheetFormatPr defaultRowHeight="15"/>
  <cols>
    <col min="1" max="3" width="21.42578125" customWidth="1"/>
    <col min="4" max="4" width="21.85546875" customWidth="1"/>
    <col min="5" max="5" width="28.42578125" customWidth="1"/>
    <col min="6" max="6" width="21.7109375" customWidth="1"/>
    <col min="7" max="7" width="19" customWidth="1"/>
    <col min="8" max="8" width="21.85546875" bestFit="1" customWidth="1"/>
    <col min="9" max="9" width="15.5703125" bestFit="1" customWidth="1"/>
  </cols>
  <sheetData>
    <row r="1" spans="1:9" ht="37.5" customHeight="1">
      <c r="A1" s="222" t="s">
        <v>240</v>
      </c>
      <c r="B1" s="222"/>
      <c r="C1" s="222"/>
      <c r="D1" s="222"/>
      <c r="E1" s="222"/>
      <c r="F1" s="222"/>
      <c r="G1" s="222"/>
      <c r="H1" s="222"/>
      <c r="I1" s="222"/>
    </row>
    <row r="2" spans="1:9" ht="34.5" customHeight="1">
      <c r="A2" s="33" t="s">
        <v>60</v>
      </c>
      <c r="B2" s="47" t="s">
        <v>61</v>
      </c>
      <c r="C2" s="47" t="s">
        <v>62</v>
      </c>
      <c r="D2" s="47" t="s">
        <v>93</v>
      </c>
      <c r="E2" s="47" t="s">
        <v>95</v>
      </c>
      <c r="F2" s="51" t="s">
        <v>170</v>
      </c>
      <c r="G2" s="51" t="s">
        <v>1</v>
      </c>
      <c r="H2" s="51" t="s">
        <v>171</v>
      </c>
      <c r="I2" s="52" t="s">
        <v>172</v>
      </c>
    </row>
    <row r="3" spans="1:9">
      <c r="A3" t="s">
        <v>175</v>
      </c>
      <c r="B3" s="48"/>
      <c r="C3" s="48"/>
      <c r="D3" s="49"/>
      <c r="E3" s="48"/>
      <c r="F3" s="48"/>
      <c r="G3" s="48"/>
      <c r="H3" s="48"/>
      <c r="I3" s="50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6"/>
  <dimension ref="A1:A2"/>
  <sheetViews>
    <sheetView workbookViewId="0">
      <selection activeCell="B6" sqref="B6"/>
    </sheetView>
  </sheetViews>
  <sheetFormatPr defaultRowHeight="15"/>
  <sheetData>
    <row r="1" spans="1:1">
      <c r="A1" t="s">
        <v>114</v>
      </c>
    </row>
    <row r="2" spans="1:1">
      <c r="A2" t="s">
        <v>72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5"/>
  <dimension ref="A1:I6"/>
  <sheetViews>
    <sheetView workbookViewId="0">
      <selection activeCell="I3" sqref="I3"/>
    </sheetView>
  </sheetViews>
  <sheetFormatPr defaultRowHeight="15"/>
  <cols>
    <col min="1" max="1" width="15" customWidth="1"/>
    <col min="2" max="4" width="20.85546875" customWidth="1"/>
    <col min="5" max="5" width="12.140625" bestFit="1" customWidth="1"/>
    <col min="6" max="6" width="12.140625" customWidth="1"/>
    <col min="7" max="7" width="24.5703125" bestFit="1" customWidth="1"/>
    <col min="8" max="8" width="23.85546875" bestFit="1" customWidth="1"/>
    <col min="9" max="9" width="15.7109375" bestFit="1" customWidth="1"/>
  </cols>
  <sheetData>
    <row r="1" spans="1:9" ht="50.25" customHeight="1">
      <c r="A1" s="224" t="s">
        <v>247</v>
      </c>
      <c r="B1" s="225"/>
      <c r="C1" s="225"/>
      <c r="D1" s="225"/>
      <c r="E1" s="225"/>
      <c r="F1" s="225"/>
      <c r="G1" s="225"/>
      <c r="H1" s="225"/>
      <c r="I1" s="225"/>
    </row>
    <row r="2" spans="1:9" ht="15.75">
      <c r="A2" s="112"/>
    </row>
    <row r="3" spans="1:9" ht="31.5" customHeight="1">
      <c r="A3" s="223" t="s">
        <v>246</v>
      </c>
      <c r="B3" s="223"/>
      <c r="C3" s="223"/>
      <c r="D3" s="223"/>
      <c r="E3" s="223"/>
      <c r="F3" s="223"/>
      <c r="G3" s="223"/>
      <c r="H3" s="223"/>
      <c r="I3" s="116">
        <f>SUBTOTAL(109,Таблица52[Недоплата])</f>
        <v>0</v>
      </c>
    </row>
    <row r="4" spans="1:9" ht="15.75">
      <c r="A4" s="112"/>
    </row>
    <row r="5" spans="1:9" ht="25.5">
      <c r="A5" s="113" t="s">
        <v>242</v>
      </c>
      <c r="B5" s="113" t="s">
        <v>60</v>
      </c>
      <c r="C5" s="113" t="s">
        <v>61</v>
      </c>
      <c r="D5" s="113" t="s">
        <v>62</v>
      </c>
      <c r="E5" s="113" t="s">
        <v>73</v>
      </c>
      <c r="F5" s="113" t="s">
        <v>245</v>
      </c>
      <c r="G5" s="113" t="s">
        <v>243</v>
      </c>
      <c r="H5" s="113" t="s">
        <v>221</v>
      </c>
      <c r="I5" s="113" t="s">
        <v>244</v>
      </c>
    </row>
    <row r="6" spans="1:9">
      <c r="A6" s="114" t="s">
        <v>241</v>
      </c>
      <c r="B6" s="114"/>
      <c r="C6" s="114"/>
      <c r="D6" s="114"/>
      <c r="E6" s="109"/>
      <c r="F6" s="109"/>
      <c r="G6" s="115"/>
      <c r="H6" s="115"/>
      <c r="I6" s="115">
        <f>[Исчисленный налог]-[Удержанный налог]</f>
        <v>0</v>
      </c>
    </row>
  </sheetData>
  <mergeCells count="2">
    <mergeCell ref="A3:H3"/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14</vt:i4>
      </vt:variant>
      <vt:variant>
        <vt:lpstr>Именованные диапазоны</vt:lpstr>
      </vt:variant>
      <vt:variant>
        <vt:i4>20</vt:i4>
      </vt:variant>
    </vt:vector>
  </HeadingPairs>
  <TitlesOfParts>
    <vt:vector size="34" baseType="lpstr">
      <vt:lpstr>detail_report</vt:lpstr>
      <vt:lpstr>detail_report_2</vt:lpstr>
      <vt:lpstr>error_report</vt:lpstr>
      <vt:lpstr>correcting_report</vt:lpstr>
      <vt:lpstr>Settings</vt:lpstr>
      <vt:lpstr>Отчеты</vt:lpstr>
      <vt:lpstr>tax_retained_report</vt:lpstr>
      <vt:lpstr>ndfl6_part2</vt:lpstr>
      <vt:lpstr>ndfl6_part1_general</vt:lpstr>
      <vt:lpstr>ndfl6_part1_rates</vt:lpstr>
      <vt:lpstr>funds_employees</vt:lpstr>
      <vt:lpstr>funds_employees_report</vt:lpstr>
      <vt:lpstr>ndfl6_part1</vt:lpstr>
      <vt:lpstr>tax_diff_report</vt:lpstr>
      <vt:lpstr>data_source_name</vt:lpstr>
      <vt:lpstr>end_date</vt:lpstr>
      <vt:lpstr>EndDate</vt:lpstr>
      <vt:lpstr>menu_item_selected</vt:lpstr>
      <vt:lpstr>oracle_gateway</vt:lpstr>
      <vt:lpstr>oracle_owner</vt:lpstr>
      <vt:lpstr>output</vt:lpstr>
      <vt:lpstr>report_code</vt:lpstr>
      <vt:lpstr>ReportSelected</vt:lpstr>
      <vt:lpstr>start_date</vt:lpstr>
      <vt:lpstr>start_sheet_name</vt:lpstr>
      <vt:lpstr>StartDate</vt:lpstr>
      <vt:lpstr>StartDateRow</vt:lpstr>
      <vt:lpstr>tax_13</vt:lpstr>
      <vt:lpstr>tax_13_amount</vt:lpstr>
      <vt:lpstr>tax_30</vt:lpstr>
      <vt:lpstr>tax_retained_report!TAX_NOT_RETAINED</vt:lpstr>
      <vt:lpstr>tax_retained_report!TAX_RETAINED_DATE</vt:lpstr>
      <vt:lpstr>tax_retained_report!TAX_RETURN</vt:lpstr>
      <vt:lpstr>tax_retained_report!TAX_RETURN_83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2017-06-23T10:15:42Z</cp:lastPrinted>
  <dcterms:created xsi:type="dcterms:W3CDTF">2017-06-22T11:11:41Z</dcterms:created>
  <dcterms:modified xsi:type="dcterms:W3CDTF">2017-10-18T10:21:36Z</dcterms:modified>
</cp:coreProperties>
</file>