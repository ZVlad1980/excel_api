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24.xml" ContentType="application/vnd.openxmlformats-officedocument.spreadsheetml.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ables/table10.xml" ContentType="application/vnd.openxmlformats-officedocument.spreadsheetml.table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tables/table9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19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/>
  <bookViews>
    <workbookView xWindow="0" yWindow="0" windowWidth="12450" windowHeight="11685" tabRatio="698" firstSheet="4" activeTab="4"/>
  </bookViews>
  <sheets>
    <sheet name="ndfl2_tax_corr" sheetId="55" state="hidden" r:id="rId1"/>
    <sheet name="f2_error_report" sheetId="121" state="hidden" r:id="rId2"/>
    <sheet name="f2_arh_spravki_errors" sheetId="131" state="hidden" r:id="rId3"/>
    <sheet name="Settings" sheetId="103" state="hidden" r:id="rId4"/>
    <sheet name="Отчеты" sheetId="6" r:id="rId5"/>
    <sheet name="f2_full_namesake" sheetId="104" state="hidden" r:id="rId6"/>
    <sheet name="f2_diff_pers_data" sheetId="125" state="hidden" r:id="rId7"/>
    <sheet name="f2_ndfl_nalplat_pers" sheetId="130" state="hidden" r:id="rId8"/>
  </sheets>
  <functionGroups/>
  <definedNames>
    <definedName name="data_source_name">Settings!$B$3</definedName>
    <definedName name="menu_item_selected">Settings!$B$6</definedName>
    <definedName name="ndfl2_code_na">Settings!$B$8</definedName>
    <definedName name="ndfl2_contragent_id">Settings!$B$10</definedName>
    <definedName name="ndfl2_year">Settings!$B$9</definedName>
    <definedName name="oracle_owner">Settings!$B$4</definedName>
    <definedName name="output">Отчеты!$B$9</definedName>
    <definedName name="report_code">Settings!$B$7</definedName>
    <definedName name="report_year">f2_arh_spravki_errors!$T$1</definedName>
    <definedName name="ReportDate">Отчеты!$C$6</definedName>
    <definedName name="ReportMonth">Отчеты!$C$5</definedName>
    <definedName name="ReportSelected">Отчеты!$C$2</definedName>
    <definedName name="ReportYear">Отчеты!$C$4</definedName>
    <definedName name="start_sheet_name">Settings!$B$5</definedName>
    <definedName name="StartDate">Отчеты!$C$4</definedName>
    <definedName name="StartDateRow">Отчеты!$4:$4</definedName>
  </definedNames>
  <calcPr calcId="125725"/>
</workbook>
</file>

<file path=xl/calcChain.xml><?xml version="1.0" encoding="utf-8"?>
<calcChain xmlns="http://schemas.openxmlformats.org/spreadsheetml/2006/main">
  <c r="M2" i="131"/>
  <c r="B6" i="103"/>
</calcChain>
</file>

<file path=xl/comments1.xml><?xml version="1.0" encoding="utf-8"?>
<comments xmlns="http://schemas.openxmlformats.org/spreadsheetml/2006/main">
  <authors>
    <author>Zhuravov</author>
  </authors>
  <commentList>
    <comment ref="B7" authorId="0">
      <text>
        <r>
          <rPr>
            <b/>
            <sz val="9"/>
            <color indexed="81"/>
            <rFont val="Tahoma"/>
            <family val="2"/>
            <charset val="204"/>
          </rPr>
          <t>Zhuravov:</t>
        </r>
        <r>
          <rPr>
            <sz val="9"/>
            <color indexed="81"/>
            <rFont val="Tahoma"/>
            <family val="2"/>
            <charset val="204"/>
          </rPr>
          <t xml:space="preserve">
API Processor пишет сюда код текущего отчета</t>
        </r>
      </text>
    </comment>
  </commentList>
</comments>
</file>

<file path=xl/comments2.xml><?xml version="1.0" encoding="utf-8"?>
<comments xmlns="http://schemas.openxmlformats.org/spreadsheetml/2006/main">
  <authors>
    <author>Zhuravov</author>
  </authors>
  <commentList>
    <comment ref="B6" authorId="0">
      <text>
        <r>
          <rPr>
            <sz val="9"/>
            <color indexed="81"/>
            <rFont val="Tahoma"/>
            <family val="2"/>
            <charset val="204"/>
          </rPr>
          <t>Дата, на которую формируются отчеты. Влияет на учет корректировок, определение статуса резидента (последнее только в пределах отчетного года).
!!! Не может быть меньше последнего дня месяца, указанного выше. Иначе будет просто переопределена.</t>
        </r>
      </text>
    </comment>
  </commentList>
</comments>
</file>

<file path=xl/sharedStrings.xml><?xml version="1.0" encoding="utf-8"?>
<sst xmlns="http://schemas.openxmlformats.org/spreadsheetml/2006/main" count="459" uniqueCount="187">
  <si>
    <t>Доход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</si>
  <si>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</si>
  <si>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</si>
  <si>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</si>
  <si>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</si>
  <si>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</si>
  <si>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</si>
  <si>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</si>
  <si>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</si>
  <si>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</si>
  <si>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</si>
  <si>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</si>
  <si>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</si>
  <si>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</si>
  <si>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НДФЛ</t>
  </si>
  <si>
    <t>Отчеты</t>
  </si>
  <si>
    <t>TemplateSheetName</t>
  </si>
  <si>
    <t>Дата</t>
  </si>
  <si>
    <t>Выберите отчет:</t>
  </si>
  <si>
    <t>NewSheetName</t>
  </si>
  <si>
    <t>ФИО</t>
  </si>
  <si>
    <t>oracle_owner</t>
  </si>
  <si>
    <t>start_sheet_name</t>
  </si>
  <si>
    <t>Programs</t>
  </si>
  <si>
    <t>report</t>
  </si>
  <si>
    <t>program</t>
  </si>
  <si>
    <t>Reports</t>
  </si>
  <si>
    <t>Code</t>
  </si>
  <si>
    <t>ActionCode</t>
  </si>
  <si>
    <t>Actions</t>
  </si>
  <si>
    <t>SubReports</t>
  </si>
  <si>
    <t>SubCode</t>
  </si>
  <si>
    <t>Value</t>
  </si>
  <si>
    <t>General</t>
  </si>
  <si>
    <t>Menu</t>
  </si>
  <si>
    <t>ReportType</t>
  </si>
  <si>
    <t>compound</t>
  </si>
  <si>
    <t>Action</t>
  </si>
  <si>
    <t>menu_item_selected</t>
  </si>
  <si>
    <t>Type</t>
  </si>
  <si>
    <t>VBA</t>
  </si>
  <si>
    <t>Program</t>
  </si>
  <si>
    <t>get_report</t>
  </si>
  <si>
    <t>Routine</t>
  </si>
  <si>
    <t>Replace</t>
  </si>
  <si>
    <t>ActionTypes</t>
  </si>
  <si>
    <t>CreateMode</t>
  </si>
  <si>
    <t>CreateModes</t>
  </si>
  <si>
    <t>Rename</t>
  </si>
  <si>
    <t>ReportTypes</t>
  </si>
  <si>
    <t>simply</t>
  </si>
  <si>
    <t>Столбец1</t>
  </si>
  <si>
    <t>Key</t>
  </si>
  <si>
    <t>isConnect</t>
  </si>
  <si>
    <t>No</t>
  </si>
  <si>
    <t>Yes</t>
  </si>
  <si>
    <t>ProgramTypes</t>
  </si>
  <si>
    <t>Parameters</t>
  </si>
  <si>
    <t>Direction</t>
  </si>
  <si>
    <t>ReturnType</t>
  </si>
  <si>
    <t>RecordSet</t>
  </si>
  <si>
    <t>OUT</t>
  </si>
  <si>
    <t>IN</t>
  </si>
  <si>
    <t>report_code</t>
  </si>
  <si>
    <t>err_msg</t>
  </si>
  <si>
    <t>ParamPurpose</t>
  </si>
  <si>
    <t>ReturnTypes</t>
  </si>
  <si>
    <t>Name</t>
  </si>
  <si>
    <t>Source</t>
  </si>
  <si>
    <t>Required</t>
  </si>
  <si>
    <t>p_report_code</t>
  </si>
  <si>
    <t>YesNo</t>
  </si>
  <si>
    <t>Size</t>
  </si>
  <si>
    <t>Oracle</t>
  </si>
  <si>
    <t>x_err_msg</t>
  </si>
  <si>
    <t>output</t>
  </si>
  <si>
    <t>AfterAction</t>
  </si>
  <si>
    <t>Break</t>
  </si>
  <si>
    <t>data_source_name</t>
  </si>
  <si>
    <t xml:space="preserve"> </t>
  </si>
  <si>
    <t>gateway_pkg.get_report</t>
  </si>
  <si>
    <t>Tokens</t>
  </si>
  <si>
    <t>points</t>
  </si>
  <si>
    <t>FND</t>
  </si>
  <si>
    <t>ndfl2_tax_corr</t>
  </si>
  <si>
    <t>Наличие справки</t>
  </si>
  <si>
    <t>Корректируемый год</t>
  </si>
  <si>
    <t>GF_PERSON</t>
  </si>
  <si>
    <r>
      <rPr>
        <b/>
        <sz val="13"/>
        <color theme="1"/>
        <rFont val="Calibri"/>
        <family val="2"/>
        <charset val="204"/>
        <scheme val="minor"/>
      </rPr>
      <t>Возврат НДФЛ в прошлые периоды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</si>
  <si>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t>Номер справки</t>
  </si>
  <si>
    <t>Номер коррекции</t>
  </si>
  <si>
    <t>Справка 2НДФЛ</t>
  </si>
  <si>
    <t>Коррекция по справке</t>
  </si>
  <si>
    <t>Коррекция в отчетном периоде</t>
  </si>
  <si>
    <t>Возврат НДФЛ прошлых периодов</t>
  </si>
  <si>
    <t>ndfl2_year</t>
  </si>
  <si>
    <t>ndfl2_code_na</t>
  </si>
  <si>
    <t>ndfl2_contragent_id</t>
  </si>
  <si>
    <t>code_na</t>
  </si>
  <si>
    <t>year</t>
  </si>
  <si>
    <t>contragent_id</t>
  </si>
  <si>
    <t>create_ndfl2</t>
  </si>
  <si>
    <t>gateway_pkg.create_ndfl2</t>
  </si>
  <si>
    <t>p_code_na</t>
  </si>
  <si>
    <t>p_year</t>
  </si>
  <si>
    <t>p_contragent_id</t>
  </si>
  <si>
    <t>FONDDB</t>
  </si>
  <si>
    <t>Ок</t>
  </si>
  <si>
    <t>Год</t>
  </si>
  <si>
    <t>Месяц</t>
  </si>
  <si>
    <t>Дата отчета</t>
  </si>
  <si>
    <t>ReportYear</t>
  </si>
  <si>
    <t>ReportMonth</t>
  </si>
  <si>
    <t>p_report_date</t>
  </si>
  <si>
    <t>ReportDate</t>
  </si>
  <si>
    <t>f2_full_namesake</t>
  </si>
  <si>
    <t>Совпадение перс данных</t>
  </si>
  <si>
    <t>Совпадение персональных данных</t>
  </si>
  <si>
    <t>GAZFOND
Contragent Id</t>
  </si>
  <si>
    <t>FND
SSYLKA</t>
  </si>
  <si>
    <t>тип дохода</t>
  </si>
  <si>
    <t>ИНН</t>
  </si>
  <si>
    <t>Фамилия</t>
  </si>
  <si>
    <t>Имя</t>
  </si>
  <si>
    <t>Отчество</t>
  </si>
  <si>
    <t>Дата
рождения</t>
  </si>
  <si>
    <t>тип
удосто-верения</t>
  </si>
  <si>
    <t>Серия и номер</t>
  </si>
  <si>
    <t>Статус НП</t>
  </si>
  <si>
    <r>
      <rPr>
        <b/>
        <sz val="13"/>
        <color theme="1"/>
        <rFont val="Calibri"/>
        <family val="2"/>
        <charset val="204"/>
        <scheme val="minor"/>
      </rPr>
      <t>Совпадение персональных данных 
у разных контрагентов</t>
    </r>
    <r>
      <rPr>
        <sz val="13"/>
        <color theme="1"/>
        <rFont val="Calibri"/>
        <family val="2"/>
        <charset val="204"/>
        <scheme val="minor"/>
      </rPr>
      <t xml:space="preserve">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</si>
  <si>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p_month</t>
  </si>
  <si>
    <t>Гражданство</t>
  </si>
  <si>
    <t>Тип сопадения</t>
  </si>
  <si>
    <t>Ошибки в справках 2НДФЛ</t>
  </si>
  <si>
    <t>f2_error_report</t>
  </si>
  <si>
    <r>
      <rPr>
        <b/>
        <sz val="13"/>
        <color theme="1"/>
        <rFont val="Calibri"/>
        <family val="2"/>
        <charset val="204"/>
        <scheme val="minor"/>
      </rPr>
      <t>Ошибки в справках 2НДФЛ</t>
    </r>
    <r>
      <rPr>
        <sz val="13"/>
        <color theme="1"/>
        <rFont val="Calibri"/>
        <family val="2"/>
        <charset val="204"/>
        <scheme val="minor"/>
      </rPr>
      <t xml:space="preserve">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</si>
  <si>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Ошибка</t>
  </si>
  <si>
    <t>Расхождение персональных данных</t>
  </si>
  <si>
    <t>f2_diff_pers_data</t>
  </si>
  <si>
    <t>Расхождение перс данных</t>
  </si>
  <si>
    <r>
      <rPr>
        <b/>
        <sz val="13"/>
        <color theme="1"/>
        <rFont val="Calibri"/>
        <family val="2"/>
        <charset val="204"/>
        <scheme val="minor"/>
      </rPr>
      <t>Расхождение персональных данных 
у одного контрагента</t>
    </r>
    <r>
      <rPr>
        <sz val="13"/>
        <color theme="1"/>
        <rFont val="Calibri"/>
        <family val="2"/>
        <charset val="204"/>
        <scheme val="minor"/>
      </rPr>
      <t xml:space="preserve">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</si>
  <si>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Отчеты 2НФДЛ</t>
  </si>
  <si>
    <t>f2_all_reports</t>
  </si>
  <si>
    <t>f2_nalplat</t>
  </si>
  <si>
    <t>gateway_pkg.fill_ndfl_load_nalplat</t>
  </si>
  <si>
    <t>f2_ndfl_nalplat_pers</t>
  </si>
  <si>
    <r>
      <t xml:space="preserve">Расхождение контрагентов
F_NDFL_LOAD_NALPLAT и DV_SR_LSPV_PERS_V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</si>
  <si>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F_NDFL_LOAD_NALPLAT</t>
  </si>
  <si>
    <t>DV_SR_LSPV_PERS_V</t>
  </si>
  <si>
    <t>Расхождение списка налогоплательщиков</t>
  </si>
  <si>
    <t>Расхождение НА</t>
  </si>
  <si>
    <t>Обновить список налогоплательщиков</t>
  </si>
  <si>
    <t>nom_vkl</t>
  </si>
  <si>
    <t>nom_ips</t>
  </si>
  <si>
    <t>ssylka</t>
  </si>
  <si>
    <t>Person type</t>
  </si>
  <si>
    <t>14</t>
  </si>
  <si>
    <t>Сформировать F2NDFL_LOAD_SPRAVKI</t>
  </si>
  <si>
    <t>f2_load_spravki</t>
  </si>
  <si>
    <t>f2_ndfl_api</t>
  </si>
  <si>
    <t>gateway_pkg.f2_ndfl_api</t>
  </si>
  <si>
    <t>p_action_code</t>
  </si>
  <si>
    <t>Resident</t>
  </si>
  <si>
    <t>15</t>
  </si>
  <si>
    <t>16</t>
  </si>
  <si>
    <t>Сформировать суммовые показатели 2НДФЛ</t>
  </si>
  <si>
    <t>f2_arh_total</t>
  </si>
  <si>
    <t>Нумерация справок ARH_SPRAVKI</t>
  </si>
  <si>
    <t>f2_enumeration</t>
  </si>
  <si>
    <t>Ошибки F2NDFL_ARH_SPRAVKI</t>
  </si>
  <si>
    <t>f2_arh_spravki_errors</t>
  </si>
  <si>
    <t>Ошибки в персональных данных</t>
  </si>
  <si>
    <r>
      <t xml:space="preserve">Ошибки в персональных данных
F2NDFL_ARH_SPRAVKI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</si>
  <si>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Тип ошибки</t>
  </si>
  <si>
    <t>ИД контрагента</t>
  </si>
  <si>
    <t>Дата рождения</t>
  </si>
  <si>
    <t>Резидент</t>
  </si>
  <si>
    <t>Серия и номер УЛ</t>
  </si>
  <si>
    <t>Код УЛ</t>
  </si>
  <si>
    <t>ИНН2</t>
  </si>
  <si>
    <t>Гражданство2</t>
  </si>
  <si>
    <t>Резидент2</t>
  </si>
  <si>
    <t>Код УЛ2</t>
  </si>
  <si>
    <t>Серия и номер УЛ3</t>
  </si>
  <si>
    <t>#ReportYear#</t>
  </si>
  <si>
    <t>Копирование в F2NDFL_ARH</t>
  </si>
  <si>
    <t>f2_copy2arh</t>
  </si>
</sst>
</file>

<file path=xl/styles.xml><?xml version="1.0" encoding="utf-8"?>
<styleSheet xmlns="http://schemas.openxmlformats.org/spreadsheetml/2006/main">
  <numFmts count="2">
    <numFmt numFmtId="164" formatCode="#,##0.00\ _₽"/>
    <numFmt numFmtId="165" formatCode="[$-419]mmmm\ yyyy;@"/>
  </numFmts>
  <fonts count="16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0"/>
      <name val="Arial Cyr"/>
      <charset val="204"/>
    </font>
    <font>
      <sz val="11"/>
      <color theme="0" tint="-0.1499984740745262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  <scheme val="minor"/>
    </font>
    <font>
      <sz val="10"/>
      <color indexed="8"/>
      <name val="MS Sans Serif"/>
      <family val="2"/>
      <charset val="204"/>
    </font>
    <font>
      <sz val="13"/>
      <color theme="1"/>
      <name val="Calibri"/>
      <family val="2"/>
      <charset val="204"/>
      <scheme val="minor"/>
    </font>
    <font>
      <b/>
      <sz val="13"/>
      <color theme="1"/>
      <name val="Calibri"/>
      <family val="2"/>
      <charset val="204"/>
      <scheme val="minor"/>
    </font>
    <font>
      <b/>
      <sz val="10"/>
      <name val="Arial Cyr"/>
      <charset val="204"/>
    </font>
    <font>
      <b/>
      <sz val="8"/>
      <name val="Arial Cyr"/>
      <charset val="204"/>
    </font>
    <font>
      <sz val="10"/>
      <color theme="1"/>
      <name val="Calibri"/>
      <family val="2"/>
      <charset val="204"/>
      <scheme val="minor"/>
    </font>
    <font>
      <b/>
      <sz val="8"/>
      <name val="Arial Cy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3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6">
    <xf numFmtId="0" fontId="0" fillId="0" borderId="0"/>
    <xf numFmtId="0" fontId="4" fillId="0" borderId="0"/>
    <xf numFmtId="165" fontId="9" fillId="0" borderId="0"/>
    <xf numFmtId="0" fontId="8" fillId="0" borderId="0"/>
    <xf numFmtId="0" fontId="4" fillId="0" borderId="0"/>
    <xf numFmtId="0" fontId="8" fillId="0" borderId="0"/>
  </cellStyleXfs>
  <cellXfs count="75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0" xfId="0" applyBorder="1"/>
    <xf numFmtId="0" fontId="0" fillId="0" borderId="0" xfId="0" applyBorder="1" applyAlignment="1"/>
    <xf numFmtId="0" fontId="1" fillId="0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right" vertical="center"/>
    </xf>
    <xf numFmtId="1" fontId="0" fillId="0" borderId="1" xfId="0" applyNumberFormat="1" applyBorder="1" applyAlignment="1">
      <alignment horizontal="center" vertical="center"/>
    </xf>
    <xf numFmtId="0" fontId="0" fillId="2" borderId="0" xfId="0" applyFill="1" applyAlignment="1">
      <alignment horizontal="right" vertical="center" indent="1"/>
    </xf>
    <xf numFmtId="0" fontId="0" fillId="2" borderId="0" xfId="0" applyFill="1"/>
    <xf numFmtId="0" fontId="0" fillId="0" borderId="9" xfId="0" applyFont="1" applyBorder="1"/>
    <xf numFmtId="0" fontId="0" fillId="3" borderId="0" xfId="0" applyFont="1" applyFill="1" applyBorder="1"/>
    <xf numFmtId="0" fontId="2" fillId="2" borderId="0" xfId="0" applyFont="1" applyFill="1" applyAlignment="1">
      <alignment horizontal="center" vertical="center"/>
    </xf>
    <xf numFmtId="0" fontId="0" fillId="0" borderId="0" xfId="0" applyFill="1" applyBorder="1"/>
    <xf numFmtId="0" fontId="0" fillId="0" borderId="3" xfId="0" applyFill="1" applyBorder="1" applyAlignment="1">
      <alignment horizontal="left" vertical="center"/>
    </xf>
    <xf numFmtId="0" fontId="5" fillId="2" borderId="0" xfId="0" applyFont="1" applyFill="1" applyBorder="1"/>
    <xf numFmtId="0" fontId="0" fillId="0" borderId="0" xfId="0" applyFill="1" applyAlignment="1"/>
    <xf numFmtId="0" fontId="0" fillId="0" borderId="0" xfId="0" applyFont="1" applyBorder="1"/>
    <xf numFmtId="0" fontId="0" fillId="0" borderId="0" xfId="0" applyAlignment="1">
      <alignment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164" fontId="0" fillId="0" borderId="1" xfId="0" applyNumberFormat="1" applyBorder="1" applyAlignment="1">
      <alignment horizontal="left" vertical="center"/>
    </xf>
    <xf numFmtId="4" fontId="0" fillId="0" borderId="1" xfId="0" applyNumberFormat="1" applyBorder="1" applyAlignment="1">
      <alignment horizontal="right" vertical="center"/>
    </xf>
    <xf numFmtId="14" fontId="0" fillId="0" borderId="1" xfId="0" applyNumberFormat="1" applyBorder="1" applyAlignment="1">
      <alignment horizontal="left" vertical="center"/>
    </xf>
    <xf numFmtId="49" fontId="3" fillId="0" borderId="1" xfId="0" applyNumberFormat="1" applyFont="1" applyBorder="1" applyAlignment="1">
      <alignment horizontal="center" vertical="center"/>
    </xf>
    <xf numFmtId="49" fontId="0" fillId="0" borderId="1" xfId="0" applyNumberFormat="1" applyBorder="1" applyAlignment="1">
      <alignment horizontal="left" vertical="center"/>
    </xf>
    <xf numFmtId="0" fontId="0" fillId="2" borderId="0" xfId="0" applyFill="1" applyAlignment="1">
      <alignment horizontal="center" vertical="center"/>
    </xf>
    <xf numFmtId="0" fontId="0" fillId="4" borderId="8" xfId="0" applyFill="1" applyBorder="1" applyAlignment="1">
      <alignment horizontal="left" vertical="top"/>
    </xf>
    <xf numFmtId="0" fontId="0" fillId="4" borderId="10" xfId="0" applyFill="1" applyBorder="1" applyAlignment="1">
      <alignment horizontal="left" vertical="top"/>
    </xf>
    <xf numFmtId="0" fontId="0" fillId="4" borderId="7" xfId="0" applyFill="1" applyBorder="1" applyAlignment="1">
      <alignment horizontal="left" vertical="top"/>
    </xf>
    <xf numFmtId="0" fontId="0" fillId="2" borderId="0" xfId="0" applyFill="1" applyBorder="1" applyAlignment="1">
      <alignment horizontal="center"/>
    </xf>
    <xf numFmtId="1" fontId="0" fillId="0" borderId="2" xfId="0" applyNumberFormat="1" applyFill="1" applyBorder="1" applyAlignment="1">
      <alignment horizontal="center" vertical="center"/>
    </xf>
    <xf numFmtId="1" fontId="0" fillId="0" borderId="3" xfId="0" applyNumberFormat="1" applyFill="1" applyBorder="1" applyAlignment="1">
      <alignment horizontal="center" vertical="center"/>
    </xf>
    <xf numFmtId="1" fontId="0" fillId="0" borderId="0" xfId="0" applyNumberFormat="1" applyFill="1" applyBorder="1" applyAlignment="1">
      <alignment horizontal="center" vertical="center"/>
    </xf>
    <xf numFmtId="0" fontId="12" fillId="0" borderId="0" xfId="0" applyNumberFormat="1" applyFont="1" applyAlignment="1">
      <alignment horizontal="center" wrapText="1"/>
    </xf>
    <xf numFmtId="0" fontId="10" fillId="0" borderId="0" xfId="0" applyFont="1" applyBorder="1" applyAlignment="1">
      <alignment vertical="center" wrapText="1"/>
    </xf>
    <xf numFmtId="0" fontId="12" fillId="0" borderId="0" xfId="0" applyNumberFormat="1" applyFont="1" applyAlignment="1">
      <alignment horizontal="center" vertical="center" wrapText="1"/>
    </xf>
    <xf numFmtId="49" fontId="12" fillId="0" borderId="0" xfId="0" applyNumberFormat="1" applyFont="1" applyAlignment="1">
      <alignment horizontal="center" vertical="center" wrapText="1"/>
    </xf>
    <xf numFmtId="14" fontId="12" fillId="0" borderId="0" xfId="0" applyNumberFormat="1" applyFont="1" applyAlignment="1">
      <alignment horizontal="center" vertical="center" wrapText="1"/>
    </xf>
    <xf numFmtId="0" fontId="12" fillId="0" borderId="0" xfId="0" applyFont="1" applyAlignment="1">
      <alignment horizontal="center" vertical="center" wrapText="1"/>
    </xf>
    <xf numFmtId="0" fontId="12" fillId="0" borderId="0" xfId="0" applyNumberFormat="1" applyFont="1" applyAlignment="1">
      <alignment horizontal="center" vertical="center"/>
    </xf>
    <xf numFmtId="14" fontId="0" fillId="0" borderId="0" xfId="0" applyNumberFormat="1"/>
    <xf numFmtId="0" fontId="12" fillId="0" borderId="1" xfId="0" applyNumberFormat="1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13" fillId="5" borderId="1" xfId="0" applyNumberFormat="1" applyFont="1" applyFill="1" applyBorder="1" applyAlignment="1">
      <alignment horizontal="center" vertical="center" wrapText="1"/>
    </xf>
    <xf numFmtId="1" fontId="14" fillId="0" borderId="1" xfId="0" applyNumberFormat="1" applyFont="1" applyBorder="1" applyAlignment="1">
      <alignment horizontal="right" vertical="center"/>
    </xf>
    <xf numFmtId="49" fontId="14" fillId="0" borderId="1" xfId="0" applyNumberFormat="1" applyFont="1" applyBorder="1" applyAlignment="1">
      <alignment horizontal="right" vertical="center"/>
    </xf>
    <xf numFmtId="49" fontId="14" fillId="0" borderId="1" xfId="0" applyNumberFormat="1" applyFont="1" applyBorder="1" applyAlignment="1">
      <alignment horizontal="left" vertical="center"/>
    </xf>
    <xf numFmtId="49" fontId="14" fillId="0" borderId="1" xfId="0" applyNumberFormat="1" applyFont="1" applyBorder="1" applyAlignment="1">
      <alignment horizontal="center" vertical="center"/>
    </xf>
    <xf numFmtId="49" fontId="14" fillId="0" borderId="1" xfId="0" applyNumberFormat="1" applyFont="1" applyBorder="1" applyAlignment="1">
      <alignment vertical="center"/>
    </xf>
    <xf numFmtId="0" fontId="13" fillId="5" borderId="2" xfId="0" applyNumberFormat="1" applyFont="1" applyFill="1" applyBorder="1" applyAlignment="1">
      <alignment horizontal="center" vertical="center" wrapText="1"/>
    </xf>
    <xf numFmtId="0" fontId="13" fillId="5" borderId="7" xfId="0" applyNumberFormat="1" applyFont="1" applyFill="1" applyBorder="1" applyAlignment="1">
      <alignment horizontal="center" vertical="center" wrapText="1"/>
    </xf>
    <xf numFmtId="0" fontId="13" fillId="5" borderId="8" xfId="0" applyNumberFormat="1" applyFont="1" applyFill="1" applyBorder="1" applyAlignment="1">
      <alignment horizontal="center" vertical="center" wrapText="1"/>
    </xf>
    <xf numFmtId="49" fontId="0" fillId="0" borderId="11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14" fontId="0" fillId="0" borderId="3" xfId="0" applyNumberFormat="1" applyBorder="1" applyAlignment="1">
      <alignment horizontal="center" vertical="center"/>
    </xf>
    <xf numFmtId="49" fontId="0" fillId="0" borderId="3" xfId="0" applyNumberFormat="1" applyBorder="1" applyAlignment="1">
      <alignment horizontal="center" vertical="center"/>
    </xf>
    <xf numFmtId="49" fontId="0" fillId="0" borderId="12" xfId="0" applyNumberForma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 wrapText="1"/>
    </xf>
    <xf numFmtId="0" fontId="10" fillId="0" borderId="6" xfId="0" applyFont="1" applyBorder="1" applyAlignment="1">
      <alignment horizontal="center" vertical="center" wrapText="1"/>
    </xf>
    <xf numFmtId="0" fontId="10" fillId="0" borderId="4" xfId="0" applyFont="1" applyBorder="1" applyAlignment="1">
      <alignment horizontal="center" vertical="center" wrapText="1"/>
    </xf>
    <xf numFmtId="0" fontId="10" fillId="0" borderId="10" xfId="0" applyFont="1" applyBorder="1" applyAlignment="1">
      <alignment horizontal="center" vertical="center" wrapText="1"/>
    </xf>
    <xf numFmtId="0" fontId="10" fillId="0" borderId="0" xfId="0" applyFont="1" applyBorder="1" applyAlignment="1">
      <alignment horizontal="center" vertical="center" wrapText="1"/>
    </xf>
    <xf numFmtId="0" fontId="0" fillId="2" borderId="0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3" fillId="4" borderId="0" xfId="0" applyFont="1" applyFill="1" applyBorder="1" applyAlignment="1">
      <alignment horizontal="left" vertical="top" wrapText="1"/>
    </xf>
    <xf numFmtId="0" fontId="12" fillId="5" borderId="1" xfId="0" applyNumberFormat="1" applyFont="1" applyFill="1" applyBorder="1" applyAlignment="1">
      <alignment horizontal="center" vertical="center" wrapText="1"/>
    </xf>
    <xf numFmtId="0" fontId="15" fillId="5" borderId="2" xfId="0" applyNumberFormat="1" applyFont="1" applyFill="1" applyBorder="1" applyAlignment="1">
      <alignment horizontal="center" vertical="center" wrapText="1"/>
    </xf>
    <xf numFmtId="0" fontId="0" fillId="6" borderId="5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</cellXfs>
  <cellStyles count="6">
    <cellStyle name="Обычный" xfId="0" builtinId="0"/>
    <cellStyle name="Обычный 2" xfId="2"/>
    <cellStyle name="Обычный 3" xfId="3"/>
    <cellStyle name="Обычный 4" xfId="1"/>
    <cellStyle name="Обычный 4 2" xfId="5"/>
    <cellStyle name="Обычный 5" xfId="4"/>
  </cellStyles>
  <dxfs count="75"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30" formatCode="@"/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general" vertical="center" textRotation="0" wrapText="0" indent="0" relativeIndent="255" justifyLastLine="0" shrinkToFit="0" mergeCell="0" readingOrder="0"/>
    </dxf>
    <dxf>
      <alignment horizontal="center" vertical="center" textRotation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19" formatCode="dd/mm/yyyy"/>
    </dxf>
    <dxf>
      <numFmt numFmtId="19" formatCode="dd/mm/yyyy"/>
    </dxf>
    <dxf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strike val="0"/>
        <outline val="0"/>
        <shadow val="0"/>
        <u val="none"/>
        <vertAlign val="baseline"/>
        <sz val="11"/>
        <color theme="0" tint="-0.14999847407452621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bottom style="thin">
          <color theme="4" tint="0.39997558519241921"/>
        </bottom>
      </border>
    </dxf>
    <dxf>
      <border diagonalUp="0" diagonalDown="0" outline="0">
        <left/>
        <right/>
        <top style="thin">
          <color indexed="64"/>
        </top>
        <bottom/>
      </border>
    </dxf>
    <dxf>
      <border diagonalUp="0" diagonalDown="0" outline="0">
        <left/>
        <right/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19" formatCode="dd/mm/yyyy"/>
    </dxf>
    <dxf>
      <numFmt numFmtId="4" formatCode="#,##0.00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" formatCode="#,##0.00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" formatCode="#,##0.00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" formatCode="#,##0.00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" formatCode="#,##0.00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" formatCode="#,##0.00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0" justifyLastLine="0" shrinkToFit="0" mergeCell="0" readingOrder="0"/>
    </dxf>
    <dxf>
      <numFmt numFmtId="30" formatCode="@"/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left" vertical="center" textRotation="0" wrapText="0" indent="0" relativeIndent="255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  <colors>
    <mruColors>
      <color rgb="FF2FFF6F"/>
      <color rgb="FFDCDCDC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571500</xdr:colOff>
      <xdr:row>2</xdr:row>
      <xdr:rowOff>0</xdr:rowOff>
    </xdr:from>
    <xdr:to>
      <xdr:col>0</xdr:col>
      <xdr:colOff>895350</xdr:colOff>
      <xdr:row>2</xdr:row>
      <xdr:rowOff>352425</xdr:rowOff>
    </xdr:to>
    <xdr:sp macro="[0]!create_ndfl2_corr" textlink="">
      <xdr:nvSpPr>
        <xdr:cNvPr id="2" name="btnAddNDFL2" descr="Сформировать корректирующую справку"/>
        <xdr:cNvSpPr/>
      </xdr:nvSpPr>
      <xdr:spPr>
        <a:xfrm>
          <a:off x="571500" y="1123950"/>
          <a:ext cx="323850" cy="352425"/>
        </a:xfrm>
        <a:prstGeom prst="mathPlus">
          <a:avLst/>
        </a:prstGeom>
        <a:solidFill>
          <a:srgbClr val="2FFF6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187686</xdr:colOff>
      <xdr:row>0</xdr:row>
      <xdr:rowOff>136823</xdr:rowOff>
    </xdr:from>
    <xdr:to>
      <xdr:col>4</xdr:col>
      <xdr:colOff>167604</xdr:colOff>
      <xdr:row>2</xdr:row>
      <xdr:rowOff>38288</xdr:rowOff>
    </xdr:to>
    <xdr:sp macro="[0]!Reports.go_onclick" textlink="">
      <xdr:nvSpPr>
        <xdr:cNvPr id="7" name="Стрелка вправо 6"/>
        <xdr:cNvSpPr/>
      </xdr:nvSpPr>
      <xdr:spPr>
        <a:xfrm>
          <a:off x="3845286" y="136823"/>
          <a:ext cx="790904" cy="483851"/>
        </a:xfrm>
        <a:prstGeom prst="rightArrow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500" b="1">
              <a:solidFill>
                <a:sysClr val="windowText" lastClr="000000"/>
              </a:solidFill>
            </a:rPr>
            <a:t>Go</a:t>
          </a:r>
          <a:endParaRPr lang="ru-RU" sz="1500" b="1">
            <a:solidFill>
              <a:sysClr val="windowText" lastClr="00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2" name="Таблица2" displayName="Таблица2" ref="A4:P5" totalsRowShown="0" headerRowDxfId="74" dataDxfId="72" headerRowBorderDxfId="73" tableBorderDxfId="71" totalsRowBorderDxfId="70">
  <autoFilter ref="A4:P5">
    <filterColumn colId="1"/>
    <filterColumn colId="2"/>
    <filterColumn colId="3"/>
    <filterColumn colId="13"/>
    <filterColumn colId="14"/>
    <filterColumn colId="15"/>
  </autoFilter>
  <tableColumns count="16">
    <tableColumn id="1" name="1" dataDxfId="69"/>
    <tableColumn id="16" name="code_na" dataDxfId="68"/>
    <tableColumn id="15" name="year" dataDxfId="67"/>
    <tableColumn id="9" name="contragent_id" dataDxfId="66"/>
    <tableColumn id="2" name="2" dataDxfId="65"/>
    <tableColumn id="5" name="3" dataDxfId="64"/>
    <tableColumn id="6" name="4" dataDxfId="63"/>
    <tableColumn id="7" name="5" dataDxfId="62"/>
    <tableColumn id="10" name="6" dataDxfId="61"/>
    <tableColumn id="11" name="7" dataDxfId="60"/>
    <tableColumn id="12" name="8" dataDxfId="59"/>
    <tableColumn id="13" name="9" dataDxfId="58"/>
    <tableColumn id="14" name="10" dataDxfId="57"/>
    <tableColumn id="3" name="11" dataDxfId="56"/>
    <tableColumn id="4" name="12" dataDxfId="55"/>
    <tableColumn id="8" name="13" dataDxfId="5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9" name="Таблица440" displayName="Таблица440" ref="A2:M3" totalsRowShown="0">
  <autoFilter ref="A2:M3">
    <filterColumn colId="12"/>
  </autoFilter>
  <tableColumns count="13">
    <tableColumn id="1" name="GAZFOND_x000a_Contragent Id"/>
    <tableColumn id="2" name="FND_x000a_SSYLKA"/>
    <tableColumn id="3" name="тип дохода"/>
    <tableColumn id="4" name="ИНН"/>
    <tableColumn id="5" name="Гражданство"/>
    <tableColumn id="6" name="Фамилия"/>
    <tableColumn id="7" name="Имя"/>
    <tableColumn id="8" name="Отчество"/>
    <tableColumn id="9" name="Дата_x000a_рождения" dataDxfId="53"/>
    <tableColumn id="10" name="тип_x000a_удосто-верения"/>
    <tableColumn id="11" name="Серия и номер"/>
    <tableColumn id="12" name="Статус НП"/>
    <tableColumn id="13" name="Ошибка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5" name="Таблица5" displayName="Таблица5" ref="A3:Q4" totalsRowShown="0" headerRowDxfId="52" dataDxfId="50" headerRowBorderDxfId="51" tableBorderDxfId="49" totalsRowBorderDxfId="48">
  <autoFilter ref="A3:Q4">
    <filterColumn colId="12"/>
    <filterColumn colId="13"/>
    <filterColumn colId="14"/>
    <filterColumn colId="15"/>
    <filterColumn colId="16"/>
  </autoFilter>
  <tableColumns count="17">
    <tableColumn id="1" name="Тип ошибки" dataDxfId="47"/>
    <tableColumn id="2" name="Ошибка" dataDxfId="46"/>
    <tableColumn id="3" name="ИД контрагента" dataDxfId="45"/>
    <tableColumn id="4" name="Фамилия" dataDxfId="44"/>
    <tableColumn id="5" name="Имя" dataDxfId="43"/>
    <tableColumn id="6" name="Отчество" dataDxfId="42"/>
    <tableColumn id="7" name="Дата рождения" dataDxfId="41"/>
    <tableColumn id="8" name="ИНН" dataDxfId="40"/>
    <tableColumn id="9" name="Гражданство" dataDxfId="39"/>
    <tableColumn id="10" name="Резидент" dataDxfId="38"/>
    <tableColumn id="11" name="Код УЛ" dataDxfId="37"/>
    <tableColumn id="12" name="Серия и номер УЛ" dataDxfId="36"/>
    <tableColumn id="13" name="ИНН2" dataDxfId="4"/>
    <tableColumn id="14" name="Гражданство2" dataDxfId="3"/>
    <tableColumn id="15" name="Резидент2" dataDxfId="2"/>
    <tableColumn id="16" name="Код УЛ2" dataDxfId="1"/>
    <tableColumn id="17" name="Серия и номер УЛ3" dataDxfId="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9" name="Menu" displayName="Menu" ref="D2:E14" totalsRowShown="0">
  <autoFilter ref="D2:E14"/>
  <tableColumns count="2">
    <tableColumn id="1" name="Code"/>
    <tableColumn id="2" name="Action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0" name="Actions" displayName="Actions" ref="G2:K19" totalsRowShown="0">
  <autoFilter ref="G2:K19">
    <filterColumn colId="3"/>
    <filterColumn colId="4"/>
  </autoFilter>
  <tableColumns count="5">
    <tableColumn id="1" name="Code"/>
    <tableColumn id="2" name="Type"/>
    <tableColumn id="3" name="ActionCode"/>
    <tableColumn id="4" name="AfterAction"/>
    <tableColumn id="5" name="Parameters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1" name="Programs" displayName="Programs" ref="W2:AA6" totalsRowShown="0">
  <autoFilter ref="W2:AA6">
    <filterColumn colId="1"/>
    <filterColumn colId="2"/>
    <filterColumn colId="3"/>
  </autoFilter>
  <tableColumns count="5">
    <tableColumn id="1" name="Code"/>
    <tableColumn id="3" name="Type"/>
    <tableColumn id="4" name="isConnect"/>
    <tableColumn id="5" name="ReturnType"/>
    <tableColumn id="2" name="Routin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2" name="Reports" displayName="Reports" ref="M2:R8" totalsRowShown="0">
  <autoFilter ref="M2:R8">
    <filterColumn colId="3"/>
    <filterColumn colId="4"/>
  </autoFilter>
  <tableColumns count="6">
    <tableColumn id="1" name="Code"/>
    <tableColumn id="2" name="TemplateSheetName"/>
    <tableColumn id="3" name="NewSheetName"/>
    <tableColumn id="5" name="CreateMode"/>
    <tableColumn id="6" name="Program"/>
    <tableColumn id="4" name="ReportTyp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3" name="SubReports" displayName="SubReports" ref="T2:U3" insertRow="1" totalsRowShown="0">
  <autoFilter ref="T2:U3"/>
  <tableColumns count="2">
    <tableColumn id="1" name="Code"/>
    <tableColumn id="2" name="SubCod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4" name="GeneralOptions" displayName="GeneralOptions" ref="A2:B10" headerRowBorderDxfId="35" tableBorderDxfId="34" totalsRowBorderDxfId="33">
  <autoFilter ref="A2:B10"/>
  <tableColumns count="2">
    <tableColumn id="1" name="Key" totalsRowLabel="Итог" totalsRowDxfId="32"/>
    <tableColumn id="2" name="Value" totalsRowFunction="count" totalsRowDxfId="31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7" name="ActionTypes" displayName="ActionTypes" ref="AK2:AK4" totalsRowShown="0" tableBorderDxfId="30">
  <autoFilter ref="AK2:AK4"/>
  <tableColumns count="1">
    <tableColumn id="1" name="Cod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8" name="CreateModes" displayName="CreateModes" ref="AM2:AM4" totalsRowShown="0">
  <autoFilter ref="AM2:AM4"/>
  <tableColumns count="1">
    <tableColumn id="1" name="Cod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20" name="ReportTypes" displayName="ReportTypes" ref="AO2:AO5" totalsRowShown="0">
  <autoFilter ref="AO2:AO5"/>
  <tableColumns count="1">
    <tableColumn id="1" name="Cod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5" name="ProgramTypes" displayName="ProgramTypes" ref="AQ2:AQ4" totalsRowShown="0">
  <autoFilter ref="AQ2:AQ4"/>
  <tableColumns count="1">
    <tableColumn id="1" name="Code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9" name="ParamPurpose" displayName="ParamPurpose" ref="AS2:AS3" totalsRowShown="0">
  <autoFilter ref="AS2:AS3"/>
  <tableColumns count="1">
    <tableColumn id="1" name="Code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21" name="ReturnTypes" displayName="ReturnTypes" ref="AU2:AU3" totalsRowShown="0">
  <autoFilter ref="AU2:AU3"/>
  <tableColumns count="1">
    <tableColumn id="1" name="Code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23" name="Direction" displayName="Direction" ref="AW2:AW4" totalsRowShown="0">
  <autoFilter ref="AW2:AW4"/>
  <tableColumns count="1">
    <tableColumn id="1" name="Code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22" name="Parameters" displayName="Parameters" ref="AC2:AI19" totalsRowShown="0">
  <autoFilter ref="AC2:AI19">
    <filterColumn colId="5"/>
    <filterColumn colId="6"/>
  </autoFilter>
  <tableColumns count="7">
    <tableColumn id="1" name="Program" dataDxfId="29"/>
    <tableColumn id="2" name="Name"/>
    <tableColumn id="3" name="Direction"/>
    <tableColumn id="4" name="Source"/>
    <tableColumn id="5" name="Required"/>
    <tableColumn id="6" name="Size"/>
    <tableColumn id="7" name="output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24" name="YesNo" displayName="YesNo" ref="AY2:AY4" totalsRowShown="0">
  <autoFilter ref="AY2:AY4"/>
  <tableColumns count="1">
    <tableColumn id="1" name="Code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7" name="AfterAction" displayName="AfterAction" ref="BA2:BA3" totalsRowShown="0">
  <autoFilter ref="BA2:BA3"/>
  <tableColumns count="1">
    <tableColumn id="1" name="Code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27" name="CommonTokens" displayName="CommonTokens" ref="BC2:BD4" totalsRowShown="0">
  <autoFilter ref="BC2:BD4"/>
  <tableColumns count="2">
    <tableColumn id="1" name="Key"/>
    <tableColumn id="2" name="Value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16" name="Таблица16" displayName="Таблица16" ref="C3:C5" totalsRowShown="0" headerRowDxfId="28" dataDxfId="27" tableBorderDxfId="26">
  <tableColumns count="1">
    <tableColumn id="1" name="Столбец1" dataDxfId="25"/>
  </tableColumns>
  <tableStyleInfo name="TableStyleMedium2" showFirstColumn="0" showLastColumn="0" showRowStripes="0" showColumnStripes="0"/>
</table>
</file>

<file path=xl/tables/table22.xml><?xml version="1.0" encoding="utf-8"?>
<table xmlns="http://schemas.openxmlformats.org/spreadsheetml/2006/main" id="4" name="Таблица4" displayName="Таблица4" ref="A2:M3" totalsRowShown="0">
  <autoFilter ref="A2:M3">
    <filterColumn colId="12"/>
  </autoFilter>
  <tableColumns count="13">
    <tableColumn id="1" name="GAZFOND_x000a_Contragent Id"/>
    <tableColumn id="2" name="FND_x000a_SSYLKA"/>
    <tableColumn id="3" name="тип дохода"/>
    <tableColumn id="4" name="ИНН"/>
    <tableColumn id="5" name="Гражданство"/>
    <tableColumn id="6" name="Фамилия"/>
    <tableColumn id="7" name="Имя"/>
    <tableColumn id="8" name="Отчество"/>
    <tableColumn id="9" name="Дата_x000a_рождения" dataDxfId="24"/>
    <tableColumn id="10" name="тип_x000a_удосто-верения"/>
    <tableColumn id="11" name="Серия и номер"/>
    <tableColumn id="12" name="Статус НП"/>
    <tableColumn id="13" name="Тип сопадения"/>
  </tableColumns>
  <tableStyleInfo name="TableStyleMedium9" showFirstColumn="0" showLastColumn="0" showRowStripes="1" showColumnStripes="0"/>
</table>
</file>

<file path=xl/tables/table23.xml><?xml version="1.0" encoding="utf-8"?>
<table xmlns="http://schemas.openxmlformats.org/spreadsheetml/2006/main" id="43" name="Таблица444" displayName="Таблица444" ref="A2:M3" totalsRowShown="0">
  <autoFilter ref="A2:M3">
    <filterColumn colId="12"/>
  </autoFilter>
  <tableColumns count="13">
    <tableColumn id="1" name="GAZFOND_x000a_Contragent Id"/>
    <tableColumn id="2" name="FND_x000a_SSYLKA"/>
    <tableColumn id="3" name="тип дохода"/>
    <tableColumn id="4" name="ИНН"/>
    <tableColumn id="5" name="Гражданство"/>
    <tableColumn id="6" name="Фамилия"/>
    <tableColumn id="7" name="Имя"/>
    <tableColumn id="8" name="Отчество"/>
    <tableColumn id="9" name="Дата_x000a_рождения" dataDxfId="23"/>
    <tableColumn id="10" name="тип_x000a_удосто-верения"/>
    <tableColumn id="11" name="Серия и номер"/>
    <tableColumn id="12" name="Статус НП"/>
    <tableColumn id="13" name="Тип сопадения"/>
  </tableColumns>
  <tableStyleInfo name="TableStyleMedium9" showFirstColumn="0" showLastColumn="0" showRowStripes="1" showColumnStripes="0"/>
</table>
</file>

<file path=xl/tables/table24.xml><?xml version="1.0" encoding="utf-8"?>
<table xmlns="http://schemas.openxmlformats.org/spreadsheetml/2006/main" id="48" name="Таблица44449" displayName="Таблица44449" ref="A4:P5" totalsRowShown="0" headerRowDxfId="22" dataDxfId="21">
  <autoFilter ref="A4:P5">
    <filterColumn colId="0"/>
    <filterColumn colId="1"/>
    <filterColumn colId="3"/>
    <filterColumn colId="4"/>
    <filterColumn colId="7"/>
    <filterColumn colId="8"/>
    <filterColumn colId="9"/>
    <filterColumn colId="10"/>
    <filterColumn colId="11"/>
    <filterColumn colId="12"/>
    <filterColumn colId="13"/>
    <filterColumn colId="14"/>
    <filterColumn colId="15"/>
  </autoFilter>
  <tableColumns count="16">
    <tableColumn id="15" name="1" dataDxfId="20"/>
    <tableColumn id="14" name="2" dataDxfId="19"/>
    <tableColumn id="1" name="3" dataDxfId="18"/>
    <tableColumn id="16" name="4" dataDxfId="17"/>
    <tableColumn id="17" name="5" dataDxfId="16"/>
    <tableColumn id="2" name="6" dataDxfId="15"/>
    <tableColumn id="3" name="7" dataDxfId="14"/>
    <tableColumn id="25" name="8" dataDxfId="13"/>
    <tableColumn id="18" name="9" dataDxfId="12"/>
    <tableColumn id="19" name="10" dataDxfId="11"/>
    <tableColumn id="20" name="11" dataDxfId="10"/>
    <tableColumn id="21" name="12" dataDxfId="9"/>
    <tableColumn id="22" name="13" dataDxfId="8"/>
    <tableColumn id="23" name="14" dataDxfId="7"/>
    <tableColumn id="24" name="15" dataDxfId="6"/>
    <tableColumn id="26" name="16" dataDxfId="5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13" Type="http://schemas.openxmlformats.org/officeDocument/2006/relationships/table" Target="../tables/table14.xml"/><Relationship Id="rId18" Type="http://schemas.openxmlformats.org/officeDocument/2006/relationships/table" Target="../tables/table1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12" Type="http://schemas.openxmlformats.org/officeDocument/2006/relationships/table" Target="../tables/table13.xml"/><Relationship Id="rId17" Type="http://schemas.openxmlformats.org/officeDocument/2006/relationships/table" Target="../tables/table18.xml"/><Relationship Id="rId2" Type="http://schemas.openxmlformats.org/officeDocument/2006/relationships/vmlDrawing" Target="../drawings/vmlDrawing1.vml"/><Relationship Id="rId16" Type="http://schemas.openxmlformats.org/officeDocument/2006/relationships/table" Target="../tables/table17.xml"/><Relationship Id="rId20" Type="http://schemas.openxmlformats.org/officeDocument/2006/relationships/comments" Target="../comments1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7.xml"/><Relationship Id="rId11" Type="http://schemas.openxmlformats.org/officeDocument/2006/relationships/table" Target="../tables/table12.xml"/><Relationship Id="rId5" Type="http://schemas.openxmlformats.org/officeDocument/2006/relationships/table" Target="../tables/table6.xml"/><Relationship Id="rId15" Type="http://schemas.openxmlformats.org/officeDocument/2006/relationships/table" Target="../tables/table16.xml"/><Relationship Id="rId10" Type="http://schemas.openxmlformats.org/officeDocument/2006/relationships/table" Target="../tables/table11.xml"/><Relationship Id="rId19" Type="http://schemas.openxmlformats.org/officeDocument/2006/relationships/table" Target="../tables/table20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Relationship Id="rId14" Type="http://schemas.openxmlformats.org/officeDocument/2006/relationships/table" Target="../tables/table1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2.xml"/><Relationship Id="rId4" Type="http://schemas.openxmlformats.org/officeDocument/2006/relationships/table" Target="../tables/table2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NDFL2"/>
  <dimension ref="A1:P5"/>
  <sheetViews>
    <sheetView workbookViewId="0">
      <pane ySplit="4" topLeftCell="A5" activePane="bottomLeft" state="frozen"/>
      <selection sqref="A1:I1"/>
      <selection pane="bottomLeft" activeCell="G11" sqref="G11"/>
    </sheetView>
  </sheetViews>
  <sheetFormatPr defaultRowHeight="15"/>
  <cols>
    <col min="1" max="1" width="13.5703125" customWidth="1"/>
    <col min="2" max="4" width="13.5703125" hidden="1" customWidth="1"/>
    <col min="5" max="5" width="12.42578125" customWidth="1"/>
    <col min="6" max="6" width="16.7109375" customWidth="1"/>
    <col min="7" max="7" width="51.7109375" customWidth="1"/>
    <col min="8" max="8" width="16.7109375" customWidth="1"/>
    <col min="9" max="10" width="13.5703125" customWidth="1"/>
    <col min="11" max="12" width="16.7109375" customWidth="1"/>
    <col min="13" max="16" width="17.85546875" customWidth="1"/>
  </cols>
  <sheetData>
    <row r="1" spans="1:16" ht="44.25" customHeight="1">
      <c r="A1" s="64" t="s">
        <v>88</v>
      </c>
      <c r="B1" s="64"/>
      <c r="C1" s="64"/>
      <c r="D1" s="64"/>
      <c r="E1" s="64"/>
      <c r="F1" s="64"/>
      <c r="G1" s="64"/>
      <c r="H1" s="64"/>
      <c r="I1" s="64"/>
      <c r="J1" s="64"/>
      <c r="K1" s="64"/>
      <c r="L1" s="64"/>
      <c r="M1" s="64"/>
      <c r="N1" s="64"/>
      <c r="O1" s="64"/>
      <c r="P1" s="64"/>
    </row>
    <row r="2" spans="1:16" ht="44.25" customHeight="1">
      <c r="A2" s="61"/>
      <c r="B2" s="62"/>
      <c r="C2" s="62"/>
      <c r="D2" s="62"/>
      <c r="E2" s="62"/>
      <c r="F2" s="62"/>
      <c r="G2" s="63"/>
      <c r="H2" s="60" t="s">
        <v>91</v>
      </c>
      <c r="I2" s="60"/>
      <c r="J2" s="60"/>
      <c r="K2" s="60"/>
      <c r="L2" s="60"/>
      <c r="M2" s="60" t="s">
        <v>92</v>
      </c>
      <c r="N2" s="60"/>
      <c r="O2" s="60" t="s">
        <v>93</v>
      </c>
      <c r="P2" s="60"/>
    </row>
    <row r="3" spans="1:16" ht="78" customHeight="1">
      <c r="A3" s="22" t="s">
        <v>85</v>
      </c>
      <c r="B3" s="22"/>
      <c r="C3" s="22"/>
      <c r="D3" s="22"/>
      <c r="E3" s="22" t="s">
        <v>86</v>
      </c>
      <c r="F3" s="21" t="s">
        <v>87</v>
      </c>
      <c r="G3" s="21" t="s">
        <v>20</v>
      </c>
      <c r="H3" s="22" t="s">
        <v>89</v>
      </c>
      <c r="I3" s="4" t="s">
        <v>90</v>
      </c>
      <c r="J3" s="4" t="s">
        <v>17</v>
      </c>
      <c r="K3" s="4" t="s">
        <v>0</v>
      </c>
      <c r="L3" s="4" t="s">
        <v>14</v>
      </c>
      <c r="M3" s="4" t="s">
        <v>0</v>
      </c>
      <c r="N3" s="4" t="s">
        <v>14</v>
      </c>
      <c r="O3" s="4" t="s">
        <v>0</v>
      </c>
      <c r="P3" s="4" t="s">
        <v>14</v>
      </c>
    </row>
    <row r="4" spans="1:16">
      <c r="A4" s="5" t="s">
        <v>1</v>
      </c>
      <c r="B4" s="26" t="s">
        <v>98</v>
      </c>
      <c r="C4" s="26" t="s">
        <v>99</v>
      </c>
      <c r="D4" s="26" t="s">
        <v>100</v>
      </c>
      <c r="E4" s="5" t="s">
        <v>2</v>
      </c>
      <c r="F4" s="5" t="s">
        <v>3</v>
      </c>
      <c r="G4" s="5" t="s">
        <v>4</v>
      </c>
      <c r="H4" s="5" t="s">
        <v>5</v>
      </c>
      <c r="I4" s="6" t="s">
        <v>6</v>
      </c>
      <c r="J4" s="6" t="s">
        <v>7</v>
      </c>
      <c r="K4" s="6" t="s">
        <v>8</v>
      </c>
      <c r="L4" s="6" t="s">
        <v>9</v>
      </c>
      <c r="M4" s="6" t="s">
        <v>10</v>
      </c>
      <c r="N4" s="6" t="s">
        <v>11</v>
      </c>
      <c r="O4" s="6" t="s">
        <v>12</v>
      </c>
      <c r="P4" s="6" t="s">
        <v>13</v>
      </c>
    </row>
    <row r="5" spans="1:16">
      <c r="A5" s="25" t="s">
        <v>84</v>
      </c>
      <c r="B5" s="27"/>
      <c r="C5" s="27"/>
      <c r="D5" s="2"/>
      <c r="E5" s="9"/>
      <c r="F5" s="9"/>
      <c r="G5" s="23"/>
      <c r="H5" s="8"/>
      <c r="I5" s="7"/>
      <c r="J5" s="1"/>
      <c r="K5" s="24"/>
      <c r="L5" s="24"/>
      <c r="M5" s="24"/>
      <c r="N5" s="24"/>
      <c r="O5" s="24"/>
      <c r="P5" s="24"/>
    </row>
  </sheetData>
  <mergeCells count="5">
    <mergeCell ref="O2:P2"/>
    <mergeCell ref="A2:G2"/>
    <mergeCell ref="H2:L2"/>
    <mergeCell ref="M2:N2"/>
    <mergeCell ref="A1:P1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R3"/>
  <sheetViews>
    <sheetView zoomScale="145" zoomScaleNormal="145" workbookViewId="0">
      <pane ySplit="2" topLeftCell="A3" activePane="bottomLeft" state="frozen"/>
      <selection pane="bottomLeft" activeCell="A3" sqref="A3"/>
    </sheetView>
  </sheetViews>
  <sheetFormatPr defaultRowHeight="15"/>
  <cols>
    <col min="1" max="1" width="14.140625" customWidth="1"/>
    <col min="3" max="3" width="8.42578125" customWidth="1"/>
    <col min="4" max="4" width="15.5703125" customWidth="1"/>
    <col min="5" max="5" width="8.7109375" customWidth="1"/>
    <col min="6" max="8" width="17.140625" customWidth="1"/>
    <col min="9" max="9" width="11.85546875" customWidth="1"/>
    <col min="10" max="10" width="10.28515625" customWidth="1"/>
    <col min="11" max="11" width="17.140625" customWidth="1"/>
    <col min="12" max="12" width="12.42578125" customWidth="1"/>
    <col min="13" max="13" width="53" customWidth="1"/>
  </cols>
  <sheetData>
    <row r="1" spans="1:18" ht="75" customHeight="1">
      <c r="A1" s="65" t="s">
        <v>135</v>
      </c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37"/>
      <c r="N1" s="37"/>
      <c r="O1" s="37"/>
      <c r="P1" s="37"/>
      <c r="Q1" s="37"/>
      <c r="R1" s="37"/>
    </row>
    <row r="2" spans="1:18" ht="45" customHeight="1">
      <c r="A2" s="36" t="s">
        <v>118</v>
      </c>
      <c r="B2" s="38" t="s">
        <v>119</v>
      </c>
      <c r="C2" s="38" t="s">
        <v>120</v>
      </c>
      <c r="D2" s="39" t="s">
        <v>121</v>
      </c>
      <c r="E2" s="39" t="s">
        <v>131</v>
      </c>
      <c r="F2" s="39" t="s">
        <v>122</v>
      </c>
      <c r="G2" s="39" t="s">
        <v>123</v>
      </c>
      <c r="H2" s="39" t="s">
        <v>124</v>
      </c>
      <c r="I2" s="40" t="s">
        <v>125</v>
      </c>
      <c r="J2" s="41" t="s">
        <v>126</v>
      </c>
      <c r="K2" s="39" t="s">
        <v>127</v>
      </c>
      <c r="L2" s="42" t="s">
        <v>128</v>
      </c>
      <c r="M2" s="38" t="s">
        <v>136</v>
      </c>
    </row>
    <row r="3" spans="1:18">
      <c r="A3" t="s">
        <v>134</v>
      </c>
      <c r="I3" s="43"/>
    </row>
  </sheetData>
  <mergeCells count="1">
    <mergeCell ref="A1:L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5"/>
  <dimension ref="A1:T4"/>
  <sheetViews>
    <sheetView zoomScale="145" zoomScaleNormal="145" workbookViewId="0">
      <pane ySplit="3" topLeftCell="A4" activePane="bottomLeft" state="frozen"/>
      <selection pane="bottomLeft" activeCell="A4" sqref="A4"/>
    </sheetView>
  </sheetViews>
  <sheetFormatPr defaultRowHeight="15"/>
  <cols>
    <col min="1" max="1" width="4.28515625" customWidth="1"/>
    <col min="2" max="2" width="34.7109375" customWidth="1"/>
    <col min="3" max="3" width="12.140625" customWidth="1"/>
    <col min="4" max="6" width="15.140625" customWidth="1"/>
    <col min="7" max="7" width="13.140625" customWidth="1"/>
    <col min="8" max="8" width="15.28515625" customWidth="1"/>
    <col min="9" max="9" width="11.42578125" customWidth="1"/>
    <col min="10" max="10" width="4.42578125" customWidth="1"/>
    <col min="11" max="11" width="4.140625" customWidth="1"/>
    <col min="12" max="12" width="15.7109375" customWidth="1"/>
    <col min="13" max="13" width="15.28515625" customWidth="1"/>
    <col min="14" max="14" width="11.42578125" customWidth="1"/>
    <col min="15" max="15" width="4.42578125" customWidth="1"/>
    <col min="16" max="16" width="4.140625" customWidth="1"/>
    <col min="17" max="17" width="15.7109375" customWidth="1"/>
  </cols>
  <sheetData>
    <row r="1" spans="1:20" ht="77.25" customHeight="1">
      <c r="A1" s="64" t="s">
        <v>172</v>
      </c>
      <c r="B1" s="64"/>
      <c r="C1" s="64"/>
      <c r="D1" s="64"/>
      <c r="E1" s="64"/>
      <c r="F1" s="64"/>
      <c r="G1" s="64"/>
      <c r="H1" s="64"/>
      <c r="I1" s="64"/>
      <c r="J1" s="64"/>
      <c r="K1" s="64"/>
      <c r="L1" s="64"/>
      <c r="T1" t="s">
        <v>184</v>
      </c>
    </row>
    <row r="2" spans="1:20" ht="18" customHeight="1">
      <c r="A2" s="62" t="s">
        <v>184</v>
      </c>
      <c r="B2" s="62"/>
      <c r="C2" s="62"/>
      <c r="D2" s="62"/>
      <c r="E2" s="62"/>
      <c r="F2" s="62"/>
      <c r="G2" s="62"/>
      <c r="H2" s="62"/>
      <c r="I2" s="62"/>
      <c r="J2" s="62"/>
      <c r="K2" s="62"/>
      <c r="L2" s="62"/>
      <c r="M2" s="72" t="e">
        <f>report_year-1</f>
        <v>#VALUE!</v>
      </c>
      <c r="N2" s="73"/>
      <c r="O2" s="73"/>
      <c r="P2" s="73"/>
      <c r="Q2" s="74"/>
    </row>
    <row r="3" spans="1:20" ht="31.5" customHeight="1">
      <c r="A3" s="53" t="s">
        <v>173</v>
      </c>
      <c r="B3" s="52" t="s">
        <v>136</v>
      </c>
      <c r="C3" s="52" t="s">
        <v>174</v>
      </c>
      <c r="D3" s="52" t="s">
        <v>122</v>
      </c>
      <c r="E3" s="52" t="s">
        <v>123</v>
      </c>
      <c r="F3" s="52" t="s">
        <v>124</v>
      </c>
      <c r="G3" s="52" t="s">
        <v>175</v>
      </c>
      <c r="H3" s="52" t="s">
        <v>121</v>
      </c>
      <c r="I3" s="52" t="s">
        <v>131</v>
      </c>
      <c r="J3" s="52" t="s">
        <v>176</v>
      </c>
      <c r="K3" s="52" t="s">
        <v>178</v>
      </c>
      <c r="L3" s="54" t="s">
        <v>177</v>
      </c>
      <c r="M3" s="71" t="s">
        <v>179</v>
      </c>
      <c r="N3" s="71" t="s">
        <v>180</v>
      </c>
      <c r="O3" s="71" t="s">
        <v>181</v>
      </c>
      <c r="P3" s="71" t="s">
        <v>182</v>
      </c>
      <c r="Q3" s="71" t="s">
        <v>183</v>
      </c>
    </row>
    <row r="4" spans="1:20">
      <c r="A4" s="55" t="s">
        <v>170</v>
      </c>
      <c r="B4" s="56"/>
      <c r="C4" s="56"/>
      <c r="D4" s="56"/>
      <c r="E4" s="56"/>
      <c r="F4" s="56"/>
      <c r="G4" s="57"/>
      <c r="H4" s="58"/>
      <c r="I4" s="56"/>
      <c r="J4" s="58"/>
      <c r="K4" s="58"/>
      <c r="L4" s="59"/>
      <c r="M4" s="58"/>
      <c r="N4" s="56"/>
      <c r="O4" s="58"/>
      <c r="P4" s="58"/>
      <c r="Q4" s="59"/>
    </row>
  </sheetData>
  <mergeCells count="3">
    <mergeCell ref="A1:L1"/>
    <mergeCell ref="M2:Q2"/>
    <mergeCell ref="A2:L2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Settings"/>
  <dimension ref="A1:BF19"/>
  <sheetViews>
    <sheetView workbookViewId="0">
      <selection activeCell="A19" sqref="A19"/>
    </sheetView>
  </sheetViews>
  <sheetFormatPr defaultRowHeight="15"/>
  <cols>
    <col min="1" max="2" width="25" customWidth="1"/>
    <col min="3" max="3" width="7.5703125" customWidth="1"/>
    <col min="4" max="4" width="32.42578125" bestFit="1" customWidth="1"/>
    <col min="5" max="5" width="23.85546875" bestFit="1" customWidth="1"/>
    <col min="6" max="6" width="7.5703125" customWidth="1"/>
    <col min="7" max="7" width="21.42578125" customWidth="1"/>
    <col min="8" max="8" width="18.140625" customWidth="1"/>
    <col min="9" max="9" width="23.85546875" bestFit="1" customWidth="1"/>
    <col min="10" max="10" width="13" customWidth="1"/>
    <col min="11" max="11" width="23" customWidth="1"/>
    <col min="12" max="12" width="7.5703125" customWidth="1"/>
    <col min="13" max="14" width="30.7109375" bestFit="1" customWidth="1"/>
    <col min="15" max="15" width="32.42578125" bestFit="1" customWidth="1"/>
    <col min="16" max="17" width="16.7109375" customWidth="1"/>
    <col min="18" max="18" width="13.85546875" customWidth="1"/>
    <col min="19" max="19" width="7.5703125" customWidth="1"/>
    <col min="20" max="20" width="23" customWidth="1"/>
    <col min="21" max="21" width="30.7109375" bestFit="1" customWidth="1"/>
    <col min="22" max="22" width="7.5703125" customWidth="1"/>
    <col min="23" max="23" width="19.7109375" bestFit="1" customWidth="1"/>
    <col min="24" max="26" width="17.85546875" customWidth="1"/>
    <col min="27" max="27" width="34" bestFit="1" customWidth="1"/>
    <col min="28" max="28" width="7.5703125" customWidth="1"/>
    <col min="29" max="29" width="19.7109375" bestFit="1" customWidth="1"/>
    <col min="30" max="30" width="14.140625" bestFit="1" customWidth="1"/>
    <col min="31" max="31" width="11.28515625" customWidth="1"/>
    <col min="32" max="32" width="11.85546875" bestFit="1" customWidth="1"/>
    <col min="33" max="35" width="13.7109375" customWidth="1"/>
    <col min="36" max="36" width="7.5703125" customWidth="1"/>
    <col min="37" max="37" width="11.85546875" bestFit="1" customWidth="1"/>
    <col min="38" max="38" width="7.5703125" customWidth="1"/>
    <col min="39" max="39" width="13.140625" bestFit="1" customWidth="1"/>
    <col min="40" max="40" width="7.5703125" customWidth="1"/>
    <col min="41" max="41" width="12.140625" bestFit="1" customWidth="1"/>
    <col min="42" max="42" width="7.5703125" customWidth="1"/>
    <col min="43" max="43" width="13.7109375" bestFit="1" customWidth="1"/>
    <col min="44" max="44" width="7.5703125" customWidth="1"/>
    <col min="45" max="45" width="14" bestFit="1" customWidth="1"/>
    <col min="46" max="46" width="7.5703125" customWidth="1"/>
    <col min="47" max="47" width="12.140625" bestFit="1" customWidth="1"/>
    <col min="48" max="48" width="7.5703125" customWidth="1"/>
    <col min="49" max="49" width="13.5703125" customWidth="1"/>
    <col min="50" max="50" width="7.5703125" customWidth="1"/>
    <col min="53" max="53" width="11.28515625" bestFit="1" customWidth="1"/>
    <col min="55" max="56" width="12.140625" customWidth="1"/>
  </cols>
  <sheetData>
    <row r="1" spans="1:58" ht="29.25" customHeight="1">
      <c r="A1" s="66" t="s">
        <v>33</v>
      </c>
      <c r="B1" s="66"/>
      <c r="D1" s="67" t="s">
        <v>34</v>
      </c>
      <c r="E1" s="67"/>
      <c r="G1" s="67" t="s">
        <v>29</v>
      </c>
      <c r="H1" s="67"/>
      <c r="I1" s="67"/>
      <c r="J1" s="67"/>
      <c r="K1" s="28"/>
      <c r="M1" s="67" t="s">
        <v>26</v>
      </c>
      <c r="N1" s="67"/>
      <c r="O1" s="67"/>
      <c r="P1" s="67"/>
      <c r="Q1" s="67"/>
      <c r="R1" s="67"/>
      <c r="T1" s="67" t="s">
        <v>30</v>
      </c>
      <c r="U1" s="67"/>
      <c r="W1" s="67" t="s">
        <v>23</v>
      </c>
      <c r="X1" s="67"/>
      <c r="Y1" s="67"/>
      <c r="Z1" s="67"/>
      <c r="AA1" s="67"/>
      <c r="AC1" s="67" t="s">
        <v>57</v>
      </c>
      <c r="AD1" s="67"/>
      <c r="AE1" s="67"/>
      <c r="AF1" s="67"/>
      <c r="AG1" s="67"/>
      <c r="AH1" s="67"/>
      <c r="AI1" s="67"/>
      <c r="AK1" s="14" t="s">
        <v>45</v>
      </c>
      <c r="AM1" s="14" t="s">
        <v>47</v>
      </c>
      <c r="AO1" s="14" t="s">
        <v>49</v>
      </c>
      <c r="AQ1" s="14" t="s">
        <v>56</v>
      </c>
      <c r="AS1" s="14" t="s">
        <v>65</v>
      </c>
      <c r="AU1" s="14" t="s">
        <v>66</v>
      </c>
      <c r="AW1" s="14" t="s">
        <v>58</v>
      </c>
      <c r="AY1" s="14" t="s">
        <v>71</v>
      </c>
      <c r="BA1" s="14" t="s">
        <v>76</v>
      </c>
      <c r="BC1" s="68" t="s">
        <v>81</v>
      </c>
      <c r="BD1" s="68"/>
    </row>
    <row r="2" spans="1:58">
      <c r="A2" s="2" t="s">
        <v>52</v>
      </c>
      <c r="B2" s="2" t="s">
        <v>32</v>
      </c>
      <c r="D2" t="s">
        <v>27</v>
      </c>
      <c r="E2" t="s">
        <v>37</v>
      </c>
      <c r="G2" t="s">
        <v>27</v>
      </c>
      <c r="H2" t="s">
        <v>39</v>
      </c>
      <c r="I2" t="s">
        <v>28</v>
      </c>
      <c r="J2" t="s">
        <v>76</v>
      </c>
      <c r="K2" t="s">
        <v>57</v>
      </c>
      <c r="M2" t="s">
        <v>27</v>
      </c>
      <c r="N2" t="s">
        <v>16</v>
      </c>
      <c r="O2" t="s">
        <v>19</v>
      </c>
      <c r="P2" t="s">
        <v>46</v>
      </c>
      <c r="Q2" t="s">
        <v>41</v>
      </c>
      <c r="R2" t="s">
        <v>35</v>
      </c>
      <c r="T2" t="s">
        <v>27</v>
      </c>
      <c r="U2" t="s">
        <v>31</v>
      </c>
      <c r="W2" t="s">
        <v>27</v>
      </c>
      <c r="X2" t="s">
        <v>39</v>
      </c>
      <c r="Y2" t="s">
        <v>53</v>
      </c>
      <c r="Z2" t="s">
        <v>59</v>
      </c>
      <c r="AA2" t="s">
        <v>43</v>
      </c>
      <c r="AC2" t="s">
        <v>41</v>
      </c>
      <c r="AD2" t="s">
        <v>67</v>
      </c>
      <c r="AE2" t="s">
        <v>58</v>
      </c>
      <c r="AF2" t="s">
        <v>68</v>
      </c>
      <c r="AG2" t="s">
        <v>69</v>
      </c>
      <c r="AH2" t="s">
        <v>72</v>
      </c>
      <c r="AI2" t="s">
        <v>75</v>
      </c>
      <c r="AK2" t="s">
        <v>27</v>
      </c>
      <c r="AM2" t="s">
        <v>27</v>
      </c>
      <c r="AO2" t="s">
        <v>27</v>
      </c>
      <c r="AQ2" t="s">
        <v>27</v>
      </c>
      <c r="AS2" t="s">
        <v>27</v>
      </c>
      <c r="AU2" t="s">
        <v>27</v>
      </c>
      <c r="AW2" t="s">
        <v>27</v>
      </c>
      <c r="AY2" t="s">
        <v>27</v>
      </c>
      <c r="BA2" t="s">
        <v>27</v>
      </c>
      <c r="BC2" t="s">
        <v>52</v>
      </c>
      <c r="BD2" t="s">
        <v>32</v>
      </c>
    </row>
    <row r="3" spans="1:58">
      <c r="A3" s="2" t="s">
        <v>78</v>
      </c>
      <c r="B3" s="2" t="s">
        <v>106</v>
      </c>
      <c r="D3" t="s">
        <v>94</v>
      </c>
      <c r="E3" t="s">
        <v>84</v>
      </c>
      <c r="G3" t="s">
        <v>84</v>
      </c>
      <c r="H3" t="s">
        <v>24</v>
      </c>
      <c r="I3" t="s">
        <v>84</v>
      </c>
      <c r="M3" t="s">
        <v>84</v>
      </c>
      <c r="N3" t="s">
        <v>84</v>
      </c>
      <c r="O3" t="s">
        <v>94</v>
      </c>
      <c r="P3" t="s">
        <v>44</v>
      </c>
      <c r="Q3" t="s">
        <v>42</v>
      </c>
      <c r="R3" t="s">
        <v>50</v>
      </c>
      <c r="W3" s="2" t="s">
        <v>42</v>
      </c>
      <c r="X3" t="s">
        <v>73</v>
      </c>
      <c r="Y3" t="s">
        <v>55</v>
      </c>
      <c r="Z3" t="s">
        <v>60</v>
      </c>
      <c r="AA3" s="2" t="s">
        <v>80</v>
      </c>
      <c r="AC3" s="2" t="s">
        <v>42</v>
      </c>
      <c r="AD3" t="s">
        <v>74</v>
      </c>
      <c r="AE3" t="s">
        <v>61</v>
      </c>
      <c r="AH3">
        <v>2000</v>
      </c>
      <c r="AI3" t="s">
        <v>55</v>
      </c>
      <c r="AK3" s="12" t="s">
        <v>24</v>
      </c>
      <c r="AM3" t="s">
        <v>44</v>
      </c>
      <c r="AO3" t="s">
        <v>50</v>
      </c>
      <c r="AQ3" t="s">
        <v>40</v>
      </c>
      <c r="AS3" t="s">
        <v>64</v>
      </c>
      <c r="AU3" t="s">
        <v>60</v>
      </c>
      <c r="AW3" t="s">
        <v>62</v>
      </c>
      <c r="AY3" t="s">
        <v>55</v>
      </c>
      <c r="BA3" t="s">
        <v>77</v>
      </c>
      <c r="BC3" t="s">
        <v>111</v>
      </c>
      <c r="BD3" t="s">
        <v>111</v>
      </c>
    </row>
    <row r="4" spans="1:58">
      <c r="A4" s="3" t="s">
        <v>21</v>
      </c>
      <c r="B4" s="3" t="s">
        <v>83</v>
      </c>
      <c r="D4" t="s">
        <v>141</v>
      </c>
      <c r="E4" s="2" t="s">
        <v>142</v>
      </c>
      <c r="G4" s="2" t="s">
        <v>101</v>
      </c>
      <c r="H4" s="2" t="s">
        <v>25</v>
      </c>
      <c r="I4" s="2" t="s">
        <v>101</v>
      </c>
      <c r="J4" s="2"/>
      <c r="K4" s="2" t="s">
        <v>101</v>
      </c>
      <c r="M4" s="2" t="s">
        <v>115</v>
      </c>
      <c r="N4" s="2" t="s">
        <v>115</v>
      </c>
      <c r="O4" s="2" t="s">
        <v>116</v>
      </c>
      <c r="P4" t="s">
        <v>44</v>
      </c>
      <c r="Q4" t="s">
        <v>42</v>
      </c>
      <c r="R4" t="s">
        <v>50</v>
      </c>
      <c r="W4" s="2" t="s">
        <v>101</v>
      </c>
      <c r="X4" t="s">
        <v>73</v>
      </c>
      <c r="Y4" t="s">
        <v>55</v>
      </c>
      <c r="Z4" s="2"/>
      <c r="AA4" s="2" t="s">
        <v>102</v>
      </c>
      <c r="AB4" s="2"/>
      <c r="AC4" s="19" t="s">
        <v>42</v>
      </c>
      <c r="AD4" s="2" t="s">
        <v>70</v>
      </c>
      <c r="AE4" s="2" t="s">
        <v>62</v>
      </c>
      <c r="AF4" s="2" t="s">
        <v>63</v>
      </c>
      <c r="AG4" s="2" t="s">
        <v>55</v>
      </c>
      <c r="AH4" s="2">
        <v>40</v>
      </c>
      <c r="AI4" s="2" t="s">
        <v>54</v>
      </c>
      <c r="AK4" s="13" t="s">
        <v>25</v>
      </c>
      <c r="AM4" t="s">
        <v>48</v>
      </c>
      <c r="AO4" t="s">
        <v>36</v>
      </c>
      <c r="AQ4" t="s">
        <v>73</v>
      </c>
      <c r="AW4" t="s">
        <v>61</v>
      </c>
      <c r="AY4" t="s">
        <v>54</v>
      </c>
    </row>
    <row r="5" spans="1:58">
      <c r="A5" s="3" t="s">
        <v>22</v>
      </c>
      <c r="B5" s="3" t="s">
        <v>15</v>
      </c>
      <c r="D5" t="s">
        <v>151</v>
      </c>
      <c r="E5" s="2" t="s">
        <v>143</v>
      </c>
      <c r="G5" s="2" t="s">
        <v>101</v>
      </c>
      <c r="H5" t="s">
        <v>24</v>
      </c>
      <c r="I5" t="s">
        <v>84</v>
      </c>
      <c r="J5" s="2"/>
      <c r="K5" s="2"/>
      <c r="M5" s="2" t="s">
        <v>134</v>
      </c>
      <c r="N5" s="2" t="s">
        <v>134</v>
      </c>
      <c r="O5" s="2" t="s">
        <v>133</v>
      </c>
      <c r="P5" t="s">
        <v>44</v>
      </c>
      <c r="Q5" t="s">
        <v>42</v>
      </c>
      <c r="R5" t="s">
        <v>50</v>
      </c>
      <c r="W5" s="2" t="s">
        <v>143</v>
      </c>
      <c r="X5" s="2" t="s">
        <v>73</v>
      </c>
      <c r="Y5" s="2" t="s">
        <v>55</v>
      </c>
      <c r="Z5" s="2"/>
      <c r="AA5" s="2" t="s">
        <v>144</v>
      </c>
      <c r="AC5" s="19" t="s">
        <v>42</v>
      </c>
      <c r="AD5" s="2" t="s">
        <v>104</v>
      </c>
      <c r="AE5" s="2" t="s">
        <v>62</v>
      </c>
      <c r="AF5" s="2" t="s">
        <v>111</v>
      </c>
      <c r="AG5" s="2" t="s">
        <v>55</v>
      </c>
      <c r="AH5" s="2">
        <v>20</v>
      </c>
      <c r="AI5" s="2" t="s">
        <v>54</v>
      </c>
      <c r="AO5" s="2" t="s">
        <v>82</v>
      </c>
    </row>
    <row r="6" spans="1:58">
      <c r="A6" s="2" t="s">
        <v>38</v>
      </c>
      <c r="B6" s="2" t="str">
        <f>VLOOKUP(ReportSelected,Menu[],2,FALSE)</f>
        <v>f2_copy2arh</v>
      </c>
      <c r="D6" t="s">
        <v>157</v>
      </c>
      <c r="E6" s="2" t="s">
        <v>158</v>
      </c>
      <c r="G6" s="2" t="s">
        <v>115</v>
      </c>
      <c r="H6" t="s">
        <v>24</v>
      </c>
      <c r="I6" s="2" t="s">
        <v>115</v>
      </c>
      <c r="J6" s="2"/>
      <c r="K6" s="2"/>
      <c r="M6" s="2" t="s">
        <v>138</v>
      </c>
      <c r="N6" s="2" t="s">
        <v>138</v>
      </c>
      <c r="O6" s="2" t="s">
        <v>139</v>
      </c>
      <c r="P6" t="s">
        <v>44</v>
      </c>
      <c r="Q6" t="s">
        <v>42</v>
      </c>
      <c r="R6" t="s">
        <v>50</v>
      </c>
      <c r="W6" s="2" t="s">
        <v>159</v>
      </c>
      <c r="X6" s="2" t="s">
        <v>73</v>
      </c>
      <c r="Y6" s="2" t="s">
        <v>55</v>
      </c>
      <c r="Z6" s="2"/>
      <c r="AA6" s="2" t="s">
        <v>160</v>
      </c>
      <c r="AC6" s="19" t="s">
        <v>42</v>
      </c>
      <c r="AD6" s="2" t="s">
        <v>130</v>
      </c>
      <c r="AE6" s="2" t="s">
        <v>62</v>
      </c>
      <c r="AF6" s="2" t="s">
        <v>112</v>
      </c>
      <c r="AG6" s="2" t="s">
        <v>55</v>
      </c>
      <c r="AH6" s="2">
        <v>20</v>
      </c>
      <c r="AI6" s="2" t="s">
        <v>54</v>
      </c>
    </row>
    <row r="7" spans="1:58">
      <c r="A7" s="15" t="s">
        <v>63</v>
      </c>
      <c r="B7" s="2" t="s">
        <v>186</v>
      </c>
      <c r="D7" t="s">
        <v>165</v>
      </c>
      <c r="E7" s="2" t="s">
        <v>166</v>
      </c>
      <c r="G7" s="2" t="s">
        <v>134</v>
      </c>
      <c r="H7" t="s">
        <v>24</v>
      </c>
      <c r="I7" s="2" t="s">
        <v>134</v>
      </c>
      <c r="J7" s="2"/>
      <c r="K7" s="2"/>
      <c r="M7" s="2" t="s">
        <v>145</v>
      </c>
      <c r="N7" s="2" t="s">
        <v>145</v>
      </c>
      <c r="O7" s="2" t="s">
        <v>150</v>
      </c>
      <c r="P7" t="s">
        <v>44</v>
      </c>
      <c r="Q7" t="s">
        <v>42</v>
      </c>
      <c r="R7" t="s">
        <v>50</v>
      </c>
      <c r="AC7" s="19" t="s">
        <v>42</v>
      </c>
      <c r="AD7" s="2" t="s">
        <v>113</v>
      </c>
      <c r="AE7" s="2" t="s">
        <v>62</v>
      </c>
      <c r="AF7" s="2" t="s">
        <v>114</v>
      </c>
      <c r="AG7" s="2" t="s">
        <v>54</v>
      </c>
      <c r="AH7" s="2">
        <v>10</v>
      </c>
      <c r="AI7" s="2" t="s">
        <v>54</v>
      </c>
    </row>
    <row r="8" spans="1:58">
      <c r="A8" s="2" t="s">
        <v>96</v>
      </c>
      <c r="B8" s="2">
        <v>1</v>
      </c>
      <c r="D8" t="s">
        <v>167</v>
      </c>
      <c r="E8" s="2" t="s">
        <v>168</v>
      </c>
      <c r="G8" s="2" t="s">
        <v>138</v>
      </c>
      <c r="H8" t="s">
        <v>24</v>
      </c>
      <c r="I8" s="2" t="s">
        <v>138</v>
      </c>
      <c r="J8" s="2"/>
      <c r="K8" s="2"/>
      <c r="M8" s="2" t="s">
        <v>170</v>
      </c>
      <c r="N8" s="2" t="s">
        <v>170</v>
      </c>
      <c r="O8" s="2" t="s">
        <v>171</v>
      </c>
      <c r="P8" t="s">
        <v>44</v>
      </c>
      <c r="Q8" t="s">
        <v>42</v>
      </c>
      <c r="R8" t="s">
        <v>50</v>
      </c>
      <c r="AC8" s="19" t="s">
        <v>101</v>
      </c>
      <c r="AD8" t="s">
        <v>74</v>
      </c>
      <c r="AE8" t="s">
        <v>61</v>
      </c>
      <c r="AF8" s="2"/>
      <c r="AG8" s="2"/>
      <c r="AH8">
        <v>2000</v>
      </c>
      <c r="AI8" t="s">
        <v>55</v>
      </c>
      <c r="BF8" s="20"/>
    </row>
    <row r="9" spans="1:58">
      <c r="A9" s="2" t="s">
        <v>95</v>
      </c>
      <c r="B9" s="2">
        <v>2017</v>
      </c>
      <c r="D9" t="s">
        <v>185</v>
      </c>
      <c r="E9" s="2" t="s">
        <v>186</v>
      </c>
      <c r="G9" s="2" t="s">
        <v>142</v>
      </c>
      <c r="H9" t="s">
        <v>24</v>
      </c>
      <c r="I9" s="2" t="s">
        <v>134</v>
      </c>
      <c r="J9" s="2"/>
      <c r="K9" s="2"/>
      <c r="AC9" s="19" t="s">
        <v>101</v>
      </c>
      <c r="AD9" s="2" t="s">
        <v>103</v>
      </c>
      <c r="AE9" s="2" t="s">
        <v>62</v>
      </c>
      <c r="AF9" s="2" t="s">
        <v>96</v>
      </c>
      <c r="AG9" s="2" t="s">
        <v>55</v>
      </c>
      <c r="AH9" s="2">
        <v>3</v>
      </c>
      <c r="AI9" s="2" t="s">
        <v>54</v>
      </c>
    </row>
    <row r="10" spans="1:58">
      <c r="A10" s="2" t="s">
        <v>97</v>
      </c>
      <c r="B10" s="2">
        <v>1619074</v>
      </c>
      <c r="D10" s="2" t="s">
        <v>117</v>
      </c>
      <c r="E10" s="2" t="s">
        <v>115</v>
      </c>
      <c r="G10" s="2" t="s">
        <v>142</v>
      </c>
      <c r="H10" t="s">
        <v>24</v>
      </c>
      <c r="I10" s="2" t="s">
        <v>138</v>
      </c>
      <c r="AC10" s="19" t="s">
        <v>101</v>
      </c>
      <c r="AD10" s="2" t="s">
        <v>104</v>
      </c>
      <c r="AE10" s="2" t="s">
        <v>62</v>
      </c>
      <c r="AF10" s="2" t="s">
        <v>95</v>
      </c>
      <c r="AG10" s="2" t="s">
        <v>55</v>
      </c>
      <c r="AH10" s="2">
        <v>4</v>
      </c>
      <c r="AI10" s="2" t="s">
        <v>54</v>
      </c>
    </row>
    <row r="11" spans="1:58">
      <c r="A11" s="2"/>
      <c r="B11" s="2"/>
      <c r="D11" s="2" t="s">
        <v>137</v>
      </c>
      <c r="E11" s="2" t="s">
        <v>138</v>
      </c>
      <c r="G11" s="2" t="s">
        <v>142</v>
      </c>
      <c r="H11" t="s">
        <v>24</v>
      </c>
      <c r="I11" s="2" t="s">
        <v>115</v>
      </c>
      <c r="J11" s="2"/>
      <c r="K11" s="2"/>
      <c r="AC11" s="19" t="s">
        <v>101</v>
      </c>
      <c r="AD11" s="2" t="s">
        <v>105</v>
      </c>
      <c r="AE11" s="2" t="s">
        <v>62</v>
      </c>
      <c r="AF11" s="2" t="s">
        <v>97</v>
      </c>
      <c r="AG11" s="2" t="s">
        <v>55</v>
      </c>
      <c r="AH11" s="2">
        <v>10</v>
      </c>
      <c r="AI11" s="2" t="s">
        <v>54</v>
      </c>
    </row>
    <row r="12" spans="1:58">
      <c r="A12" s="2"/>
      <c r="B12" s="2"/>
      <c r="D12" s="2" t="s">
        <v>133</v>
      </c>
      <c r="E12" s="2" t="s">
        <v>134</v>
      </c>
      <c r="G12" s="2" t="s">
        <v>143</v>
      </c>
      <c r="H12" s="2" t="s">
        <v>25</v>
      </c>
      <c r="I12" s="2" t="s">
        <v>143</v>
      </c>
      <c r="J12" s="2"/>
      <c r="K12" s="2" t="s">
        <v>143</v>
      </c>
      <c r="AC12" s="2" t="s">
        <v>143</v>
      </c>
      <c r="AD12" t="s">
        <v>74</v>
      </c>
      <c r="AE12" t="s">
        <v>61</v>
      </c>
      <c r="AF12" s="2"/>
      <c r="AG12" s="2"/>
      <c r="AH12">
        <v>2000</v>
      </c>
      <c r="AI12" t="s">
        <v>55</v>
      </c>
    </row>
    <row r="13" spans="1:58">
      <c r="D13" s="2" t="s">
        <v>149</v>
      </c>
      <c r="E13" s="2" t="s">
        <v>145</v>
      </c>
      <c r="G13" s="2" t="s">
        <v>143</v>
      </c>
      <c r="H13" t="s">
        <v>24</v>
      </c>
      <c r="I13" s="2" t="s">
        <v>145</v>
      </c>
      <c r="J13" s="2"/>
      <c r="K13" s="2"/>
      <c r="AC13" s="19" t="s">
        <v>143</v>
      </c>
      <c r="AD13" s="2" t="s">
        <v>103</v>
      </c>
      <c r="AE13" s="2" t="s">
        <v>62</v>
      </c>
      <c r="AF13" s="2" t="s">
        <v>96</v>
      </c>
      <c r="AG13" s="2" t="s">
        <v>55</v>
      </c>
      <c r="AH13" s="2">
        <v>3</v>
      </c>
      <c r="AI13" s="2" t="s">
        <v>54</v>
      </c>
    </row>
    <row r="14" spans="1:58">
      <c r="D14" s="2" t="s">
        <v>169</v>
      </c>
      <c r="E14" s="2" t="s">
        <v>170</v>
      </c>
      <c r="G14" s="2" t="s">
        <v>145</v>
      </c>
      <c r="H14" t="s">
        <v>24</v>
      </c>
      <c r="I14" s="2" t="s">
        <v>145</v>
      </c>
      <c r="J14" s="2"/>
      <c r="K14" s="2"/>
      <c r="AC14" s="19" t="s">
        <v>143</v>
      </c>
      <c r="AD14" s="2" t="s">
        <v>104</v>
      </c>
      <c r="AE14" s="2" t="s">
        <v>62</v>
      </c>
      <c r="AF14" s="2" t="s">
        <v>111</v>
      </c>
      <c r="AG14" s="2" t="s">
        <v>55</v>
      </c>
      <c r="AH14" s="2">
        <v>4</v>
      </c>
      <c r="AI14" s="2" t="s">
        <v>54</v>
      </c>
    </row>
    <row r="15" spans="1:58">
      <c r="G15" s="2" t="s">
        <v>158</v>
      </c>
      <c r="H15" s="2" t="s">
        <v>25</v>
      </c>
      <c r="I15" s="2" t="s">
        <v>159</v>
      </c>
      <c r="J15" s="2"/>
      <c r="K15" s="2" t="s">
        <v>158</v>
      </c>
      <c r="AC15" s="19" t="s">
        <v>143</v>
      </c>
      <c r="AD15" s="2" t="s">
        <v>130</v>
      </c>
      <c r="AE15" s="2" t="s">
        <v>62</v>
      </c>
      <c r="AF15" s="2" t="s">
        <v>112</v>
      </c>
      <c r="AG15" s="2" t="s">
        <v>55</v>
      </c>
      <c r="AH15" s="2">
        <v>20</v>
      </c>
      <c r="AI15" s="2" t="s">
        <v>54</v>
      </c>
    </row>
    <row r="16" spans="1:58">
      <c r="G16" s="2" t="s">
        <v>166</v>
      </c>
      <c r="H16" s="2" t="s">
        <v>25</v>
      </c>
      <c r="I16" s="2" t="s">
        <v>159</v>
      </c>
      <c r="J16" s="2"/>
      <c r="K16" s="2" t="s">
        <v>166</v>
      </c>
      <c r="AC16" s="19" t="s">
        <v>159</v>
      </c>
      <c r="AD16" t="s">
        <v>74</v>
      </c>
      <c r="AE16" t="s">
        <v>61</v>
      </c>
      <c r="AH16">
        <v>2000</v>
      </c>
      <c r="AI16" t="s">
        <v>55</v>
      </c>
    </row>
    <row r="17" spans="7:35">
      <c r="G17" s="2" t="s">
        <v>168</v>
      </c>
      <c r="H17" s="2" t="s">
        <v>25</v>
      </c>
      <c r="I17" s="2" t="s">
        <v>159</v>
      </c>
      <c r="J17" s="2"/>
      <c r="K17" s="2" t="s">
        <v>168</v>
      </c>
      <c r="AC17" s="19" t="s">
        <v>159</v>
      </c>
      <c r="AD17" s="2" t="s">
        <v>161</v>
      </c>
      <c r="AE17" s="2" t="s">
        <v>62</v>
      </c>
      <c r="AF17" s="2" t="s">
        <v>63</v>
      </c>
      <c r="AG17" s="2" t="s">
        <v>55</v>
      </c>
      <c r="AH17" s="2">
        <v>40</v>
      </c>
      <c r="AI17" s="2" t="s">
        <v>54</v>
      </c>
    </row>
    <row r="18" spans="7:35">
      <c r="G18" s="2" t="s">
        <v>170</v>
      </c>
      <c r="H18" t="s">
        <v>24</v>
      </c>
      <c r="I18" s="2" t="s">
        <v>170</v>
      </c>
      <c r="J18" s="2"/>
      <c r="K18" s="2"/>
      <c r="AC18" s="19" t="s">
        <v>159</v>
      </c>
      <c r="AD18" s="2" t="s">
        <v>103</v>
      </c>
      <c r="AE18" s="2" t="s">
        <v>62</v>
      </c>
      <c r="AF18" s="2" t="s">
        <v>96</v>
      </c>
      <c r="AG18" s="2" t="s">
        <v>55</v>
      </c>
      <c r="AH18" s="2">
        <v>3</v>
      </c>
      <c r="AI18" s="2" t="s">
        <v>54</v>
      </c>
    </row>
    <row r="19" spans="7:35">
      <c r="G19" s="2" t="s">
        <v>186</v>
      </c>
      <c r="H19" s="2" t="s">
        <v>25</v>
      </c>
      <c r="I19" s="2" t="s">
        <v>159</v>
      </c>
      <c r="J19" s="2"/>
      <c r="K19" s="2" t="s">
        <v>186</v>
      </c>
      <c r="AC19" s="19" t="s">
        <v>159</v>
      </c>
      <c r="AD19" s="2" t="s">
        <v>104</v>
      </c>
      <c r="AE19" s="2" t="s">
        <v>62</v>
      </c>
      <c r="AF19" s="2" t="s">
        <v>111</v>
      </c>
      <c r="AG19" s="2" t="s">
        <v>55</v>
      </c>
      <c r="AH19" s="2">
        <v>4</v>
      </c>
      <c r="AI19" s="2" t="s">
        <v>54</v>
      </c>
    </row>
  </sheetData>
  <dataConsolidate/>
  <mergeCells count="8">
    <mergeCell ref="A1:B1"/>
    <mergeCell ref="D1:E1"/>
    <mergeCell ref="G1:J1"/>
    <mergeCell ref="BC1:BD1"/>
    <mergeCell ref="AC1:AI1"/>
    <mergeCell ref="W1:AA1"/>
    <mergeCell ref="M1:R1"/>
    <mergeCell ref="T1:U1"/>
  </mergeCells>
  <dataValidations count="13">
    <dataValidation type="list" allowBlank="1" showInputMessage="1" showErrorMessage="1" sqref="E3">
      <formula1>INDIRECT("Actions[Code]")</formula1>
    </dataValidation>
    <dataValidation type="list" allowBlank="1" showInputMessage="1" showErrorMessage="1" sqref="AJ3:AJ6">
      <formula1>INDIRECT("ParamPurpose[Code]")</formula1>
    </dataValidation>
    <dataValidation type="list" allowBlank="1" showInputMessage="1" showErrorMessage="1" sqref="T3">
      <formula1>INDIRECT("Reports[Code]")</formula1>
    </dataValidation>
    <dataValidation type="list" allowBlank="1" showInputMessage="1" showErrorMessage="1" sqref="X3:X6">
      <formula1>INDIRECT("ProgramTypes[Code]")</formula1>
    </dataValidation>
    <dataValidation type="list" allowBlank="1" showInputMessage="1" showErrorMessage="1" sqref="Z3:Z6">
      <formula1>INDIRECT("ReturnTypes[Code]")</formula1>
    </dataValidation>
    <dataValidation type="list" allowBlank="1" showInputMessage="1" showErrorMessage="1" sqref="P3:P8">
      <formula1>INDIRECT("CreateModes[Code]")</formula1>
    </dataValidation>
    <dataValidation type="list" allowBlank="1" showInputMessage="1" showErrorMessage="1" sqref="R3:R8">
      <formula1>INDIRECT("ReportTypes[Code]")</formula1>
    </dataValidation>
    <dataValidation type="list" allowBlank="1" showInputMessage="1" showErrorMessage="1" sqref="Q3:Q8">
      <formula1>INDIRECT("Programs[Code]")</formula1>
    </dataValidation>
    <dataValidation type="list" allowBlank="1" showInputMessage="1" showErrorMessage="1" sqref="AE3:AE19">
      <formula1>INDIRECT("Direction[Code]")</formula1>
    </dataValidation>
    <dataValidation type="list" allowBlank="1" showInputMessage="1" showErrorMessage="1" sqref="AG3:AG19 AI3:AI19">
      <formula1>INDIRECT("YesNo[Code]")</formula1>
    </dataValidation>
    <dataValidation type="whole" allowBlank="1" showInputMessage="1" showErrorMessage="1" sqref="AH3:AH19">
      <formula1>1</formula1>
      <formula2>32767</formula2>
    </dataValidation>
    <dataValidation type="list" allowBlank="1" showInputMessage="1" showErrorMessage="1" sqref="H3:H19">
      <formula1>INDIRECT("ActionTypes[Code]")</formula1>
    </dataValidation>
    <dataValidation type="list" allowBlank="1" showInputMessage="1" showErrorMessage="1" sqref="K5:K11 K13:K14 K3 J3:J19">
      <formula1>INDIRECT("AfterAction")</formula1>
    </dataValidation>
  </dataValidations>
  <pageMargins left="0.7" right="0.7" top="0.75" bottom="0.75" header="0.3" footer="0.3"/>
  <pageSetup paperSize="9" orientation="portrait" r:id="rId1"/>
  <legacyDrawing r:id="rId2"/>
  <tableParts count="17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Reports"/>
  <dimension ref="A1:F27"/>
  <sheetViews>
    <sheetView showGridLines="0" tabSelected="1" zoomScale="175" zoomScaleNormal="175" workbookViewId="0">
      <selection activeCell="B9" sqref="B9:D9"/>
    </sheetView>
  </sheetViews>
  <sheetFormatPr defaultColWidth="0" defaultRowHeight="15" zeroHeight="1"/>
  <cols>
    <col min="1" max="1" width="4.42578125" customWidth="1"/>
    <col min="2" max="2" width="17.7109375" customWidth="1"/>
    <col min="3" max="3" width="32.7109375" customWidth="1"/>
    <col min="4" max="4" width="12.140625" customWidth="1"/>
    <col min="5" max="5" width="4.42578125" customWidth="1"/>
    <col min="6" max="6" width="0" hidden="1" customWidth="1"/>
    <col min="7" max="16384" width="9.140625" hidden="1"/>
  </cols>
  <sheetData>
    <row r="1" spans="1:5">
      <c r="A1" s="11"/>
      <c r="B1" s="11"/>
      <c r="C1" s="11"/>
      <c r="D1" s="11"/>
      <c r="E1" s="11"/>
    </row>
    <row r="2" spans="1:5" ht="30.75" customHeight="1">
      <c r="A2" s="11"/>
      <c r="B2" s="10" t="s">
        <v>18</v>
      </c>
      <c r="C2" s="16" t="s">
        <v>185</v>
      </c>
      <c r="D2" s="11" t="s">
        <v>79</v>
      </c>
      <c r="E2" s="11"/>
    </row>
    <row r="3" spans="1:5" ht="28.5" customHeight="1">
      <c r="A3" s="11"/>
      <c r="B3" s="10"/>
      <c r="C3" s="17" t="s">
        <v>51</v>
      </c>
      <c r="D3" s="11"/>
      <c r="E3" s="11"/>
    </row>
    <row r="4" spans="1:5">
      <c r="A4" s="11"/>
      <c r="B4" s="10" t="s">
        <v>108</v>
      </c>
      <c r="C4" s="33">
        <v>2017</v>
      </c>
      <c r="D4" s="11"/>
      <c r="E4" s="11"/>
    </row>
    <row r="5" spans="1:5">
      <c r="A5" s="11"/>
      <c r="B5" s="10" t="s">
        <v>109</v>
      </c>
      <c r="C5" s="34">
        <v>12</v>
      </c>
      <c r="D5" s="11"/>
      <c r="E5" s="11"/>
    </row>
    <row r="6" spans="1:5">
      <c r="A6" s="11"/>
      <c r="B6" s="10" t="s">
        <v>110</v>
      </c>
      <c r="C6" s="35"/>
      <c r="D6" s="11"/>
      <c r="E6" s="11"/>
    </row>
    <row r="7" spans="1:5" ht="1.5" customHeight="1">
      <c r="A7" s="32"/>
      <c r="B7" s="11"/>
      <c r="C7" s="11"/>
      <c r="D7" s="11"/>
      <c r="E7" s="32"/>
    </row>
    <row r="8" spans="1:5" ht="14.25" customHeight="1">
      <c r="A8" s="32"/>
      <c r="B8" s="32"/>
      <c r="C8" s="32"/>
      <c r="D8" s="32"/>
      <c r="E8" s="32"/>
    </row>
    <row r="9" spans="1:5" s="18" customFormat="1" ht="63.75" customHeight="1">
      <c r="A9" s="32"/>
      <c r="B9" s="69" t="s">
        <v>107</v>
      </c>
      <c r="C9" s="69"/>
      <c r="D9" s="69"/>
      <c r="E9" s="32"/>
    </row>
    <row r="10" spans="1:5" ht="14.25" customHeight="1">
      <c r="A10" s="32"/>
      <c r="B10" s="32"/>
      <c r="C10" s="32"/>
      <c r="D10" s="32"/>
      <c r="E10" s="32"/>
    </row>
    <row r="11" spans="1:5" ht="10.5" hidden="1" customHeight="1">
      <c r="A11" s="29"/>
      <c r="B11" s="30"/>
      <c r="C11" s="30"/>
      <c r="D11" s="30"/>
      <c r="E11" s="31"/>
    </row>
    <row r="12" spans="1:5" hidden="1"/>
    <row r="13" spans="1:5" hidden="1"/>
    <row r="14" spans="1:5" hidden="1"/>
    <row r="15" spans="1:5" hidden="1"/>
    <row r="16" spans="1:5" hidden="1"/>
    <row r="17" hidden="1"/>
    <row r="18" hidden="1"/>
    <row r="19" hidden="1"/>
    <row r="20" hidden="1"/>
    <row r="21" hidden="1"/>
    <row r="22" hidden="1"/>
    <row r="23" ht="5.25" hidden="1" customHeight="1"/>
    <row r="24" hidden="1"/>
    <row r="25" hidden="1"/>
    <row r="26" hidden="1"/>
    <row r="27" hidden="1"/>
  </sheetData>
  <dataConsolidate/>
  <mergeCells count="1">
    <mergeCell ref="B9:D9"/>
  </mergeCells>
  <dataValidations count="3">
    <dataValidation type="list" allowBlank="1" showInputMessage="1" showErrorMessage="1" sqref="C2">
      <formula1>INDIRECT("Menu[Code]")</formula1>
    </dataValidation>
    <dataValidation type="whole" allowBlank="1" showInputMessage="1" showErrorMessage="1" sqref="C5:C6">
      <formula1>1</formula1>
      <formula2>12</formula2>
    </dataValidation>
    <dataValidation type="whole" allowBlank="1" showInputMessage="1" showErrorMessage="1" sqref="C4">
      <formula1>2016</formula1>
      <formula2>2033</formula2>
    </dataValidation>
  </dataValidations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1"/>
  <dimension ref="A1:R3"/>
  <sheetViews>
    <sheetView zoomScale="145" zoomScaleNormal="145" workbookViewId="0">
      <pane ySplit="2" topLeftCell="A3" activePane="bottomLeft" state="frozen"/>
      <selection pane="bottomLeft" activeCell="A3" sqref="A3"/>
    </sheetView>
  </sheetViews>
  <sheetFormatPr defaultRowHeight="15"/>
  <cols>
    <col min="1" max="1" width="14.140625" customWidth="1"/>
    <col min="3" max="3" width="8.42578125" customWidth="1"/>
    <col min="4" max="4" width="15.5703125" customWidth="1"/>
    <col min="5" max="5" width="8.7109375" customWidth="1"/>
    <col min="6" max="8" width="17.140625" customWidth="1"/>
    <col min="9" max="9" width="11.85546875" customWidth="1"/>
    <col min="10" max="10" width="10.28515625" customWidth="1"/>
    <col min="11" max="11" width="17.140625" customWidth="1"/>
    <col min="12" max="12" width="12.42578125" customWidth="1"/>
    <col min="13" max="13" width="12" customWidth="1"/>
  </cols>
  <sheetData>
    <row r="1" spans="1:18" ht="77.25" customHeight="1">
      <c r="A1" s="65" t="s">
        <v>129</v>
      </c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37"/>
      <c r="N1" s="37"/>
      <c r="O1" s="37"/>
      <c r="P1" s="37"/>
      <c r="Q1" s="37"/>
      <c r="R1" s="37"/>
    </row>
    <row r="2" spans="1:18" ht="45" customHeight="1">
      <c r="A2" s="36" t="s">
        <v>118</v>
      </c>
      <c r="B2" s="38" t="s">
        <v>119</v>
      </c>
      <c r="C2" s="38" t="s">
        <v>120</v>
      </c>
      <c r="D2" s="39" t="s">
        <v>121</v>
      </c>
      <c r="E2" s="39" t="s">
        <v>131</v>
      </c>
      <c r="F2" s="39" t="s">
        <v>122</v>
      </c>
      <c r="G2" s="39" t="s">
        <v>123</v>
      </c>
      <c r="H2" s="39" t="s">
        <v>124</v>
      </c>
      <c r="I2" s="40" t="s">
        <v>125</v>
      </c>
      <c r="J2" s="41" t="s">
        <v>126</v>
      </c>
      <c r="K2" s="39" t="s">
        <v>127</v>
      </c>
      <c r="L2" s="42" t="s">
        <v>128</v>
      </c>
      <c r="M2" s="38" t="s">
        <v>132</v>
      </c>
    </row>
    <row r="3" spans="1:18">
      <c r="A3" t="s">
        <v>115</v>
      </c>
      <c r="I3" s="43"/>
    </row>
  </sheetData>
  <mergeCells count="1">
    <mergeCell ref="A1:L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Лист3"/>
  <dimension ref="A1:R3"/>
  <sheetViews>
    <sheetView zoomScale="145" zoomScaleNormal="145" workbookViewId="0">
      <pane ySplit="2" topLeftCell="A3" activePane="bottomLeft" state="frozen"/>
      <selection pane="bottomLeft" activeCell="A2" sqref="A2"/>
    </sheetView>
  </sheetViews>
  <sheetFormatPr defaultRowHeight="15"/>
  <cols>
    <col min="1" max="1" width="14.140625" customWidth="1"/>
    <col min="3" max="3" width="8.42578125" customWidth="1"/>
    <col min="4" max="4" width="15.5703125" customWidth="1"/>
    <col min="5" max="5" width="8.7109375" customWidth="1"/>
    <col min="6" max="8" width="17.140625" customWidth="1"/>
    <col min="9" max="9" width="11.85546875" customWidth="1"/>
    <col min="10" max="10" width="10.28515625" customWidth="1"/>
    <col min="11" max="11" width="17.140625" customWidth="1"/>
    <col min="12" max="12" width="12.42578125" customWidth="1"/>
    <col min="13" max="13" width="12" customWidth="1"/>
  </cols>
  <sheetData>
    <row r="1" spans="1:18" ht="77.25" customHeight="1">
      <c r="A1" s="65" t="s">
        <v>140</v>
      </c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37"/>
      <c r="N1" s="37"/>
      <c r="O1" s="37"/>
      <c r="P1" s="37"/>
      <c r="Q1" s="37"/>
      <c r="R1" s="37"/>
    </row>
    <row r="2" spans="1:18" ht="45" customHeight="1">
      <c r="A2" s="36" t="s">
        <v>118</v>
      </c>
      <c r="B2" s="38" t="s">
        <v>119</v>
      </c>
      <c r="C2" s="38" t="s">
        <v>120</v>
      </c>
      <c r="D2" s="39" t="s">
        <v>121</v>
      </c>
      <c r="E2" s="39" t="s">
        <v>131</v>
      </c>
      <c r="F2" s="39" t="s">
        <v>122</v>
      </c>
      <c r="G2" s="39" t="s">
        <v>123</v>
      </c>
      <c r="H2" s="39" t="s">
        <v>124</v>
      </c>
      <c r="I2" s="40" t="s">
        <v>125</v>
      </c>
      <c r="J2" s="41" t="s">
        <v>126</v>
      </c>
      <c r="K2" s="39" t="s">
        <v>127</v>
      </c>
      <c r="L2" s="42" t="s">
        <v>128</v>
      </c>
      <c r="M2" s="38" t="s">
        <v>132</v>
      </c>
    </row>
    <row r="3" spans="1:18">
      <c r="A3" t="s">
        <v>138</v>
      </c>
      <c r="I3" s="43"/>
    </row>
  </sheetData>
  <mergeCells count="1">
    <mergeCell ref="A1:L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4"/>
  <dimension ref="A1:P5"/>
  <sheetViews>
    <sheetView zoomScale="145" zoomScaleNormal="145" workbookViewId="0">
      <pane ySplit="4" topLeftCell="A5" activePane="bottomLeft" state="frozen"/>
      <selection pane="bottomLeft" activeCell="C27" sqref="C27"/>
    </sheetView>
  </sheetViews>
  <sheetFormatPr defaultRowHeight="15"/>
  <cols>
    <col min="1" max="1" width="5.7109375" customWidth="1"/>
    <col min="2" max="2" width="6.5703125" customWidth="1"/>
    <col min="3" max="3" width="12.7109375" customWidth="1"/>
    <col min="4" max="4" width="9" customWidth="1"/>
    <col min="5" max="5" width="10" customWidth="1"/>
    <col min="6" max="6" width="6.85546875" customWidth="1"/>
    <col min="7" max="7" width="26.140625" customWidth="1"/>
    <col min="8" max="8" width="5.7109375" customWidth="1"/>
    <col min="9" max="9" width="6.5703125" customWidth="1"/>
    <col min="10" max="10" width="12.7109375" customWidth="1"/>
    <col min="12" max="12" width="10" customWidth="1"/>
    <col min="13" max="13" width="7.28515625" customWidth="1"/>
    <col min="14" max="14" width="6.85546875" customWidth="1"/>
    <col min="15" max="15" width="26.140625" customWidth="1"/>
  </cols>
  <sheetData>
    <row r="1" spans="1:16" ht="77.25" customHeight="1">
      <c r="A1" s="64" t="s">
        <v>146</v>
      </c>
      <c r="B1" s="64"/>
      <c r="C1" s="64"/>
      <c r="D1" s="64"/>
      <c r="E1" s="64"/>
      <c r="F1" s="64"/>
      <c r="G1" s="64"/>
      <c r="H1" s="64"/>
      <c r="I1" s="64"/>
      <c r="J1" s="64"/>
      <c r="K1" s="64"/>
      <c r="L1" s="64"/>
      <c r="M1" s="64"/>
      <c r="N1" s="64"/>
      <c r="O1" s="64"/>
      <c r="P1" s="64"/>
    </row>
    <row r="2" spans="1:16" ht="18" customHeight="1">
      <c r="A2" s="70" t="s">
        <v>147</v>
      </c>
      <c r="B2" s="70"/>
      <c r="C2" s="70"/>
      <c r="D2" s="70"/>
      <c r="E2" s="70"/>
      <c r="F2" s="70"/>
      <c r="G2" s="70"/>
      <c r="H2" s="70" t="s">
        <v>148</v>
      </c>
      <c r="I2" s="70"/>
      <c r="J2" s="70"/>
      <c r="K2" s="70"/>
      <c r="L2" s="70"/>
      <c r="M2" s="70"/>
      <c r="N2" s="70"/>
      <c r="O2" s="70"/>
      <c r="P2" s="70"/>
    </row>
    <row r="3" spans="1:16" ht="31.5" customHeight="1">
      <c r="A3" s="46" t="s">
        <v>152</v>
      </c>
      <c r="B3" s="46" t="s">
        <v>153</v>
      </c>
      <c r="C3" s="46" t="s">
        <v>87</v>
      </c>
      <c r="D3" s="46" t="s">
        <v>154</v>
      </c>
      <c r="E3" s="46" t="s">
        <v>155</v>
      </c>
      <c r="F3" s="46" t="s">
        <v>0</v>
      </c>
      <c r="G3" s="46" t="s">
        <v>20</v>
      </c>
      <c r="H3" s="46" t="s">
        <v>162</v>
      </c>
      <c r="I3" s="46" t="s">
        <v>152</v>
      </c>
      <c r="J3" s="46" t="s">
        <v>153</v>
      </c>
      <c r="K3" s="46" t="s">
        <v>87</v>
      </c>
      <c r="L3" s="46" t="s">
        <v>154</v>
      </c>
      <c r="M3" s="46" t="s">
        <v>155</v>
      </c>
      <c r="N3" s="46" t="s">
        <v>0</v>
      </c>
      <c r="O3" s="46" t="s">
        <v>20</v>
      </c>
      <c r="P3" s="46" t="s">
        <v>162</v>
      </c>
    </row>
    <row r="4" spans="1:16">
      <c r="A4" s="44" t="s">
        <v>1</v>
      </c>
      <c r="B4" s="44" t="s">
        <v>2</v>
      </c>
      <c r="C4" s="44" t="s">
        <v>3</v>
      </c>
      <c r="D4" s="44" t="s">
        <v>4</v>
      </c>
      <c r="E4" s="44" t="s">
        <v>5</v>
      </c>
      <c r="F4" s="44" t="s">
        <v>6</v>
      </c>
      <c r="G4" s="44" t="s">
        <v>7</v>
      </c>
      <c r="H4" s="44" t="s">
        <v>8</v>
      </c>
      <c r="I4" s="44" t="s">
        <v>9</v>
      </c>
      <c r="J4" s="44" t="s">
        <v>10</v>
      </c>
      <c r="K4" s="44" t="s">
        <v>11</v>
      </c>
      <c r="L4" s="44" t="s">
        <v>12</v>
      </c>
      <c r="M4" s="44" t="s">
        <v>13</v>
      </c>
      <c r="N4" s="44" t="s">
        <v>156</v>
      </c>
      <c r="O4" s="44" t="s">
        <v>163</v>
      </c>
      <c r="P4" s="45" t="s">
        <v>164</v>
      </c>
    </row>
    <row r="5" spans="1:16">
      <c r="A5" s="47" t="s">
        <v>145</v>
      </c>
      <c r="B5" s="47"/>
      <c r="C5" s="48"/>
      <c r="D5" s="48"/>
      <c r="E5" s="49"/>
      <c r="F5" s="50"/>
      <c r="G5" s="49"/>
      <c r="H5" s="49"/>
      <c r="I5" s="48"/>
      <c r="J5" s="48"/>
      <c r="K5" s="48"/>
      <c r="L5" s="48"/>
      <c r="M5" s="49"/>
      <c r="N5" s="50"/>
      <c r="O5" s="49"/>
      <c r="P5" s="51"/>
    </row>
  </sheetData>
  <mergeCells count="3">
    <mergeCell ref="H2:P2"/>
    <mergeCell ref="A1:P1"/>
    <mergeCell ref="A2:G2"/>
  </mergeCell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16</vt:i4>
      </vt:variant>
    </vt:vector>
  </HeadingPairs>
  <TitlesOfParts>
    <vt:vector size="24" baseType="lpstr">
      <vt:lpstr>ndfl2_tax_corr</vt:lpstr>
      <vt:lpstr>f2_error_report</vt:lpstr>
      <vt:lpstr>f2_arh_spravki_errors</vt:lpstr>
      <vt:lpstr>Settings</vt:lpstr>
      <vt:lpstr>Отчеты</vt:lpstr>
      <vt:lpstr>f2_full_namesake</vt:lpstr>
      <vt:lpstr>f2_diff_pers_data</vt:lpstr>
      <vt:lpstr>f2_ndfl_nalplat_pers</vt:lpstr>
      <vt:lpstr>data_source_name</vt:lpstr>
      <vt:lpstr>menu_item_selected</vt:lpstr>
      <vt:lpstr>ndfl2_code_na</vt:lpstr>
      <vt:lpstr>ndfl2_contragent_id</vt:lpstr>
      <vt:lpstr>ndfl2_year</vt:lpstr>
      <vt:lpstr>oracle_owner</vt:lpstr>
      <vt:lpstr>output</vt:lpstr>
      <vt:lpstr>report_code</vt:lpstr>
      <vt:lpstr>report_year</vt:lpstr>
      <vt:lpstr>ReportDate</vt:lpstr>
      <vt:lpstr>ReportMonth</vt:lpstr>
      <vt:lpstr>ReportSelected</vt:lpstr>
      <vt:lpstr>ReportYear</vt:lpstr>
      <vt:lpstr>start_sheet_name</vt:lpstr>
      <vt:lpstr>StartDate</vt:lpstr>
      <vt:lpstr>StartDateRow</vt:lpstr>
    </vt:vector>
  </TitlesOfParts>
  <Company>GAZFOND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Apetrashishin</dc:creator>
  <cp:lastModifiedBy>Zhuravov</cp:lastModifiedBy>
  <cp:lastPrinted>2018-01-24T11:30:31Z</cp:lastPrinted>
  <dcterms:created xsi:type="dcterms:W3CDTF">2017-06-22T11:11:41Z</dcterms:created>
  <dcterms:modified xsi:type="dcterms:W3CDTF">2018-02-02T07:05:52Z</dcterms:modified>
</cp:coreProperties>
</file>