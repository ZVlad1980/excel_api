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xWindow="0" yWindow="0" windowWidth="12450" windowHeight="11685" tabRatio="698" firstSheet="3" activeTab="3"/>
  </bookViews>
  <sheets>
    <sheet name="ndfl2_tax_corr" sheetId="55" state="hidden" r:id="rId1"/>
    <sheet name="f2_error_report" sheetId="121" state="hidden" r:id="rId2"/>
    <sheet name="Settings" sheetId="103" state="hidden" r:id="rId3"/>
    <sheet name="Отчеты" sheetId="6" r:id="rId4"/>
    <sheet name="f2_full_namesake" sheetId="104" state="hidden" r:id="rId5"/>
    <sheet name="f2_diff_pers_data" sheetId="125" state="hidden" r:id="rId6"/>
    <sheet name="f2_ndfl_nalplat_pers" sheetId="130" state="hidden" r:id="rId7"/>
  </sheets>
  <functionGroups/>
  <definedNames>
    <definedName name="data_source_name">Settings!$B$3</definedName>
    <definedName name="menu_item_selected">Settings!$B$6</definedName>
    <definedName name="ndfl2_code_na">Settings!$B$8</definedName>
    <definedName name="ndfl2_contragent_id">Settings!$B$10</definedName>
    <definedName name="ndfl2_year">Settings!$B$9</definedName>
    <definedName name="oracle_owner">Settings!$B$4</definedName>
    <definedName name="output">Отчеты!$B$9</definedName>
    <definedName name="report_code">Settings!$B$7</definedName>
    <definedName name="ReportDate">Отчеты!$C$6</definedName>
    <definedName name="ReportMonth">Отчеты!$C$5</definedName>
    <definedName name="ReportSelected">Отчеты!$C$2</definedName>
    <definedName name="ReportYear">Отчеты!$C$4</definedName>
    <definedName name="start_sheet_name">Settings!$B$5</definedName>
    <definedName name="StartDate">Отчеты!$C$4</definedName>
    <definedName name="StartDateRow">Отчеты!$4:$4</definedName>
  </definedNames>
  <calcPr calcId="125725"/>
</workbook>
</file>

<file path=xl/calcChain.xml><?xml version="1.0" encoding="utf-8"?>
<calcChain xmlns="http://schemas.openxmlformats.org/spreadsheetml/2006/main">
  <c r="B6" i="103"/>
</calcChain>
</file>

<file path=xl/comments1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comments2.xml><?xml version="1.0" encoding="utf-8"?>
<comments xmlns="http://schemas.openxmlformats.org/spreadsheetml/2006/main">
  <authors>
    <author>Zhuravov</author>
  </authors>
  <commentList>
    <comment ref="B6" authorId="0">
      <text>
        <r>
          <rPr>
            <sz val="9"/>
            <color indexed="81"/>
            <rFont val="Tahoma"/>
            <family val="2"/>
            <charset val="204"/>
          </rPr>
          <t>Дата, на которую формируются отчеты. Влияет на учет корректировок, определение статуса резидента (последнее только в пределах отчетного года).
!!! Не может быть меньше последнего дня месяца, указанного выше. Иначе будет просто переопределена.</t>
        </r>
      </text>
    </comment>
  </commentList>
</comments>
</file>

<file path=xl/sharedStrings.xml><?xml version="1.0" encoding="utf-8"?>
<sst xmlns="http://schemas.openxmlformats.org/spreadsheetml/2006/main" count="370" uniqueCount="157">
  <si>
    <t>Доход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</si>
  <si>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</si>
  <si>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</si>
  <si>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</si>
  <si>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</si>
  <si>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</si>
  <si>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</si>
  <si>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</si>
  <si>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</si>
  <si>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</si>
  <si>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</si>
  <si>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</si>
  <si>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</si>
  <si>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</si>
  <si>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НДФЛ</t>
  </si>
  <si>
    <t>Отчеты</t>
  </si>
  <si>
    <t>TemplateSheetName</t>
  </si>
  <si>
    <t>Дата</t>
  </si>
  <si>
    <t>Выберите отчет:</t>
  </si>
  <si>
    <t>NewSheetName</t>
  </si>
  <si>
    <t>ФИО</t>
  </si>
  <si>
    <t>oracle_owner</t>
  </si>
  <si>
    <t>start_sheet_name</t>
  </si>
  <si>
    <t>Programs</t>
  </si>
  <si>
    <t>report</t>
  </si>
  <si>
    <t>program</t>
  </si>
  <si>
    <t>Reports</t>
  </si>
  <si>
    <t>Code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</si>
  <si>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</si>
  <si>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</si>
  <si>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</si>
  <si>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</si>
  <si>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</si>
  <si>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</si>
  <si>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</si>
  <si>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</si>
  <si>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</si>
  <si>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</si>
  <si>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</si>
  <si>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</si>
  <si>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</si>
  <si>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</si>
  <si>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</si>
  <si>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</si>
  <si>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</si>
  <si>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</si>
  <si>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</si>
  <si>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</si>
  <si>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</si>
  <si>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</si>
  <si>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</si>
  <si>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</si>
  <si>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</si>
  <si>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</si>
  <si>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</si>
  <si>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</si>
  <si>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</si>
  <si>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</si>
  <si>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</si>
  <si>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</si>
  <si>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</si>
  <si>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</si>
  <si>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</si>
  <si>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</si>
  <si>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</si>
  <si>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</si>
  <si>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</si>
  <si>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</si>
  <si>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</si>
  <si>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</si>
  <si>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</si>
  <si>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</si>
  <si>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Size</t>
  </si>
  <si>
    <t>Oracle</t>
  </si>
  <si>
    <t>x_err_msg</t>
  </si>
  <si>
    <t>output</t>
  </si>
  <si>
    <t>AfterAction</t>
  </si>
  <si>
    <t>Break</t>
  </si>
  <si>
    <t>data_source_name</t>
  </si>
  <si>
    <t xml:space="preserve"> </t>
  </si>
  <si>
    <t>gateway_pkg.get_report</t>
  </si>
  <si>
    <t>Tokens</t>
  </si>
  <si>
    <t>points</t>
  </si>
  <si>
    <t>FND</t>
  </si>
  <si>
    <t>ndfl2_tax_corr</t>
  </si>
  <si>
    <t>Наличие справки</t>
  </si>
  <si>
    <t>Корректируемый год</t>
  </si>
  <si>
    <t>GF_PERSON</t>
  </si>
  <si>
    <r>
      <rPr>
        <b/>
        <sz val="13"/>
        <color theme="1"/>
        <rFont val="Calibri"/>
        <family val="2"/>
        <charset val="204"/>
        <scheme val="minor"/>
      </rPr>
      <t>Возврат НДФЛ в прошлые периоды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</si>
  <si>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Номер справки</t>
  </si>
  <si>
    <t>Номер коррекции</t>
  </si>
  <si>
    <t>Справка 2НДФЛ</t>
  </si>
  <si>
    <t>Коррекция по справке</t>
  </si>
  <si>
    <t>Коррекция в отчетном периоде</t>
  </si>
  <si>
    <t>Возврат НДФЛ прошлых периодов</t>
  </si>
  <si>
    <t>ndfl2_year</t>
  </si>
  <si>
    <t>ndfl2_code_na</t>
  </si>
  <si>
    <t>ndfl2_contragent_id</t>
  </si>
  <si>
    <t>code_na</t>
  </si>
  <si>
    <t>year</t>
  </si>
  <si>
    <t>contragent_id</t>
  </si>
  <si>
    <t>create_ndfl2</t>
  </si>
  <si>
    <t>gateway_pkg.create_ndfl2</t>
  </si>
  <si>
    <t>p_code_na</t>
  </si>
  <si>
    <t>p_year</t>
  </si>
  <si>
    <t>p_contragent_id</t>
  </si>
  <si>
    <t>FONDDB</t>
  </si>
  <si>
    <t>Ок</t>
  </si>
  <si>
    <t>Год</t>
  </si>
  <si>
    <t>Месяц</t>
  </si>
  <si>
    <t>Дата отчета</t>
  </si>
  <si>
    <t>ReportYear</t>
  </si>
  <si>
    <t>ReportMonth</t>
  </si>
  <si>
    <t>p_report_date</t>
  </si>
  <si>
    <t>ReportDate</t>
  </si>
  <si>
    <t>f2_full_namesake</t>
  </si>
  <si>
    <t>Совпадение перс данных</t>
  </si>
  <si>
    <t>Совпадение персональных данных</t>
  </si>
  <si>
    <t>GAZFOND
Contragent Id</t>
  </si>
  <si>
    <t>FND
SSYLKA</t>
  </si>
  <si>
    <t>тип дохода</t>
  </si>
  <si>
    <t>ИНН</t>
  </si>
  <si>
    <t>Фамилия</t>
  </si>
  <si>
    <t>Имя</t>
  </si>
  <si>
    <t>Отчество</t>
  </si>
  <si>
    <t>Дата
рождения</t>
  </si>
  <si>
    <t>тип
удосто-верения</t>
  </si>
  <si>
    <t>Серия и номер</t>
  </si>
  <si>
    <t>Статус НП</t>
  </si>
  <si>
    <r>
      <rPr>
        <b/>
        <sz val="13"/>
        <color theme="1"/>
        <rFont val="Calibri"/>
        <family val="2"/>
        <charset val="204"/>
        <scheme val="minor"/>
      </rPr>
      <t>Совпадение персональных данных 
у разных контрагентов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</si>
  <si>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p_month</t>
  </si>
  <si>
    <t>Гражданство</t>
  </si>
  <si>
    <t>Тип сопадения</t>
  </si>
  <si>
    <t>Ошибки в справках 2НДФЛ</t>
  </si>
  <si>
    <t>f2_error_report</t>
  </si>
  <si>
    <r>
      <rPr>
        <b/>
        <sz val="13"/>
        <color theme="1"/>
        <rFont val="Calibri"/>
        <family val="2"/>
        <charset val="204"/>
        <scheme val="minor"/>
      </rPr>
      <t>Ошибки в справках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</si>
  <si>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Ошибка</t>
  </si>
  <si>
    <t>Расхождение персональных данных</t>
  </si>
  <si>
    <t>f2_diff_pers_data</t>
  </si>
  <si>
    <t>Расхождение перс данных</t>
  </si>
  <si>
    <r>
      <rPr>
        <b/>
        <sz val="13"/>
        <color theme="1"/>
        <rFont val="Calibri"/>
        <family val="2"/>
        <charset val="204"/>
        <scheme val="minor"/>
      </rPr>
      <t>Расхождение персональных данных 
у одного контрагента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</si>
  <si>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Отчеты 2НФДЛ</t>
  </si>
  <si>
    <t>f2_all_reports</t>
  </si>
  <si>
    <t>f2_nalplat</t>
  </si>
  <si>
    <t>gateway_pkg.fill_ndfl_load_nalplat</t>
  </si>
  <si>
    <t>f2_ndfl_nalplat_pers</t>
  </si>
  <si>
    <r>
      <t xml:space="preserve">Расхождение контрагентов
F_NDFL_LOAD_NALPLAT и DV_SR_LSPV_PERS_V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</si>
  <si>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F_NDFL_LOAD_NALPLAT</t>
  </si>
  <si>
    <t>DV_SR_LSPV_PERS_V</t>
  </si>
  <si>
    <t>Расхождение списка налогоплательщиков</t>
  </si>
  <si>
    <t>Расхождение НА</t>
  </si>
  <si>
    <t>Обновить список налогоплательщиков</t>
  </si>
  <si>
    <t>nom_vkl</t>
  </si>
  <si>
    <t>nom_ips</t>
  </si>
  <si>
    <t>ssylka</t>
  </si>
  <si>
    <t>Person type</t>
  </si>
  <si>
    <t>14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</si>
</sst>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15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b/>
      <sz val="10"/>
      <name val="Arial Cyr"/>
      <charset val="204"/>
    </font>
    <font>
      <b/>
      <sz val="8"/>
      <name val="Arial Cyr"/>
      <charset val="204"/>
    </font>
    <font>
      <sz val="10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0" fontId="4" fillId="0" borderId="0"/>
    <xf numFmtId="165" fontId="9" fillId="0" borderId="0"/>
    <xf numFmtId="0" fontId="8" fillId="0" borderId="0"/>
    <xf numFmtId="0" fontId="4" fillId="0" borderId="0"/>
    <xf numFmtId="0" fontId="8" fillId="0" borderId="0"/>
  </cellStyleXfs>
  <cellXfs count="60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/>
    <xf numFmtId="0" fontId="1" fillId="0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1" fontId="0" fillId="0" borderId="1" xfId="0" applyNumberFormat="1" applyBorder="1" applyAlignment="1">
      <alignment horizontal="center" vertical="center"/>
    </xf>
    <xf numFmtId="0" fontId="0" fillId="2" borderId="0" xfId="0" applyFill="1" applyAlignment="1">
      <alignment horizontal="right" vertical="center" indent="1"/>
    </xf>
    <xf numFmtId="0" fontId="0" fillId="2" borderId="0" xfId="0" applyFill="1"/>
    <xf numFmtId="0" fontId="0" fillId="0" borderId="9" xfId="0" applyFont="1" applyBorder="1"/>
    <xf numFmtId="0" fontId="0" fillId="3" borderId="0" xfId="0" applyFont="1" applyFill="1" applyBorder="1"/>
    <xf numFmtId="0" fontId="2" fillId="2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3" xfId="0" applyFill="1" applyBorder="1" applyAlignment="1">
      <alignment horizontal="left" vertical="center"/>
    </xf>
    <xf numFmtId="0" fontId="5" fillId="2" borderId="0" xfId="0" applyFont="1" applyFill="1" applyBorder="1"/>
    <xf numFmtId="0" fontId="0" fillId="0" borderId="0" xfId="0" applyFill="1" applyAlignment="1"/>
    <xf numFmtId="0" fontId="0" fillId="0" borderId="0" xfId="0" applyFont="1" applyBorder="1"/>
    <xf numFmtId="0" fontId="0" fillId="0" borderId="0" xfId="0" applyAlignment="1">
      <alignment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64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right" vertical="center"/>
    </xf>
    <xf numFmtId="14" fontId="0" fillId="0" borderId="1" xfId="0" applyNumberFormat="1" applyBorder="1" applyAlignment="1">
      <alignment horizontal="left" vertical="center"/>
    </xf>
    <xf numFmtId="49" fontId="3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0" fontId="0" fillId="4" borderId="8" xfId="0" applyFill="1" applyBorder="1" applyAlignment="1">
      <alignment horizontal="left" vertical="top"/>
    </xf>
    <xf numFmtId="0" fontId="0" fillId="4" borderId="10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0" fillId="2" borderId="0" xfId="0" applyFill="1" applyBorder="1" applyAlignment="1">
      <alignment horizontal="center"/>
    </xf>
    <xf numFmtId="0" fontId="10" fillId="0" borderId="1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4" borderId="0" xfId="0" applyFont="1" applyFill="1" applyBorder="1" applyAlignment="1">
      <alignment horizontal="left" vertical="top" wrapText="1"/>
    </xf>
    <xf numFmtId="1" fontId="0" fillId="0" borderId="2" xfId="0" applyNumberFormat="1" applyFill="1" applyBorder="1" applyAlignment="1">
      <alignment horizontal="center" vertical="center"/>
    </xf>
    <xf numFmtId="1" fontId="0" fillId="0" borderId="3" xfId="0" applyNumberFormat="1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0" fontId="12" fillId="0" borderId="0" xfId="0" applyNumberFormat="1" applyFont="1" applyAlignment="1">
      <alignment horizontal="center" wrapText="1"/>
    </xf>
    <xf numFmtId="0" fontId="10" fillId="0" borderId="0" xfId="0" applyFont="1" applyBorder="1" applyAlignment="1">
      <alignment horizontal="center" vertical="center" wrapText="1"/>
    </xf>
    <xf numFmtId="0" fontId="10" fillId="0" borderId="0" xfId="0" applyFont="1" applyBorder="1" applyAlignment="1">
      <alignment vertical="center" wrapText="1"/>
    </xf>
    <xf numFmtId="0" fontId="12" fillId="0" borderId="0" xfId="0" applyNumberFormat="1" applyFont="1" applyAlignment="1">
      <alignment horizontal="center" vertical="center" wrapText="1"/>
    </xf>
    <xf numFmtId="49" fontId="12" fillId="0" borderId="0" xfId="0" applyNumberFormat="1" applyFont="1" applyAlignment="1">
      <alignment horizontal="center" vertical="center" wrapText="1"/>
    </xf>
    <xf numFmtId="14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2" fillId="0" borderId="0" xfId="0" applyNumberFormat="1" applyFont="1" applyAlignment="1">
      <alignment horizontal="center" vertical="center"/>
    </xf>
    <xf numFmtId="14" fontId="0" fillId="0" borderId="0" xfId="0" applyNumberFormat="1"/>
    <xf numFmtId="0" fontId="12" fillId="0" borderId="1" xfId="0" applyNumberFormat="1" applyFont="1" applyBorder="1" applyAlignment="1">
      <alignment horizontal="center" vertical="center" wrapText="1"/>
    </xf>
    <xf numFmtId="0" fontId="12" fillId="5" borderId="1" xfId="0" applyNumberFormat="1" applyFont="1" applyFill="1" applyBorder="1" applyAlignment="1">
      <alignment horizontal="center" vertical="center" wrapText="1"/>
    </xf>
    <xf numFmtId="0" fontId="13" fillId="5" borderId="1" xfId="0" applyNumberFormat="1" applyFont="1" applyFill="1" applyBorder="1" applyAlignment="1">
      <alignment horizontal="center" vertical="center" wrapText="1"/>
    </xf>
    <xf numFmtId="1" fontId="14" fillId="0" borderId="1" xfId="0" applyNumberFormat="1" applyFont="1" applyBorder="1" applyAlignment="1">
      <alignment horizontal="right" vertical="center"/>
    </xf>
    <xf numFmtId="49" fontId="14" fillId="0" borderId="1" xfId="0" applyNumberFormat="1" applyFont="1" applyBorder="1" applyAlignment="1">
      <alignment horizontal="right" vertical="center"/>
    </xf>
    <xf numFmtId="49" fontId="14" fillId="0" borderId="1" xfId="0" applyNumberFormat="1" applyFont="1" applyBorder="1" applyAlignment="1">
      <alignment horizontal="left" vertical="center"/>
    </xf>
    <xf numFmtId="49" fontId="14" fillId="0" borderId="1" xfId="0" applyNumberFormat="1" applyFont="1" applyBorder="1" applyAlignment="1">
      <alignment horizontal="center" vertical="center"/>
    </xf>
  </cellXfs>
  <cellStyles count="6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</cellStyles>
  <dxfs count="51"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lef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colors>
    <mruColors>
      <color rgb="FF2FFF6F"/>
      <color rgb="FFDCDCD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2</xdr:row>
      <xdr:rowOff>0</xdr:rowOff>
    </xdr:from>
    <xdr:to>
      <xdr:col>0</xdr:col>
      <xdr:colOff>895350</xdr:colOff>
      <xdr:row>2</xdr:row>
      <xdr:rowOff>352425</xdr:rowOff>
    </xdr:to>
    <xdr:sp macro="[0]!create_ndfl2_corr" textlink="">
      <xdr:nvSpPr>
        <xdr:cNvPr id="2" name="btnAddNDFL2" descr="Сформировать корректирующую справку"/>
        <xdr:cNvSpPr/>
      </xdr:nvSpPr>
      <xdr:spPr>
        <a:xfrm>
          <a:off x="571500" y="1123950"/>
          <a:ext cx="323850" cy="352425"/>
        </a:xfrm>
        <a:prstGeom prst="mathPlus">
          <a:avLst/>
        </a:prstGeom>
        <a:solidFill>
          <a:srgbClr val="2FFF6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Таблица2" displayName="Таблица2" ref="A4:P5" totalsRowShown="0" headerRowDxfId="50" dataDxfId="48" headerRowBorderDxfId="49" tableBorderDxfId="47" totalsRowBorderDxfId="46">
  <autoFilter ref="A4:P5">
    <filterColumn colId="1"/>
    <filterColumn colId="2"/>
    <filterColumn colId="3"/>
    <filterColumn colId="13"/>
    <filterColumn colId="14"/>
    <filterColumn colId="15"/>
  </autoFilter>
  <tableColumns count="16">
    <tableColumn id="1" name="1" dataDxfId="45"/>
    <tableColumn id="16" name="code_na" dataDxfId="44"/>
    <tableColumn id="15" name="year" dataDxfId="43"/>
    <tableColumn id="9" name="contragent_id" dataDxfId="42"/>
    <tableColumn id="2" name="2" dataDxfId="41"/>
    <tableColumn id="5" name="3" dataDxfId="40"/>
    <tableColumn id="6" name="4" dataDxfId="39"/>
    <tableColumn id="7" name="5" dataDxfId="38"/>
    <tableColumn id="10" name="6" dataDxfId="37"/>
    <tableColumn id="11" name="7" dataDxfId="36"/>
    <tableColumn id="12" name="8" dataDxfId="35"/>
    <tableColumn id="13" name="9" dataDxfId="34"/>
    <tableColumn id="14" name="10" dataDxfId="33"/>
    <tableColumn id="3" name="11" dataDxfId="32"/>
    <tableColumn id="4" name="12" dataDxfId="31"/>
    <tableColumn id="8" name="13" dataDxfId="3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9" name="Таблица440" displayName="Таблица440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17"/>
    <tableColumn id="10" name="тип_x000a_удосто-верения"/>
    <tableColumn id="11" name="Серия и номер"/>
    <tableColumn id="12" name="Статус НП"/>
    <tableColumn id="13" name="Ошибка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9" name="Menu" displayName="Menu" ref="D2:E9" totalsRowShown="0">
  <autoFilter ref="D2:E9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0" name="Actions" displayName="Actions" ref="G2:J14" totalsRowShown="0">
  <autoFilter ref="G2:J14">
    <filterColumn colId="3"/>
  </autoFilter>
  <tableColumns count="4">
    <tableColumn id="1" name="Code"/>
    <tableColumn id="2" name="Type"/>
    <tableColumn id="3" name="ActionCode"/>
    <tableColumn id="4" name="AfterAc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1" name="Programs" displayName="Programs" ref="V2:Z5" totalsRowShown="0">
  <autoFilter ref="V2:Z5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2" name="Reports" displayName="Reports" ref="L2:Q7" totalsRowShown="0">
  <autoFilter ref="L2:Q7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3" name="SubReports" displayName="SubReports" ref="S2:T3" insertRow="1" totalsRowShown="0">
  <autoFilter ref="S2:T3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4" name="GeneralOptions" displayName="GeneralOptions" ref="A2:B10" headerRowBorderDxfId="29" tableBorderDxfId="28" totalsRowBorderDxfId="27">
  <autoFilter ref="A2:B10"/>
  <tableColumns count="2">
    <tableColumn id="1" name="Key" totalsRowLabel="Итог" totalsRowDxfId="26"/>
    <tableColumn id="2" name="Value" totalsRowFunction="count" totalsRowDxfId="2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7" name="ActionTypes" displayName="ActionTypes" ref="AJ2:AJ4" totalsRowShown="0" tableBorderDxfId="24">
  <autoFilter ref="AJ2:AJ4"/>
  <tableColumns count="1">
    <tableColumn id="1" name="Cod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8" name="CreateModes" displayName="CreateModes" ref="AL2:AL4" totalsRowShown="0">
  <autoFilter ref="AL2:AL4"/>
  <tableColumns count="1">
    <tableColumn id="1" name="Cod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0" name="ReportTypes" displayName="ReportTypes" ref="AN2:AN5" totalsRowShown="0">
  <autoFilter ref="AN2:AN5"/>
  <tableColumns count="1">
    <tableColumn id="1" name="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5" name="ProgramTypes" displayName="ProgramTyp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9" name="ParamPurpose" displayName="ParamPurpose" ref="AR2:AR3" totalsRowShown="0">
  <autoFilter ref="AR2:AR3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21" name="ReturnTypes" displayName="ReturnTypes" ref="AT2:AT3" totalsRowShown="0">
  <autoFilter ref="AT2:AT3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23" name="Direction" displayName="Direction" ref="AV2:AV4" totalsRowShown="0">
  <autoFilter ref="AV2:AV4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2" name="Parameters" displayName="Parameters" ref="AB2:AH15" totalsRowShown="0">
  <autoFilter ref="AB2:AH15">
    <filterColumn colId="5"/>
    <filterColumn colId="6"/>
  </autoFilter>
  <tableColumns count="7">
    <tableColumn id="1" name="Program" dataDxfId="23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4" name="YesNo" displayName="YesNo" ref="AX2:AX4" totalsRowShown="0">
  <autoFilter ref="AX2:AX4"/>
  <tableColumns count="1">
    <tableColumn id="1" name="Cod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7" name="AfterAction" displayName="AfterAction" ref="AZ2:AZ3" totalsRowShown="0">
  <autoFilter ref="AZ2:AZ3"/>
  <tableColumns count="1">
    <tableColumn id="1" name="Cod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7" name="CommonTokens" displayName="CommonTokens" ref="BB2:BC4" totalsRowShown="0">
  <autoFilter ref="BB2:BC4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6" name="Таблица16" displayName="Таблица16" ref="C3:C5" totalsRowShown="0" headerRowDxfId="22" dataDxfId="21" tableBorderDxfId="20">
  <tableColumns count="1">
    <tableColumn id="1" name="Столбец1" dataDxfId="19"/>
  </tableColumns>
  <tableStyleInfo name="TableStyleMedium2" showFirstColumn="0" showLastColumn="0" showRowStripes="0" showColumnStripes="0"/>
</table>
</file>

<file path=xl/tables/table21.xml><?xml version="1.0" encoding="utf-8"?>
<table xmlns="http://schemas.openxmlformats.org/spreadsheetml/2006/main" id="4" name="Таблица4" displayName="Таблица4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18"/>
    <tableColumn id="10" name="тип_x000a_удосто-верения"/>
    <tableColumn id="11" name="Серия и номер"/>
    <tableColumn id="12" name="Статус НП"/>
    <tableColumn id="13" name="Тип сопадения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43" name="Таблица444" displayName="Таблица444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16"/>
    <tableColumn id="10" name="тип_x000a_удосто-верения"/>
    <tableColumn id="11" name="Серия и номер"/>
    <tableColumn id="12" name="Статус НП"/>
    <tableColumn id="13" name="Тип сопадения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48" name="Таблица44449" displayName="Таблица44449" ref="A4:N5" totalsRowShown="0" headerRowDxfId="15" dataDxfId="8">
  <autoFilter ref="A4:N5">
    <filterColumn colId="0"/>
    <filterColumn colId="1"/>
    <filterColumn colId="3"/>
    <filterColumn colId="4"/>
    <filterColumn colId="7"/>
    <filterColumn colId="8"/>
    <filterColumn colId="9"/>
    <filterColumn colId="10"/>
    <filterColumn colId="11"/>
    <filterColumn colId="12"/>
    <filterColumn colId="13"/>
  </autoFilter>
  <tableColumns count="14">
    <tableColumn id="15" name="1" dataDxfId="14"/>
    <tableColumn id="14" name="2" dataDxfId="13"/>
    <tableColumn id="1" name="3" dataDxfId="12"/>
    <tableColumn id="16" name="4" dataDxfId="11"/>
    <tableColumn id="17" name="5" dataDxfId="10"/>
    <tableColumn id="2" name="6" dataDxfId="9"/>
    <tableColumn id="3" name="7" dataDxfId="7"/>
    <tableColumn id="18" name="8" dataDxfId="6"/>
    <tableColumn id="19" name="9" dataDxfId="5"/>
    <tableColumn id="20" name="10" dataDxfId="4"/>
    <tableColumn id="21" name="11" dataDxfId="3"/>
    <tableColumn id="22" name="12" dataDxfId="2"/>
    <tableColumn id="23" name="13" dataDxfId="1"/>
    <tableColumn id="24" name="14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6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table" Target="../tables/table2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NDFL2"/>
  <dimension ref="A1:P5"/>
  <sheetViews>
    <sheetView workbookViewId="0">
      <pane ySplit="4" topLeftCell="A5" activePane="bottomLeft" state="frozen"/>
      <selection sqref="A1:I1"/>
      <selection pane="bottomLeft" activeCell="G11" sqref="G11"/>
    </sheetView>
  </sheetViews>
  <sheetFormatPr defaultRowHeight="15"/>
  <cols>
    <col min="1" max="1" width="13.5703125" customWidth="1"/>
    <col min="2" max="4" width="13.5703125" hidden="1" customWidth="1"/>
    <col min="5" max="5" width="12.42578125" customWidth="1"/>
    <col min="6" max="6" width="16.7109375" customWidth="1"/>
    <col min="7" max="7" width="51.7109375" customWidth="1"/>
    <col min="8" max="8" width="16.7109375" customWidth="1"/>
    <col min="9" max="10" width="13.5703125" customWidth="1"/>
    <col min="11" max="12" width="16.7109375" customWidth="1"/>
    <col min="13" max="16" width="17.85546875" customWidth="1"/>
  </cols>
  <sheetData>
    <row r="1" spans="1:16" ht="44.25" customHeight="1">
      <c r="A1" s="36" t="s">
        <v>88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ht="44.25" customHeight="1">
      <c r="A2" s="33"/>
      <c r="B2" s="34"/>
      <c r="C2" s="34"/>
      <c r="D2" s="34"/>
      <c r="E2" s="34"/>
      <c r="F2" s="34"/>
      <c r="G2" s="35"/>
      <c r="H2" s="32" t="s">
        <v>91</v>
      </c>
      <c r="I2" s="32"/>
      <c r="J2" s="32"/>
      <c r="K2" s="32"/>
      <c r="L2" s="32"/>
      <c r="M2" s="32" t="s">
        <v>92</v>
      </c>
      <c r="N2" s="32"/>
      <c r="O2" s="32" t="s">
        <v>93</v>
      </c>
      <c r="P2" s="32"/>
    </row>
    <row r="3" spans="1:16" ht="78" customHeight="1">
      <c r="A3" s="22" t="s">
        <v>85</v>
      </c>
      <c r="B3" s="22"/>
      <c r="C3" s="22"/>
      <c r="D3" s="22"/>
      <c r="E3" s="22" t="s">
        <v>86</v>
      </c>
      <c r="F3" s="21" t="s">
        <v>87</v>
      </c>
      <c r="G3" s="21" t="s">
        <v>20</v>
      </c>
      <c r="H3" s="22" t="s">
        <v>89</v>
      </c>
      <c r="I3" s="4" t="s">
        <v>90</v>
      </c>
      <c r="J3" s="4" t="s">
        <v>17</v>
      </c>
      <c r="K3" s="4" t="s">
        <v>0</v>
      </c>
      <c r="L3" s="4" t="s">
        <v>14</v>
      </c>
      <c r="M3" s="4" t="s">
        <v>0</v>
      </c>
      <c r="N3" s="4" t="s">
        <v>14</v>
      </c>
      <c r="O3" s="4" t="s">
        <v>0</v>
      </c>
      <c r="P3" s="4" t="s">
        <v>14</v>
      </c>
    </row>
    <row r="4" spans="1:16">
      <c r="A4" s="5" t="s">
        <v>1</v>
      </c>
      <c r="B4" s="26" t="s">
        <v>98</v>
      </c>
      <c r="C4" s="26" t="s">
        <v>99</v>
      </c>
      <c r="D4" s="26" t="s">
        <v>100</v>
      </c>
      <c r="E4" s="5" t="s">
        <v>2</v>
      </c>
      <c r="F4" s="5" t="s">
        <v>3</v>
      </c>
      <c r="G4" s="5" t="s">
        <v>4</v>
      </c>
      <c r="H4" s="5" t="s">
        <v>5</v>
      </c>
      <c r="I4" s="6" t="s">
        <v>6</v>
      </c>
      <c r="J4" s="6" t="s">
        <v>7</v>
      </c>
      <c r="K4" s="6" t="s">
        <v>8</v>
      </c>
      <c r="L4" s="6" t="s">
        <v>9</v>
      </c>
      <c r="M4" s="6" t="s">
        <v>10</v>
      </c>
      <c r="N4" s="6" t="s">
        <v>11</v>
      </c>
      <c r="O4" s="6" t="s">
        <v>12</v>
      </c>
      <c r="P4" s="6" t="s">
        <v>13</v>
      </c>
    </row>
    <row r="5" spans="1:16">
      <c r="A5" s="25" t="s">
        <v>84</v>
      </c>
      <c r="B5" s="27"/>
      <c r="C5" s="27"/>
      <c r="D5" s="2"/>
      <c r="E5" s="9"/>
      <c r="F5" s="9"/>
      <c r="G5" s="23"/>
      <c r="H5" s="8"/>
      <c r="I5" s="7"/>
      <c r="J5" s="1"/>
      <c r="K5" s="24"/>
      <c r="L5" s="24"/>
      <c r="M5" s="24"/>
      <c r="N5" s="24"/>
      <c r="O5" s="24"/>
      <c r="P5" s="24"/>
    </row>
  </sheetData>
  <mergeCells count="5">
    <mergeCell ref="O2:P2"/>
    <mergeCell ref="A2:G2"/>
    <mergeCell ref="H2:L2"/>
    <mergeCell ref="M2:N2"/>
    <mergeCell ref="A1:P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R3"/>
  <sheetViews>
    <sheetView zoomScale="145" zoomScaleNormal="145"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53" customWidth="1"/>
  </cols>
  <sheetData>
    <row r="1" spans="1:18" ht="75" customHeight="1">
      <c r="A1" s="45" t="s">
        <v>135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6"/>
      <c r="N1" s="46"/>
      <c r="O1" s="46"/>
      <c r="P1" s="46"/>
      <c r="Q1" s="46"/>
      <c r="R1" s="46"/>
    </row>
    <row r="2" spans="1:18" ht="45" customHeight="1">
      <c r="A2" s="44" t="s">
        <v>118</v>
      </c>
      <c r="B2" s="47" t="s">
        <v>119</v>
      </c>
      <c r="C2" s="47" t="s">
        <v>120</v>
      </c>
      <c r="D2" s="48" t="s">
        <v>121</v>
      </c>
      <c r="E2" s="48" t="s">
        <v>131</v>
      </c>
      <c r="F2" s="48" t="s">
        <v>122</v>
      </c>
      <c r="G2" s="48" t="s">
        <v>123</v>
      </c>
      <c r="H2" s="48" t="s">
        <v>124</v>
      </c>
      <c r="I2" s="49" t="s">
        <v>125</v>
      </c>
      <c r="J2" s="50" t="s">
        <v>126</v>
      </c>
      <c r="K2" s="48" t="s">
        <v>127</v>
      </c>
      <c r="L2" s="51" t="s">
        <v>128</v>
      </c>
      <c r="M2" s="47" t="s">
        <v>136</v>
      </c>
    </row>
    <row r="3" spans="1:18">
      <c r="A3" t="s">
        <v>134</v>
      </c>
      <c r="I3" s="52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ettings"/>
  <dimension ref="A1:BE15"/>
  <sheetViews>
    <sheetView workbookViewId="0">
      <selection activeCell="L16" sqref="L16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23" customWidth="1"/>
    <col min="11" max="11" width="7.5703125" customWidth="1"/>
    <col min="12" max="13" width="30.7109375" bestFit="1" customWidth="1"/>
    <col min="14" max="14" width="32.42578125" bestFit="1" customWidth="1"/>
    <col min="15" max="16" width="16.7109375" customWidth="1"/>
    <col min="17" max="17" width="13.85546875" customWidth="1"/>
    <col min="18" max="18" width="7.5703125" customWidth="1"/>
    <col min="19" max="19" width="23" customWidth="1"/>
    <col min="20" max="20" width="30.7109375" bestFit="1" customWidth="1"/>
    <col min="21" max="21" width="7.5703125" customWidth="1"/>
    <col min="22" max="22" width="19.7109375" bestFit="1" customWidth="1"/>
    <col min="23" max="25" width="17.85546875" customWidth="1"/>
    <col min="26" max="26" width="34" bestFit="1" customWidth="1"/>
    <col min="27" max="27" width="7.5703125" customWidth="1"/>
    <col min="28" max="28" width="19.7109375" bestFit="1" customWidth="1"/>
    <col min="29" max="29" width="14.140625" bestFit="1" customWidth="1"/>
    <col min="30" max="30" width="11.28515625" customWidth="1"/>
    <col min="31" max="31" width="11.85546875" bestFit="1" customWidth="1"/>
    <col min="32" max="34" width="13.7109375" customWidth="1"/>
    <col min="35" max="35" width="7.5703125" customWidth="1"/>
    <col min="36" max="36" width="11.85546875" bestFit="1" customWidth="1"/>
    <col min="37" max="37" width="7.5703125" customWidth="1"/>
    <col min="38" max="38" width="13.140625" bestFit="1" customWidth="1"/>
    <col min="39" max="39" width="7.5703125" customWidth="1"/>
    <col min="40" max="40" width="12.140625" bestFit="1" customWidth="1"/>
    <col min="41" max="41" width="7.5703125" customWidth="1"/>
    <col min="42" max="42" width="13.7109375" bestFit="1" customWidth="1"/>
    <col min="43" max="43" width="7.5703125" customWidth="1"/>
    <col min="44" max="44" width="14" bestFit="1" customWidth="1"/>
    <col min="45" max="45" width="7.5703125" customWidth="1"/>
    <col min="46" max="46" width="12.140625" bestFit="1" customWidth="1"/>
    <col min="47" max="47" width="7.5703125" customWidth="1"/>
    <col min="48" max="48" width="13.5703125" customWidth="1"/>
    <col min="49" max="49" width="7.5703125" customWidth="1"/>
    <col min="52" max="52" width="11.28515625" bestFit="1" customWidth="1"/>
    <col min="54" max="55" width="12.140625" customWidth="1"/>
  </cols>
  <sheetData>
    <row r="1" spans="1:57" ht="29.25" customHeight="1">
      <c r="A1" s="37" t="s">
        <v>33</v>
      </c>
      <c r="B1" s="37"/>
      <c r="D1" s="38" t="s">
        <v>34</v>
      </c>
      <c r="E1" s="38"/>
      <c r="G1" s="38" t="s">
        <v>29</v>
      </c>
      <c r="H1" s="38"/>
      <c r="I1" s="38"/>
      <c r="J1" s="38"/>
      <c r="L1" s="38" t="s">
        <v>26</v>
      </c>
      <c r="M1" s="38"/>
      <c r="N1" s="38"/>
      <c r="O1" s="38"/>
      <c r="P1" s="38"/>
      <c r="Q1" s="38"/>
      <c r="S1" s="38" t="s">
        <v>30</v>
      </c>
      <c r="T1" s="38"/>
      <c r="V1" s="38" t="s">
        <v>23</v>
      </c>
      <c r="W1" s="38"/>
      <c r="X1" s="38"/>
      <c r="Y1" s="38"/>
      <c r="Z1" s="38"/>
      <c r="AB1" s="38" t="s">
        <v>57</v>
      </c>
      <c r="AC1" s="38"/>
      <c r="AD1" s="38"/>
      <c r="AE1" s="38"/>
      <c r="AF1" s="38"/>
      <c r="AG1" s="38"/>
      <c r="AH1" s="38"/>
      <c r="AJ1" s="14" t="s">
        <v>45</v>
      </c>
      <c r="AL1" s="14" t="s">
        <v>47</v>
      </c>
      <c r="AN1" s="14" t="s">
        <v>49</v>
      </c>
      <c r="AP1" s="14" t="s">
        <v>56</v>
      </c>
      <c r="AR1" s="14" t="s">
        <v>65</v>
      </c>
      <c r="AT1" s="14" t="s">
        <v>66</v>
      </c>
      <c r="AV1" s="14" t="s">
        <v>58</v>
      </c>
      <c r="AX1" s="14" t="s">
        <v>71</v>
      </c>
      <c r="AZ1" s="14" t="s">
        <v>76</v>
      </c>
      <c r="BB1" s="39" t="s">
        <v>81</v>
      </c>
      <c r="BC1" s="39"/>
    </row>
    <row r="2" spans="1:57">
      <c r="A2" s="2" t="s">
        <v>52</v>
      </c>
      <c r="B2" s="2" t="s">
        <v>32</v>
      </c>
      <c r="D2" t="s">
        <v>27</v>
      </c>
      <c r="E2" t="s">
        <v>37</v>
      </c>
      <c r="G2" t="s">
        <v>27</v>
      </c>
      <c r="H2" t="s">
        <v>39</v>
      </c>
      <c r="I2" t="s">
        <v>28</v>
      </c>
      <c r="J2" t="s">
        <v>76</v>
      </c>
      <c r="L2" t="s">
        <v>27</v>
      </c>
      <c r="M2" t="s">
        <v>16</v>
      </c>
      <c r="N2" t="s">
        <v>19</v>
      </c>
      <c r="O2" t="s">
        <v>46</v>
      </c>
      <c r="P2" t="s">
        <v>41</v>
      </c>
      <c r="Q2" t="s">
        <v>35</v>
      </c>
      <c r="S2" t="s">
        <v>27</v>
      </c>
      <c r="T2" t="s">
        <v>31</v>
      </c>
      <c r="V2" t="s">
        <v>27</v>
      </c>
      <c r="W2" t="s">
        <v>39</v>
      </c>
      <c r="X2" t="s">
        <v>53</v>
      </c>
      <c r="Y2" t="s">
        <v>59</v>
      </c>
      <c r="Z2" t="s">
        <v>43</v>
      </c>
      <c r="AB2" t="s">
        <v>41</v>
      </c>
      <c r="AC2" t="s">
        <v>67</v>
      </c>
      <c r="AD2" t="s">
        <v>58</v>
      </c>
      <c r="AE2" t="s">
        <v>68</v>
      </c>
      <c r="AF2" t="s">
        <v>69</v>
      </c>
      <c r="AG2" t="s">
        <v>72</v>
      </c>
      <c r="AH2" t="s">
        <v>75</v>
      </c>
      <c r="AJ2" t="s">
        <v>27</v>
      </c>
      <c r="AL2" t="s">
        <v>27</v>
      </c>
      <c r="AN2" t="s">
        <v>27</v>
      </c>
      <c r="AP2" t="s">
        <v>27</v>
      </c>
      <c r="AR2" t="s">
        <v>27</v>
      </c>
      <c r="AT2" t="s">
        <v>27</v>
      </c>
      <c r="AV2" t="s">
        <v>27</v>
      </c>
      <c r="AX2" t="s">
        <v>27</v>
      </c>
      <c r="AZ2" t="s">
        <v>27</v>
      </c>
      <c r="BB2" t="s">
        <v>52</v>
      </c>
      <c r="BC2" t="s">
        <v>32</v>
      </c>
    </row>
    <row r="3" spans="1:57">
      <c r="A3" s="2" t="s">
        <v>78</v>
      </c>
      <c r="B3" s="2" t="s">
        <v>106</v>
      </c>
      <c r="D3" t="s">
        <v>94</v>
      </c>
      <c r="E3" t="s">
        <v>84</v>
      </c>
      <c r="G3" t="s">
        <v>84</v>
      </c>
      <c r="H3" t="s">
        <v>24</v>
      </c>
      <c r="I3" t="s">
        <v>84</v>
      </c>
      <c r="L3" t="s">
        <v>84</v>
      </c>
      <c r="M3" t="s">
        <v>84</v>
      </c>
      <c r="N3" t="s">
        <v>94</v>
      </c>
      <c r="O3" t="s">
        <v>44</v>
      </c>
      <c r="P3" t="s">
        <v>42</v>
      </c>
      <c r="Q3" t="s">
        <v>50</v>
      </c>
      <c r="V3" s="2" t="s">
        <v>42</v>
      </c>
      <c r="W3" t="s">
        <v>73</v>
      </c>
      <c r="X3" t="s">
        <v>55</v>
      </c>
      <c r="Y3" t="s">
        <v>60</v>
      </c>
      <c r="Z3" s="2" t="s">
        <v>80</v>
      </c>
      <c r="AB3" s="2" t="s">
        <v>42</v>
      </c>
      <c r="AC3" t="s">
        <v>74</v>
      </c>
      <c r="AD3" t="s">
        <v>61</v>
      </c>
      <c r="AG3">
        <v>2000</v>
      </c>
      <c r="AH3" t="s">
        <v>55</v>
      </c>
      <c r="AJ3" s="12" t="s">
        <v>24</v>
      </c>
      <c r="AL3" t="s">
        <v>44</v>
      </c>
      <c r="AN3" t="s">
        <v>50</v>
      </c>
      <c r="AP3" t="s">
        <v>40</v>
      </c>
      <c r="AR3" t="s">
        <v>64</v>
      </c>
      <c r="AT3" t="s">
        <v>60</v>
      </c>
      <c r="AV3" t="s">
        <v>62</v>
      </c>
      <c r="AX3" t="s">
        <v>55</v>
      </c>
      <c r="AZ3" t="s">
        <v>77</v>
      </c>
      <c r="BB3" t="s">
        <v>111</v>
      </c>
      <c r="BC3" t="s">
        <v>111</v>
      </c>
    </row>
    <row r="4" spans="1:57">
      <c r="A4" s="3" t="s">
        <v>21</v>
      </c>
      <c r="B4" s="3" t="s">
        <v>83</v>
      </c>
      <c r="D4" t="s">
        <v>141</v>
      </c>
      <c r="E4" s="2" t="s">
        <v>142</v>
      </c>
      <c r="G4" s="2" t="s">
        <v>101</v>
      </c>
      <c r="H4" s="2" t="s">
        <v>25</v>
      </c>
      <c r="I4" s="2" t="s">
        <v>101</v>
      </c>
      <c r="J4" s="2"/>
      <c r="L4" s="2" t="s">
        <v>115</v>
      </c>
      <c r="M4" s="2" t="s">
        <v>115</v>
      </c>
      <c r="N4" s="2" t="s">
        <v>116</v>
      </c>
      <c r="O4" t="s">
        <v>44</v>
      </c>
      <c r="P4" t="s">
        <v>42</v>
      </c>
      <c r="Q4" t="s">
        <v>50</v>
      </c>
      <c r="V4" s="2" t="s">
        <v>101</v>
      </c>
      <c r="W4" t="s">
        <v>73</v>
      </c>
      <c r="X4" t="s">
        <v>55</v>
      </c>
      <c r="Y4" s="2"/>
      <c r="Z4" s="2" t="s">
        <v>102</v>
      </c>
      <c r="AA4" s="2"/>
      <c r="AB4" s="19" t="s">
        <v>42</v>
      </c>
      <c r="AC4" s="2" t="s">
        <v>70</v>
      </c>
      <c r="AD4" s="2" t="s">
        <v>62</v>
      </c>
      <c r="AE4" s="2" t="s">
        <v>63</v>
      </c>
      <c r="AF4" s="2" t="s">
        <v>55</v>
      </c>
      <c r="AG4" s="2">
        <v>40</v>
      </c>
      <c r="AH4" s="2" t="s">
        <v>54</v>
      </c>
      <c r="AJ4" s="13" t="s">
        <v>25</v>
      </c>
      <c r="AL4" t="s">
        <v>48</v>
      </c>
      <c r="AN4" t="s">
        <v>36</v>
      </c>
      <c r="AP4" t="s">
        <v>73</v>
      </c>
      <c r="AV4" t="s">
        <v>61</v>
      </c>
      <c r="AX4" t="s">
        <v>54</v>
      </c>
    </row>
    <row r="5" spans="1:57">
      <c r="A5" s="3" t="s">
        <v>22</v>
      </c>
      <c r="B5" s="3" t="s">
        <v>15</v>
      </c>
      <c r="D5" t="s">
        <v>151</v>
      </c>
      <c r="E5" s="2" t="s">
        <v>143</v>
      </c>
      <c r="G5" s="2" t="s">
        <v>101</v>
      </c>
      <c r="H5" t="s">
        <v>24</v>
      </c>
      <c r="I5" t="s">
        <v>84</v>
      </c>
      <c r="J5" s="2"/>
      <c r="L5" s="2" t="s">
        <v>134</v>
      </c>
      <c r="M5" s="2" t="s">
        <v>134</v>
      </c>
      <c r="N5" s="2" t="s">
        <v>133</v>
      </c>
      <c r="O5" t="s">
        <v>44</v>
      </c>
      <c r="P5" t="s">
        <v>42</v>
      </c>
      <c r="Q5" t="s">
        <v>50</v>
      </c>
      <c r="V5" s="2" t="s">
        <v>143</v>
      </c>
      <c r="W5" s="2" t="s">
        <v>73</v>
      </c>
      <c r="X5" s="2" t="s">
        <v>55</v>
      </c>
      <c r="Y5" s="2"/>
      <c r="Z5" s="2" t="s">
        <v>144</v>
      </c>
      <c r="AB5" s="19" t="s">
        <v>42</v>
      </c>
      <c r="AC5" s="2" t="s">
        <v>104</v>
      </c>
      <c r="AD5" s="2" t="s">
        <v>62</v>
      </c>
      <c r="AE5" s="2" t="s">
        <v>111</v>
      </c>
      <c r="AF5" s="2" t="s">
        <v>55</v>
      </c>
      <c r="AG5" s="2">
        <v>20</v>
      </c>
      <c r="AH5" s="2" t="s">
        <v>54</v>
      </c>
      <c r="AN5" s="2" t="s">
        <v>82</v>
      </c>
    </row>
    <row r="6" spans="1:57">
      <c r="A6" s="2" t="s">
        <v>38</v>
      </c>
      <c r="B6" s="2" t="str">
        <f>VLOOKUP(ReportSelected,Menu[],2,FALSE)</f>
        <v>f2_nalplat</v>
      </c>
      <c r="D6" s="2" t="s">
        <v>117</v>
      </c>
      <c r="E6" s="2" t="s">
        <v>115</v>
      </c>
      <c r="G6" s="2" t="s">
        <v>115</v>
      </c>
      <c r="H6" t="s">
        <v>24</v>
      </c>
      <c r="I6" s="2" t="s">
        <v>115</v>
      </c>
      <c r="J6" s="2"/>
      <c r="L6" s="2" t="s">
        <v>138</v>
      </c>
      <c r="M6" s="2" t="s">
        <v>138</v>
      </c>
      <c r="N6" s="2" t="s">
        <v>139</v>
      </c>
      <c r="O6" t="s">
        <v>44</v>
      </c>
      <c r="P6" t="s">
        <v>42</v>
      </c>
      <c r="Q6" t="s">
        <v>50</v>
      </c>
      <c r="AB6" s="19" t="s">
        <v>42</v>
      </c>
      <c r="AC6" s="2" t="s">
        <v>130</v>
      </c>
      <c r="AD6" s="2" t="s">
        <v>62</v>
      </c>
      <c r="AE6" s="2" t="s">
        <v>112</v>
      </c>
      <c r="AF6" s="2" t="s">
        <v>55</v>
      </c>
      <c r="AG6" s="2">
        <v>20</v>
      </c>
      <c r="AH6" s="2" t="s">
        <v>54</v>
      </c>
    </row>
    <row r="7" spans="1:57">
      <c r="A7" s="15" t="s">
        <v>63</v>
      </c>
      <c r="B7" s="2" t="s">
        <v>145</v>
      </c>
      <c r="D7" s="2" t="s">
        <v>137</v>
      </c>
      <c r="E7" s="2" t="s">
        <v>138</v>
      </c>
      <c r="G7" s="2" t="s">
        <v>134</v>
      </c>
      <c r="H7" t="s">
        <v>24</v>
      </c>
      <c r="I7" s="2" t="s">
        <v>134</v>
      </c>
      <c r="J7" s="2"/>
      <c r="L7" s="2" t="s">
        <v>145</v>
      </c>
      <c r="M7" s="2" t="s">
        <v>145</v>
      </c>
      <c r="N7" s="2" t="s">
        <v>150</v>
      </c>
      <c r="O7" t="s">
        <v>44</v>
      </c>
      <c r="P7" t="s">
        <v>42</v>
      </c>
      <c r="Q7" t="s">
        <v>50</v>
      </c>
      <c r="AB7" s="19" t="s">
        <v>42</v>
      </c>
      <c r="AC7" s="2" t="s">
        <v>113</v>
      </c>
      <c r="AD7" s="2" t="s">
        <v>62</v>
      </c>
      <c r="AE7" s="2" t="s">
        <v>114</v>
      </c>
      <c r="AF7" s="2" t="s">
        <v>54</v>
      </c>
      <c r="AG7" s="2">
        <v>10</v>
      </c>
      <c r="AH7" s="2" t="s">
        <v>54</v>
      </c>
    </row>
    <row r="8" spans="1:57">
      <c r="A8" s="2" t="s">
        <v>96</v>
      </c>
      <c r="B8" s="2">
        <v>1</v>
      </c>
      <c r="D8" s="2" t="s">
        <v>133</v>
      </c>
      <c r="E8" s="2" t="s">
        <v>134</v>
      </c>
      <c r="G8" s="2" t="s">
        <v>138</v>
      </c>
      <c r="H8" t="s">
        <v>24</v>
      </c>
      <c r="I8" s="2" t="s">
        <v>138</v>
      </c>
      <c r="J8" s="2"/>
      <c r="AB8" s="19" t="s">
        <v>101</v>
      </c>
      <c r="AC8" t="s">
        <v>74</v>
      </c>
      <c r="AD8" t="s">
        <v>61</v>
      </c>
      <c r="AE8" s="2"/>
      <c r="AF8" s="2"/>
      <c r="AG8">
        <v>2000</v>
      </c>
      <c r="AH8" t="s">
        <v>55</v>
      </c>
      <c r="BE8" s="20"/>
    </row>
    <row r="9" spans="1:57">
      <c r="A9" s="2" t="s">
        <v>95</v>
      </c>
      <c r="B9" s="2">
        <v>2016</v>
      </c>
      <c r="D9" s="2" t="s">
        <v>149</v>
      </c>
      <c r="E9" s="2" t="s">
        <v>145</v>
      </c>
      <c r="G9" s="2" t="s">
        <v>142</v>
      </c>
      <c r="H9" t="s">
        <v>24</v>
      </c>
      <c r="I9" s="2" t="s">
        <v>134</v>
      </c>
      <c r="J9" s="2"/>
      <c r="AB9" s="19" t="s">
        <v>101</v>
      </c>
      <c r="AC9" s="2" t="s">
        <v>103</v>
      </c>
      <c r="AD9" s="2" t="s">
        <v>62</v>
      </c>
      <c r="AE9" s="2" t="s">
        <v>96</v>
      </c>
      <c r="AF9" s="2" t="s">
        <v>55</v>
      </c>
      <c r="AG9" s="2">
        <v>3</v>
      </c>
      <c r="AH9" s="2" t="s">
        <v>54</v>
      </c>
    </row>
    <row r="10" spans="1:57">
      <c r="A10" s="2" t="s">
        <v>97</v>
      </c>
      <c r="B10" s="2">
        <v>1619074</v>
      </c>
      <c r="G10" s="2" t="s">
        <v>142</v>
      </c>
      <c r="H10" t="s">
        <v>24</v>
      </c>
      <c r="I10" s="2" t="s">
        <v>138</v>
      </c>
      <c r="AB10" s="19" t="s">
        <v>101</v>
      </c>
      <c r="AC10" s="2" t="s">
        <v>104</v>
      </c>
      <c r="AD10" s="2" t="s">
        <v>62</v>
      </c>
      <c r="AE10" s="2" t="s">
        <v>95</v>
      </c>
      <c r="AF10" s="2" t="s">
        <v>55</v>
      </c>
      <c r="AG10" s="2">
        <v>4</v>
      </c>
      <c r="AH10" s="2" t="s">
        <v>54</v>
      </c>
    </row>
    <row r="11" spans="1:57">
      <c r="A11" s="2"/>
      <c r="B11" s="2"/>
      <c r="G11" s="2" t="s">
        <v>142</v>
      </c>
      <c r="H11" t="s">
        <v>24</v>
      </c>
      <c r="I11" s="2" t="s">
        <v>115</v>
      </c>
      <c r="J11" s="2"/>
      <c r="AB11" s="19" t="s">
        <v>101</v>
      </c>
      <c r="AC11" s="2" t="s">
        <v>105</v>
      </c>
      <c r="AD11" s="2" t="s">
        <v>62</v>
      </c>
      <c r="AE11" s="2" t="s">
        <v>97</v>
      </c>
      <c r="AF11" s="2" t="s">
        <v>55</v>
      </c>
      <c r="AG11" s="2">
        <v>10</v>
      </c>
      <c r="AH11" s="2" t="s">
        <v>54</v>
      </c>
    </row>
    <row r="12" spans="1:57">
      <c r="A12" s="2"/>
      <c r="B12" s="2"/>
      <c r="G12" s="2" t="s">
        <v>143</v>
      </c>
      <c r="H12" s="2" t="s">
        <v>25</v>
      </c>
      <c r="I12" s="2" t="s">
        <v>143</v>
      </c>
      <c r="J12" s="2"/>
      <c r="AB12" s="2" t="s">
        <v>143</v>
      </c>
      <c r="AC12" t="s">
        <v>74</v>
      </c>
      <c r="AD12" t="s">
        <v>61</v>
      </c>
      <c r="AE12" s="2"/>
      <c r="AF12" s="2"/>
      <c r="AG12">
        <v>2000</v>
      </c>
      <c r="AH12" t="s">
        <v>55</v>
      </c>
    </row>
    <row r="13" spans="1:57">
      <c r="G13" s="2" t="s">
        <v>143</v>
      </c>
      <c r="H13" t="s">
        <v>24</v>
      </c>
      <c r="I13" s="2" t="s">
        <v>145</v>
      </c>
      <c r="J13" s="2"/>
      <c r="AB13" s="19" t="s">
        <v>143</v>
      </c>
      <c r="AC13" s="2" t="s">
        <v>103</v>
      </c>
      <c r="AD13" s="2" t="s">
        <v>62</v>
      </c>
      <c r="AE13" s="2" t="s">
        <v>96</v>
      </c>
      <c r="AF13" s="2" t="s">
        <v>55</v>
      </c>
      <c r="AG13" s="2">
        <v>3</v>
      </c>
      <c r="AH13" s="2" t="s">
        <v>54</v>
      </c>
    </row>
    <row r="14" spans="1:57">
      <c r="G14" s="2" t="s">
        <v>145</v>
      </c>
      <c r="H14" t="s">
        <v>24</v>
      </c>
      <c r="I14" s="2" t="s">
        <v>145</v>
      </c>
      <c r="J14" s="2"/>
      <c r="AB14" s="19" t="s">
        <v>143</v>
      </c>
      <c r="AC14" s="2" t="s">
        <v>104</v>
      </c>
      <c r="AD14" s="2" t="s">
        <v>62</v>
      </c>
      <c r="AE14" s="2" t="s">
        <v>95</v>
      </c>
      <c r="AF14" s="2" t="s">
        <v>55</v>
      </c>
      <c r="AG14" s="2">
        <v>4</v>
      </c>
      <c r="AH14" s="2" t="s">
        <v>54</v>
      </c>
    </row>
    <row r="15" spans="1:57">
      <c r="G15" s="2"/>
      <c r="I15" s="2"/>
      <c r="J15" s="2"/>
      <c r="AB15" s="19" t="s">
        <v>143</v>
      </c>
      <c r="AC15" s="2" t="s">
        <v>130</v>
      </c>
      <c r="AD15" s="2" t="s">
        <v>62</v>
      </c>
      <c r="AE15" s="2" t="s">
        <v>112</v>
      </c>
      <c r="AF15" s="2" t="s">
        <v>55</v>
      </c>
      <c r="AG15" s="2">
        <v>20</v>
      </c>
      <c r="AH15" s="2" t="s">
        <v>54</v>
      </c>
    </row>
  </sheetData>
  <dataConsolidate/>
  <mergeCells count="8">
    <mergeCell ref="A1:B1"/>
    <mergeCell ref="D1:E1"/>
    <mergeCell ref="G1:J1"/>
    <mergeCell ref="BB1:BC1"/>
    <mergeCell ref="AB1:AH1"/>
    <mergeCell ref="V1:Z1"/>
    <mergeCell ref="L1:Q1"/>
    <mergeCell ref="S1:T1"/>
  </mergeCells>
  <dataValidations count="13">
    <dataValidation type="list" allowBlank="1" showInputMessage="1" showErrorMessage="1" sqref="E3">
      <formula1>INDIRECT("Actions[Code]")</formula1>
    </dataValidation>
    <dataValidation type="list" allowBlank="1" showInputMessage="1" showErrorMessage="1" sqref="AI3:AI6">
      <formula1>INDIRECT("ParamPurpose[Code]")</formula1>
    </dataValidation>
    <dataValidation type="list" allowBlank="1" showInputMessage="1" showErrorMessage="1" sqref="S3">
      <formula1>INDIRECT("Reports[Code]")</formula1>
    </dataValidation>
    <dataValidation type="list" allowBlank="1" showInputMessage="1" showErrorMessage="1" sqref="W3:W5">
      <formula1>INDIRECT("ProgramTypes[Code]")</formula1>
    </dataValidation>
    <dataValidation type="list" allowBlank="1" showInputMessage="1" showErrorMessage="1" sqref="Y3:Y5">
      <formula1>INDIRECT("ReturnTypes[Code]")</formula1>
    </dataValidation>
    <dataValidation type="list" allowBlank="1" showInputMessage="1" showErrorMessage="1" sqref="O3:O7">
      <formula1>INDIRECT("CreateModes[Code]")</formula1>
    </dataValidation>
    <dataValidation type="list" allowBlank="1" showInputMessage="1" showErrorMessage="1" sqref="Q3:Q7">
      <formula1>INDIRECT("ReportTypes[Code]")</formula1>
    </dataValidation>
    <dataValidation type="list" allowBlank="1" showInputMessage="1" showErrorMessage="1" sqref="P3:P7">
      <formula1>INDIRECT("Programs[Code]")</formula1>
    </dataValidation>
    <dataValidation type="list" allowBlank="1" showInputMessage="1" showErrorMessage="1" sqref="AD3:AD15">
      <formula1>INDIRECT("Direction[Code]")</formula1>
    </dataValidation>
    <dataValidation type="list" allowBlank="1" showInputMessage="1" showErrorMessage="1" sqref="AH3:AH15 AF3:AF15">
      <formula1>INDIRECT("YesNo[Code]")</formula1>
    </dataValidation>
    <dataValidation type="whole" allowBlank="1" showInputMessage="1" showErrorMessage="1" sqref="AG3:AG15">
      <formula1>1</formula1>
      <formula2>32767</formula2>
    </dataValidation>
    <dataValidation type="list" allowBlank="1" showInputMessage="1" showErrorMessage="1" sqref="H3:H14">
      <formula1>INDIRECT("ActionTypes[Code]")</formula1>
    </dataValidation>
    <dataValidation type="list" allowBlank="1" showInputMessage="1" showErrorMessage="1" sqref="J3:J14">
      <formula1>INDIRECT("AfterAction")</formula1>
    </dataValidation>
  </dataValidations>
  <pageMargins left="0.7" right="0.7" top="0.75" bottom="0.75" header="0.3" footer="0.3"/>
  <pageSetup paperSize="9" orientation="portrait" r:id="rId1"/>
  <legacyDrawing r:id="rId2"/>
  <tableParts count="17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Reports"/>
  <dimension ref="A1:F27"/>
  <sheetViews>
    <sheetView showGridLines="0" tabSelected="1" zoomScale="175" zoomScaleNormal="175" workbookViewId="0">
      <selection activeCell="C2" sqref="C2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5">
      <c r="A1" s="11"/>
      <c r="B1" s="11"/>
      <c r="C1" s="11"/>
      <c r="D1" s="11"/>
      <c r="E1" s="11"/>
    </row>
    <row r="2" spans="1:5" ht="30.75" customHeight="1">
      <c r="A2" s="11"/>
      <c r="B2" s="10" t="s">
        <v>18</v>
      </c>
      <c r="C2" s="16" t="s">
        <v>151</v>
      </c>
      <c r="D2" s="11" t="s">
        <v>79</v>
      </c>
      <c r="E2" s="11"/>
    </row>
    <row r="3" spans="1:5" ht="28.5" customHeight="1">
      <c r="A3" s="11"/>
      <c r="B3" s="10"/>
      <c r="C3" s="17" t="s">
        <v>51</v>
      </c>
      <c r="D3" s="11"/>
      <c r="E3" s="11"/>
    </row>
    <row r="4" spans="1:5">
      <c r="A4" s="11"/>
      <c r="B4" s="10" t="s">
        <v>108</v>
      </c>
      <c r="C4" s="41">
        <v>2017</v>
      </c>
      <c r="D4" s="11"/>
      <c r="E4" s="11"/>
    </row>
    <row r="5" spans="1:5">
      <c r="A5" s="11"/>
      <c r="B5" s="10" t="s">
        <v>109</v>
      </c>
      <c r="C5" s="42">
        <v>12</v>
      </c>
      <c r="D5" s="11"/>
      <c r="E5" s="11"/>
    </row>
    <row r="6" spans="1:5">
      <c r="A6" s="11"/>
      <c r="B6" s="10" t="s">
        <v>110</v>
      </c>
      <c r="C6" s="43"/>
      <c r="D6" s="11"/>
      <c r="E6" s="11"/>
    </row>
    <row r="7" spans="1:5" ht="1.5" customHeight="1">
      <c r="A7" s="31"/>
      <c r="B7" s="11"/>
      <c r="C7" s="11"/>
      <c r="D7" s="11"/>
      <c r="E7" s="31"/>
    </row>
    <row r="8" spans="1:5" ht="14.25" customHeight="1">
      <c r="A8" s="31"/>
      <c r="B8" s="31"/>
      <c r="C8" s="31"/>
      <c r="D8" s="31"/>
      <c r="E8" s="31"/>
    </row>
    <row r="9" spans="1:5" s="18" customFormat="1" ht="63.75" customHeight="1">
      <c r="A9" s="31"/>
      <c r="B9" s="40" t="s">
        <v>107</v>
      </c>
      <c r="C9" s="40"/>
      <c r="D9" s="40"/>
      <c r="E9" s="31"/>
    </row>
    <row r="10" spans="1:5" ht="14.25" customHeight="1">
      <c r="A10" s="31"/>
      <c r="B10" s="31"/>
      <c r="C10" s="31"/>
      <c r="D10" s="31"/>
      <c r="E10" s="31"/>
    </row>
    <row r="11" spans="1:5" ht="10.5" hidden="1" customHeight="1">
      <c r="A11" s="28"/>
      <c r="B11" s="29"/>
      <c r="C11" s="29"/>
      <c r="D11" s="29"/>
      <c r="E11" s="30"/>
    </row>
    <row r="12" spans="1:5" hidden="1"/>
    <row r="13" spans="1:5" hidden="1"/>
    <row r="14" spans="1:5" hidden="1"/>
    <row r="15" spans="1:5" hidden="1"/>
    <row r="16" spans="1:5" hidden="1"/>
    <row r="17" hidden="1"/>
    <row r="18" hidden="1"/>
    <row r="19" hidden="1"/>
    <row r="20" hidden="1"/>
    <row r="21" hidden="1"/>
    <row r="22" hidden="1"/>
    <row r="23" ht="5.25" hidden="1" customHeight="1"/>
    <row r="24" hidden="1"/>
    <row r="25" hidden="1"/>
    <row r="26" hidden="1"/>
    <row r="27" hidden="1"/>
  </sheetData>
  <dataConsolidate/>
  <mergeCells count="1">
    <mergeCell ref="B9:D9"/>
  </mergeCells>
  <dataValidations count="3">
    <dataValidation type="list" allowBlank="1" showInputMessage="1" showErrorMessage="1" sqref="C2">
      <formula1>INDIRECT("Menu[Code]")</formula1>
    </dataValidation>
    <dataValidation type="whole" allowBlank="1" showInputMessage="1" showErrorMessage="1" sqref="C5:C6">
      <formula1>1</formula1>
      <formula2>12</formula2>
    </dataValidation>
    <dataValidation type="whole" allowBlank="1" showInputMessage="1" showErrorMessage="1" sqref="C4">
      <formula1>2016</formula1>
      <formula2>2033</formula2>
    </dataValidation>
  </dataValidation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1"/>
  <dimension ref="A1:R3"/>
  <sheetViews>
    <sheetView zoomScale="145" zoomScaleNormal="145"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12" customWidth="1"/>
  </cols>
  <sheetData>
    <row r="1" spans="1:18" ht="77.25" customHeight="1">
      <c r="A1" s="45" t="s">
        <v>129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6"/>
      <c r="N1" s="46"/>
      <c r="O1" s="46"/>
      <c r="P1" s="46"/>
      <c r="Q1" s="46"/>
      <c r="R1" s="46"/>
    </row>
    <row r="2" spans="1:18" ht="45" customHeight="1">
      <c r="A2" s="44" t="s">
        <v>118</v>
      </c>
      <c r="B2" s="47" t="s">
        <v>119</v>
      </c>
      <c r="C2" s="47" t="s">
        <v>120</v>
      </c>
      <c r="D2" s="48" t="s">
        <v>121</v>
      </c>
      <c r="E2" s="48" t="s">
        <v>131</v>
      </c>
      <c r="F2" s="48" t="s">
        <v>122</v>
      </c>
      <c r="G2" s="48" t="s">
        <v>123</v>
      </c>
      <c r="H2" s="48" t="s">
        <v>124</v>
      </c>
      <c r="I2" s="49" t="s">
        <v>125</v>
      </c>
      <c r="J2" s="50" t="s">
        <v>126</v>
      </c>
      <c r="K2" s="48" t="s">
        <v>127</v>
      </c>
      <c r="L2" s="51" t="s">
        <v>128</v>
      </c>
      <c r="M2" s="47" t="s">
        <v>132</v>
      </c>
    </row>
    <row r="3" spans="1:18">
      <c r="A3" t="s">
        <v>115</v>
      </c>
      <c r="I3" s="52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3"/>
  <dimension ref="A1:R3"/>
  <sheetViews>
    <sheetView zoomScale="145" zoomScaleNormal="145" workbookViewId="0">
      <pane ySplit="2" topLeftCell="A3" activePane="bottomLeft" state="frozen"/>
      <selection pane="bottomLeft" activeCell="A2" sqref="A2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12" customWidth="1"/>
  </cols>
  <sheetData>
    <row r="1" spans="1:18" ht="77.25" customHeight="1">
      <c r="A1" s="45" t="s">
        <v>140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6"/>
      <c r="N1" s="46"/>
      <c r="O1" s="46"/>
      <c r="P1" s="46"/>
      <c r="Q1" s="46"/>
      <c r="R1" s="46"/>
    </row>
    <row r="2" spans="1:18" ht="45" customHeight="1">
      <c r="A2" s="44" t="s">
        <v>118</v>
      </c>
      <c r="B2" s="47" t="s">
        <v>119</v>
      </c>
      <c r="C2" s="47" t="s">
        <v>120</v>
      </c>
      <c r="D2" s="48" t="s">
        <v>121</v>
      </c>
      <c r="E2" s="48" t="s">
        <v>131</v>
      </c>
      <c r="F2" s="48" t="s">
        <v>122</v>
      </c>
      <c r="G2" s="48" t="s">
        <v>123</v>
      </c>
      <c r="H2" s="48" t="s">
        <v>124</v>
      </c>
      <c r="I2" s="49" t="s">
        <v>125</v>
      </c>
      <c r="J2" s="50" t="s">
        <v>126</v>
      </c>
      <c r="K2" s="48" t="s">
        <v>127</v>
      </c>
      <c r="L2" s="51" t="s">
        <v>128</v>
      </c>
      <c r="M2" s="47" t="s">
        <v>132</v>
      </c>
    </row>
    <row r="3" spans="1:18">
      <c r="A3" t="s">
        <v>138</v>
      </c>
      <c r="I3" s="52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4"/>
  <dimension ref="A1:N5"/>
  <sheetViews>
    <sheetView zoomScale="145" zoomScaleNormal="145" workbookViewId="0">
      <pane ySplit="4" topLeftCell="A5" activePane="bottomLeft" state="frozen"/>
      <selection pane="bottomLeft" activeCell="E5" sqref="E5"/>
    </sheetView>
  </sheetViews>
  <sheetFormatPr defaultRowHeight="15"/>
  <cols>
    <col min="1" max="1" width="5.7109375" customWidth="1"/>
    <col min="2" max="2" width="6.5703125" customWidth="1"/>
    <col min="3" max="3" width="12.7109375" customWidth="1"/>
    <col min="4" max="4" width="9" customWidth="1"/>
    <col min="5" max="5" width="10" customWidth="1"/>
    <col min="6" max="6" width="7.28515625" customWidth="1"/>
    <col min="7" max="7" width="35.42578125" customWidth="1"/>
    <col min="8" max="8" width="5.7109375" customWidth="1"/>
    <col min="9" max="9" width="6.5703125" customWidth="1"/>
    <col min="10" max="10" width="12.7109375" customWidth="1"/>
    <col min="12" max="12" width="10" customWidth="1"/>
    <col min="13" max="13" width="7.28515625" customWidth="1"/>
    <col min="14" max="14" width="35.42578125" customWidth="1"/>
  </cols>
  <sheetData>
    <row r="1" spans="1:14" ht="77.25" customHeight="1">
      <c r="A1" s="45" t="s">
        <v>146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</row>
    <row r="2" spans="1:14" ht="18" customHeight="1">
      <c r="A2" s="54" t="s">
        <v>147</v>
      </c>
      <c r="B2" s="54"/>
      <c r="C2" s="54"/>
      <c r="D2" s="54"/>
      <c r="E2" s="54"/>
      <c r="F2" s="54"/>
      <c r="G2" s="54"/>
      <c r="H2" s="54" t="s">
        <v>148</v>
      </c>
      <c r="I2" s="54"/>
      <c r="J2" s="54"/>
      <c r="K2" s="54"/>
      <c r="L2" s="54"/>
      <c r="M2" s="54"/>
      <c r="N2" s="54"/>
    </row>
    <row r="3" spans="1:14" ht="31.5" customHeight="1">
      <c r="A3" s="55" t="s">
        <v>152</v>
      </c>
      <c r="B3" s="55" t="s">
        <v>153</v>
      </c>
      <c r="C3" s="55" t="s">
        <v>87</v>
      </c>
      <c r="D3" s="55" t="s">
        <v>154</v>
      </c>
      <c r="E3" s="55" t="s">
        <v>155</v>
      </c>
      <c r="F3" s="55" t="s">
        <v>0</v>
      </c>
      <c r="G3" s="55" t="s">
        <v>20</v>
      </c>
      <c r="H3" s="55" t="s">
        <v>152</v>
      </c>
      <c r="I3" s="55" t="s">
        <v>153</v>
      </c>
      <c r="J3" s="55" t="s">
        <v>87</v>
      </c>
      <c r="K3" s="55" t="s">
        <v>154</v>
      </c>
      <c r="L3" s="55" t="s">
        <v>155</v>
      </c>
      <c r="M3" s="55" t="s">
        <v>0</v>
      </c>
      <c r="N3" s="55" t="s">
        <v>20</v>
      </c>
    </row>
    <row r="4" spans="1:14">
      <c r="A4" s="53" t="s">
        <v>1</v>
      </c>
      <c r="B4" s="53" t="s">
        <v>2</v>
      </c>
      <c r="C4" s="53" t="s">
        <v>3</v>
      </c>
      <c r="D4" s="53" t="s">
        <v>4</v>
      </c>
      <c r="E4" s="53" t="s">
        <v>5</v>
      </c>
      <c r="F4" s="53" t="s">
        <v>6</v>
      </c>
      <c r="G4" s="53" t="s">
        <v>7</v>
      </c>
      <c r="H4" s="53" t="s">
        <v>8</v>
      </c>
      <c r="I4" s="53" t="s">
        <v>9</v>
      </c>
      <c r="J4" s="53" t="s">
        <v>10</v>
      </c>
      <c r="K4" s="53" t="s">
        <v>11</v>
      </c>
      <c r="L4" s="53" t="s">
        <v>12</v>
      </c>
      <c r="M4" s="53" t="s">
        <v>13</v>
      </c>
      <c r="N4" s="53" t="s">
        <v>156</v>
      </c>
    </row>
    <row r="5" spans="1:14">
      <c r="A5" s="56" t="s">
        <v>145</v>
      </c>
      <c r="B5" s="56"/>
      <c r="C5" s="57"/>
      <c r="D5" s="57"/>
      <c r="E5" s="58"/>
      <c r="F5" s="59"/>
      <c r="G5" s="58"/>
      <c r="H5" s="57"/>
      <c r="I5" s="57"/>
      <c r="J5" s="57"/>
      <c r="K5" s="57"/>
      <c r="L5" s="58"/>
      <c r="M5" s="59"/>
      <c r="N5" s="58"/>
    </row>
  </sheetData>
  <mergeCells count="3">
    <mergeCell ref="A2:G2"/>
    <mergeCell ref="H2:N2"/>
    <mergeCell ref="A1:N1"/>
  </mergeCell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15</vt:i4>
      </vt:variant>
    </vt:vector>
  </HeadingPairs>
  <TitlesOfParts>
    <vt:vector size="22" baseType="lpstr">
      <vt:lpstr>ndfl2_tax_corr</vt:lpstr>
      <vt:lpstr>f2_error_report</vt:lpstr>
      <vt:lpstr>Settings</vt:lpstr>
      <vt:lpstr>Отчеты</vt:lpstr>
      <vt:lpstr>f2_full_namesake</vt:lpstr>
      <vt:lpstr>f2_diff_pers_data</vt:lpstr>
      <vt:lpstr>f2_ndfl_nalplat_pers</vt:lpstr>
      <vt:lpstr>data_source_name</vt:lpstr>
      <vt:lpstr>menu_item_selected</vt:lpstr>
      <vt:lpstr>ndfl2_code_na</vt:lpstr>
      <vt:lpstr>ndfl2_contragent_id</vt:lpstr>
      <vt:lpstr>ndfl2_year</vt:lpstr>
      <vt:lpstr>oracle_owner</vt:lpstr>
      <vt:lpstr>output</vt:lpstr>
      <vt:lpstr>report_code</vt:lpstr>
      <vt:lpstr>ReportDate</vt:lpstr>
      <vt:lpstr>ReportMonth</vt:lpstr>
      <vt:lpstr>ReportSelected</vt:lpstr>
      <vt:lpstr>ReportYear</vt:lpstr>
      <vt:lpstr>start_sheet_name</vt:lpstr>
      <vt:lpstr>StartDate</vt:lpstr>
      <vt:lpstr>StartDateRow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2018-01-24T11:30:31Z</cp:lastPrinted>
  <dcterms:created xsi:type="dcterms:W3CDTF">2017-06-22T11:11:41Z</dcterms:created>
  <dcterms:modified xsi:type="dcterms:W3CDTF">2018-01-25T13:18:54Z</dcterms:modified>
</cp:coreProperties>
</file>