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3" activeTab="3"/>
  </bookViews>
  <sheets>
    <sheet name="ndfl2_tax_corr" sheetId="55" state="hidden" r:id="rId1"/>
    <sheet name="f2_error_report" sheetId="121" state="hidden" r:id="rId2"/>
    <sheet name="Settings" sheetId="103" state="hidden" r:id="rId3"/>
    <sheet name="Отчеты" sheetId="6" r:id="rId4"/>
    <sheet name="f2_full_namesake" sheetId="104" state="hidden" r:id="rId5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<sst xmlns="http://schemas.openxmlformats.org/spreadsheetml/2006/main" count="256" uniqueCount="137">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</sst>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5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34"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33" dataDxfId="31" headerRowBorderDxfId="32" tableBorderDxfId="30" totalsRowBorderDxfId="29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28"/>
    <tableColumn id="16" name="code_na" dataDxfId="27"/>
    <tableColumn id="15" name="year" dataDxfId="26"/>
    <tableColumn id="9" name="contragent_id" dataDxfId="25"/>
    <tableColumn id="2" name="2" dataDxfId="24"/>
    <tableColumn id="5" name="3" dataDxfId="23"/>
    <tableColumn id="6" name="4" dataDxfId="22"/>
    <tableColumn id="7" name="5" dataDxfId="21"/>
    <tableColumn id="10" name="6" dataDxfId="20"/>
    <tableColumn id="11" name="7" dataDxfId="19"/>
    <tableColumn id="12" name="8" dataDxfId="18"/>
    <tableColumn id="13" name="9" dataDxfId="17"/>
    <tableColumn id="14" name="10" dataDxfId="16"/>
    <tableColumn id="3" name="11" dataDxfId="15"/>
    <tableColumn id="4" name="12" dataDxfId="14"/>
    <tableColumn id="8" name="13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0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9" name="Menu" displayName="Menu" ref="D2:E5" totalsRowShown="0">
  <autoFilter ref="D2:E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Actions" displayName="Actions" ref="G2:J7" totalsRowShown="0">
  <autoFilter ref="G2:J7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Programs" displayName="Programs" ref="V2:Z4" totalsRowShown="0">
  <autoFilter ref="V2:Z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2" name="Reports" displayName="Reports" ref="L2:Q5" totalsRowShown="0">
  <autoFilter ref="L2:Q5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4" name="GeneralOptions" displayName="GeneralOptions" ref="A2:B10" headerRowBorderDxfId="12" tableBorderDxfId="11" totalsRowBorderDxfId="10">
  <autoFilter ref="A2:B10"/>
  <tableColumns count="2">
    <tableColumn id="1" name="Key" totalsRowLabel="Итог" totalsRowDxfId="9"/>
    <tableColumn id="2" name="Value" totalsRowFunction="count" totalsRow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ActionTypes" displayName="ActionTypes" ref="AJ2:AJ4" totalsRowShown="0" tableBorderDxfId="7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2" name="Parameters" displayName="Parameters" ref="AB2:AH11" totalsRowShown="0">
  <autoFilter ref="AB2:AH11">
    <filterColumn colId="5"/>
    <filterColumn colId="6"/>
  </autoFilter>
  <tableColumns count="7">
    <tableColumn id="1" name="Program" dataDxfId="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6" name="Таблица16" displayName="Таблица16" ref="C3:C5" totalsRowShown="0" headerRowDxfId="5" dataDxfId="4" tableBorderDxfId="3">
  <tableColumns count="1">
    <tableColumn id="1" name="Столбец1" dataDxfId="2"/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6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6" t="s">
        <v>88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ht="44.25" customHeight="1">
      <c r="A2" s="33"/>
      <c r="B2" s="34"/>
      <c r="C2" s="34"/>
      <c r="D2" s="34"/>
      <c r="E2" s="34"/>
      <c r="F2" s="34"/>
      <c r="G2" s="35"/>
      <c r="H2" s="32" t="s">
        <v>91</v>
      </c>
      <c r="I2" s="32"/>
      <c r="J2" s="32"/>
      <c r="K2" s="32"/>
      <c r="L2" s="32"/>
      <c r="M2" s="32" t="s">
        <v>92</v>
      </c>
      <c r="N2" s="32"/>
      <c r="O2" s="32" t="s">
        <v>93</v>
      </c>
      <c r="P2" s="32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45" t="s">
        <v>135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136</v>
      </c>
    </row>
    <row r="3" spans="1:18">
      <c r="A3" t="s">
        <v>134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workbookViewId="0">
      <selection activeCell="G7" sqref="G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7" t="s">
        <v>33</v>
      </c>
      <c r="B1" s="37"/>
      <c r="D1" s="38" t="s">
        <v>34</v>
      </c>
      <c r="E1" s="38"/>
      <c r="G1" s="38" t="s">
        <v>29</v>
      </c>
      <c r="H1" s="38"/>
      <c r="I1" s="38"/>
      <c r="J1" s="38"/>
      <c r="L1" s="38" t="s">
        <v>26</v>
      </c>
      <c r="M1" s="38"/>
      <c r="N1" s="38"/>
      <c r="O1" s="38"/>
      <c r="P1" s="38"/>
      <c r="Q1" s="38"/>
      <c r="S1" s="38" t="s">
        <v>30</v>
      </c>
      <c r="T1" s="38"/>
      <c r="V1" s="38" t="s">
        <v>23</v>
      </c>
      <c r="W1" s="38"/>
      <c r="X1" s="38"/>
      <c r="Y1" s="38"/>
      <c r="Z1" s="38"/>
      <c r="AB1" s="38" t="s">
        <v>57</v>
      </c>
      <c r="AC1" s="38"/>
      <c r="AD1" s="38"/>
      <c r="AE1" s="38"/>
      <c r="AF1" s="38"/>
      <c r="AG1" s="38"/>
      <c r="AH1" s="38"/>
      <c r="AJ1" s="14" t="s">
        <v>45</v>
      </c>
      <c r="AL1" s="14" t="s">
        <v>47</v>
      </c>
      <c r="AN1" s="14" t="s">
        <v>49</v>
      </c>
      <c r="AP1" s="14" t="s">
        <v>56</v>
      </c>
      <c r="AR1" s="14" t="s">
        <v>65</v>
      </c>
      <c r="AT1" s="14" t="s">
        <v>66</v>
      </c>
      <c r="AV1" s="14" t="s">
        <v>58</v>
      </c>
      <c r="AX1" s="14" t="s">
        <v>71</v>
      </c>
      <c r="AZ1" s="14" t="s">
        <v>76</v>
      </c>
      <c r="BB1" s="39" t="s">
        <v>81</v>
      </c>
      <c r="BC1" s="39"/>
    </row>
    <row r="2" spans="1:57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L2" t="s">
        <v>27</v>
      </c>
      <c r="M2" t="s">
        <v>16</v>
      </c>
      <c r="N2" t="s">
        <v>19</v>
      </c>
      <c r="O2" t="s">
        <v>46</v>
      </c>
      <c r="P2" t="s">
        <v>41</v>
      </c>
      <c r="Q2" t="s">
        <v>35</v>
      </c>
      <c r="S2" t="s">
        <v>27</v>
      </c>
      <c r="T2" t="s">
        <v>31</v>
      </c>
      <c r="V2" t="s">
        <v>27</v>
      </c>
      <c r="W2" t="s">
        <v>39</v>
      </c>
      <c r="X2" t="s">
        <v>53</v>
      </c>
      <c r="Y2" t="s">
        <v>59</v>
      </c>
      <c r="Z2" t="s">
        <v>43</v>
      </c>
      <c r="AB2" t="s">
        <v>41</v>
      </c>
      <c r="AC2" t="s">
        <v>67</v>
      </c>
      <c r="AD2" t="s">
        <v>58</v>
      </c>
      <c r="AE2" t="s">
        <v>68</v>
      </c>
      <c r="AF2" t="s">
        <v>69</v>
      </c>
      <c r="AG2" t="s">
        <v>72</v>
      </c>
      <c r="AH2" t="s">
        <v>75</v>
      </c>
      <c r="AJ2" t="s">
        <v>27</v>
      </c>
      <c r="AL2" t="s">
        <v>27</v>
      </c>
      <c r="AN2" t="s">
        <v>27</v>
      </c>
      <c r="AP2" t="s">
        <v>27</v>
      </c>
      <c r="AR2" t="s">
        <v>27</v>
      </c>
      <c r="AT2" t="s">
        <v>27</v>
      </c>
      <c r="AV2" t="s">
        <v>27</v>
      </c>
      <c r="AX2" t="s">
        <v>27</v>
      </c>
      <c r="AZ2" t="s">
        <v>27</v>
      </c>
      <c r="BB2" t="s">
        <v>52</v>
      </c>
      <c r="BC2" t="s">
        <v>32</v>
      </c>
    </row>
    <row r="3" spans="1:57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L3" t="s">
        <v>84</v>
      </c>
      <c r="M3" t="s">
        <v>84</v>
      </c>
      <c r="N3" t="s">
        <v>94</v>
      </c>
      <c r="O3" t="s">
        <v>44</v>
      </c>
      <c r="P3" t="s">
        <v>42</v>
      </c>
      <c r="Q3" t="s">
        <v>50</v>
      </c>
      <c r="V3" s="2" t="s">
        <v>42</v>
      </c>
      <c r="W3" t="s">
        <v>73</v>
      </c>
      <c r="X3" t="s">
        <v>55</v>
      </c>
      <c r="Y3" t="s">
        <v>60</v>
      </c>
      <c r="Z3" s="2" t="s">
        <v>80</v>
      </c>
      <c r="AB3" s="2" t="s">
        <v>42</v>
      </c>
      <c r="AC3" t="s">
        <v>74</v>
      </c>
      <c r="AD3" t="s">
        <v>61</v>
      </c>
      <c r="AG3">
        <v>2000</v>
      </c>
      <c r="AH3" t="s">
        <v>55</v>
      </c>
      <c r="AJ3" s="12" t="s">
        <v>24</v>
      </c>
      <c r="AL3" t="s">
        <v>44</v>
      </c>
      <c r="AN3" t="s">
        <v>50</v>
      </c>
      <c r="AP3" t="s">
        <v>40</v>
      </c>
      <c r="AR3" t="s">
        <v>64</v>
      </c>
      <c r="AT3" t="s">
        <v>60</v>
      </c>
      <c r="AV3" t="s">
        <v>62</v>
      </c>
      <c r="AX3" t="s">
        <v>55</v>
      </c>
      <c r="AZ3" t="s">
        <v>77</v>
      </c>
      <c r="BB3" t="s">
        <v>111</v>
      </c>
      <c r="BC3" t="s">
        <v>111</v>
      </c>
    </row>
    <row r="4" spans="1:57">
      <c r="A4" s="3" t="s">
        <v>21</v>
      </c>
      <c r="B4" s="3" t="s">
        <v>83</v>
      </c>
      <c r="D4" s="2" t="s">
        <v>117</v>
      </c>
      <c r="E4" s="2" t="s">
        <v>115</v>
      </c>
      <c r="G4" s="2" t="s">
        <v>101</v>
      </c>
      <c r="H4" s="2" t="s">
        <v>25</v>
      </c>
      <c r="I4" s="2" t="s">
        <v>101</v>
      </c>
      <c r="J4" s="2"/>
      <c r="L4" s="2" t="s">
        <v>115</v>
      </c>
      <c r="M4" s="2" t="s">
        <v>115</v>
      </c>
      <c r="N4" s="2" t="s">
        <v>116</v>
      </c>
      <c r="O4" t="s">
        <v>44</v>
      </c>
      <c r="P4" t="s">
        <v>42</v>
      </c>
      <c r="Q4" t="s">
        <v>50</v>
      </c>
      <c r="V4" s="2" t="s">
        <v>101</v>
      </c>
      <c r="W4" t="s">
        <v>73</v>
      </c>
      <c r="X4" t="s">
        <v>55</v>
      </c>
      <c r="Y4" s="2"/>
      <c r="Z4" s="2" t="s">
        <v>102</v>
      </c>
      <c r="AA4" s="2"/>
      <c r="AB4" s="19" t="s">
        <v>42</v>
      </c>
      <c r="AC4" s="2" t="s">
        <v>70</v>
      </c>
      <c r="AD4" s="2" t="s">
        <v>62</v>
      </c>
      <c r="AE4" s="2" t="s">
        <v>63</v>
      </c>
      <c r="AF4" s="2" t="s">
        <v>55</v>
      </c>
      <c r="AG4" s="2">
        <v>40</v>
      </c>
      <c r="AH4" s="2" t="s">
        <v>54</v>
      </c>
      <c r="AJ4" s="13" t="s">
        <v>25</v>
      </c>
      <c r="AL4" t="s">
        <v>48</v>
      </c>
      <c r="AN4" t="s">
        <v>36</v>
      </c>
      <c r="AP4" t="s">
        <v>73</v>
      </c>
      <c r="AV4" t="s">
        <v>61</v>
      </c>
      <c r="AX4" t="s">
        <v>54</v>
      </c>
    </row>
    <row r="5" spans="1:57">
      <c r="A5" s="3" t="s">
        <v>22</v>
      </c>
      <c r="B5" s="3" t="s">
        <v>15</v>
      </c>
      <c r="D5" s="2" t="s">
        <v>133</v>
      </c>
      <c r="E5" s="2" t="s">
        <v>134</v>
      </c>
      <c r="G5" s="2" t="s">
        <v>101</v>
      </c>
      <c r="H5" t="s">
        <v>24</v>
      </c>
      <c r="I5" t="s">
        <v>84</v>
      </c>
      <c r="J5" s="2"/>
      <c r="L5" s="2" t="s">
        <v>134</v>
      </c>
      <c r="M5" s="2" t="s">
        <v>134</v>
      </c>
      <c r="N5" s="2" t="s">
        <v>133</v>
      </c>
      <c r="O5" t="s">
        <v>44</v>
      </c>
      <c r="P5" t="s">
        <v>42</v>
      </c>
      <c r="Q5" t="s">
        <v>50</v>
      </c>
      <c r="AB5" s="19" t="s">
        <v>42</v>
      </c>
      <c r="AC5" s="2" t="s">
        <v>104</v>
      </c>
      <c r="AD5" s="2" t="s">
        <v>62</v>
      </c>
      <c r="AE5" s="2" t="s">
        <v>111</v>
      </c>
      <c r="AF5" s="2" t="s">
        <v>55</v>
      </c>
      <c r="AG5" s="2">
        <v>20</v>
      </c>
      <c r="AH5" s="2" t="s">
        <v>54</v>
      </c>
      <c r="AN5" s="2" t="s">
        <v>82</v>
      </c>
    </row>
    <row r="6" spans="1:57">
      <c r="A6" s="2" t="s">
        <v>38</v>
      </c>
      <c r="B6" s="2" t="str">
        <f>VLOOKUP(ReportSelected,Menu[],2,FALSE)</f>
        <v>f2_error_report</v>
      </c>
      <c r="G6" s="2" t="s">
        <v>115</v>
      </c>
      <c r="H6" t="s">
        <v>24</v>
      </c>
      <c r="I6" s="2" t="s">
        <v>115</v>
      </c>
      <c r="J6" s="2"/>
      <c r="AB6" s="19" t="s">
        <v>42</v>
      </c>
      <c r="AC6" s="2" t="s">
        <v>130</v>
      </c>
      <c r="AD6" s="2" t="s">
        <v>62</v>
      </c>
      <c r="AE6" s="2" t="s">
        <v>112</v>
      </c>
      <c r="AF6" s="2" t="s">
        <v>55</v>
      </c>
      <c r="AG6" s="2">
        <v>20</v>
      </c>
      <c r="AH6" s="2" t="s">
        <v>54</v>
      </c>
    </row>
    <row r="7" spans="1:57">
      <c r="A7" s="15" t="s">
        <v>63</v>
      </c>
      <c r="B7" s="2" t="s">
        <v>134</v>
      </c>
      <c r="G7" s="2" t="s">
        <v>134</v>
      </c>
      <c r="H7" t="s">
        <v>24</v>
      </c>
      <c r="I7" s="2" t="s">
        <v>134</v>
      </c>
      <c r="J7" s="2"/>
      <c r="AB7" s="19" t="s">
        <v>42</v>
      </c>
      <c r="AC7" s="2" t="s">
        <v>113</v>
      </c>
      <c r="AD7" s="2" t="s">
        <v>62</v>
      </c>
      <c r="AE7" s="2" t="s">
        <v>114</v>
      </c>
      <c r="AF7" s="2" t="s">
        <v>54</v>
      </c>
      <c r="AG7" s="2">
        <v>10</v>
      </c>
      <c r="AH7" s="2" t="s">
        <v>54</v>
      </c>
    </row>
    <row r="8" spans="1:57">
      <c r="A8" s="2" t="s">
        <v>96</v>
      </c>
      <c r="B8" s="2">
        <v>1</v>
      </c>
      <c r="AB8" s="19" t="s">
        <v>101</v>
      </c>
      <c r="AC8" t="s">
        <v>74</v>
      </c>
      <c r="AD8" t="s">
        <v>61</v>
      </c>
      <c r="AE8" s="2"/>
      <c r="AF8" s="2"/>
      <c r="AG8">
        <v>2000</v>
      </c>
      <c r="AH8" t="s">
        <v>55</v>
      </c>
      <c r="BE8" s="20"/>
    </row>
    <row r="9" spans="1:57">
      <c r="A9" s="2" t="s">
        <v>95</v>
      </c>
      <c r="B9" s="2">
        <v>2016</v>
      </c>
      <c r="AB9" s="19" t="s">
        <v>101</v>
      </c>
      <c r="AC9" s="2" t="s">
        <v>103</v>
      </c>
      <c r="AD9" s="2" t="s">
        <v>62</v>
      </c>
      <c r="AE9" s="2" t="s">
        <v>96</v>
      </c>
      <c r="AF9" s="2" t="s">
        <v>55</v>
      </c>
      <c r="AG9" s="2">
        <v>3</v>
      </c>
      <c r="AH9" s="2" t="s">
        <v>54</v>
      </c>
    </row>
    <row r="10" spans="1:57">
      <c r="A10" s="2" t="s">
        <v>97</v>
      </c>
      <c r="B10" s="2">
        <v>1619074</v>
      </c>
      <c r="AB10" s="19" t="s">
        <v>101</v>
      </c>
      <c r="AC10" s="2" t="s">
        <v>104</v>
      </c>
      <c r="AD10" s="2" t="s">
        <v>62</v>
      </c>
      <c r="AE10" s="2" t="s">
        <v>95</v>
      </c>
      <c r="AF10" s="2" t="s">
        <v>55</v>
      </c>
      <c r="AG10" s="2">
        <v>4</v>
      </c>
      <c r="AH10" s="2" t="s">
        <v>54</v>
      </c>
    </row>
    <row r="11" spans="1:57">
      <c r="A11" s="2"/>
      <c r="B11" s="2"/>
      <c r="AB11" s="19" t="s">
        <v>101</v>
      </c>
      <c r="AC11" s="2" t="s">
        <v>105</v>
      </c>
      <c r="AD11" s="2" t="s">
        <v>62</v>
      </c>
      <c r="AE11" s="2" t="s">
        <v>97</v>
      </c>
      <c r="AF11" s="2" t="s">
        <v>55</v>
      </c>
      <c r="AG11" s="2">
        <v>10</v>
      </c>
      <c r="AH11" s="2" t="s">
        <v>54</v>
      </c>
    </row>
    <row r="12" spans="1:57">
      <c r="A12" s="2"/>
      <c r="B12" s="2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:W4">
      <formula1>INDIRECT("ProgramTypes[Code]")</formula1>
    </dataValidation>
    <dataValidation type="list" allowBlank="1" showInputMessage="1" showErrorMessage="1" sqref="Y3:Y4">
      <formula1>INDIRECT("ReturnTypes[Code]")</formula1>
    </dataValidation>
    <dataValidation type="list" allowBlank="1" showInputMessage="1" showErrorMessage="1" sqref="O3:O5">
      <formula1>INDIRECT("CreateModes[Code]")</formula1>
    </dataValidation>
    <dataValidation type="list" allowBlank="1" showInputMessage="1" showErrorMessage="1" sqref="Q3:Q5">
      <formula1>INDIRECT("ReportTypes[Code]")</formula1>
    </dataValidation>
    <dataValidation type="list" allowBlank="1" showInputMessage="1" showErrorMessage="1" sqref="P3:P5">
      <formula1>INDIRECT("Programs[Code]")</formula1>
    </dataValidation>
    <dataValidation type="list" allowBlank="1" showInputMessage="1" showErrorMessage="1" sqref="H3:H7">
      <formula1>INDIRECT("ActionTypes[Code]")</formula1>
    </dataValidation>
    <dataValidation type="list" allowBlank="1" showInputMessage="1" showErrorMessage="1" sqref="J3:J7">
      <formula1>INDIRECT("AfterAction")</formula1>
    </dataValidation>
    <dataValidation type="list" allowBlank="1" showInputMessage="1" showErrorMessage="1" sqref="AD3:AD11">
      <formula1>INDIRECT("Direction[Code]")</formula1>
    </dataValidation>
    <dataValidation type="list" allowBlank="1" showInputMessage="1" showErrorMessage="1" sqref="AF3:AF11 AH3:AH11">
      <formula1>INDIRECT("YesNo[Code]")</formula1>
    </dataValidation>
    <dataValidation type="whole" allowBlank="1" showInputMessage="1" showErrorMessage="1" sqref="AG3:AG11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133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41">
        <v>2016</v>
      </c>
      <c r="D4" s="11"/>
      <c r="E4" s="11"/>
    </row>
    <row r="5" spans="1:5">
      <c r="A5" s="11"/>
      <c r="B5" s="10" t="s">
        <v>109</v>
      </c>
      <c r="C5" s="42">
        <v>12</v>
      </c>
      <c r="D5" s="11"/>
      <c r="E5" s="11"/>
    </row>
    <row r="6" spans="1:5">
      <c r="A6" s="11"/>
      <c r="B6" s="10" t="s">
        <v>110</v>
      </c>
      <c r="C6" s="43"/>
      <c r="D6" s="11"/>
      <c r="E6" s="11"/>
    </row>
    <row r="7" spans="1:5" ht="1.5" customHeight="1">
      <c r="A7" s="31"/>
      <c r="B7" s="11"/>
      <c r="C7" s="11"/>
      <c r="D7" s="11"/>
      <c r="E7" s="31"/>
    </row>
    <row r="8" spans="1:5" ht="14.25" customHeight="1">
      <c r="A8" s="31"/>
      <c r="B8" s="31"/>
      <c r="C8" s="31"/>
      <c r="D8" s="31"/>
      <c r="E8" s="31"/>
    </row>
    <row r="9" spans="1:5" s="18" customFormat="1" ht="63.75" customHeight="1">
      <c r="A9" s="31"/>
      <c r="B9" s="40" t="s">
        <v>107</v>
      </c>
      <c r="C9" s="40"/>
      <c r="D9" s="40"/>
      <c r="E9" s="31"/>
    </row>
    <row r="10" spans="1:5" ht="14.25" customHeight="1">
      <c r="A10" s="31"/>
      <c r="B10" s="31"/>
      <c r="C10" s="31"/>
      <c r="D10" s="31"/>
      <c r="E10" s="31"/>
    </row>
    <row r="11" spans="1:5" ht="10.5" hidden="1" customHeight="1">
      <c r="A11" s="28"/>
      <c r="B11" s="29"/>
      <c r="C11" s="29"/>
      <c r="D11" s="29"/>
      <c r="E11" s="30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45" t="s">
        <v>129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131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132</v>
      </c>
    </row>
    <row r="3" spans="1:18">
      <c r="A3" t="s">
        <v>115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15</vt:i4>
      </vt:variant>
    </vt:vector>
  </HeadingPairs>
  <TitlesOfParts>
    <vt:vector size="20" baseType="lpstr">
      <vt:lpstr>ndfl2_tax_corr</vt:lpstr>
      <vt:lpstr>f2_error_report</vt:lpstr>
      <vt:lpstr>Settings</vt:lpstr>
      <vt:lpstr>Отчеты</vt:lpstr>
      <vt:lpstr>f2_full_namesake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2018-01-24T13:17:42Z</dcterms:modified>
</cp:coreProperties>
</file>