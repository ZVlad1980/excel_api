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2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4" activeTab="4"/>
  </bookViews>
  <sheets>
    <sheet name="ndfl2_tax_corr" sheetId="55" state="hidden" r:id="rId1"/>
    <sheet name="f2_error_report" sheetId="121" state="hidden" r:id="rId2"/>
    <sheet name="f2_arh_spravki_errors" sheetId="131" state="hidden" r:id="rId3"/>
    <sheet name="Settings" sheetId="103" state="hidden" r:id="rId4"/>
    <sheet name="Отчеты" sheetId="6" r:id="rId5"/>
    <sheet name="f2_full_namesake" sheetId="104" state="hidden" r:id="rId6"/>
    <sheet name="f2_diff_pers_data" sheetId="125" state="hidden" r:id="rId7"/>
    <sheet name="f2_ndfl_nalplat_pers" sheetId="130" state="hidden" r:id="rId8"/>
  </sheets>
  <functionGroups/>
  <definedNames>
    <definedName name="data_source_name">Settings!$B$3</definedName>
    <definedName name="menu_item_selected">Settings!$B$6</definedName>
    <definedName name="ndfl2_code_na">Settings!$B$8</definedName>
    <definedName name="ndfl2_contragent_id">Settings!$B$10</definedName>
    <definedName name="ndfl2_year">Settings!$B$9</definedName>
    <definedName name="oracle_owner">Settings!$B$4</definedName>
    <definedName name="output">Отчеты!$B$9</definedName>
    <definedName name="report_code">Settings!$B$7</definedName>
    <definedName name="report_year">f2_arh_spravki_errors!$T$1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sheet_name">Settings!$B$5</definedName>
    <definedName name="StartDate">Отчеты!$C$4</definedName>
    <definedName name="StartDateRow">Отчеты!$4:$4</definedName>
  </definedNames>
  <calcPr calcId="125725"/>
</workbook>
</file>

<file path=xl/calcChain.xml><?xml version="1.0" encoding="utf-8"?>
<calcChain xmlns="http://schemas.openxmlformats.org/spreadsheetml/2006/main">
  <c r="M2" i="131"/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<sst xmlns="http://schemas.openxmlformats.org/spreadsheetml/2006/main" count="465" uniqueCount="189">
  <si>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</si>
  <si>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</si>
  <si>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</si>
  <si>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</si>
  <si>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</si>
  <si>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</si>
  <si>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</si>
  <si>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</si>
  <si>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</si>
  <si>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</si>
  <si>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</si>
  <si>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</si>
  <si>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</si>
  <si>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</si>
  <si>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</si>
  <si>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</si>
  <si>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</si>
  <si>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>Дата</t>
  </si>
  <si>
    <t>Выберите отчет: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</si>
  <si>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</si>
  <si>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</si>
  <si>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</si>
  <si>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</si>
  <si>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</si>
  <si>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</si>
  <si>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</si>
  <si>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</si>
  <si>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</si>
  <si>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</si>
  <si>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</si>
  <si>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</si>
  <si>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</si>
  <si>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</si>
  <si>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</si>
  <si>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</si>
  <si>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</si>
  <si>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</si>
  <si>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</si>
  <si>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</si>
  <si>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</si>
  <si>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</si>
  <si>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</si>
  <si>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</si>
  <si>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</si>
  <si>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</si>
  <si>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</si>
  <si>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</si>
  <si>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</si>
  <si>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</si>
  <si>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</si>
  <si>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</si>
  <si>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</si>
  <si>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</si>
  <si>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</si>
  <si>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</si>
  <si>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</si>
  <si>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</si>
  <si>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</si>
  <si>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</si>
  <si>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</si>
  <si>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</si>
  <si>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</si>
  <si>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</si>
  <si>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</si>
  <si>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</si>
  <si>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</si>
  <si>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</si>
  <si>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</si>
  <si>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</si>
  <si>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</si>
  <si>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</si>
  <si>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</si>
  <si>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Size</t>
  </si>
  <si>
    <t>Oracle</t>
  </si>
  <si>
    <t>x_err_msg</t>
  </si>
  <si>
    <t>output</t>
  </si>
  <si>
    <t>AfterAction</t>
  </si>
  <si>
    <t>Break</t>
  </si>
  <si>
    <t>data_source_name</t>
  </si>
  <si>
    <t xml:space="preserve"> </t>
  </si>
  <si>
    <t>gateway_pkg.get_report</t>
  </si>
  <si>
    <t>Tokens</t>
  </si>
  <si>
    <t>points</t>
  </si>
  <si>
    <t>FND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</si>
  <si>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</si>
  <si>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</si>
  <si>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</si>
  <si>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</si>
  <si>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</si>
  <si>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</si>
  <si>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</si>
  <si>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</si>
  <si>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</si>
  <si>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</si>
  <si>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</si>
  <si>
    <t>ndfl2_year</t>
  </si>
  <si>
    <t>ndfl2_code_na</t>
  </si>
  <si>
    <t>ndfl2_contragent_id</t>
  </si>
  <si>
    <t>code_na</t>
  </si>
  <si>
    <t>year</t>
  </si>
  <si>
    <t>contragent_id</t>
  </si>
  <si>
    <t>create_ndfl2</t>
  </si>
  <si>
    <t>gateway_pkg.create_ndfl2</t>
  </si>
  <si>
    <t>p_code_na</t>
  </si>
  <si>
    <t>p_year</t>
  </si>
  <si>
    <t>p_contragent_id</t>
  </si>
  <si>
    <t>FONDDB</t>
  </si>
  <si>
    <t>Ок</t>
  </si>
  <si>
    <t>Год</t>
  </si>
  <si>
    <t>Месяц</t>
  </si>
  <si>
    <t>Дата отчета</t>
  </si>
  <si>
    <t>ReportYear</t>
  </si>
  <si>
    <t>ReportMonth</t>
  </si>
  <si>
    <t>p_report_date</t>
  </si>
  <si>
    <t>ReportDate</t>
  </si>
  <si>
    <t>f2_full_namesake</t>
  </si>
  <si>
    <t>Совпадение перс данных</t>
  </si>
  <si>
    <t>Совпадение персональных данных</t>
  </si>
  <si>
    <t>GAZFOND
Contragent Id</t>
  </si>
  <si>
    <t>FND
SSYLKA</t>
  </si>
  <si>
    <t>тип дохода</t>
  </si>
  <si>
    <t>ИНН</t>
  </si>
  <si>
    <t>Фамилия</t>
  </si>
  <si>
    <t>Имя</t>
  </si>
  <si>
    <t>Отчество</t>
  </si>
  <si>
    <t>Дата
рождения</t>
  </si>
  <si>
    <t>тип
удосто-верения</t>
  </si>
  <si>
    <t>Серия и номер</t>
  </si>
  <si>
    <t>Статус НП</t>
  </si>
  <si>
    <r>
      <rPr>
        <b/>
        <sz val="13"/>
        <color theme="1"/>
        <rFont val="Calibri"/>
        <family val="2"/>
        <charset val="204"/>
        <scheme val="minor"/>
      </rPr>
      <t>Совпадение персональных данных 
у разных контрагентов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</si>
  <si>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p_month</t>
  </si>
  <si>
    <t>Гражданство</t>
  </si>
  <si>
    <t>Тип сопадения</t>
  </si>
  <si>
    <t>Ошибки в справках 2НДФЛ</t>
  </si>
  <si>
    <t>f2_error_report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</si>
  <si>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</si>
  <si>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Ошибка</t>
  </si>
  <si>
    <t>Расхождение персональных данных</t>
  </si>
  <si>
    <t>f2_diff_pers_data</t>
  </si>
  <si>
    <t>Расхождение перс данных</t>
  </si>
  <si>
    <r>
      <rPr>
        <b/>
        <sz val="13"/>
        <color theme="1"/>
        <rFont val="Calibri"/>
        <family val="2"/>
        <charset val="204"/>
        <scheme val="minor"/>
      </rPr>
      <t>Расхождение персональных данных 
у одного контрагента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</si>
  <si>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Отчеты 2НФДЛ</t>
  </si>
  <si>
    <t>f2_all_reports</t>
  </si>
  <si>
    <t>f2_nalplat</t>
  </si>
  <si>
    <t>gateway_pkg.fill_ndfl_load_nalplat</t>
  </si>
  <si>
    <t>f2_ndfl_nalplat_pers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</si>
  <si>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</si>
  <si>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</si>
  <si>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</si>
  <si>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Расхождение списка налогоплательщиков</t>
  </si>
  <si>
    <t>Расхождение НА</t>
  </si>
  <si>
    <t>Обновить список налогоплательщиков</t>
  </si>
  <si>
    <t>nom_vkl</t>
  </si>
  <si>
    <t>nom_ips</t>
  </si>
  <si>
    <t>ssylka</t>
  </si>
  <si>
    <t>Person type</t>
  </si>
  <si>
    <t>14</t>
  </si>
  <si>
    <t>Сформировать F2NDFL_LOAD_SPRAVKI</t>
  </si>
  <si>
    <t>f2_load_spravki</t>
  </si>
  <si>
    <t>f2_ndfl_api</t>
  </si>
  <si>
    <t>gateway_pkg.f2_ndfl_api</t>
  </si>
  <si>
    <t>p_action_code</t>
  </si>
  <si>
    <t>Resident</t>
  </si>
  <si>
    <t>15</t>
  </si>
  <si>
    <t>16</t>
  </si>
  <si>
    <t>Сформировать суммовые показатели 2НДФЛ</t>
  </si>
  <si>
    <t>f2_arh_total</t>
  </si>
  <si>
    <t>Нумерация справок ARH_SPRAVKI</t>
  </si>
  <si>
    <t>f2_enumeration</t>
  </si>
  <si>
    <t>Ошибки F2NDFL_ARH_SPRAVKI</t>
  </si>
  <si>
    <t>f2_arh_spravki_errors</t>
  </si>
  <si>
    <t>Ошибки в персональных данных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</si>
  <si>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</si>
  <si>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Тип ошибки</t>
  </si>
  <si>
    <t>ИД контрагента</t>
  </si>
  <si>
    <t>Дата рождения</t>
  </si>
  <si>
    <t>Резидент</t>
  </si>
  <si>
    <t>Серия и номер УЛ</t>
  </si>
  <si>
    <t>Код УЛ</t>
  </si>
  <si>
    <t>ИНН2</t>
  </si>
  <si>
    <t>Гражданство2</t>
  </si>
  <si>
    <t>Резидент2</t>
  </si>
  <si>
    <t>Код УЛ2</t>
  </si>
  <si>
    <t>Серия и номер УЛ3</t>
  </si>
  <si>
    <t>#ReportYear#</t>
  </si>
  <si>
    <t>Копирование в F2NDFL_ARH</t>
  </si>
  <si>
    <t>f2_copy2arh</t>
  </si>
  <si>
    <t>Подготовка XML</t>
  </si>
  <si>
    <t>f2_init_xml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</si>
</sst>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6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b/>
      <sz val="10"/>
      <name val="Arial Cyr"/>
      <charset val="204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4" fillId="0" borderId="0"/>
    <xf numFmtId="165" fontId="9" fillId="0" borderId="0"/>
    <xf numFmtId="0" fontId="8" fillId="0" borderId="0"/>
    <xf numFmtId="0" fontId="4" fillId="0" borderId="0"/>
    <xf numFmtId="0" fontId="8" fillId="0" borderId="0"/>
  </cellStyleXfs>
  <cellXfs count="7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0" fontId="5" fillId="2" borderId="0" xfId="0" applyFont="1" applyFill="1" applyBorder="1"/>
    <xf numFmtId="0" fontId="0" fillId="0" borderId="0" xfId="0" applyFill="1" applyAlignment="1"/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1" fontId="0" fillId="0" borderId="2" xfId="0" applyNumberForma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wrapText="1"/>
    </xf>
    <xf numFmtId="0" fontId="10" fillId="0" borderId="0" xfId="0" applyFont="1" applyBorder="1" applyAlignment="1">
      <alignment vertical="center" wrapText="1"/>
    </xf>
    <xf numFmtId="0" fontId="12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NumberFormat="1" applyFont="1" applyAlignment="1">
      <alignment horizontal="center" vertical="center"/>
    </xf>
    <xf numFmtId="14" fontId="0" fillId="0" borderId="0" xfId="0" applyNumberFormat="1"/>
    <xf numFmtId="0" fontId="1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3" fillId="5" borderId="1" xfId="0" applyNumberFormat="1" applyFont="1" applyFill="1" applyBorder="1" applyAlignment="1">
      <alignment horizontal="center" vertical="center" wrapText="1"/>
    </xf>
    <xf numFmtId="1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left" vertical="center"/>
    </xf>
    <xf numFmtId="49" fontId="14" fillId="0" borderId="1" xfId="0" applyNumberFormat="1" applyFont="1" applyBorder="1" applyAlignment="1">
      <alignment horizontal="center" vertical="center"/>
    </xf>
    <xf numFmtId="49" fontId="14" fillId="0" borderId="1" xfId="0" applyNumberFormat="1" applyFont="1" applyBorder="1" applyAlignment="1">
      <alignment vertical="center"/>
    </xf>
    <xf numFmtId="0" fontId="13" fillId="5" borderId="2" xfId="0" applyNumberFormat="1" applyFont="1" applyFill="1" applyBorder="1" applyAlignment="1">
      <alignment horizontal="center" vertical="center" wrapText="1"/>
    </xf>
    <xf numFmtId="0" fontId="13" fillId="5" borderId="7" xfId="0" applyNumberFormat="1" applyFont="1" applyFill="1" applyBorder="1" applyAlignment="1">
      <alignment horizontal="center" vertical="center" wrapText="1"/>
    </xf>
    <xf numFmtId="0" fontId="13" fillId="5" borderId="8" xfId="0" applyNumberFormat="1" applyFont="1" applyFill="1" applyBorder="1" applyAlignment="1">
      <alignment horizontal="center" vertical="center" wrapText="1"/>
    </xf>
    <xf numFmtId="49" fontId="0" fillId="0" borderId="11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14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left" vertical="top" wrapText="1"/>
    </xf>
    <xf numFmtId="0" fontId="12" fillId="5" borderId="1" xfId="0" applyNumberFormat="1" applyFont="1" applyFill="1" applyBorder="1" applyAlignment="1">
      <alignment horizontal="center" vertical="center" wrapText="1"/>
    </xf>
    <xf numFmtId="0" fontId="15" fillId="5" borderId="2" xfId="0" applyNumberFormat="1" applyFont="1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75"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19" formatCode="dd/mm/yyyy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2FFF6F"/>
      <color rgb="FFDCDCD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0</xdr:rowOff>
    </xdr:from>
    <xdr:to>
      <xdr:col>0</xdr:col>
      <xdr:colOff>895350</xdr:colOff>
      <xdr:row>2</xdr:row>
      <xdr:rowOff>352425</xdr:rowOff>
    </xdr:to>
    <xdr:sp macro="[0]!create_ndfl2_corr" textlink="">
      <xdr:nvSpPr>
        <xdr:cNvPr id="2" name="btnAddNDFL2" descr="Сформировать корректирующую справку"/>
        <xdr:cNvSpPr/>
      </xdr:nvSpPr>
      <xdr:spPr>
        <a:xfrm>
          <a:off x="571500" y="1123950"/>
          <a:ext cx="323850" cy="352425"/>
        </a:xfrm>
        <a:prstGeom prst="mathPlus">
          <a:avLst/>
        </a:prstGeom>
        <a:solidFill>
          <a:srgbClr val="2FFF6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P5" totalsRowShown="0" headerRowDxfId="74" dataDxfId="72" headerRowBorderDxfId="73" tableBorderDxfId="71" totalsRowBorderDxfId="70">
  <autoFilter ref="A4:P5">
    <filterColumn colId="1"/>
    <filterColumn colId="2"/>
    <filterColumn colId="3"/>
    <filterColumn colId="13"/>
    <filterColumn colId="14"/>
    <filterColumn colId="15"/>
  </autoFilter>
  <tableColumns count="16">
    <tableColumn id="1" name="1" dataDxfId="69"/>
    <tableColumn id="16" name="code_na" dataDxfId="68"/>
    <tableColumn id="15" name="year" dataDxfId="67"/>
    <tableColumn id="9" name="contragent_id" dataDxfId="66"/>
    <tableColumn id="2" name="2" dataDxfId="65"/>
    <tableColumn id="5" name="3" dataDxfId="64"/>
    <tableColumn id="6" name="4" dataDxfId="63"/>
    <tableColumn id="7" name="5" dataDxfId="62"/>
    <tableColumn id="10" name="6" dataDxfId="61"/>
    <tableColumn id="11" name="7" dataDxfId="60"/>
    <tableColumn id="12" name="8" dataDxfId="59"/>
    <tableColumn id="13" name="9" dataDxfId="58"/>
    <tableColumn id="14" name="10" dataDxfId="57"/>
    <tableColumn id="3" name="11" dataDxfId="56"/>
    <tableColumn id="4" name="12" dataDxfId="55"/>
    <tableColumn id="8" name="13" dataDxf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53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Таблица5" displayName="Таблица5" ref="A3:Q4" totalsRowShown="0" headerRowDxfId="52" dataDxfId="50" headerRowBorderDxfId="51" tableBorderDxfId="49" totalsRowBorderDxfId="48">
  <autoFilter ref="A3:Q4">
    <filterColumn colId="12"/>
    <filterColumn colId="13"/>
    <filterColumn colId="14"/>
    <filterColumn colId="15"/>
    <filterColumn colId="16"/>
  </autoFilter>
  <tableColumns count="17">
    <tableColumn id="1" name="Тип ошибки" dataDxfId="47"/>
    <tableColumn id="2" name="Ошибка" dataDxfId="46"/>
    <tableColumn id="3" name="ИД контрагента" dataDxfId="45"/>
    <tableColumn id="4" name="Фамилия" dataDxfId="44"/>
    <tableColumn id="5" name="Имя" dataDxfId="43"/>
    <tableColumn id="6" name="Отчество" dataDxfId="42"/>
    <tableColumn id="7" name="Дата рождения" dataDxfId="41"/>
    <tableColumn id="8" name="ИНН" dataDxfId="40"/>
    <tableColumn id="9" name="Гражданство" dataDxfId="39"/>
    <tableColumn id="10" name="Резидент" dataDxfId="38"/>
    <tableColumn id="11" name="Код УЛ" dataDxfId="37"/>
    <tableColumn id="12" name="Серия и номер УЛ" dataDxfId="36"/>
    <tableColumn id="13" name="ИНН2" dataDxfId="4"/>
    <tableColumn id="14" name="Гражданство2" dataDxfId="3"/>
    <tableColumn id="15" name="Резидент2" dataDxfId="2"/>
    <tableColumn id="16" name="Код УЛ2" dataDxfId="1"/>
    <tableColumn id="17" name="Серия и номер УЛ3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Menu" displayName="Menu" ref="D2:E15" totalsRowShown="0">
  <autoFilter ref="D2:E15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Actions" displayName="Actions" ref="G2:K20" totalsRowShown="0">
  <autoFilter ref="G2:K20">
    <filterColumn colId="3"/>
    <filterColumn colId="4"/>
  </autoFilter>
  <tableColumns count="5">
    <tableColumn id="1" name="Code"/>
    <tableColumn id="2" name="Type"/>
    <tableColumn id="3" name="ActionCode"/>
    <tableColumn id="4" name="AfterAction"/>
    <tableColumn id="5" name="Parameter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1" name="Programs" displayName="Programs" ref="W2:AA6" totalsRowShown="0">
  <autoFilter ref="W2:AA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Reports" displayName="Reports" ref="M2:R8" totalsRowShown="0">
  <autoFilter ref="M2:R8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3" name="SubReports" displayName="SubReports" ref="T2:U3" insertRow="1" totalsRowShown="0">
  <autoFilter ref="T2:U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GeneralOptions" displayName="GeneralOptions" ref="A2:B10" headerRowBorderDxfId="35" tableBorderDxfId="34" totalsRowBorderDxfId="33">
  <autoFilter ref="A2:B10"/>
  <tableColumns count="2">
    <tableColumn id="1" name="Key" totalsRowLabel="Итог" totalsRowDxfId="32"/>
    <tableColumn id="2" name="Value" totalsRowFunction="count" totalsRowDxfId="3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7" name="ActionTypes" displayName="ActionTypes" ref="AK2:AK4" totalsRowShown="0" tableBorderDxfId="30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2" name="Parameters" displayName="Parameters" ref="AC2:AI19" totalsRowShown="0">
  <autoFilter ref="AC2:AI19">
    <filterColumn colId="5"/>
    <filterColumn colId="6"/>
  </autoFilter>
  <tableColumns count="7">
    <tableColumn id="1" name="Program" dataDxfId="29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7" name="CommonTokens" displayName="CommonTokens" ref="BC2:BD4" totalsRowShown="0">
  <autoFilter ref="BC2:BD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Таблица16" displayName="Таблица16" ref="C3:C5" totalsRowShown="0" headerRowDxfId="28" dataDxfId="27" tableBorderDxfId="26">
  <tableColumns count="1">
    <tableColumn id="1" name="Столбец1" dataDxfId="25"/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id="4" name="Таблица4" displayName="Таблица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24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43" name="Таблица444" displayName="Таблица44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23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48" name="Таблица44449" displayName="Таблица44449" ref="A4:P5" totalsRowShown="0" headerRowDxfId="22" dataDxfId="21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20"/>
    <tableColumn id="14" name="2" dataDxfId="19"/>
    <tableColumn id="1" name="3" dataDxfId="18"/>
    <tableColumn id="16" name="4" dataDxfId="17"/>
    <tableColumn id="17" name="5" dataDxfId="16"/>
    <tableColumn id="2" name="6" dataDxfId="15"/>
    <tableColumn id="3" name="7" dataDxfId="14"/>
    <tableColumn id="25" name="8" dataDxfId="13"/>
    <tableColumn id="18" name="9" dataDxfId="12"/>
    <tableColumn id="19" name="10" dataDxfId="11"/>
    <tableColumn id="20" name="11" dataDxfId="10"/>
    <tableColumn id="21" name="12" dataDxfId="9"/>
    <tableColumn id="22" name="13" dataDxfId="8"/>
    <tableColumn id="23" name="14" dataDxfId="7"/>
    <tableColumn id="24" name="15" dataDxfId="6"/>
    <tableColumn id="26" name="16" dataDxfId="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DFL2"/>
  <dimension ref="A1:P5"/>
  <sheetViews>
    <sheetView workbookViewId="0">
      <pane ySplit="4" topLeftCell="A5" activePane="bottomLeft" state="frozen"/>
      <selection sqref="A1:I1"/>
      <selection pane="bottomLeft" activeCell="G11" sqref="G11"/>
    </sheetView>
  </sheetViews>
  <sheetFormatPr defaultRowHeight="15"/>
  <cols>
    <col min="1" max="1" width="13.5703125" customWidth="1"/>
    <col min="2" max="4" width="13.5703125" hidden="1" customWidth="1"/>
    <col min="5" max="5" width="12.42578125" customWidth="1"/>
    <col min="6" max="6" width="16.7109375" customWidth="1"/>
    <col min="7" max="7" width="51.7109375" customWidth="1"/>
    <col min="8" max="8" width="16.7109375" customWidth="1"/>
    <col min="9" max="10" width="13.5703125" customWidth="1"/>
    <col min="11" max="12" width="16.7109375" customWidth="1"/>
    <col min="13" max="16" width="17.85546875" customWidth="1"/>
  </cols>
  <sheetData>
    <row r="1" spans="1:16" ht="44.25" customHeight="1">
      <c r="A1" s="64" t="s">
        <v>88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</row>
    <row r="2" spans="1:16" ht="44.25" customHeight="1">
      <c r="A2" s="61"/>
      <c r="B2" s="62"/>
      <c r="C2" s="62"/>
      <c r="D2" s="62"/>
      <c r="E2" s="62"/>
      <c r="F2" s="62"/>
      <c r="G2" s="63"/>
      <c r="H2" s="60" t="s">
        <v>91</v>
      </c>
      <c r="I2" s="60"/>
      <c r="J2" s="60"/>
      <c r="K2" s="60"/>
      <c r="L2" s="60"/>
      <c r="M2" s="60" t="s">
        <v>92</v>
      </c>
      <c r="N2" s="60"/>
      <c r="O2" s="60" t="s">
        <v>93</v>
      </c>
      <c r="P2" s="60"/>
    </row>
    <row r="3" spans="1:16" ht="78" customHeight="1">
      <c r="A3" s="22" t="s">
        <v>85</v>
      </c>
      <c r="B3" s="22"/>
      <c r="C3" s="22"/>
      <c r="D3" s="22"/>
      <c r="E3" s="22" t="s">
        <v>86</v>
      </c>
      <c r="F3" s="21" t="s">
        <v>87</v>
      </c>
      <c r="G3" s="21" t="s">
        <v>20</v>
      </c>
      <c r="H3" s="22" t="s">
        <v>89</v>
      </c>
      <c r="I3" s="4" t="s">
        <v>90</v>
      </c>
      <c r="J3" s="4" t="s">
        <v>17</v>
      </c>
      <c r="K3" s="4" t="s">
        <v>0</v>
      </c>
      <c r="L3" s="4" t="s">
        <v>14</v>
      </c>
      <c r="M3" s="4" t="s">
        <v>0</v>
      </c>
      <c r="N3" s="4" t="s">
        <v>14</v>
      </c>
      <c r="O3" s="4" t="s">
        <v>0</v>
      </c>
      <c r="P3" s="4" t="s">
        <v>14</v>
      </c>
    </row>
    <row r="4" spans="1:16">
      <c r="A4" s="5" t="s">
        <v>1</v>
      </c>
      <c r="B4" s="26" t="s">
        <v>98</v>
      </c>
      <c r="C4" s="26" t="s">
        <v>99</v>
      </c>
      <c r="D4" s="26" t="s">
        <v>100</v>
      </c>
      <c r="E4" s="5" t="s">
        <v>2</v>
      </c>
      <c r="F4" s="5" t="s">
        <v>3</v>
      </c>
      <c r="G4" s="5" t="s">
        <v>4</v>
      </c>
      <c r="H4" s="5" t="s">
        <v>5</v>
      </c>
      <c r="I4" s="6" t="s">
        <v>6</v>
      </c>
      <c r="J4" s="6" t="s">
        <v>7</v>
      </c>
      <c r="K4" s="6" t="s">
        <v>8</v>
      </c>
      <c r="L4" s="6" t="s">
        <v>9</v>
      </c>
      <c r="M4" s="6" t="s">
        <v>10</v>
      </c>
      <c r="N4" s="6" t="s">
        <v>11</v>
      </c>
      <c r="O4" s="6" t="s">
        <v>12</v>
      </c>
      <c r="P4" s="6" t="s">
        <v>13</v>
      </c>
    </row>
    <row r="5" spans="1:16">
      <c r="A5" s="25" t="s">
        <v>84</v>
      </c>
      <c r="B5" s="27"/>
      <c r="C5" s="27"/>
      <c r="D5" s="2"/>
      <c r="E5" s="9"/>
      <c r="F5" s="9"/>
      <c r="G5" s="23"/>
      <c r="H5" s="8"/>
      <c r="I5" s="7"/>
      <c r="J5" s="1"/>
      <c r="K5" s="24"/>
      <c r="L5" s="24"/>
      <c r="M5" s="24"/>
      <c r="N5" s="24"/>
      <c r="O5" s="24"/>
      <c r="P5" s="24"/>
    </row>
  </sheetData>
  <mergeCells count="5">
    <mergeCell ref="O2:P2"/>
    <mergeCell ref="A2:G2"/>
    <mergeCell ref="H2:L2"/>
    <mergeCell ref="M2:N2"/>
    <mergeCell ref="A1:P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65" t="s">
        <v>135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136</v>
      </c>
    </row>
    <row r="3" spans="1:18">
      <c r="A3" t="s">
        <v>134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T4"/>
  <sheetViews>
    <sheetView zoomScale="145" zoomScaleNormal="14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3" width="15.28515625" customWidth="1"/>
    <col min="14" max="14" width="11.42578125" customWidth="1"/>
    <col min="15" max="15" width="4.42578125" customWidth="1"/>
    <col min="16" max="16" width="4.140625" customWidth="1"/>
    <col min="17" max="17" width="15.7109375" customWidth="1"/>
  </cols>
  <sheetData>
    <row r="1" spans="1:20" ht="77.25" customHeight="1">
      <c r="A1" s="64" t="s">
        <v>172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T1" t="s">
        <v>184</v>
      </c>
    </row>
    <row r="2" spans="1:20" ht="18" customHeight="1">
      <c r="A2" s="62" t="s">
        <v>184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72" t="e">
        <f>report_year-1</f>
        <v>#VALUE!</v>
      </c>
      <c r="N2" s="73"/>
      <c r="O2" s="73"/>
      <c r="P2" s="73"/>
      <c r="Q2" s="74"/>
    </row>
    <row r="3" spans="1:20" ht="31.5" customHeight="1">
      <c r="A3" s="53" t="s">
        <v>173</v>
      </c>
      <c r="B3" s="52" t="s">
        <v>136</v>
      </c>
      <c r="C3" s="52" t="s">
        <v>174</v>
      </c>
      <c r="D3" s="52" t="s">
        <v>122</v>
      </c>
      <c r="E3" s="52" t="s">
        <v>123</v>
      </c>
      <c r="F3" s="52" t="s">
        <v>124</v>
      </c>
      <c r="G3" s="52" t="s">
        <v>175</v>
      </c>
      <c r="H3" s="52" t="s">
        <v>121</v>
      </c>
      <c r="I3" s="52" t="s">
        <v>131</v>
      </c>
      <c r="J3" s="52" t="s">
        <v>176</v>
      </c>
      <c r="K3" s="52" t="s">
        <v>178</v>
      </c>
      <c r="L3" s="54" t="s">
        <v>177</v>
      </c>
      <c r="M3" s="71" t="s">
        <v>179</v>
      </c>
      <c r="N3" s="71" t="s">
        <v>180</v>
      </c>
      <c r="O3" s="71" t="s">
        <v>181</v>
      </c>
      <c r="P3" s="71" t="s">
        <v>182</v>
      </c>
      <c r="Q3" s="71" t="s">
        <v>183</v>
      </c>
    </row>
    <row r="4" spans="1:20">
      <c r="A4" s="55" t="s">
        <v>170</v>
      </c>
      <c r="B4" s="56"/>
      <c r="C4" s="56"/>
      <c r="D4" s="56"/>
      <c r="E4" s="56"/>
      <c r="F4" s="56"/>
      <c r="G4" s="57"/>
      <c r="H4" s="58"/>
      <c r="I4" s="56"/>
      <c r="J4" s="58"/>
      <c r="K4" s="58"/>
      <c r="L4" s="59"/>
      <c r="M4" s="58"/>
      <c r="N4" s="56"/>
      <c r="O4" s="58"/>
      <c r="P4" s="58"/>
      <c r="Q4" s="59"/>
    </row>
  </sheetData>
  <mergeCells count="3">
    <mergeCell ref="A1:L1"/>
    <mergeCell ref="M2:Q2"/>
    <mergeCell ref="A2:L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ettings"/>
  <dimension ref="A1:BF20"/>
  <sheetViews>
    <sheetView workbookViewId="0">
      <selection activeCell="G20" sqref="G20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13" customWidth="1"/>
    <col min="11" max="11" width="23" customWidth="1"/>
    <col min="12" max="12" width="7.5703125" customWidth="1"/>
    <col min="13" max="14" width="30.7109375" bestFit="1" customWidth="1"/>
    <col min="15" max="15" width="32.42578125" bestFit="1" customWidth="1"/>
    <col min="16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1.85546875" bestFit="1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66" t="s">
        <v>33</v>
      </c>
      <c r="B1" s="66"/>
      <c r="D1" s="67" t="s">
        <v>34</v>
      </c>
      <c r="E1" s="67"/>
      <c r="G1" s="67" t="s">
        <v>29</v>
      </c>
      <c r="H1" s="67"/>
      <c r="I1" s="67"/>
      <c r="J1" s="67"/>
      <c r="K1" s="28"/>
      <c r="M1" s="67" t="s">
        <v>26</v>
      </c>
      <c r="N1" s="67"/>
      <c r="O1" s="67"/>
      <c r="P1" s="67"/>
      <c r="Q1" s="67"/>
      <c r="R1" s="67"/>
      <c r="T1" s="67" t="s">
        <v>30</v>
      </c>
      <c r="U1" s="67"/>
      <c r="W1" s="67" t="s">
        <v>23</v>
      </c>
      <c r="X1" s="67"/>
      <c r="Y1" s="67"/>
      <c r="Z1" s="67"/>
      <c r="AA1" s="67"/>
      <c r="AC1" s="67" t="s">
        <v>57</v>
      </c>
      <c r="AD1" s="67"/>
      <c r="AE1" s="67"/>
      <c r="AF1" s="67"/>
      <c r="AG1" s="67"/>
      <c r="AH1" s="67"/>
      <c r="AI1" s="67"/>
      <c r="AK1" s="14" t="s">
        <v>45</v>
      </c>
      <c r="AM1" s="14" t="s">
        <v>47</v>
      </c>
      <c r="AO1" s="14" t="s">
        <v>49</v>
      </c>
      <c r="AQ1" s="14" t="s">
        <v>56</v>
      </c>
      <c r="AS1" s="14" t="s">
        <v>65</v>
      </c>
      <c r="AU1" s="14" t="s">
        <v>66</v>
      </c>
      <c r="AW1" s="14" t="s">
        <v>58</v>
      </c>
      <c r="AY1" s="14" t="s">
        <v>71</v>
      </c>
      <c r="BA1" s="14" t="s">
        <v>76</v>
      </c>
      <c r="BC1" s="68" t="s">
        <v>81</v>
      </c>
      <c r="BD1" s="68"/>
    </row>
    <row r="2" spans="1:58">
      <c r="A2" s="2" t="s">
        <v>52</v>
      </c>
      <c r="B2" s="2" t="s">
        <v>32</v>
      </c>
      <c r="D2" t="s">
        <v>27</v>
      </c>
      <c r="E2" t="s">
        <v>37</v>
      </c>
      <c r="G2" t="s">
        <v>27</v>
      </c>
      <c r="H2" t="s">
        <v>39</v>
      </c>
      <c r="I2" t="s">
        <v>28</v>
      </c>
      <c r="J2" t="s">
        <v>76</v>
      </c>
      <c r="K2" t="s">
        <v>57</v>
      </c>
      <c r="M2" t="s">
        <v>27</v>
      </c>
      <c r="N2" t="s">
        <v>16</v>
      </c>
      <c r="O2" t="s">
        <v>19</v>
      </c>
      <c r="P2" t="s">
        <v>46</v>
      </c>
      <c r="Q2" t="s">
        <v>41</v>
      </c>
      <c r="R2" t="s">
        <v>35</v>
      </c>
      <c r="T2" t="s">
        <v>27</v>
      </c>
      <c r="U2" t="s">
        <v>31</v>
      </c>
      <c r="W2" t="s">
        <v>27</v>
      </c>
      <c r="X2" t="s">
        <v>39</v>
      </c>
      <c r="Y2" t="s">
        <v>53</v>
      </c>
      <c r="Z2" t="s">
        <v>59</v>
      </c>
      <c r="AA2" t="s">
        <v>43</v>
      </c>
      <c r="AC2" t="s">
        <v>41</v>
      </c>
      <c r="AD2" t="s">
        <v>67</v>
      </c>
      <c r="AE2" t="s">
        <v>58</v>
      </c>
      <c r="AF2" t="s">
        <v>68</v>
      </c>
      <c r="AG2" t="s">
        <v>69</v>
      </c>
      <c r="AH2" t="s">
        <v>72</v>
      </c>
      <c r="AI2" t="s">
        <v>75</v>
      </c>
      <c r="AK2" t="s">
        <v>27</v>
      </c>
      <c r="AM2" t="s">
        <v>27</v>
      </c>
      <c r="AO2" t="s">
        <v>27</v>
      </c>
      <c r="AQ2" t="s">
        <v>27</v>
      </c>
      <c r="AS2" t="s">
        <v>27</v>
      </c>
      <c r="AU2" t="s">
        <v>27</v>
      </c>
      <c r="AW2" t="s">
        <v>27</v>
      </c>
      <c r="AY2" t="s">
        <v>27</v>
      </c>
      <c r="BA2" t="s">
        <v>27</v>
      </c>
      <c r="BC2" t="s">
        <v>52</v>
      </c>
      <c r="BD2" t="s">
        <v>32</v>
      </c>
    </row>
    <row r="3" spans="1:58">
      <c r="A3" s="2" t="s">
        <v>78</v>
      </c>
      <c r="B3" s="2" t="s">
        <v>106</v>
      </c>
      <c r="D3" t="s">
        <v>94</v>
      </c>
      <c r="E3" t="s">
        <v>84</v>
      </c>
      <c r="G3" t="s">
        <v>84</v>
      </c>
      <c r="H3" t="s">
        <v>24</v>
      </c>
      <c r="I3" t="s">
        <v>84</v>
      </c>
      <c r="M3" t="s">
        <v>84</v>
      </c>
      <c r="N3" t="s">
        <v>84</v>
      </c>
      <c r="O3" t="s">
        <v>94</v>
      </c>
      <c r="P3" t="s">
        <v>44</v>
      </c>
      <c r="Q3" t="s">
        <v>42</v>
      </c>
      <c r="R3" t="s">
        <v>50</v>
      </c>
      <c r="W3" s="2" t="s">
        <v>42</v>
      </c>
      <c r="X3" t="s">
        <v>73</v>
      </c>
      <c r="Y3" t="s">
        <v>55</v>
      </c>
      <c r="Z3" t="s">
        <v>60</v>
      </c>
      <c r="AA3" s="2" t="s">
        <v>80</v>
      </c>
      <c r="AC3" s="2" t="s">
        <v>42</v>
      </c>
      <c r="AD3" t="s">
        <v>74</v>
      </c>
      <c r="AE3" t="s">
        <v>61</v>
      </c>
      <c r="AH3">
        <v>2000</v>
      </c>
      <c r="AI3" t="s">
        <v>55</v>
      </c>
      <c r="AK3" s="12" t="s">
        <v>24</v>
      </c>
      <c r="AM3" t="s">
        <v>44</v>
      </c>
      <c r="AO3" t="s">
        <v>50</v>
      </c>
      <c r="AQ3" t="s">
        <v>40</v>
      </c>
      <c r="AS3" t="s">
        <v>64</v>
      </c>
      <c r="AU3" t="s">
        <v>60</v>
      </c>
      <c r="AW3" t="s">
        <v>62</v>
      </c>
      <c r="AY3" t="s">
        <v>55</v>
      </c>
      <c r="BA3" t="s">
        <v>77</v>
      </c>
      <c r="BC3" t="s">
        <v>111</v>
      </c>
      <c r="BD3" t="s">
        <v>111</v>
      </c>
    </row>
    <row r="4" spans="1:58">
      <c r="A4" s="3" t="s">
        <v>21</v>
      </c>
      <c r="B4" s="3" t="s">
        <v>83</v>
      </c>
      <c r="D4" t="s">
        <v>141</v>
      </c>
      <c r="E4" s="2" t="s">
        <v>142</v>
      </c>
      <c r="G4" s="2" t="s">
        <v>101</v>
      </c>
      <c r="H4" s="2" t="s">
        <v>25</v>
      </c>
      <c r="I4" s="2" t="s">
        <v>101</v>
      </c>
      <c r="J4" s="2"/>
      <c r="K4" s="2" t="s">
        <v>101</v>
      </c>
      <c r="M4" s="2" t="s">
        <v>115</v>
      </c>
      <c r="N4" s="2" t="s">
        <v>115</v>
      </c>
      <c r="O4" s="2" t="s">
        <v>116</v>
      </c>
      <c r="P4" t="s">
        <v>44</v>
      </c>
      <c r="Q4" t="s">
        <v>42</v>
      </c>
      <c r="R4" t="s">
        <v>50</v>
      </c>
      <c r="W4" s="2" t="s">
        <v>101</v>
      </c>
      <c r="X4" t="s">
        <v>73</v>
      </c>
      <c r="Y4" t="s">
        <v>55</v>
      </c>
      <c r="Z4" s="2"/>
      <c r="AA4" s="2" t="s">
        <v>102</v>
      </c>
      <c r="AB4" s="2"/>
      <c r="AC4" s="19" t="s">
        <v>42</v>
      </c>
      <c r="AD4" s="2" t="s">
        <v>70</v>
      </c>
      <c r="AE4" s="2" t="s">
        <v>62</v>
      </c>
      <c r="AF4" s="2" t="s">
        <v>63</v>
      </c>
      <c r="AG4" s="2" t="s">
        <v>55</v>
      </c>
      <c r="AH4" s="2">
        <v>40</v>
      </c>
      <c r="AI4" s="2" t="s">
        <v>54</v>
      </c>
      <c r="AK4" s="13" t="s">
        <v>25</v>
      </c>
      <c r="AM4" t="s">
        <v>48</v>
      </c>
      <c r="AO4" t="s">
        <v>36</v>
      </c>
      <c r="AQ4" t="s">
        <v>73</v>
      </c>
      <c r="AW4" t="s">
        <v>61</v>
      </c>
      <c r="AY4" t="s">
        <v>54</v>
      </c>
    </row>
    <row r="5" spans="1:58">
      <c r="A5" s="3" t="s">
        <v>22</v>
      </c>
      <c r="B5" s="3" t="s">
        <v>15</v>
      </c>
      <c r="D5" t="s">
        <v>151</v>
      </c>
      <c r="E5" s="2" t="s">
        <v>143</v>
      </c>
      <c r="G5" s="2" t="s">
        <v>101</v>
      </c>
      <c r="H5" t="s">
        <v>24</v>
      </c>
      <c r="I5" t="s">
        <v>84</v>
      </c>
      <c r="J5" s="2"/>
      <c r="K5" s="2"/>
      <c r="M5" s="2" t="s">
        <v>134</v>
      </c>
      <c r="N5" s="2" t="s">
        <v>134</v>
      </c>
      <c r="O5" s="2" t="s">
        <v>133</v>
      </c>
      <c r="P5" t="s">
        <v>44</v>
      </c>
      <c r="Q5" t="s">
        <v>42</v>
      </c>
      <c r="R5" t="s">
        <v>50</v>
      </c>
      <c r="W5" s="2" t="s">
        <v>143</v>
      </c>
      <c r="X5" s="2" t="s">
        <v>73</v>
      </c>
      <c r="Y5" s="2" t="s">
        <v>55</v>
      </c>
      <c r="Z5" s="2"/>
      <c r="AA5" s="2" t="s">
        <v>144</v>
      </c>
      <c r="AC5" s="19" t="s">
        <v>42</v>
      </c>
      <c r="AD5" s="2" t="s">
        <v>104</v>
      </c>
      <c r="AE5" s="2" t="s">
        <v>62</v>
      </c>
      <c r="AF5" s="2" t="s">
        <v>111</v>
      </c>
      <c r="AG5" s="2" t="s">
        <v>55</v>
      </c>
      <c r="AH5" s="2">
        <v>20</v>
      </c>
      <c r="AI5" s="2" t="s">
        <v>54</v>
      </c>
      <c r="AO5" s="2" t="s">
        <v>82</v>
      </c>
    </row>
    <row r="6" spans="1:58">
      <c r="A6" s="2" t="s">
        <v>38</v>
      </c>
      <c r="B6" s="2" t="str">
        <f>VLOOKUP(ReportSelected,Menu[],2,FALSE)</f>
        <v>f2_init_xml</v>
      </c>
      <c r="D6" t="s">
        <v>157</v>
      </c>
      <c r="E6" s="2" t="s">
        <v>158</v>
      </c>
      <c r="G6" s="2" t="s">
        <v>115</v>
      </c>
      <c r="H6" t="s">
        <v>24</v>
      </c>
      <c r="I6" s="2" t="s">
        <v>115</v>
      </c>
      <c r="J6" s="2"/>
      <c r="K6" s="2"/>
      <c r="M6" s="2" t="s">
        <v>138</v>
      </c>
      <c r="N6" s="2" t="s">
        <v>138</v>
      </c>
      <c r="O6" s="2" t="s">
        <v>139</v>
      </c>
      <c r="P6" t="s">
        <v>44</v>
      </c>
      <c r="Q6" t="s">
        <v>42</v>
      </c>
      <c r="R6" t="s">
        <v>50</v>
      </c>
      <c r="W6" s="2" t="s">
        <v>159</v>
      </c>
      <c r="X6" s="2" t="s">
        <v>73</v>
      </c>
      <c r="Y6" s="2" t="s">
        <v>55</v>
      </c>
      <c r="Z6" s="2"/>
      <c r="AA6" s="2" t="s">
        <v>160</v>
      </c>
      <c r="AC6" s="19" t="s">
        <v>42</v>
      </c>
      <c r="AD6" s="2" t="s">
        <v>130</v>
      </c>
      <c r="AE6" s="2" t="s">
        <v>62</v>
      </c>
      <c r="AF6" s="2" t="s">
        <v>112</v>
      </c>
      <c r="AG6" s="2" t="s">
        <v>55</v>
      </c>
      <c r="AH6" s="2">
        <v>20</v>
      </c>
      <c r="AI6" s="2" t="s">
        <v>54</v>
      </c>
    </row>
    <row r="7" spans="1:58">
      <c r="A7" s="15" t="s">
        <v>63</v>
      </c>
      <c r="B7" s="2" t="s">
        <v>188</v>
      </c>
      <c r="D7" t="s">
        <v>165</v>
      </c>
      <c r="E7" s="2" t="s">
        <v>166</v>
      </c>
      <c r="G7" s="2" t="s">
        <v>134</v>
      </c>
      <c r="H7" t="s">
        <v>24</v>
      </c>
      <c r="I7" s="2" t="s">
        <v>134</v>
      </c>
      <c r="J7" s="2"/>
      <c r="K7" s="2"/>
      <c r="M7" s="2" t="s">
        <v>145</v>
      </c>
      <c r="N7" s="2" t="s">
        <v>145</v>
      </c>
      <c r="O7" s="2" t="s">
        <v>150</v>
      </c>
      <c r="P7" t="s">
        <v>44</v>
      </c>
      <c r="Q7" t="s">
        <v>42</v>
      </c>
      <c r="R7" t="s">
        <v>50</v>
      </c>
      <c r="AC7" s="19" t="s">
        <v>42</v>
      </c>
      <c r="AD7" s="2" t="s">
        <v>113</v>
      </c>
      <c r="AE7" s="2" t="s">
        <v>62</v>
      </c>
      <c r="AF7" s="2" t="s">
        <v>114</v>
      </c>
      <c r="AG7" s="2" t="s">
        <v>54</v>
      </c>
      <c r="AH7" s="2">
        <v>10</v>
      </c>
      <c r="AI7" s="2" t="s">
        <v>54</v>
      </c>
    </row>
    <row r="8" spans="1:58">
      <c r="A8" s="2" t="s">
        <v>96</v>
      </c>
      <c r="B8" s="2">
        <v>1</v>
      </c>
      <c r="D8" t="s">
        <v>167</v>
      </c>
      <c r="E8" s="2" t="s">
        <v>168</v>
      </c>
      <c r="G8" s="2" t="s">
        <v>138</v>
      </c>
      <c r="H8" t="s">
        <v>24</v>
      </c>
      <c r="I8" s="2" t="s">
        <v>138</v>
      </c>
      <c r="J8" s="2"/>
      <c r="K8" s="2"/>
      <c r="M8" s="2" t="s">
        <v>170</v>
      </c>
      <c r="N8" s="2" t="s">
        <v>170</v>
      </c>
      <c r="O8" s="2" t="s">
        <v>171</v>
      </c>
      <c r="P8" t="s">
        <v>44</v>
      </c>
      <c r="Q8" t="s">
        <v>42</v>
      </c>
      <c r="R8" t="s">
        <v>50</v>
      </c>
      <c r="AC8" s="19" t="s">
        <v>101</v>
      </c>
      <c r="AD8" t="s">
        <v>74</v>
      </c>
      <c r="AE8" t="s">
        <v>61</v>
      </c>
      <c r="AF8" s="2"/>
      <c r="AG8" s="2"/>
      <c r="AH8">
        <v>2000</v>
      </c>
      <c r="AI8" t="s">
        <v>55</v>
      </c>
      <c r="BF8" s="20"/>
    </row>
    <row r="9" spans="1:58">
      <c r="A9" s="2" t="s">
        <v>95</v>
      </c>
      <c r="B9" s="2">
        <v>2017</v>
      </c>
      <c r="D9" t="s">
        <v>185</v>
      </c>
      <c r="E9" s="2" t="s">
        <v>186</v>
      </c>
      <c r="G9" s="2" t="s">
        <v>142</v>
      </c>
      <c r="H9" t="s">
        <v>24</v>
      </c>
      <c r="I9" s="2" t="s">
        <v>134</v>
      </c>
      <c r="J9" s="2"/>
      <c r="K9" s="2"/>
      <c r="AC9" s="19" t="s">
        <v>101</v>
      </c>
      <c r="AD9" s="2" t="s">
        <v>103</v>
      </c>
      <c r="AE9" s="2" t="s">
        <v>62</v>
      </c>
      <c r="AF9" s="2" t="s">
        <v>96</v>
      </c>
      <c r="AG9" s="2" t="s">
        <v>55</v>
      </c>
      <c r="AH9" s="2">
        <v>3</v>
      </c>
      <c r="AI9" s="2" t="s">
        <v>54</v>
      </c>
    </row>
    <row r="10" spans="1:58">
      <c r="A10" s="2" t="s">
        <v>97</v>
      </c>
      <c r="B10" s="2">
        <v>1619074</v>
      </c>
      <c r="D10" t="s">
        <v>187</v>
      </c>
      <c r="E10" s="2" t="s">
        <v>188</v>
      </c>
      <c r="G10" s="2" t="s">
        <v>142</v>
      </c>
      <c r="H10" t="s">
        <v>24</v>
      </c>
      <c r="I10" s="2" t="s">
        <v>138</v>
      </c>
      <c r="AC10" s="19" t="s">
        <v>101</v>
      </c>
      <c r="AD10" s="2" t="s">
        <v>104</v>
      </c>
      <c r="AE10" s="2" t="s">
        <v>62</v>
      </c>
      <c r="AF10" s="2" t="s">
        <v>95</v>
      </c>
      <c r="AG10" s="2" t="s">
        <v>55</v>
      </c>
      <c r="AH10" s="2">
        <v>4</v>
      </c>
      <c r="AI10" s="2" t="s">
        <v>54</v>
      </c>
    </row>
    <row r="11" spans="1:58">
      <c r="A11" s="2"/>
      <c r="B11" s="2"/>
      <c r="D11" s="2" t="s">
        <v>117</v>
      </c>
      <c r="E11" s="2" t="s">
        <v>115</v>
      </c>
      <c r="G11" s="2" t="s">
        <v>142</v>
      </c>
      <c r="H11" t="s">
        <v>24</v>
      </c>
      <c r="I11" s="2" t="s">
        <v>115</v>
      </c>
      <c r="J11" s="2"/>
      <c r="K11" s="2"/>
      <c r="AC11" s="19" t="s">
        <v>101</v>
      </c>
      <c r="AD11" s="2" t="s">
        <v>105</v>
      </c>
      <c r="AE11" s="2" t="s">
        <v>62</v>
      </c>
      <c r="AF11" s="2" t="s">
        <v>97</v>
      </c>
      <c r="AG11" s="2" t="s">
        <v>55</v>
      </c>
      <c r="AH11" s="2">
        <v>10</v>
      </c>
      <c r="AI11" s="2" t="s">
        <v>54</v>
      </c>
    </row>
    <row r="12" spans="1:58">
      <c r="A12" s="2"/>
      <c r="B12" s="2"/>
      <c r="D12" s="2" t="s">
        <v>137</v>
      </c>
      <c r="E12" s="2" t="s">
        <v>138</v>
      </c>
      <c r="G12" s="2" t="s">
        <v>143</v>
      </c>
      <c r="H12" s="2" t="s">
        <v>25</v>
      </c>
      <c r="I12" s="2" t="s">
        <v>143</v>
      </c>
      <c r="J12" s="2"/>
      <c r="K12" s="2" t="s">
        <v>143</v>
      </c>
      <c r="AC12" s="2" t="s">
        <v>143</v>
      </c>
      <c r="AD12" t="s">
        <v>74</v>
      </c>
      <c r="AE12" t="s">
        <v>61</v>
      </c>
      <c r="AF12" s="2"/>
      <c r="AG12" s="2"/>
      <c r="AH12">
        <v>2000</v>
      </c>
      <c r="AI12" t="s">
        <v>55</v>
      </c>
    </row>
    <row r="13" spans="1:58">
      <c r="D13" s="2" t="s">
        <v>133</v>
      </c>
      <c r="E13" s="2" t="s">
        <v>134</v>
      </c>
      <c r="G13" s="2" t="s">
        <v>143</v>
      </c>
      <c r="H13" t="s">
        <v>24</v>
      </c>
      <c r="I13" s="2" t="s">
        <v>145</v>
      </c>
      <c r="J13" s="2"/>
      <c r="K13" s="2"/>
      <c r="AC13" s="19" t="s">
        <v>143</v>
      </c>
      <c r="AD13" s="2" t="s">
        <v>103</v>
      </c>
      <c r="AE13" s="2" t="s">
        <v>62</v>
      </c>
      <c r="AF13" s="2" t="s">
        <v>96</v>
      </c>
      <c r="AG13" s="2" t="s">
        <v>55</v>
      </c>
      <c r="AH13" s="2">
        <v>3</v>
      </c>
      <c r="AI13" s="2" t="s">
        <v>54</v>
      </c>
    </row>
    <row r="14" spans="1:58">
      <c r="D14" s="2" t="s">
        <v>149</v>
      </c>
      <c r="E14" s="2" t="s">
        <v>145</v>
      </c>
      <c r="G14" s="2" t="s">
        <v>145</v>
      </c>
      <c r="H14" t="s">
        <v>24</v>
      </c>
      <c r="I14" s="2" t="s">
        <v>145</v>
      </c>
      <c r="J14" s="2"/>
      <c r="K14" s="2"/>
      <c r="AC14" s="19" t="s">
        <v>143</v>
      </c>
      <c r="AD14" s="2" t="s">
        <v>104</v>
      </c>
      <c r="AE14" s="2" t="s">
        <v>62</v>
      </c>
      <c r="AF14" s="2" t="s">
        <v>111</v>
      </c>
      <c r="AG14" s="2" t="s">
        <v>55</v>
      </c>
      <c r="AH14" s="2">
        <v>4</v>
      </c>
      <c r="AI14" s="2" t="s">
        <v>54</v>
      </c>
    </row>
    <row r="15" spans="1:58">
      <c r="D15" s="2" t="s">
        <v>169</v>
      </c>
      <c r="E15" s="2" t="s">
        <v>170</v>
      </c>
      <c r="G15" s="2" t="s">
        <v>158</v>
      </c>
      <c r="H15" s="2" t="s">
        <v>25</v>
      </c>
      <c r="I15" s="2" t="s">
        <v>159</v>
      </c>
      <c r="J15" s="2"/>
      <c r="K15" s="2" t="s">
        <v>158</v>
      </c>
      <c r="AC15" s="19" t="s">
        <v>143</v>
      </c>
      <c r="AD15" s="2" t="s">
        <v>130</v>
      </c>
      <c r="AE15" s="2" t="s">
        <v>62</v>
      </c>
      <c r="AF15" s="2" t="s">
        <v>112</v>
      </c>
      <c r="AG15" s="2" t="s">
        <v>55</v>
      </c>
      <c r="AH15" s="2">
        <v>20</v>
      </c>
      <c r="AI15" s="2" t="s">
        <v>54</v>
      </c>
    </row>
    <row r="16" spans="1:58">
      <c r="G16" s="2" t="s">
        <v>166</v>
      </c>
      <c r="H16" s="2" t="s">
        <v>25</v>
      </c>
      <c r="I16" s="2" t="s">
        <v>159</v>
      </c>
      <c r="J16" s="2"/>
      <c r="K16" s="2" t="s">
        <v>166</v>
      </c>
      <c r="AC16" s="19" t="s">
        <v>159</v>
      </c>
      <c r="AD16" t="s">
        <v>74</v>
      </c>
      <c r="AE16" t="s">
        <v>61</v>
      </c>
      <c r="AH16">
        <v>2000</v>
      </c>
      <c r="AI16" t="s">
        <v>55</v>
      </c>
    </row>
    <row r="17" spans="7:35">
      <c r="G17" s="2" t="s">
        <v>168</v>
      </c>
      <c r="H17" s="2" t="s">
        <v>25</v>
      </c>
      <c r="I17" s="2" t="s">
        <v>159</v>
      </c>
      <c r="J17" s="2"/>
      <c r="K17" s="2" t="s">
        <v>168</v>
      </c>
      <c r="AC17" s="19" t="s">
        <v>159</v>
      </c>
      <c r="AD17" s="2" t="s">
        <v>161</v>
      </c>
      <c r="AE17" s="2" t="s">
        <v>62</v>
      </c>
      <c r="AF17" s="2" t="s">
        <v>63</v>
      </c>
      <c r="AG17" s="2" t="s">
        <v>55</v>
      </c>
      <c r="AH17" s="2">
        <v>40</v>
      </c>
      <c r="AI17" s="2" t="s">
        <v>54</v>
      </c>
    </row>
    <row r="18" spans="7:35">
      <c r="G18" s="2" t="s">
        <v>170</v>
      </c>
      <c r="H18" t="s">
        <v>24</v>
      </c>
      <c r="I18" s="2" t="s">
        <v>170</v>
      </c>
      <c r="J18" s="2"/>
      <c r="K18" s="2"/>
      <c r="AC18" s="19" t="s">
        <v>159</v>
      </c>
      <c r="AD18" s="2" t="s">
        <v>103</v>
      </c>
      <c r="AE18" s="2" t="s">
        <v>62</v>
      </c>
      <c r="AF18" s="2" t="s">
        <v>96</v>
      </c>
      <c r="AG18" s="2" t="s">
        <v>55</v>
      </c>
      <c r="AH18" s="2">
        <v>3</v>
      </c>
      <c r="AI18" s="2" t="s">
        <v>54</v>
      </c>
    </row>
    <row r="19" spans="7:35">
      <c r="G19" s="2" t="s">
        <v>186</v>
      </c>
      <c r="H19" s="2" t="s">
        <v>25</v>
      </c>
      <c r="I19" s="2" t="s">
        <v>159</v>
      </c>
      <c r="J19" s="2"/>
      <c r="K19" s="2" t="s">
        <v>186</v>
      </c>
      <c r="AC19" s="19" t="s">
        <v>159</v>
      </c>
      <c r="AD19" s="2" t="s">
        <v>104</v>
      </c>
      <c r="AE19" s="2" t="s">
        <v>62</v>
      </c>
      <c r="AF19" s="2" t="s">
        <v>111</v>
      </c>
      <c r="AG19" s="2" t="s">
        <v>55</v>
      </c>
      <c r="AH19" s="2">
        <v>4</v>
      </c>
      <c r="AI19" s="2" t="s">
        <v>54</v>
      </c>
    </row>
    <row r="20" spans="7:35">
      <c r="G20" s="2" t="s">
        <v>188</v>
      </c>
      <c r="H20" s="2" t="s">
        <v>25</v>
      </c>
      <c r="I20" s="2" t="s">
        <v>159</v>
      </c>
      <c r="J20" s="2"/>
      <c r="K20" s="2" t="s">
        <v>188</v>
      </c>
    </row>
  </sheetData>
  <dataConsolidate/>
  <mergeCells count="8">
    <mergeCell ref="A1:B1"/>
    <mergeCell ref="D1:E1"/>
    <mergeCell ref="G1:J1"/>
    <mergeCell ref="BC1:BD1"/>
    <mergeCell ref="AC1:AI1"/>
    <mergeCell ref="W1:AA1"/>
    <mergeCell ref="M1:R1"/>
    <mergeCell ref="T1:U1"/>
  </mergeCells>
  <dataValidations count="13">
    <dataValidation type="list" allowBlank="1" showInputMessage="1" showErrorMessage="1" sqref="E3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T3">
      <formula1>INDIRECT("Reports[Code]")</formula1>
    </dataValidation>
    <dataValidation type="list" allowBlank="1" showInputMessage="1" showErrorMessage="1" sqref="X3:X6">
      <formula1>INDIRECT("ProgramTypes[Code]")</formula1>
    </dataValidation>
    <dataValidation type="list" allowBlank="1" showInputMessage="1" showErrorMessage="1" sqref="Z3:Z6">
      <formula1>INDIRECT("ReturnTypes[Code]")</formula1>
    </dataValidation>
    <dataValidation type="list" allowBlank="1" showInputMessage="1" showErrorMessage="1" sqref="P3:P8">
      <formula1>INDIRECT("CreateModes[Code]")</formula1>
    </dataValidation>
    <dataValidation type="list" allowBlank="1" showInputMessage="1" showErrorMessage="1" sqref="R3:R8">
      <formula1>INDIRECT("ReportTypes[Code]")</formula1>
    </dataValidation>
    <dataValidation type="list" allowBlank="1" showInputMessage="1" showErrorMessage="1" sqref="Q3:Q8">
      <formula1>INDIRECT("Programs[Code]")</formula1>
    </dataValidation>
    <dataValidation type="list" allowBlank="1" showInputMessage="1" showErrorMessage="1" sqref="AE3:AE19">
      <formula1>INDIRECT("Direction[Code]")</formula1>
    </dataValidation>
    <dataValidation type="list" allowBlank="1" showInputMessage="1" showErrorMessage="1" sqref="AG3:AG19 AI3:AI19">
      <formula1>INDIRECT("YesNo[Code]")</formula1>
    </dataValidation>
    <dataValidation type="whole" allowBlank="1" showInputMessage="1" showErrorMessage="1" sqref="AH3:AH19">
      <formula1>1</formula1>
      <formula2>32767</formula2>
    </dataValidation>
    <dataValidation type="list" allowBlank="1" showInputMessage="1" showErrorMessage="1" sqref="H3:H20">
      <formula1>INDIRECT("ActionTypes[Code]")</formula1>
    </dataValidation>
    <dataValidation type="list" allowBlank="1" showInputMessage="1" showErrorMessage="1" sqref="K5:K11 K13:K14 K3 J3:J20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Reports"/>
  <dimension ref="A1:F27"/>
  <sheetViews>
    <sheetView showGridLine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5">
      <c r="A1" s="11"/>
      <c r="B1" s="11"/>
      <c r="C1" s="11"/>
      <c r="D1" s="11"/>
      <c r="E1" s="11"/>
    </row>
    <row r="2" spans="1:5" ht="30.75" customHeight="1">
      <c r="A2" s="11"/>
      <c r="B2" s="10" t="s">
        <v>18</v>
      </c>
      <c r="C2" s="16" t="s">
        <v>187</v>
      </c>
      <c r="D2" s="11" t="s">
        <v>79</v>
      </c>
      <c r="E2" s="11"/>
    </row>
    <row r="3" spans="1:5" ht="28.5" customHeight="1">
      <c r="A3" s="11"/>
      <c r="B3" s="10"/>
      <c r="C3" s="17" t="s">
        <v>51</v>
      </c>
      <c r="D3" s="11"/>
      <c r="E3" s="11"/>
    </row>
    <row r="4" spans="1:5">
      <c r="A4" s="11"/>
      <c r="B4" s="10" t="s">
        <v>108</v>
      </c>
      <c r="C4" s="33">
        <v>2017</v>
      </c>
      <c r="D4" s="11"/>
      <c r="E4" s="11"/>
    </row>
    <row r="5" spans="1:5">
      <c r="A5" s="11"/>
      <c r="B5" s="10" t="s">
        <v>109</v>
      </c>
      <c r="C5" s="34">
        <v>12</v>
      </c>
      <c r="D5" s="11"/>
      <c r="E5" s="11"/>
    </row>
    <row r="6" spans="1:5">
      <c r="A6" s="11"/>
      <c r="B6" s="10" t="s">
        <v>110</v>
      </c>
      <c r="C6" s="35"/>
      <c r="D6" s="11"/>
      <c r="E6" s="11"/>
    </row>
    <row r="7" spans="1:5" ht="1.5" customHeight="1">
      <c r="A7" s="32"/>
      <c r="B7" s="11"/>
      <c r="C7" s="11"/>
      <c r="D7" s="11"/>
      <c r="E7" s="32"/>
    </row>
    <row r="8" spans="1:5" ht="14.25" customHeight="1">
      <c r="A8" s="32"/>
      <c r="B8" s="32"/>
      <c r="C8" s="32"/>
      <c r="D8" s="32"/>
      <c r="E8" s="32"/>
    </row>
    <row r="9" spans="1:5" s="18" customFormat="1" ht="63.75" customHeight="1">
      <c r="A9" s="32"/>
      <c r="B9" s="69" t="s">
        <v>107</v>
      </c>
      <c r="C9" s="69"/>
      <c r="D9" s="69"/>
      <c r="E9" s="32"/>
    </row>
    <row r="10" spans="1:5" ht="14.25" customHeight="1">
      <c r="A10" s="32"/>
      <c r="B10" s="32"/>
      <c r="C10" s="32"/>
      <c r="D10" s="32"/>
      <c r="E10" s="32"/>
    </row>
    <row r="11" spans="1:5" ht="10.5" hidden="1" customHeight="1">
      <c r="A11" s="29"/>
      <c r="B11" s="30"/>
      <c r="C11" s="30"/>
      <c r="D11" s="30"/>
      <c r="E11" s="31"/>
    </row>
    <row r="12" spans="1:5" hidden="1"/>
    <row r="13" spans="1:5" hidden="1"/>
    <row r="14" spans="1:5" hidden="1"/>
    <row r="15" spans="1:5" hidden="1"/>
    <row r="16" spans="1:5" hidden="1"/>
    <row r="17" hidden="1"/>
    <row r="18" hidden="1"/>
    <row r="19" hidden="1"/>
    <row r="20" hidden="1"/>
    <row r="21" hidden="1"/>
    <row r="22" hidden="1"/>
    <row r="23" ht="5.25" hidden="1" customHeight="1"/>
    <row r="24" hidden="1"/>
    <row r="25" hidden="1"/>
    <row r="26" hidden="1"/>
    <row r="27" hidden="1"/>
  </sheetData>
  <dataConsolidate/>
  <mergeCells count="1">
    <mergeCell ref="B9:D9"/>
  </mergeCells>
  <dataValidations count="3">
    <dataValidation type="list" allowBlank="1" showInputMessage="1" showErrorMessage="1" sqref="C2">
      <formula1>INDIRECT("Menu[Code]")</formula1>
    </dataValidation>
    <dataValidation type="whole" allowBlank="1" showInputMessage="1" showErrorMessage="1" sqref="C5:C6">
      <formula1>1</formula1>
      <formula2>12</formula2>
    </dataValidation>
    <dataValidation type="whole" allowBlank="1" showInputMessage="1" showErrorMessage="1" sqref="C4">
      <formula1>2016</formula1>
      <formula2>2033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1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65" t="s">
        <v>129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132</v>
      </c>
    </row>
    <row r="3" spans="1:18">
      <c r="A3" t="s">
        <v>115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3"/>
  <dimension ref="A1:R3"/>
  <sheetViews>
    <sheetView zoomScale="145" zoomScaleNormal="145" workbookViewId="0">
      <pane ySplit="2" topLeftCell="A3" activePane="bottomLeft" state="frozen"/>
      <selection pane="bottomLeft" activeCell="A2" sqref="A2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65" t="s">
        <v>140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132</v>
      </c>
    </row>
    <row r="3" spans="1:18">
      <c r="A3" t="s">
        <v>138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4"/>
  <dimension ref="A1:P5"/>
  <sheetViews>
    <sheetView zoomScale="145" zoomScaleNormal="145" workbookViewId="0">
      <pane ySplit="4" topLeftCell="A5" activePane="bottomLeft" state="frozen"/>
      <selection pane="bottomLeft" activeCell="C27" sqref="C27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64" t="s">
        <v>146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</row>
    <row r="2" spans="1:16" ht="18" customHeight="1">
      <c r="A2" s="70" t="s">
        <v>147</v>
      </c>
      <c r="B2" s="70"/>
      <c r="C2" s="70"/>
      <c r="D2" s="70"/>
      <c r="E2" s="70"/>
      <c r="F2" s="70"/>
      <c r="G2" s="70"/>
      <c r="H2" s="70" t="s">
        <v>148</v>
      </c>
      <c r="I2" s="70"/>
      <c r="J2" s="70"/>
      <c r="K2" s="70"/>
      <c r="L2" s="70"/>
      <c r="M2" s="70"/>
      <c r="N2" s="70"/>
      <c r="O2" s="70"/>
      <c r="P2" s="70"/>
    </row>
    <row r="3" spans="1:16" ht="31.5" customHeight="1">
      <c r="A3" s="46" t="s">
        <v>152</v>
      </c>
      <c r="B3" s="46" t="s">
        <v>153</v>
      </c>
      <c r="C3" s="46" t="s">
        <v>87</v>
      </c>
      <c r="D3" s="46" t="s">
        <v>154</v>
      </c>
      <c r="E3" s="46" t="s">
        <v>155</v>
      </c>
      <c r="F3" s="46" t="s">
        <v>0</v>
      </c>
      <c r="G3" s="46" t="s">
        <v>20</v>
      </c>
      <c r="H3" s="46" t="s">
        <v>162</v>
      </c>
      <c r="I3" s="46" t="s">
        <v>152</v>
      </c>
      <c r="J3" s="46" t="s">
        <v>153</v>
      </c>
      <c r="K3" s="46" t="s">
        <v>87</v>
      </c>
      <c r="L3" s="46" t="s">
        <v>154</v>
      </c>
      <c r="M3" s="46" t="s">
        <v>155</v>
      </c>
      <c r="N3" s="46" t="s">
        <v>0</v>
      </c>
      <c r="O3" s="46" t="s">
        <v>20</v>
      </c>
      <c r="P3" s="46" t="s">
        <v>162</v>
      </c>
    </row>
    <row r="4" spans="1:16">
      <c r="A4" s="44" t="s">
        <v>1</v>
      </c>
      <c r="B4" s="44" t="s">
        <v>2</v>
      </c>
      <c r="C4" s="44" t="s">
        <v>3</v>
      </c>
      <c r="D4" s="44" t="s">
        <v>4</v>
      </c>
      <c r="E4" s="44" t="s">
        <v>5</v>
      </c>
      <c r="F4" s="44" t="s">
        <v>6</v>
      </c>
      <c r="G4" s="44" t="s">
        <v>7</v>
      </c>
      <c r="H4" s="44" t="s">
        <v>8</v>
      </c>
      <c r="I4" s="44" t="s">
        <v>9</v>
      </c>
      <c r="J4" s="44" t="s">
        <v>10</v>
      </c>
      <c r="K4" s="44" t="s">
        <v>11</v>
      </c>
      <c r="L4" s="44" t="s">
        <v>12</v>
      </c>
      <c r="M4" s="44" t="s">
        <v>13</v>
      </c>
      <c r="N4" s="44" t="s">
        <v>156</v>
      </c>
      <c r="O4" s="44" t="s">
        <v>163</v>
      </c>
      <c r="P4" s="45" t="s">
        <v>164</v>
      </c>
    </row>
    <row r="5" spans="1:16">
      <c r="A5" s="47" t="s">
        <v>145</v>
      </c>
      <c r="B5" s="47"/>
      <c r="C5" s="48"/>
      <c r="D5" s="48"/>
      <c r="E5" s="49"/>
      <c r="F5" s="50"/>
      <c r="G5" s="49"/>
      <c r="H5" s="49"/>
      <c r="I5" s="48"/>
      <c r="J5" s="48"/>
      <c r="K5" s="48"/>
      <c r="L5" s="48"/>
      <c r="M5" s="49"/>
      <c r="N5" s="50"/>
      <c r="O5" s="49"/>
      <c r="P5" s="51"/>
    </row>
  </sheetData>
  <mergeCells count="3">
    <mergeCell ref="H2:P2"/>
    <mergeCell ref="A1:P1"/>
    <mergeCell ref="A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16</vt:i4>
      </vt:variant>
    </vt:vector>
  </HeadingPairs>
  <TitlesOfParts>
    <vt:vector size="24" baseType="lpstr">
      <vt:lpstr>ndfl2_tax_corr</vt:lpstr>
      <vt:lpstr>f2_error_report</vt:lpstr>
      <vt:lpstr>f2_arh_spravki_errors</vt:lpstr>
      <vt:lpstr>Settings</vt:lpstr>
      <vt:lpstr>Отчеты</vt:lpstr>
      <vt:lpstr>f2_full_namesake</vt:lpstr>
      <vt:lpstr>f2_diff_pers_data</vt:lpstr>
      <vt:lpstr>f2_ndfl_nalplat_pers</vt:lpstr>
      <vt:lpstr>data_source_name</vt:lpstr>
      <vt:lpstr>menu_item_selected</vt:lpstr>
      <vt:lpstr>ndfl2_code_na</vt:lpstr>
      <vt:lpstr>ndfl2_contragent_id</vt:lpstr>
      <vt:lpstr>ndfl2_year</vt:lpstr>
      <vt:lpstr>oracle_owner</vt:lpstr>
      <vt:lpstr>output</vt:lpstr>
      <vt:lpstr>report_code</vt:lpstr>
      <vt:lpstr>report_year</vt:lpstr>
      <vt:lpstr>ReportDate</vt:lpstr>
      <vt:lpstr>ReportMonth</vt:lpstr>
      <vt:lpstr>ReportSelected</vt:lpstr>
      <vt:lpstr>ReportYear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2018-01-24T11:30:31Z</cp:lastPrinted>
  <dcterms:created xsi:type="dcterms:W3CDTF">2017-06-22T11:11:41Z</dcterms:created>
  <dcterms:modified xsi:type="dcterms:W3CDTF">2018-02-02T08:29:20Z</dcterms:modified>
</cp:coreProperties>
</file>