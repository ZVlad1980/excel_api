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synch_error_report" sheetId="283" state="hidden" r:id="rId7"/>
    <sheet name="tax_retained_report" sheetId="281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</sheets>
  <functionGroups/>
  <externalReferences>
    <externalReference r:id="rId17"/>
  </externalReferences>
  <definedNames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7">tax_retained_report!$B$44</definedName>
    <definedName name="TAX_RETAINED_DATE" localSheetId="7">tax_retained_report!$B$38</definedName>
    <definedName name="TAX_RETURN" localSheetId="7">tax_retained_report!$B$41</definedName>
    <definedName name="TAX_RETURN_83" localSheetId="7">tax_retained_report!$B$46</definedName>
  </definedNames>
  <calcPr calcId="125725" calcOnSave="0"/>
</workbook>
</file>

<file path=xl/calcChain.xml><?xml version="1.0" encoding="utf-8"?>
<calcChain xmlns="http://schemas.openxmlformats.org/spreadsheetml/2006/main">
  <c r="P3" i="282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<sst xmlns="http://schemas.openxmlformats.org/spreadsheetml/2006/main" count="878" uniqueCount="351">
  <si>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</si>
  <si>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</si>
  <si>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</si>
  <si>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</si>
  <si>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</si>
  <si>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</si>
  <si>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</si>
  <si>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</si>
  <si>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</si>
  <si>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</si>
  <si>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</si>
  <si>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</si>
  <si>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</si>
  <si>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</si>
  <si>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</si>
  <si>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</si>
  <si>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</si>
  <si>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</si>
  <si>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</si>
  <si>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</si>
  <si>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</si>
  <si>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</si>
  <si>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</si>
  <si>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</si>
  <si>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</si>
  <si>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</si>
  <si>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</si>
  <si>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</si>
  <si>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</si>
  <si>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</si>
  <si>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</si>
  <si>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</si>
  <si>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</si>
  <si>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</si>
  <si>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</si>
  <si>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</si>
  <si>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</si>
  <si>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</si>
  <si>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</si>
  <si>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</si>
  <si>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</si>
  <si>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</si>
  <si>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</si>
  <si>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</si>
  <si>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</si>
  <si>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</si>
  <si>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</si>
  <si>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</si>
  <si>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</si>
  <si>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</si>
  <si>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</si>
  <si>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</si>
  <si>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</si>
  <si>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</si>
  <si>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</si>
  <si>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</si>
  <si>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</si>
  <si>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</si>
  <si>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</si>
  <si>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</si>
  <si>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</si>
  <si>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</si>
  <si>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</si>
  <si>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</si>
  <si>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</si>
  <si>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</si>
  <si>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</si>
  <si>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</si>
  <si>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</si>
  <si>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</si>
  <si>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</si>
  <si>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</si>
  <si>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</si>
  <si>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</si>
  <si>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</si>
  <si>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</si>
  <si>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</si>
  <si>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</si>
  <si>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</si>
  <si>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</si>
  <si>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</si>
  <si>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</si>
  <si>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</si>
  <si>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</si>
  <si>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</si>
  <si>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</si>
  <si>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</si>
  <si>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</si>
  <si>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</si>
  <si>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</si>
  <si>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</si>
  <si>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</si>
  <si>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</si>
  <si>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</si>
  <si>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</si>
  <si>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</si>
  <si>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</si>
  <si>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</si>
  <si>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</si>
  <si>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</si>
  <si>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</si>
  <si>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</si>
  <si>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</si>
  <si>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</si>
  <si>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</si>
  <si>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</si>
  <si>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</si>
  <si>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</si>
  <si>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</si>
  <si>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</si>
  <si>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</si>
  <si>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</si>
  <si>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</si>
  <si>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</si>
  <si>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</si>
  <si>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</si>
  <si>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</si>
  <si>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</si>
  <si>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</si>
  <si>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</si>
  <si>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</si>
  <si>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</si>
  <si>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</si>
  <si>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</si>
  <si>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</si>
  <si>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</si>
  <si>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</si>
  <si>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</si>
  <si>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</si>
  <si>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</si>
  <si>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</si>
  <si>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</si>
  <si>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</si>
  <si>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</si>
  <si>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</si>
  <si>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</si>
  <si>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</si>
  <si>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</si>
  <si>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</si>
  <si>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</si>
  <si>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</si>
  <si>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</si>
  <si>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</si>
  <si>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</si>
  <si>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</si>
  <si>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</si>
  <si>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</si>
  <si>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</si>
  <si>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</si>
  <si>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</si>
  <si>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</si>
  <si>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</si>
  <si>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</si>
  <si>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</si>
  <si>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</si>
  <si>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</si>
  <si>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</si>
  <si>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</si>
  <si>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</si>
  <si>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</si>
  <si>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</si>
  <si>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</si>
  <si>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</si>
  <si>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</si>
  <si>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</si>
  <si>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</si>
  <si>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</si>
  <si>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</si>
  <si>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</si>
  <si>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</si>
  <si>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</si>
  <si>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</si>
  <si>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</si>
  <si>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</si>
  <si>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</si>
  <si>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</si>
  <si>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</si>
  <si>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</si>
  <si>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</si>
  <si>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</si>
  <si>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</si>
  <si>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</si>
  <si>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</si>
  <si>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</si>
  <si>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</si>
  <si>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</si>
  <si>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</si>
  <si>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</si>
  <si>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</si>
  <si>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</si>
  <si>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</si>
  <si>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</si>
  <si>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</si>
  <si>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</si>
  <si>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</si>
  <si>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</si>
  <si>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</si>
  <si>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</si>
  <si>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</si>
  <si>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</si>
  <si>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</si>
  <si>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</si>
  <si>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</si>
  <si>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</si>
  <si>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</si>
  <si>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</si>
  <si>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</si>
  <si>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</si>
  <si>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</si>
  <si>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</si>
  <si>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</si>
  <si>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</si>
  <si>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</si>
  <si>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</si>
  <si>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</si>
  <si>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</si>
  <si>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</si>
  <si>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</si>
  <si>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</si>
  <si>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</si>
  <si>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</si>
  <si>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</si>
  <si>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</si>
  <si>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</si>
  <si>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</si>
  <si>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</si>
  <si>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</si>
  <si>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</si>
  <si>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</si>
  <si>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</si>
  <si>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</si>
  <si>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</si>
  <si>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</si>
  <si>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</si>
  <si>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</si>
  <si>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</si>
  <si>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</si>
  <si>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</si>
  <si>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</si>
  <si>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</si>
  <si>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</si>
  <si>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</si>
  <si>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</si>
  <si>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</si>
  <si>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</si>
  <si>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</si>
  <si>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</si>
  <si>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</si>
  <si>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</si>
  <si>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</si>
  <si>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</si>
  <si>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</si>
  <si>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</si>
  <si>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</si>
  <si>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</si>
  <si>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</si>
  <si>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</si>
  <si>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</si>
  <si>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</si>
  <si>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</si>
  <si>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</si>
  <si>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</si>
  <si>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</si>
  <si>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</si>
  <si>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</si>
  <si>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</si>
  <si>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</si>
  <si>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</si>
  <si>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</si>
  <si>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</si>
  <si>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</si>
  <si>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</si>
  <si>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</si>
  <si>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</si>
  <si>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</si>
  <si>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</si>
  <si>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</si>
  <si>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</si>
  <si>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</si>
  <si>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</si>
  <si>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</si>
  <si>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</si>
  <si>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</si>
  <si>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</si>
  <si>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</si>
  <si>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</si>
  <si>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</si>
  <si>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</si>
  <si>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</si>
  <si>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</si>
  <si>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</si>
  <si>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</si>
  <si>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</si>
  <si>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</si>
  <si>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</si>
  <si>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</si>
  <si>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</si>
  <si>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</si>
  <si>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</si>
  <si>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</si>
  <si>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</si>
  <si>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</si>
  <si>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</si>
  <si>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</si>
  <si>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</si>
  <si>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</si>
  <si>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</si>
  <si>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</si>
  <si>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</si>
  <si>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</si>
  <si>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</si>
  <si>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</si>
  <si>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</si>
  <si>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</si>
  <si>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</si>
  <si>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</si>
  <si>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</si>
  <si>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</si>
  <si>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</si>
  <si>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</si>
  <si>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</si>
  <si>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</si>
  <si>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</si>
  <si>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</si>
  <si>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</si>
  <si>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</si>
  <si>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</si>
  <si>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</si>
  <si>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</si>
  <si>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</si>
  <si>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</si>
  <si>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</si>
  <si>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</si>
  <si>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</si>
  <si>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</si>
  <si>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</si>
  <si>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</si>
  <si>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</si>
  <si>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</si>
  <si>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</si>
  <si>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</si>
  <si>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</si>
  <si>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</si>
  <si>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</si>
  <si>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</si>
  <si>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</si>
  <si>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01.01.2017</t>
  </si>
  <si>
    <t>report_date</t>
  </si>
  <si>
    <t>REPORT_DATE</t>
  </si>
  <si>
    <t>31.10.2017</t>
  </si>
  <si>
    <t>Ок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</si>
</sst>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5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70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69" dataDxfId="267" headerRowBorderDxfId="268" tableBorderDxfId="266" totalsRowBorderDxfId="265">
  <autoFilter ref="A4:J5"/>
  <tableColumns count="10">
    <tableColumn id="1" name="1" dataDxfId="264"/>
    <tableColumn id="2" name="2" dataDxfId="263"/>
    <tableColumn id="5" name="3" dataDxfId="262"/>
    <tableColumn id="6" name="4" dataDxfId="261"/>
    <tableColumn id="7" name="5" dataDxfId="260"/>
    <tableColumn id="10" name="6" dataDxfId="259"/>
    <tableColumn id="11" name="7" dataDxfId="258"/>
    <tableColumn id="12" name="8" dataDxfId="257"/>
    <tableColumn id="13" name="9" dataDxfId="256"/>
    <tableColumn id="14" name="10" dataDxfId="2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54" dataDxfId="252" headerRowBorderDxfId="253" tableBorderDxfId="251" totalsRowBorderDxfId="250">
  <autoFilter ref="A5:P6"/>
  <tableColumns count="16">
    <tableColumn id="1" name="1" dataDxfId="249"/>
    <tableColumn id="2" name="2" dataDxfId="248"/>
    <tableColumn id="3" name="3" dataDxfId="247"/>
    <tableColumn id="4" name="4" dataDxfId="246"/>
    <tableColumn id="5" name="5" dataDxfId="245"/>
    <tableColumn id="6" name="6" dataDxfId="244"/>
    <tableColumn id="7" name="7" dataDxfId="243"/>
    <tableColumn id="8" name="8" dataDxfId="242"/>
    <tableColumn id="9" name="9" dataDxfId="241"/>
    <tableColumn id="10" name="10" dataDxfId="240"/>
    <tableColumn id="11" name="11" dataDxfId="239"/>
    <tableColumn id="12" name="12" dataDxfId="238"/>
    <tableColumn id="13" name="13" dataDxfId="237"/>
    <tableColumn id="14" name="14" dataDxfId="236"/>
    <tableColumn id="15" name="15" dataDxfId="235"/>
    <tableColumn id="16" name="16" dataDxf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33" dataDxfId="231" headerRowBorderDxfId="232" tableBorderDxfId="230" totalsRowBorderDxfId="229">
  <autoFilter ref="A3:I4">
    <filterColumn colId="1"/>
  </autoFilter>
  <tableColumns count="9">
    <tableColumn id="1" name="1" dataDxfId="228"/>
    <tableColumn id="3" name="2" dataDxfId="227"/>
    <tableColumn id="2" name="3" dataDxfId="226"/>
    <tableColumn id="5" name="4" dataDxfId="225"/>
    <tableColumn id="6" name="5" dataDxfId="224"/>
    <tableColumn id="7" name="6" dataDxfId="223"/>
    <tableColumn id="10" name="7" dataDxfId="222"/>
    <tableColumn id="11" name="8" dataDxfId="221"/>
    <tableColumn id="12" name="9" dataDxfId="2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19" dataDxfId="217" headerRowBorderDxfId="218" tableBorderDxfId="216" totalsRowBorderDxfId="2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14"/>
    <tableColumn id="20" name="2" dataDxfId="213"/>
    <tableColumn id="19" name="3" dataDxfId="212"/>
    <tableColumn id="18" name="4" dataDxfId="211"/>
    <tableColumn id="17" name="5" dataDxfId="210"/>
    <tableColumn id="23" name="6" dataDxfId="209"/>
    <tableColumn id="22" name="7" dataDxfId="208"/>
    <tableColumn id="21" name="8" dataDxfId="207"/>
    <tableColumn id="28" name="9" dataDxfId="206"/>
    <tableColumn id="29" name="10" dataDxfId="205"/>
    <tableColumn id="27" name="11" dataDxfId="204"/>
    <tableColumn id="26" name="12" dataDxfId="203"/>
    <tableColumn id="25" name="13" dataDxfId="202"/>
    <tableColumn id="5" name="14" dataDxfId="201"/>
    <tableColumn id="4" name="15" dataDxfId="200"/>
    <tableColumn id="3" name="16" dataDxfId="199"/>
    <tableColumn id="2" name="17" dataDxfId="198"/>
    <tableColumn id="24" name="18" dataDxfId="1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22" totalsRowShown="0">
  <autoFilter ref="D2:E2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9" totalsRowShown="0">
  <autoFilter ref="G2:J39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10" totalsRowShown="0">
  <autoFilter ref="V2:Z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7" totalsRowShown="0">
  <autoFilter ref="L2:Q27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12" headerRowBorderDxfId="196" tableBorderDxfId="195" totalsRowBorderDxfId="194">
  <autoFilter ref="A2:B12"/>
  <tableColumns count="2">
    <tableColumn id="1" name="Key" totalsRowLabel="Итог" totalsRowDxfId="193"/>
    <tableColumn id="2" name="Value" totalsRowFunction="count" totalsRowDxfId="1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9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8" totalsRowShown="0">
  <autoFilter ref="AB2:AH18">
    <filterColumn colId="5"/>
    <filterColumn colId="6"/>
  </autoFilter>
  <tableColumns count="7">
    <tableColumn id="1" name="Program" dataDxfId="19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5" totalsRowShown="0">
  <autoFilter ref="BB2:BC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6" totalsRowShown="0" headerRowDxfId="189" dataDxfId="188" tableBorderDxfId="187">
  <tableColumns count="1">
    <tableColumn id="1" name="Столбец1" dataDxfId="18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34" name="Таблица2435" displayName="Таблица2435" ref="A4:L5" totalsRowShown="0" headerRowDxfId="185" dataDxfId="183" headerRowBorderDxfId="184" tableBorderDxfId="182" totalsRowBorderDxfId="181">
  <autoFilter ref="A4:L5">
    <filterColumn colId="1"/>
    <filterColumn colId="8"/>
    <filterColumn colId="9"/>
    <filterColumn colId="10"/>
    <filterColumn colId="11"/>
  </autoFilter>
  <tableColumns count="12">
    <tableColumn id="5" name="1" dataDxfId="180"/>
    <tableColumn id="3" name="2" dataDxfId="179"/>
    <tableColumn id="2" name="3" dataDxfId="178"/>
    <tableColumn id="6" name="4" dataDxfId="177"/>
    <tableColumn id="7" name="5" dataDxfId="176"/>
    <tableColumn id="10" name="6" dataDxfId="175"/>
    <tableColumn id="11" name="7" dataDxfId="174"/>
    <tableColumn id="12" name="8" dataDxfId="173"/>
    <tableColumn id="1" name="9" dataDxfId="172"/>
    <tableColumn id="4" name="10" dataDxfId="171"/>
    <tableColumn id="9" name="12" dataDxfId="170"/>
    <tableColumn id="8" name="11" dataDxfId="16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2" name="Таблица42" displayName="Таблица42" ref="A4:C14" totalsRowCount="1" headerRowDxfId="167" totalsRowDxfId="166">
  <tableColumns count="3">
    <tableColumn id="1" name="ВИД ВЫПЛАТЫ" totalsRowLabel="Итого" dataDxfId="165" totalsRowDxfId="164" dataCellStyle="Обычный 5"/>
    <tableColumn id="2" name="13%" totalsRowFunction="sum" dataDxfId="163" totalsRowDxfId="162" dataCellStyle="Обычный 5"/>
    <tableColumn id="3" name="30%" totalsRowFunction="sum" dataDxfId="161" totalsRowDxfId="160" dataCellStyle="Обычный 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3" name="Таблица43" displayName="Таблица43" ref="E4:H14" totalsRowCount="1" headerRowDxfId="159" dataDxfId="157" headerRowBorderDxfId="158" headerRowCellStyle="Обычный 5" dataCellStyle="Обычный 5">
  <tableColumns count="4">
    <tableColumn id="1" name="Сумма по ставкам" totalsRowFunction="sum" dataDxfId="156" totalsRowDxfId="155" dataCellStyle="Обычный 5"/>
    <tableColumn id="2" name="13%" dataDxfId="154" totalsRowDxfId="153" dataCellStyle="Обычный 5">
      <calculatedColumnFormula>B31+#REF!-Таблица42[[#This Row],[13%]]</calculatedColumnFormula>
    </tableColumn>
    <tableColumn id="3" name="30%" dataDxfId="152" totalsRowDxfId="151" dataCellStyle="Обычный 5"/>
    <tableColumn id="4" name="Расхождение по ставкам" dataDxfId="150" totalsRowDxfId="149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44" name="Таблица44" displayName="Таблица44" ref="A20:H32" totalsRowCount="1" headerRowDxfId="148" totalsRowDxfId="146" headerRowBorderDxfId="147" headerRowCellStyle="Обычный 5">
  <tableColumns count="8">
    <tableColumn id="1" name="ВИД ВЫПЛАТЫ" totalsRowLabel="Итого по ставке" dataDxfId="145" totalsRowDxfId="144" dataCellStyle="Обычный 5"/>
    <tableColumn id="2" name="13%" totalsRowFunction="sum" dataDxfId="143" totalsRowDxfId="142" dataCellStyle="Обычный 5"/>
    <tableColumn id="3" name="30%" totalsRowFunction="sum" dataDxfId="141" totalsRowDxfId="140" dataCellStyle="Обычный 5"/>
    <tableColumn id="4" name="Столбец1" totalsRowDxfId="139" dataCellStyle="Обычный 5"/>
    <tableColumn id="5" name="без исправлений" dataDxfId="138" totalsRowDxfId="137" dataCellStyle="Обычный 5"/>
    <tableColumn id="6" name="с корректоровкой" dataDxfId="136" totalsRowDxfId="135" dataCellStyle="Обычный 5"/>
    <tableColumn id="7" name="без исправлений2" dataDxfId="134" totalsRowDxfId="133" dataCellStyle="Обычный 5"/>
    <tableColumn id="8" name="с корректоровкой3" dataDxfId="132" totalsRowDxfId="131" dataCellStyle="Обычный 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130" headerRowBorderDxfId="129" tableBorderDxfId="128" headerRowCellStyle="Обычный 4">
  <autoFilter ref="B6:D7"/>
  <tableColumns count="3">
    <tableColumn id="1" name="100" dataDxfId="127" dataCellStyle="Обычный 4"/>
    <tableColumn id="2" name="130" dataDxfId="126" dataCellStyle="Обычный 4"/>
    <tableColumn id="3" name="140" dataDxfId="125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24" dataDxfId="123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22" dataDxfId="121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120" dataDxfId="119" tableBorderDxfId="118" totalsRowBorderDxfId="117">
  <tableColumns count="4">
    <tableColumn id="1" name="Столбец1" headerRowDxfId="116" dataDxfId="115" dataCellStyle="Обычный 4"/>
    <tableColumn id="2" name="Столбец2" headerRowDxfId="114" dataDxfId="113" headerRowCellStyle="Обычный 4" dataCellStyle="Обычный 4"/>
    <tableColumn id="3" name="Столбец3" headerRowDxfId="112" dataDxfId="111"/>
    <tableColumn id="4" name="Столбец4" headerRowDxfId="110" dataDxfId="109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08" dataDxfId="107">
  <tableColumns count="8">
    <tableColumn id="1" name="Столбец1" totalsRowLabel="Итого:" headerRowDxfId="106" dataDxfId="105" totalsRowDxfId="104"/>
    <tableColumn id="2" name="Столбец2" headerRowDxfId="103" dataDxfId="102" totalsRowDxfId="101"/>
    <tableColumn id="3" name="Столбец3" totalsRowFunction="sum" headerRowDxfId="100" dataDxfId="99" totalsRowDxfId="98"/>
    <tableColumn id="4" name="Столбец4" totalsRowFunction="sum" headerRowDxfId="97" dataDxfId="96" totalsRowDxfId="95"/>
    <tableColumn id="5" name="Столбец5" totalsRowFunction="sum" headerRowDxfId="94" dataDxfId="93" totalsRowDxfId="92"/>
    <tableColumn id="6" name="Столбец6" totalsRowFunction="sum" headerRowDxfId="91" dataDxfId="90" totalsRowDxfId="89"/>
    <tableColumn id="7" name="Столбец7" totalsRowFunction="sum" headerRowDxfId="88" dataDxfId="87" totalsRowDxfId="86"/>
    <tableColumn id="8" name="Столбец8" totalsRowFunction="sum" headerRowDxfId="85" dataDxfId="84" totalsRowDxfId="83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82" totalsRowDxfId="81"/>
    <tableColumn id="4" name="Столбец2" dataDxfId="80"/>
    <tableColumn id="5" name="итог" dataDxfId="7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78"/>
    <tableColumn id="2" name="Столбец2"/>
    <tableColumn id="3" name="Столбец3" totalsRowFunction="sum" headerRowDxfId="77" dataDxfId="76" totalsRowDxfId="7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7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73"/>
    <tableColumn id="5" name="Налог удержанный" totalsRowFunction="sum" dataDxfId="72"/>
    <tableColumn id="6" name="Разница" totalsRowFunction="sum" dataDxfId="7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70" headerRowBorderDxfId="69" tableBorderDxfId="68" totalsRowBorderDxfId="67">
  <autoFilter ref="A1:D2">
    <filterColumn colId="2"/>
    <filterColumn colId="3"/>
  </autoFilter>
  <tableColumns count="4">
    <tableColumn id="1" name="ФИО" dataDxfId="66"/>
    <tableColumn id="5" name="Дата рождения" dataDxfId="65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64" headerRowBorderDxfId="63" tableBorderDxfId="62" totalsRowBorderDxfId="61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60"/>
    <tableColumn id="6" name="Имя" dataDxfId="59"/>
    <tableColumn id="4" name="Отчество" dataDxfId="58"/>
    <tableColumn id="5" name="Дата рождения" dataDxfId="57"/>
    <tableColumn id="3" name="ИНН" dataDxfId="56"/>
    <tableColumn id="1" name="Участник/Не участник" dataDxfId="55"/>
    <tableColumn id="2" name="Доход" dataDxfId="54"/>
    <tableColumn id="8" name="Пенсионные схемы" dataDxfId="53"/>
    <tableColumn id="9" name="Типы дохода" dataDxfId="5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3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0"/>
    <tableColumn id="2" name="Фамилия" dataDxfId="29" totalsRowDxfId="28"/>
    <tableColumn id="3" name="Имя" dataDxfId="27" totalsRowDxfId="26"/>
    <tableColumn id="4" name="Отчество" dataDxfId="25" totalsRowDxfId="24"/>
    <tableColumn id="9" name="SSYLKA" dataDxfId="23" totalsRowDxfId="22"/>
    <tableColumn id="10" name="Вкладчик" dataDxfId="21" totalsRowDxfId="20"/>
    <tableColumn id="11" name="ИПС" dataDxfId="19" totalsRowDxfId="18"/>
    <tableColumn id="12" name="Пенс.схема" dataDxfId="17" totalsRowDxfId="16"/>
    <tableColumn id="14" name="Счет дохода" dataDxfId="15" totalsRowDxfId="14"/>
    <tableColumn id="5" name="Счет налога" dataDxfId="13" totalsRowDxfId="12"/>
    <tableColumn id="16" name="Доход" dataDxfId="11" totalsRowDxfId="10"/>
    <tableColumn id="15" name="Вычет" dataDxfId="9" totalsRowDxfId="8"/>
    <tableColumn id="13" name="Налог" dataDxfId="7" totalsRowDxfId="6"/>
    <tableColumn id="18" name="Удержано налога" dataDxfId="5" totalsRowDxfId="4"/>
    <tableColumn id="17" name="Исчислено налога" dataDxfId="3" totalsRowDxfId="2"/>
    <tableColumn id="8" name="Недоплата2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table" Target="../tables/table2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84" t="s">
        <v>248</v>
      </c>
      <c r="B1" s="185"/>
      <c r="C1" s="185"/>
      <c r="D1" s="185"/>
      <c r="E1" s="185"/>
      <c r="F1" s="185"/>
      <c r="G1" s="185"/>
      <c r="H1" s="185"/>
      <c r="I1" s="185"/>
      <c r="J1" s="185"/>
    </row>
    <row r="2" spans="1:10" ht="31.5" customHeight="1">
      <c r="A2" s="182" t="s">
        <v>4</v>
      </c>
      <c r="B2" s="182"/>
      <c r="C2" s="182"/>
      <c r="D2" s="182"/>
      <c r="E2" s="182"/>
      <c r="F2" s="183" t="s">
        <v>23</v>
      </c>
      <c r="G2" s="183"/>
      <c r="H2" s="183"/>
      <c r="I2" s="183"/>
      <c r="J2" s="183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86" t="s">
        <v>248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</row>
    <row r="2" spans="1:16" ht="31.5" customHeight="1">
      <c r="A2" s="191" t="s">
        <v>4</v>
      </c>
      <c r="B2" s="192"/>
      <c r="C2" s="192"/>
      <c r="D2" s="192"/>
      <c r="E2" s="192"/>
      <c r="F2" s="192"/>
      <c r="G2" s="192"/>
      <c r="H2" s="192"/>
      <c r="I2" s="193"/>
      <c r="J2" s="194" t="s">
        <v>23</v>
      </c>
      <c r="K2" s="195"/>
      <c r="L2" s="195"/>
      <c r="M2" s="195"/>
      <c r="N2" s="195"/>
      <c r="O2" s="195"/>
      <c r="P2" s="196"/>
    </row>
    <row r="3" spans="1:16" ht="24" customHeight="1">
      <c r="A3" s="197" t="s">
        <v>0</v>
      </c>
      <c r="B3" s="199" t="s">
        <v>29</v>
      </c>
      <c r="C3" s="199" t="s">
        <v>3</v>
      </c>
      <c r="D3" s="199" t="s">
        <v>30</v>
      </c>
      <c r="E3" s="201" t="s">
        <v>5</v>
      </c>
      <c r="F3" s="202"/>
      <c r="G3" s="203"/>
      <c r="H3" s="201" t="s">
        <v>6</v>
      </c>
      <c r="I3" s="204"/>
      <c r="J3" s="205" t="s">
        <v>28</v>
      </c>
      <c r="K3" s="205" t="s">
        <v>32</v>
      </c>
      <c r="L3" s="187" t="s">
        <v>5</v>
      </c>
      <c r="M3" s="188"/>
      <c r="N3" s="189"/>
      <c r="O3" s="187" t="s">
        <v>6</v>
      </c>
      <c r="P3" s="190"/>
    </row>
    <row r="4" spans="1:16" ht="38.25" customHeight="1">
      <c r="A4" s="198"/>
      <c r="B4" s="200"/>
      <c r="C4" s="200"/>
      <c r="D4" s="200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06"/>
      <c r="K4" s="206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86" t="s">
        <v>249</v>
      </c>
      <c r="B1" s="186"/>
      <c r="C1" s="186"/>
      <c r="D1" s="186"/>
      <c r="E1" s="186"/>
      <c r="F1" s="186"/>
      <c r="G1" s="186"/>
      <c r="H1" s="186"/>
      <c r="I1" s="186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07" t="s">
        <v>250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</row>
    <row r="2" spans="1:18" ht="31.5" customHeight="1">
      <c r="A2" s="182" t="s">
        <v>59</v>
      </c>
      <c r="B2" s="182"/>
      <c r="C2" s="182"/>
      <c r="D2" s="182"/>
      <c r="E2" s="182" t="s">
        <v>58</v>
      </c>
      <c r="F2" s="182"/>
      <c r="G2" s="182"/>
      <c r="H2" s="182"/>
      <c r="I2" s="182"/>
      <c r="J2" s="182"/>
      <c r="K2" s="208" t="s">
        <v>52</v>
      </c>
      <c r="L2" s="208" t="s">
        <v>53</v>
      </c>
      <c r="M2" s="208" t="s">
        <v>38</v>
      </c>
      <c r="N2" s="208" t="s">
        <v>54</v>
      </c>
      <c r="O2" s="182" t="s">
        <v>60</v>
      </c>
      <c r="P2" s="182"/>
      <c r="Q2" s="182"/>
      <c r="R2" s="182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08"/>
      <c r="L3" s="208"/>
      <c r="M3" s="208"/>
      <c r="N3" s="208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9"/>
  <sheetViews>
    <sheetView workbookViewId="0">
      <selection sqref="A1:B1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6.7109375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209" t="s">
        <v>115</v>
      </c>
      <c r="B1" s="209"/>
      <c r="D1" s="210" t="s">
        <v>116</v>
      </c>
      <c r="E1" s="210"/>
      <c r="G1" s="210" t="s">
        <v>111</v>
      </c>
      <c r="H1" s="210"/>
      <c r="I1" s="210"/>
      <c r="J1" s="210"/>
      <c r="L1" s="210" t="s">
        <v>106</v>
      </c>
      <c r="M1" s="210"/>
      <c r="N1" s="210"/>
      <c r="O1" s="210"/>
      <c r="P1" s="210"/>
      <c r="Q1" s="210"/>
      <c r="S1" s="210" t="s">
        <v>112</v>
      </c>
      <c r="T1" s="210"/>
      <c r="V1" s="210" t="s">
        <v>103</v>
      </c>
      <c r="W1" s="210"/>
      <c r="X1" s="210"/>
      <c r="Y1" s="210"/>
      <c r="Z1" s="210"/>
      <c r="AB1" s="210" t="s">
        <v>143</v>
      </c>
      <c r="AC1" s="210"/>
      <c r="AD1" s="210"/>
      <c r="AE1" s="210"/>
      <c r="AF1" s="210"/>
      <c r="AG1" s="210"/>
      <c r="AH1" s="210"/>
      <c r="AJ1" s="38" t="s">
        <v>129</v>
      </c>
      <c r="AL1" s="38" t="s">
        <v>131</v>
      </c>
      <c r="AN1" s="38" t="s">
        <v>133</v>
      </c>
      <c r="AP1" s="38" t="s">
        <v>142</v>
      </c>
      <c r="AR1" s="38" t="s">
        <v>151</v>
      </c>
      <c r="AT1" s="38" t="s">
        <v>152</v>
      </c>
      <c r="AV1" s="38" t="s">
        <v>144</v>
      </c>
      <c r="AX1" s="38" t="s">
        <v>157</v>
      </c>
      <c r="AZ1" s="38" t="s">
        <v>164</v>
      </c>
      <c r="BB1" s="211" t="s">
        <v>245</v>
      </c>
      <c r="BC1" s="211"/>
    </row>
    <row r="2" spans="1:57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L2" t="s">
        <v>107</v>
      </c>
      <c r="M2" t="s">
        <v>31</v>
      </c>
      <c r="N2" t="s">
        <v>95</v>
      </c>
      <c r="O2" t="s">
        <v>130</v>
      </c>
      <c r="P2" t="s">
        <v>125</v>
      </c>
      <c r="Q2" t="s">
        <v>117</v>
      </c>
      <c r="S2" t="s">
        <v>107</v>
      </c>
      <c r="T2" t="s">
        <v>113</v>
      </c>
      <c r="V2" t="s">
        <v>107</v>
      </c>
      <c r="W2" t="s">
        <v>123</v>
      </c>
      <c r="X2" t="s">
        <v>139</v>
      </c>
      <c r="Y2" t="s">
        <v>145</v>
      </c>
      <c r="Z2" t="s">
        <v>127</v>
      </c>
      <c r="AB2" t="s">
        <v>125</v>
      </c>
      <c r="AC2" t="s">
        <v>153</v>
      </c>
      <c r="AD2" t="s">
        <v>144</v>
      </c>
      <c r="AE2" t="s">
        <v>154</v>
      </c>
      <c r="AF2" t="s">
        <v>155</v>
      </c>
      <c r="AG2" t="s">
        <v>160</v>
      </c>
      <c r="AH2" t="s">
        <v>163</v>
      </c>
      <c r="AJ2" t="s">
        <v>107</v>
      </c>
      <c r="AL2" t="s">
        <v>107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136</v>
      </c>
      <c r="BC2" t="s">
        <v>114</v>
      </c>
    </row>
    <row r="3" spans="1:57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L3" t="s">
        <v>27</v>
      </c>
      <c r="M3" t="s">
        <v>27</v>
      </c>
      <c r="N3" t="s">
        <v>25</v>
      </c>
      <c r="O3" t="s">
        <v>128</v>
      </c>
      <c r="P3" t="s">
        <v>126</v>
      </c>
      <c r="Q3" t="s">
        <v>134</v>
      </c>
      <c r="S3" t="s">
        <v>119</v>
      </c>
      <c r="T3" t="s">
        <v>137</v>
      </c>
      <c r="V3" s="6" t="s">
        <v>170</v>
      </c>
      <c r="W3" t="s">
        <v>124</v>
      </c>
      <c r="X3" t="s">
        <v>141</v>
      </c>
      <c r="Z3" t="s">
        <v>172</v>
      </c>
      <c r="AB3" s="6" t="s">
        <v>126</v>
      </c>
      <c r="AC3" t="s">
        <v>162</v>
      </c>
      <c r="AD3" t="s">
        <v>147</v>
      </c>
      <c r="AG3">
        <v>2000</v>
      </c>
      <c r="AH3" t="s">
        <v>141</v>
      </c>
      <c r="AJ3" s="36" t="s">
        <v>104</v>
      </c>
      <c r="AL3" t="s">
        <v>128</v>
      </c>
      <c r="AN3" t="s">
        <v>134</v>
      </c>
      <c r="AP3" t="s">
        <v>124</v>
      </c>
      <c r="AR3" t="s">
        <v>150</v>
      </c>
      <c r="AT3" t="s">
        <v>146</v>
      </c>
      <c r="AV3" t="s">
        <v>148</v>
      </c>
      <c r="AX3" t="s">
        <v>141</v>
      </c>
      <c r="AZ3" t="s">
        <v>165</v>
      </c>
      <c r="BB3" t="s">
        <v>246</v>
      </c>
      <c r="BC3" t="s">
        <v>158</v>
      </c>
    </row>
    <row r="4" spans="1:57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L4" t="s">
        <v>33</v>
      </c>
      <c r="M4" t="s">
        <v>33</v>
      </c>
      <c r="N4" t="s">
        <v>34</v>
      </c>
      <c r="O4" t="s">
        <v>128</v>
      </c>
      <c r="P4" t="s">
        <v>126</v>
      </c>
      <c r="Q4" t="s">
        <v>134</v>
      </c>
      <c r="S4" t="s">
        <v>119</v>
      </c>
      <c r="T4" s="6" t="s">
        <v>188</v>
      </c>
      <c r="V4" s="6" t="s">
        <v>126</v>
      </c>
      <c r="W4" t="s">
        <v>161</v>
      </c>
      <c r="X4" t="s">
        <v>141</v>
      </c>
      <c r="Y4" t="s">
        <v>146</v>
      </c>
      <c r="Z4" s="6" t="s">
        <v>242</v>
      </c>
      <c r="AA4" s="6"/>
      <c r="AB4" s="45" t="s">
        <v>126</v>
      </c>
      <c r="AC4" s="6" t="s">
        <v>156</v>
      </c>
      <c r="AD4" s="6" t="s">
        <v>148</v>
      </c>
      <c r="AE4" s="6" t="s">
        <v>149</v>
      </c>
      <c r="AF4" s="6" t="s">
        <v>141</v>
      </c>
      <c r="AG4" s="6">
        <v>40</v>
      </c>
      <c r="AH4" s="6" t="s">
        <v>140</v>
      </c>
      <c r="AJ4" s="37" t="s">
        <v>105</v>
      </c>
      <c r="AL4" t="s">
        <v>132</v>
      </c>
      <c r="AN4" t="s">
        <v>118</v>
      </c>
      <c r="AP4" t="s">
        <v>161</v>
      </c>
      <c r="AV4" t="s">
        <v>147</v>
      </c>
      <c r="AX4" t="s">
        <v>140</v>
      </c>
      <c r="BB4" t="s">
        <v>247</v>
      </c>
      <c r="BC4" t="s">
        <v>159</v>
      </c>
    </row>
    <row r="5" spans="1:57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L5" t="s">
        <v>43</v>
      </c>
      <c r="M5" t="s">
        <v>43</v>
      </c>
      <c r="N5" t="s">
        <v>44</v>
      </c>
      <c r="O5" t="s">
        <v>128</v>
      </c>
      <c r="P5" t="s">
        <v>126</v>
      </c>
      <c r="Q5" t="s">
        <v>134</v>
      </c>
      <c r="S5" t="s">
        <v>119</v>
      </c>
      <c r="T5" s="6" t="s">
        <v>189</v>
      </c>
      <c r="V5" s="6" t="s">
        <v>166</v>
      </c>
      <c r="W5" t="s">
        <v>124</v>
      </c>
      <c r="X5" t="s">
        <v>140</v>
      </c>
      <c r="Y5" s="6"/>
      <c r="Z5" t="s">
        <v>167</v>
      </c>
      <c r="AB5" s="45" t="s">
        <v>126</v>
      </c>
      <c r="AC5" s="177" t="s">
        <v>340</v>
      </c>
      <c r="AD5" s="6" t="s">
        <v>148</v>
      </c>
      <c r="AE5" s="177" t="s">
        <v>341</v>
      </c>
      <c r="AF5" s="6" t="s">
        <v>141</v>
      </c>
      <c r="AG5" s="6">
        <v>4</v>
      </c>
      <c r="AH5" s="6" t="s">
        <v>140</v>
      </c>
      <c r="AN5" s="6" t="s">
        <v>304</v>
      </c>
      <c r="BB5" s="177" t="s">
        <v>348</v>
      </c>
      <c r="BC5" s="177" t="s">
        <v>347</v>
      </c>
    </row>
    <row r="6" spans="1:57">
      <c r="A6" s="6" t="s">
        <v>122</v>
      </c>
      <c r="B6" s="6" t="str">
        <f>VLOOKUP(ReportSelected,Menu[],2,FALSE)</f>
        <v>ndfl_reports_all</v>
      </c>
      <c r="D6" t="s">
        <v>25</v>
      </c>
      <c r="E6" t="s">
        <v>27</v>
      </c>
      <c r="G6" t="s">
        <v>43</v>
      </c>
      <c r="H6" t="s">
        <v>104</v>
      </c>
      <c r="I6" t="s">
        <v>43</v>
      </c>
      <c r="L6" t="s">
        <v>66</v>
      </c>
      <c r="M6" t="s">
        <v>66</v>
      </c>
      <c r="N6" t="s">
        <v>67</v>
      </c>
      <c r="O6" t="s">
        <v>128</v>
      </c>
      <c r="P6" t="s">
        <v>126</v>
      </c>
      <c r="Q6" t="s">
        <v>134</v>
      </c>
      <c r="S6" s="6" t="s">
        <v>77</v>
      </c>
      <c r="T6" s="6" t="s">
        <v>138</v>
      </c>
      <c r="V6" s="6" t="s">
        <v>171</v>
      </c>
      <c r="W6" t="s">
        <v>161</v>
      </c>
      <c r="X6" t="s">
        <v>141</v>
      </c>
      <c r="Y6" s="6"/>
      <c r="Z6" s="6" t="s">
        <v>243</v>
      </c>
      <c r="AB6" s="45" t="s">
        <v>126</v>
      </c>
      <c r="AC6" s="177" t="s">
        <v>342</v>
      </c>
      <c r="AD6" s="6" t="s">
        <v>148</v>
      </c>
      <c r="AE6" s="177" t="s">
        <v>343</v>
      </c>
      <c r="AF6" s="6" t="s">
        <v>141</v>
      </c>
      <c r="AG6" s="6">
        <v>2</v>
      </c>
      <c r="AH6" s="6" t="s">
        <v>140</v>
      </c>
    </row>
    <row r="7" spans="1:57">
      <c r="A7" s="39" t="s">
        <v>149</v>
      </c>
      <c r="B7" s="177" t="s">
        <v>189</v>
      </c>
      <c r="D7" t="s">
        <v>34</v>
      </c>
      <c r="E7" t="s">
        <v>33</v>
      </c>
      <c r="G7" t="s">
        <v>66</v>
      </c>
      <c r="H7" t="s">
        <v>104</v>
      </c>
      <c r="I7" t="s">
        <v>66</v>
      </c>
      <c r="L7" t="s">
        <v>119</v>
      </c>
      <c r="M7" t="s">
        <v>119</v>
      </c>
      <c r="N7" t="s">
        <v>76</v>
      </c>
      <c r="O7" t="s">
        <v>128</v>
      </c>
      <c r="Q7" t="s">
        <v>118</v>
      </c>
      <c r="S7" s="6" t="s">
        <v>77</v>
      </c>
      <c r="T7" s="6" t="s">
        <v>209</v>
      </c>
      <c r="V7" s="6" t="s">
        <v>180</v>
      </c>
      <c r="W7" t="s">
        <v>161</v>
      </c>
      <c r="X7" t="s">
        <v>141</v>
      </c>
      <c r="Y7" s="6"/>
      <c r="Z7" s="6" t="s">
        <v>244</v>
      </c>
      <c r="AB7" s="45" t="s">
        <v>126</v>
      </c>
      <c r="AC7" s="177" t="s">
        <v>344</v>
      </c>
      <c r="AD7" s="177" t="s">
        <v>148</v>
      </c>
      <c r="AE7" s="177" t="s">
        <v>345</v>
      </c>
      <c r="AF7" s="177" t="s">
        <v>141</v>
      </c>
      <c r="AG7" s="177">
        <v>10</v>
      </c>
      <c r="AH7" s="177" t="s">
        <v>140</v>
      </c>
    </row>
    <row r="8" spans="1:57">
      <c r="A8" s="177" t="s">
        <v>158</v>
      </c>
      <c r="B8" s="180" t="s">
        <v>346</v>
      </c>
      <c r="D8" t="s">
        <v>67</v>
      </c>
      <c r="E8" t="s">
        <v>66</v>
      </c>
      <c r="G8" t="s">
        <v>119</v>
      </c>
      <c r="H8" t="s">
        <v>104</v>
      </c>
      <c r="I8" t="s">
        <v>119</v>
      </c>
      <c r="L8" t="s">
        <v>77</v>
      </c>
      <c r="M8" t="s">
        <v>77</v>
      </c>
      <c r="N8" t="s">
        <v>78</v>
      </c>
      <c r="O8" t="s">
        <v>128</v>
      </c>
      <c r="Q8" t="s">
        <v>118</v>
      </c>
      <c r="S8" s="6" t="s">
        <v>77</v>
      </c>
      <c r="T8" s="6" t="s">
        <v>210</v>
      </c>
      <c r="V8" s="6" t="s">
        <v>301</v>
      </c>
      <c r="W8" s="6" t="s">
        <v>124</v>
      </c>
      <c r="X8" s="6" t="s">
        <v>141</v>
      </c>
      <c r="Y8" s="6"/>
      <c r="Z8" s="6" t="s">
        <v>302</v>
      </c>
      <c r="AB8" s="6" t="s">
        <v>171</v>
      </c>
      <c r="AC8" t="s">
        <v>162</v>
      </c>
      <c r="AD8" t="s">
        <v>147</v>
      </c>
      <c r="AG8">
        <v>2000</v>
      </c>
      <c r="AH8" t="s">
        <v>141</v>
      </c>
      <c r="BE8" s="108"/>
    </row>
    <row r="9" spans="1:57">
      <c r="A9" s="177" t="s">
        <v>159</v>
      </c>
      <c r="B9" s="177" t="s">
        <v>349</v>
      </c>
      <c r="D9" t="s">
        <v>256</v>
      </c>
      <c r="E9" s="6" t="s">
        <v>257</v>
      </c>
      <c r="G9" t="s">
        <v>77</v>
      </c>
      <c r="H9" t="s">
        <v>104</v>
      </c>
      <c r="I9" t="s">
        <v>77</v>
      </c>
      <c r="L9" t="s">
        <v>178</v>
      </c>
      <c r="M9" t="s">
        <v>176</v>
      </c>
      <c r="N9" t="s">
        <v>96</v>
      </c>
      <c r="O9" t="s">
        <v>128</v>
      </c>
      <c r="P9" t="s">
        <v>126</v>
      </c>
      <c r="Q9" t="s">
        <v>134</v>
      </c>
      <c r="S9" s="6" t="s">
        <v>77</v>
      </c>
      <c r="T9" s="6" t="s">
        <v>214</v>
      </c>
      <c r="V9" s="6" t="s">
        <v>332</v>
      </c>
      <c r="W9" s="6" t="s">
        <v>161</v>
      </c>
      <c r="X9" s="6" t="s">
        <v>141</v>
      </c>
      <c r="Y9" s="6"/>
      <c r="Z9" s="6" t="s">
        <v>333</v>
      </c>
      <c r="AB9" s="6" t="s">
        <v>171</v>
      </c>
      <c r="AC9" s="6" t="s">
        <v>169</v>
      </c>
      <c r="AD9" s="6" t="s">
        <v>148</v>
      </c>
      <c r="AE9" s="177" t="s">
        <v>345</v>
      </c>
      <c r="AF9" s="6" t="s">
        <v>141</v>
      </c>
      <c r="AG9" s="6">
        <v>10</v>
      </c>
      <c r="AH9" s="6" t="s">
        <v>140</v>
      </c>
    </row>
    <row r="10" spans="1:57">
      <c r="A10" s="177" t="s">
        <v>347</v>
      </c>
      <c r="B10" s="177" t="s">
        <v>349</v>
      </c>
      <c r="D10" t="s">
        <v>265</v>
      </c>
      <c r="E10" s="6" t="s">
        <v>301</v>
      </c>
      <c r="G10" t="s">
        <v>108</v>
      </c>
      <c r="H10" t="s">
        <v>104</v>
      </c>
      <c r="I10" t="s">
        <v>177</v>
      </c>
      <c r="J10" t="s">
        <v>165</v>
      </c>
      <c r="L10" t="s">
        <v>177</v>
      </c>
      <c r="M10" t="s">
        <v>94</v>
      </c>
      <c r="N10" t="s">
        <v>96</v>
      </c>
      <c r="O10" t="s">
        <v>128</v>
      </c>
      <c r="P10" s="6"/>
      <c r="Q10" t="s">
        <v>134</v>
      </c>
      <c r="S10" s="6" t="s">
        <v>77</v>
      </c>
      <c r="T10" s="6" t="s">
        <v>216</v>
      </c>
      <c r="V10" s="6" t="s">
        <v>337</v>
      </c>
      <c r="W10" t="s">
        <v>161</v>
      </c>
      <c r="X10" t="s">
        <v>141</v>
      </c>
      <c r="Y10" s="6"/>
      <c r="Z10" s="6" t="s">
        <v>338</v>
      </c>
      <c r="AB10" s="46" t="s">
        <v>180</v>
      </c>
      <c r="AC10" t="s">
        <v>162</v>
      </c>
      <c r="AD10" t="s">
        <v>147</v>
      </c>
      <c r="AG10">
        <v>2000</v>
      </c>
      <c r="AH10" t="s">
        <v>141</v>
      </c>
    </row>
    <row r="11" spans="1:57">
      <c r="A11" s="6"/>
      <c r="B11" s="6"/>
      <c r="D11" s="6" t="s">
        <v>240</v>
      </c>
      <c r="E11" s="6" t="s">
        <v>241</v>
      </c>
      <c r="G11" t="s">
        <v>108</v>
      </c>
      <c r="H11" t="s">
        <v>105</v>
      </c>
      <c r="I11" t="s">
        <v>166</v>
      </c>
      <c r="L11" s="6" t="s">
        <v>188</v>
      </c>
      <c r="M11" s="6" t="s">
        <v>190</v>
      </c>
      <c r="N11" s="6" t="s">
        <v>188</v>
      </c>
      <c r="O11" t="s">
        <v>128</v>
      </c>
      <c r="P11" t="s">
        <v>126</v>
      </c>
      <c r="Q11" t="s">
        <v>134</v>
      </c>
      <c r="S11" s="6" t="s">
        <v>238</v>
      </c>
      <c r="T11" s="6" t="s">
        <v>236</v>
      </c>
      <c r="AB11" s="46" t="s">
        <v>180</v>
      </c>
      <c r="AC11" s="177" t="s">
        <v>340</v>
      </c>
      <c r="AD11" s="6" t="s">
        <v>148</v>
      </c>
      <c r="AE11" s="177" t="s">
        <v>341</v>
      </c>
      <c r="AF11" s="6" t="s">
        <v>141</v>
      </c>
      <c r="AG11" s="6">
        <v>4</v>
      </c>
      <c r="AH11" s="6" t="s">
        <v>140</v>
      </c>
    </row>
    <row r="12" spans="1:57">
      <c r="A12" s="177"/>
      <c r="B12" s="177"/>
      <c r="D12" s="6" t="s">
        <v>224</v>
      </c>
      <c r="E12" t="s">
        <v>225</v>
      </c>
      <c r="G12" t="s">
        <v>168</v>
      </c>
      <c r="H12" t="s">
        <v>105</v>
      </c>
      <c r="I12" t="s">
        <v>170</v>
      </c>
      <c r="L12" s="6" t="s">
        <v>189</v>
      </c>
      <c r="M12" s="6" t="s">
        <v>190</v>
      </c>
      <c r="N12" s="6" t="s">
        <v>189</v>
      </c>
      <c r="O12" t="s">
        <v>128</v>
      </c>
      <c r="P12" t="s">
        <v>126</v>
      </c>
      <c r="Q12" t="s">
        <v>134</v>
      </c>
      <c r="S12" s="6" t="s">
        <v>266</v>
      </c>
      <c r="T12" s="6" t="s">
        <v>303</v>
      </c>
      <c r="AB12" s="145" t="s">
        <v>301</v>
      </c>
      <c r="AC12" t="s">
        <v>162</v>
      </c>
      <c r="AD12" s="6" t="s">
        <v>147</v>
      </c>
      <c r="AE12" s="6"/>
      <c r="AF12" s="6"/>
      <c r="AG12">
        <v>2000</v>
      </c>
      <c r="AH12" t="s">
        <v>141</v>
      </c>
    </row>
    <row r="13" spans="1:57">
      <c r="D13" t="s">
        <v>76</v>
      </c>
      <c r="E13" t="s">
        <v>119</v>
      </c>
      <c r="G13" t="s">
        <v>168</v>
      </c>
      <c r="H13" t="s">
        <v>105</v>
      </c>
      <c r="I13" t="s">
        <v>171</v>
      </c>
      <c r="L13" t="s">
        <v>137</v>
      </c>
      <c r="M13" s="6" t="s">
        <v>190</v>
      </c>
      <c r="N13" t="s">
        <v>137</v>
      </c>
      <c r="O13" t="s">
        <v>128</v>
      </c>
      <c r="P13" t="s">
        <v>126</v>
      </c>
      <c r="Q13" t="s">
        <v>134</v>
      </c>
      <c r="AB13" s="145" t="s">
        <v>301</v>
      </c>
      <c r="AC13" s="6" t="s">
        <v>156</v>
      </c>
      <c r="AD13" s="6" t="s">
        <v>148</v>
      </c>
      <c r="AE13" s="6" t="s">
        <v>149</v>
      </c>
      <c r="AF13" s="6" t="s">
        <v>141</v>
      </c>
      <c r="AG13" s="6">
        <v>40</v>
      </c>
      <c r="AH13" s="6" t="s">
        <v>140</v>
      </c>
    </row>
    <row r="14" spans="1:57">
      <c r="D14" t="s">
        <v>78</v>
      </c>
      <c r="E14" t="s">
        <v>77</v>
      </c>
      <c r="G14" t="s">
        <v>168</v>
      </c>
      <c r="H14" t="s">
        <v>104</v>
      </c>
      <c r="I14" t="s">
        <v>178</v>
      </c>
      <c r="L14" t="s">
        <v>138</v>
      </c>
      <c r="M14" s="6" t="s">
        <v>190</v>
      </c>
      <c r="N14" s="6" t="s">
        <v>138</v>
      </c>
      <c r="O14" t="s">
        <v>128</v>
      </c>
      <c r="P14" t="s">
        <v>126</v>
      </c>
      <c r="Q14" t="s">
        <v>134</v>
      </c>
      <c r="AB14" s="176" t="s">
        <v>332</v>
      </c>
      <c r="AC14" t="s">
        <v>162</v>
      </c>
      <c r="AD14" t="s">
        <v>147</v>
      </c>
      <c r="AG14">
        <v>2000</v>
      </c>
      <c r="AH14" t="s">
        <v>141</v>
      </c>
    </row>
    <row r="15" spans="1:57">
      <c r="D15" s="6" t="s">
        <v>237</v>
      </c>
      <c r="E15" s="6" t="s">
        <v>238</v>
      </c>
      <c r="G15" t="s">
        <v>109</v>
      </c>
      <c r="H15" t="s">
        <v>104</v>
      </c>
      <c r="I15" t="s">
        <v>178</v>
      </c>
      <c r="L15" s="6" t="s">
        <v>209</v>
      </c>
      <c r="M15" s="6" t="s">
        <v>190</v>
      </c>
      <c r="N15" s="6" t="s">
        <v>209</v>
      </c>
      <c r="O15" t="s">
        <v>128</v>
      </c>
      <c r="P15" t="s">
        <v>126</v>
      </c>
      <c r="Q15" t="s">
        <v>134</v>
      </c>
      <c r="AB15" s="176" t="s">
        <v>332</v>
      </c>
      <c r="AC15" s="177" t="s">
        <v>340</v>
      </c>
      <c r="AD15" s="177" t="s">
        <v>148</v>
      </c>
      <c r="AE15" s="177" t="s">
        <v>341</v>
      </c>
      <c r="AF15" s="177" t="s">
        <v>141</v>
      </c>
      <c r="AG15" s="177">
        <v>4</v>
      </c>
      <c r="AH15" s="177" t="s">
        <v>140</v>
      </c>
    </row>
    <row r="16" spans="1:57">
      <c r="D16" t="s">
        <v>120</v>
      </c>
      <c r="E16" t="s">
        <v>108</v>
      </c>
      <c r="G16" s="6" t="s">
        <v>180</v>
      </c>
      <c r="H16" t="s">
        <v>105</v>
      </c>
      <c r="I16" s="6" t="s">
        <v>180</v>
      </c>
      <c r="J16" s="6"/>
      <c r="L16" s="6" t="s">
        <v>210</v>
      </c>
      <c r="M16" s="6" t="s">
        <v>190</v>
      </c>
      <c r="N16" s="6" t="s">
        <v>210</v>
      </c>
      <c r="O16" t="s">
        <v>128</v>
      </c>
      <c r="P16" t="s">
        <v>126</v>
      </c>
      <c r="Q16" t="s">
        <v>134</v>
      </c>
      <c r="AB16" s="176" t="s">
        <v>332</v>
      </c>
      <c r="AC16" s="177" t="s">
        <v>342</v>
      </c>
      <c r="AD16" s="177" t="s">
        <v>148</v>
      </c>
      <c r="AE16" s="177" t="s">
        <v>343</v>
      </c>
      <c r="AF16" s="177" t="s">
        <v>141</v>
      </c>
      <c r="AG16" s="177">
        <v>2</v>
      </c>
      <c r="AH16" s="177" t="s">
        <v>140</v>
      </c>
    </row>
    <row r="17" spans="4:34">
      <c r="D17" t="s">
        <v>93</v>
      </c>
      <c r="E17" t="s">
        <v>109</v>
      </c>
      <c r="G17" s="6" t="s">
        <v>180</v>
      </c>
      <c r="H17" s="6" t="s">
        <v>104</v>
      </c>
      <c r="I17" s="6" t="s">
        <v>324</v>
      </c>
      <c r="J17" s="6"/>
      <c r="L17" s="6" t="s">
        <v>214</v>
      </c>
      <c r="M17" s="6" t="s">
        <v>190</v>
      </c>
      <c r="N17" s="6" t="s">
        <v>214</v>
      </c>
      <c r="O17" t="s">
        <v>128</v>
      </c>
      <c r="P17" t="s">
        <v>126</v>
      </c>
      <c r="Q17" t="s">
        <v>134</v>
      </c>
      <c r="AB17" s="45" t="s">
        <v>337</v>
      </c>
      <c r="AC17" t="s">
        <v>162</v>
      </c>
      <c r="AD17" t="s">
        <v>147</v>
      </c>
      <c r="AG17">
        <v>2000</v>
      </c>
      <c r="AH17" t="s">
        <v>141</v>
      </c>
    </row>
    <row r="18" spans="4:34">
      <c r="D18" s="6" t="s">
        <v>315</v>
      </c>
      <c r="E18" s="6" t="s">
        <v>312</v>
      </c>
      <c r="G18" s="6" t="s">
        <v>225</v>
      </c>
      <c r="H18" t="s">
        <v>104</v>
      </c>
      <c r="I18" t="s">
        <v>77</v>
      </c>
      <c r="J18" s="6"/>
      <c r="L18" s="6" t="s">
        <v>216</v>
      </c>
      <c r="M18" s="6" t="s">
        <v>190</v>
      </c>
      <c r="N18" s="6" t="s">
        <v>216</v>
      </c>
      <c r="O18" t="s">
        <v>128</v>
      </c>
      <c r="P18" t="s">
        <v>126</v>
      </c>
      <c r="Q18" t="s">
        <v>134</v>
      </c>
      <c r="AB18" s="45" t="s">
        <v>337</v>
      </c>
      <c r="AC18" s="177" t="s">
        <v>340</v>
      </c>
      <c r="AD18" s="177" t="s">
        <v>148</v>
      </c>
      <c r="AE18" s="177" t="s">
        <v>341</v>
      </c>
      <c r="AF18" s="177" t="s">
        <v>141</v>
      </c>
      <c r="AG18" s="177">
        <v>4</v>
      </c>
      <c r="AH18" s="177" t="s">
        <v>140</v>
      </c>
    </row>
    <row r="19" spans="4:34">
      <c r="D19" s="6" t="s">
        <v>313</v>
      </c>
      <c r="E19" s="6" t="s">
        <v>316</v>
      </c>
      <c r="G19" s="6" t="s">
        <v>225</v>
      </c>
      <c r="H19" t="s">
        <v>104</v>
      </c>
      <c r="I19" s="6" t="s">
        <v>119</v>
      </c>
      <c r="J19" s="6"/>
      <c r="L19" s="6" t="s">
        <v>238</v>
      </c>
      <c r="M19" s="6" t="s">
        <v>238</v>
      </c>
      <c r="N19" s="6" t="s">
        <v>239</v>
      </c>
      <c r="O19" t="s">
        <v>128</v>
      </c>
      <c r="Q19" t="s">
        <v>118</v>
      </c>
    </row>
    <row r="20" spans="4:34">
      <c r="D20" s="6" t="s">
        <v>331</v>
      </c>
      <c r="E20" s="6" t="s">
        <v>332</v>
      </c>
      <c r="G20" s="6" t="s">
        <v>238</v>
      </c>
      <c r="H20" t="s">
        <v>104</v>
      </c>
      <c r="I20" s="6" t="s">
        <v>238</v>
      </c>
      <c r="J20" s="6"/>
      <c r="L20" s="6" t="s">
        <v>236</v>
      </c>
      <c r="M20" s="6" t="s">
        <v>190</v>
      </c>
      <c r="N20" s="6" t="s">
        <v>236</v>
      </c>
      <c r="O20" t="s">
        <v>128</v>
      </c>
      <c r="P20" t="s">
        <v>126</v>
      </c>
      <c r="Q20" t="s">
        <v>134</v>
      </c>
    </row>
    <row r="21" spans="4:34">
      <c r="D21" s="6" t="s">
        <v>323</v>
      </c>
      <c r="E21" s="6" t="s">
        <v>324</v>
      </c>
      <c r="G21" s="6" t="s">
        <v>241</v>
      </c>
      <c r="H21" s="6" t="s">
        <v>104</v>
      </c>
      <c r="I21" s="6" t="s">
        <v>238</v>
      </c>
      <c r="J21" s="6"/>
      <c r="L21" s="6" t="s">
        <v>257</v>
      </c>
      <c r="M21" t="s">
        <v>257</v>
      </c>
      <c r="N21" s="6" t="s">
        <v>255</v>
      </c>
      <c r="O21" t="s">
        <v>128</v>
      </c>
      <c r="P21" t="s">
        <v>126</v>
      </c>
      <c r="Q21" t="s">
        <v>134</v>
      </c>
    </row>
    <row r="22" spans="4:34">
      <c r="D22" s="6" t="s">
        <v>336</v>
      </c>
      <c r="E22" s="6" t="s">
        <v>337</v>
      </c>
      <c r="G22" s="6" t="s">
        <v>241</v>
      </c>
      <c r="H22" s="6" t="s">
        <v>104</v>
      </c>
      <c r="I22" t="s">
        <v>77</v>
      </c>
      <c r="J22" s="6"/>
      <c r="L22" s="6" t="s">
        <v>266</v>
      </c>
      <c r="M22" s="6" t="s">
        <v>266</v>
      </c>
      <c r="N22" s="6" t="s">
        <v>265</v>
      </c>
      <c r="O22" t="s">
        <v>128</v>
      </c>
      <c r="P22" t="s">
        <v>126</v>
      </c>
      <c r="Q22" t="s">
        <v>118</v>
      </c>
    </row>
    <row r="23" spans="4:34">
      <c r="G23" s="6" t="s">
        <v>241</v>
      </c>
      <c r="H23" s="6" t="s">
        <v>104</v>
      </c>
      <c r="I23" s="6" t="s">
        <v>119</v>
      </c>
      <c r="J23" s="6"/>
      <c r="L23" s="6" t="s">
        <v>303</v>
      </c>
      <c r="M23" s="6"/>
      <c r="N23" s="6"/>
      <c r="P23" t="s">
        <v>126</v>
      </c>
      <c r="Q23" s="6" t="s">
        <v>304</v>
      </c>
    </row>
    <row r="24" spans="4:34">
      <c r="G24" s="6" t="s">
        <v>257</v>
      </c>
      <c r="H24" s="6" t="s">
        <v>104</v>
      </c>
      <c r="I24" s="6" t="s">
        <v>257</v>
      </c>
      <c r="J24" s="6"/>
      <c r="L24" s="6" t="s">
        <v>312</v>
      </c>
      <c r="M24" t="s">
        <v>312</v>
      </c>
      <c r="N24" s="6" t="s">
        <v>314</v>
      </c>
      <c r="O24" t="s">
        <v>128</v>
      </c>
      <c r="P24" t="s">
        <v>126</v>
      </c>
      <c r="Q24" t="s">
        <v>134</v>
      </c>
    </row>
    <row r="25" spans="4:34">
      <c r="G25" s="6" t="s">
        <v>301</v>
      </c>
      <c r="H25" s="6" t="s">
        <v>104</v>
      </c>
      <c r="I25" s="6" t="s">
        <v>266</v>
      </c>
      <c r="L25" s="6" t="s">
        <v>316</v>
      </c>
      <c r="M25" s="6" t="s">
        <v>312</v>
      </c>
      <c r="N25" s="6" t="s">
        <v>314</v>
      </c>
      <c r="O25" s="6" t="s">
        <v>128</v>
      </c>
      <c r="P25" s="6" t="s">
        <v>126</v>
      </c>
      <c r="Q25" s="6" t="s">
        <v>134</v>
      </c>
    </row>
    <row r="26" spans="4:34">
      <c r="G26" s="6" t="s">
        <v>307</v>
      </c>
      <c r="H26" t="s">
        <v>104</v>
      </c>
      <c r="I26" t="s">
        <v>33</v>
      </c>
      <c r="J26" s="6"/>
      <c r="L26" s="6" t="s">
        <v>324</v>
      </c>
      <c r="M26" s="6" t="s">
        <v>324</v>
      </c>
      <c r="N26" s="6" t="s">
        <v>323</v>
      </c>
      <c r="O26" s="6" t="s">
        <v>128</v>
      </c>
      <c r="P26" s="6" t="s">
        <v>126</v>
      </c>
      <c r="Q26" s="6" t="s">
        <v>134</v>
      </c>
    </row>
    <row r="27" spans="4:34">
      <c r="G27" s="6" t="s">
        <v>307</v>
      </c>
      <c r="H27" t="s">
        <v>104</v>
      </c>
      <c r="I27" t="s">
        <v>27</v>
      </c>
      <c r="L27" s="6" t="s">
        <v>334</v>
      </c>
      <c r="M27" s="6" t="s">
        <v>312</v>
      </c>
      <c r="N27" s="6" t="s">
        <v>314</v>
      </c>
      <c r="O27" s="6" t="s">
        <v>128</v>
      </c>
      <c r="P27" s="6" t="s">
        <v>126</v>
      </c>
      <c r="Q27" s="6" t="s">
        <v>134</v>
      </c>
    </row>
    <row r="28" spans="4:34">
      <c r="G28" s="6" t="s">
        <v>307</v>
      </c>
      <c r="H28" t="s">
        <v>104</v>
      </c>
      <c r="I28" t="s">
        <v>66</v>
      </c>
    </row>
    <row r="29" spans="4:34">
      <c r="G29" s="6" t="s">
        <v>307</v>
      </c>
      <c r="H29" s="6" t="s">
        <v>104</v>
      </c>
      <c r="I29" s="6" t="s">
        <v>257</v>
      </c>
    </row>
    <row r="30" spans="4:34">
      <c r="G30" s="6" t="s">
        <v>307</v>
      </c>
      <c r="H30" s="6" t="s">
        <v>104</v>
      </c>
      <c r="I30" s="6" t="s">
        <v>266</v>
      </c>
    </row>
    <row r="31" spans="4:34">
      <c r="G31" s="6" t="s">
        <v>307</v>
      </c>
      <c r="H31" s="6" t="s">
        <v>104</v>
      </c>
      <c r="I31" s="6" t="s">
        <v>238</v>
      </c>
    </row>
    <row r="32" spans="4:34">
      <c r="G32" s="6" t="s">
        <v>307</v>
      </c>
      <c r="H32" s="6" t="s">
        <v>104</v>
      </c>
      <c r="I32" t="s">
        <v>77</v>
      </c>
    </row>
    <row r="33" spans="7:10">
      <c r="G33" s="6" t="s">
        <v>307</v>
      </c>
      <c r="H33" s="6" t="s">
        <v>104</v>
      </c>
      <c r="I33" s="6" t="s">
        <v>119</v>
      </c>
    </row>
    <row r="34" spans="7:10">
      <c r="G34" s="6" t="s">
        <v>312</v>
      </c>
      <c r="H34" s="6" t="s">
        <v>104</v>
      </c>
      <c r="I34" t="s">
        <v>312</v>
      </c>
    </row>
    <row r="35" spans="7:10">
      <c r="G35" s="6" t="s">
        <v>316</v>
      </c>
      <c r="H35" s="6" t="s">
        <v>104</v>
      </c>
      <c r="I35" s="6" t="s">
        <v>316</v>
      </c>
      <c r="J35" s="6"/>
    </row>
    <row r="36" spans="7:10">
      <c r="G36" s="6" t="s">
        <v>324</v>
      </c>
      <c r="H36" s="6" t="s">
        <v>104</v>
      </c>
      <c r="I36" s="6" t="s">
        <v>324</v>
      </c>
      <c r="J36" s="6"/>
    </row>
    <row r="37" spans="7:10">
      <c r="G37" s="6" t="s">
        <v>332</v>
      </c>
      <c r="H37" s="6" t="s">
        <v>105</v>
      </c>
      <c r="I37" s="6" t="s">
        <v>332</v>
      </c>
      <c r="J37" s="6"/>
    </row>
    <row r="38" spans="7:10">
      <c r="G38" s="6" t="s">
        <v>332</v>
      </c>
      <c r="H38" s="6" t="s">
        <v>104</v>
      </c>
      <c r="I38" s="6" t="s">
        <v>334</v>
      </c>
      <c r="J38" s="6"/>
    </row>
    <row r="39" spans="7:10">
      <c r="G39" s="6" t="s">
        <v>337</v>
      </c>
      <c r="H39" s="6" t="s">
        <v>105</v>
      </c>
      <c r="I39" s="6" t="s">
        <v>337</v>
      </c>
      <c r="J39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L11:L12 S3:S12 T4:T11">
      <formula1>INDIRECT("Reports[Code]")</formula1>
    </dataValidation>
    <dataValidation type="list" allowBlank="1" showInputMessage="1" showErrorMessage="1" sqref="W3:W10">
      <formula1>INDIRECT("ProgramTypes[Code]")</formula1>
    </dataValidation>
    <dataValidation type="list" allowBlank="1" showInputMessage="1" showErrorMessage="1" sqref="Y3:Y10">
      <formula1>INDIRECT("ReturnTypes[Code]")</formula1>
    </dataValidation>
    <dataValidation type="list" allowBlank="1" showInputMessage="1" showErrorMessage="1" sqref="O3:O27">
      <formula1>INDIRECT("CreateModes[Code]")</formula1>
    </dataValidation>
    <dataValidation type="list" allowBlank="1" showInputMessage="1" showErrorMessage="1" sqref="Q3:Q27">
      <formula1>INDIRECT("ReportTypes[Code]")</formula1>
    </dataValidation>
    <dataValidation type="list" allowBlank="1" showInputMessage="1" showErrorMessage="1" sqref="P3:P27">
      <formula1>INDIRECT("Programs[Code]")</formula1>
    </dataValidation>
    <dataValidation type="list" allowBlank="1" showInputMessage="1" showErrorMessage="1" sqref="H3:H39">
      <formula1>INDIRECT("ActionTypes[Code]")</formula1>
    </dataValidation>
    <dataValidation type="list" allowBlank="1" showInputMessage="1" showErrorMessage="1" sqref="J3:J39">
      <formula1>INDIRECT("AfterAction")</formula1>
    </dataValidation>
    <dataValidation type="list" allowBlank="1" showInputMessage="1" showErrorMessage="1" sqref="AD3:AD18">
      <formula1>INDIRECT("Direction[Code]")</formula1>
    </dataValidation>
    <dataValidation type="list" allowBlank="1" showInputMessage="1" showErrorMessage="1" sqref="AF3:AF18 AH3:AH18">
      <formula1>INDIRECT("YesNo[Code]")</formula1>
    </dataValidation>
    <dataValidation type="whole" allowBlank="1" showInputMessage="1" showErrorMessage="1" sqref="AG3:AG18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tabSelected="1" zoomScale="175" zoomScaleNormal="175" workbookViewId="0"/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306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10</v>
      </c>
      <c r="D5" s="32"/>
      <c r="E5" s="32"/>
    </row>
    <row r="6" spans="1:6">
      <c r="A6" s="32"/>
      <c r="B6" s="31" t="s">
        <v>339</v>
      </c>
      <c r="C6" s="41"/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215"/>
      <c r="B8" s="215"/>
      <c r="C8" s="215"/>
      <c r="D8" s="215"/>
      <c r="E8" s="215"/>
    </row>
    <row r="9" spans="1:6" ht="97.5" customHeight="1">
      <c r="A9" s="44"/>
      <c r="B9" s="216" t="s">
        <v>350</v>
      </c>
      <c r="C9" s="217"/>
      <c r="D9" s="217"/>
      <c r="E9" s="44"/>
    </row>
    <row r="10" spans="1:6" s="43" customFormat="1" ht="14.25" customHeight="1">
      <c r="A10" s="215"/>
      <c r="B10" s="215"/>
      <c r="C10" s="215"/>
      <c r="D10" s="215"/>
      <c r="E10" s="215"/>
    </row>
    <row r="11" spans="1:6" hidden="1">
      <c r="A11" s="212"/>
      <c r="B11" s="213"/>
      <c r="C11" s="213"/>
      <c r="D11" s="213"/>
      <c r="E11" s="214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07" t="s">
        <v>249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</row>
    <row r="2" spans="1:12" ht="44.25" customHeight="1">
      <c r="A2" s="218" t="s">
        <v>327</v>
      </c>
      <c r="B2" s="218"/>
      <c r="C2" s="218"/>
      <c r="D2" s="218" t="s">
        <v>58</v>
      </c>
      <c r="E2" s="218"/>
      <c r="F2" s="218" t="s">
        <v>62</v>
      </c>
      <c r="G2" s="218" t="s">
        <v>52</v>
      </c>
      <c r="H2" s="218" t="s">
        <v>328</v>
      </c>
      <c r="I2" s="218" t="s">
        <v>329</v>
      </c>
      <c r="J2" s="218" t="s">
        <v>3</v>
      </c>
      <c r="K2" s="218" t="s">
        <v>325</v>
      </c>
      <c r="L2" s="218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218"/>
      <c r="G3" s="218" t="s">
        <v>41</v>
      </c>
      <c r="H3" s="218" t="s">
        <v>325</v>
      </c>
      <c r="I3" s="218"/>
      <c r="J3" s="218"/>
      <c r="K3" s="218"/>
      <c r="L3" s="218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21" t="s">
        <v>292</v>
      </c>
      <c r="B1" s="222"/>
      <c r="C1" s="222"/>
      <c r="D1" s="222"/>
      <c r="E1" s="222"/>
      <c r="F1" s="222"/>
      <c r="G1" s="222"/>
      <c r="H1" s="222"/>
    </row>
    <row r="2" spans="1:8" ht="15.75" customHeight="1">
      <c r="A2" s="226"/>
      <c r="B2" s="226"/>
      <c r="C2" s="226"/>
      <c r="D2" s="226"/>
      <c r="E2" s="226"/>
      <c r="F2" s="226"/>
      <c r="G2" s="226"/>
      <c r="H2" s="226"/>
    </row>
    <row r="3" spans="1:8" ht="27" customHeight="1">
      <c r="A3" s="223" t="s">
        <v>267</v>
      </c>
      <c r="B3" s="223"/>
      <c r="C3" s="223"/>
      <c r="D3" s="117"/>
      <c r="E3" s="223" t="s">
        <v>268</v>
      </c>
      <c r="F3" s="223"/>
      <c r="G3" s="223"/>
      <c r="H3" s="223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24" t="s">
        <v>283</v>
      </c>
      <c r="B18" s="224"/>
      <c r="C18" s="224"/>
      <c r="D18" s="119"/>
      <c r="E18" s="224" t="s">
        <v>284</v>
      </c>
      <c r="F18" s="224"/>
      <c r="G18" s="224"/>
      <c r="H18" s="224"/>
    </row>
    <row r="19" spans="1:8" ht="14.25" customHeight="1">
      <c r="A19" s="224"/>
      <c r="B19" s="224"/>
      <c r="C19" s="224"/>
      <c r="D19" s="118"/>
      <c r="E19" s="225" t="s">
        <v>269</v>
      </c>
      <c r="F19" s="225"/>
      <c r="G19" s="225" t="s">
        <v>270</v>
      </c>
      <c r="H19" s="225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19" t="s">
        <v>299</v>
      </c>
      <c r="B41" s="220"/>
      <c r="D41" s="117"/>
    </row>
    <row r="42" spans="1:8">
      <c r="A42" s="219"/>
      <c r="B42" s="220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68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84" t="s">
        <v>251</v>
      </c>
      <c r="B1" s="184"/>
      <c r="C1" s="184"/>
      <c r="D1" s="184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27" t="s">
        <v>252</v>
      </c>
      <c r="B1" s="228"/>
      <c r="C1" s="228"/>
      <c r="D1" s="228"/>
      <c r="E1" s="228"/>
    </row>
    <row r="2" spans="1:6" ht="19.5" customHeight="1">
      <c r="A2" s="229" t="s">
        <v>181</v>
      </c>
      <c r="B2" s="230"/>
      <c r="C2" s="230"/>
      <c r="D2" s="230"/>
      <c r="E2" s="231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10" t="s">
        <v>185</v>
      </c>
      <c r="E8" s="210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10" t="s">
        <v>187</v>
      </c>
      <c r="E11" s="210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32" t="s">
        <v>253</v>
      </c>
      <c r="B1" s="233"/>
      <c r="C1" s="233"/>
      <c r="D1" s="233"/>
      <c r="E1" s="233"/>
      <c r="F1" s="233"/>
      <c r="G1" s="233"/>
      <c r="H1" s="233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239" t="s">
        <v>194</v>
      </c>
      <c r="F7" s="239"/>
      <c r="G7" s="239"/>
      <c r="H7" s="23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40" t="s">
        <v>200</v>
      </c>
      <c r="F11" s="240"/>
      <c r="G11" s="240"/>
      <c r="H11" s="240"/>
    </row>
    <row r="12" spans="1:8">
      <c r="C12" s="53"/>
      <c r="D12" s="85"/>
      <c r="E12" s="236" t="s">
        <v>201</v>
      </c>
      <c r="F12" s="237"/>
      <c r="G12" s="238"/>
      <c r="H12" s="23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23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235" t="s">
        <v>219</v>
      </c>
      <c r="B22" s="235"/>
      <c r="C22" s="235"/>
      <c r="D22" s="235"/>
      <c r="E22" s="235"/>
      <c r="F22" s="23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41" t="s">
        <v>254</v>
      </c>
      <c r="B1" s="241"/>
      <c r="C1" s="241"/>
      <c r="D1" s="241"/>
      <c r="E1" s="241"/>
      <c r="F1" s="241"/>
      <c r="G1" s="241"/>
      <c r="H1" s="241"/>
      <c r="I1" s="241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43" t="s">
        <v>263</v>
      </c>
      <c r="B1" s="244"/>
      <c r="C1" s="244"/>
      <c r="D1" s="244"/>
      <c r="E1" s="244"/>
      <c r="F1" s="244"/>
      <c r="G1" s="244"/>
      <c r="H1" s="244"/>
      <c r="I1" s="244"/>
    </row>
    <row r="2" spans="1:9" ht="15.75">
      <c r="A2" s="112"/>
    </row>
    <row r="3" spans="1:9" ht="31.5" customHeight="1">
      <c r="A3" s="242" t="s">
        <v>262</v>
      </c>
      <c r="B3" s="242"/>
      <c r="C3" s="242"/>
      <c r="D3" s="242"/>
      <c r="E3" s="242"/>
      <c r="F3" s="242"/>
      <c r="G3" s="242"/>
      <c r="H3" s="242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43" t="s">
        <v>263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16" ht="15.75">
      <c r="A2" s="112"/>
      <c r="F2" s="112"/>
      <c r="G2" s="112"/>
      <c r="H2" s="112"/>
      <c r="I2" s="112"/>
    </row>
    <row r="3" spans="1:16" ht="31.5" customHeight="1">
      <c r="A3" s="245" t="s">
        <v>262</v>
      </c>
      <c r="B3" s="245"/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6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247" t="s">
        <v>310</v>
      </c>
      <c r="L4" s="247"/>
      <c r="M4" s="247"/>
      <c r="N4" s="248" t="s">
        <v>311</v>
      </c>
      <c r="O4" s="249"/>
      <c r="P4" s="250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20</vt:i4>
      </vt:variant>
    </vt:vector>
  </HeadingPairs>
  <TitlesOfParts>
    <vt:vector size="36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synch_error_report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2017-12-16T06:38:12Z</dcterms:modified>
</cp:coreProperties>
</file>