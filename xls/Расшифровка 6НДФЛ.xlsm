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Ошибки в движении средств" sheetId="309" r:id="rId7"/>
    <sheet name="Расшифровка 6 НДФЛ" sheetId="308" r:id="rId8"/>
    <sheet name="Расшифровка 6 НДФЛ (дет)" sheetId="307" r:id="rId9"/>
    <sheet name="tax_retained_report" sheetId="281" state="hidden" r:id="rId10"/>
    <sheet name="ndfl6_part2" sheetId="249" state="hidden" r:id="rId11"/>
    <sheet name="ndfl6_part1_general" sheetId="71" state="hidden" r:id="rId12"/>
    <sheet name="ndfl6_part1_rates" sheetId="69" state="hidden" r:id="rId13"/>
    <sheet name="funds_employees" sheetId="73" state="hidden" r:id="rId14"/>
    <sheet name="funds_employees_report" sheetId="123" state="hidden" r:id="rId15"/>
    <sheet name="ndfl6_part1" sheetId="248" state="hidden" r:id="rId16"/>
    <sheet name="tax_diff_report" sheetId="271" state="hidden" r:id="rId17"/>
  </sheets>
  <functionGroups/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9">tax_retained_report!$B$44</definedName>
    <definedName name="TAX_RETAINED_DATE" localSheetId="9">tax_retained_report!$B$38</definedName>
    <definedName name="TAX_RETURN" localSheetId="9">tax_retained_report!$B$41</definedName>
    <definedName name="TAX_RETURN_83" localSheetId="9">tax_retained_report!$B$46</definedName>
  </definedNames>
  <calcPr calcId="125725"/>
</workbook>
</file>

<file path=xl/calcChain.xml><?xml version="1.0" encoding="utf-8"?>
<calcChain xmlns="http://schemas.openxmlformats.org/spreadsheetml/2006/main"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<sst xmlns="http://schemas.openxmlformats.org/spreadsheetml/2006/main" count="1266" uniqueCount="320">
  <si>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</si>
  <si>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</si>
  <si>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</si>
  <si>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</si>
  <si>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</si>
  <si>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</si>
  <si>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</si>
  <si>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</si>
  <si>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</si>
  <si>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</si>
  <si>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</si>
  <si>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</si>
  <si>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</si>
  <si>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</si>
  <si>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</si>
  <si>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</si>
  <si>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</si>
  <si>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</si>
  <si>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</si>
  <si>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</si>
  <si>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</si>
  <si>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</si>
  <si>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</si>
  <si>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</si>
  <si>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</si>
  <si>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VBZ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</si>
  <si>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</si>
  <si>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</si>
  <si>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</si>
  <si>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</si>
  <si>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</si>
  <si>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</si>
  <si>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</si>
  <si>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</si>
  <si>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</si>
  <si>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</si>
  <si>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</si>
  <si>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</si>
  <si>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</si>
  <si>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</si>
  <si>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</si>
  <si>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</si>
  <si>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</si>
  <si>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</si>
  <si>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</si>
  <si>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</si>
  <si>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</si>
  <si>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</si>
  <si>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</si>
  <si>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</si>
  <si>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</si>
  <si>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</si>
  <si>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</si>
  <si>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</si>
  <si>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</si>
  <si>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</si>
  <si>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</si>
  <si>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</si>
  <si>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</si>
  <si>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</si>
  <si>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</si>
  <si>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</si>
  <si>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</si>
  <si>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</si>
  <si>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</si>
  <si>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</si>
  <si>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</si>
  <si>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</si>
  <si>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</si>
  <si>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</si>
  <si>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</si>
  <si>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</si>
  <si>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</si>
  <si>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</si>
  <si>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</si>
  <si>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</si>
  <si>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</si>
  <si>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</si>
  <si>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</si>
  <si>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</si>
  <si>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</si>
  <si>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</si>
  <si>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</si>
  <si>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</si>
  <si>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</si>
  <si>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</si>
  <si>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</si>
  <si>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</si>
  <si>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</si>
  <si>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</si>
  <si>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</si>
  <si>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</si>
  <si>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</si>
  <si>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</si>
  <si>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</si>
  <si>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</si>
  <si>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</si>
  <si>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</si>
  <si>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</si>
  <si>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</si>
  <si>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</si>
  <si>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</si>
  <si>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</si>
  <si>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</si>
  <si>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</si>
  <si>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</si>
  <si>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</si>
  <si>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</si>
  <si>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</si>
  <si>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</si>
  <si>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</si>
  <si>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</si>
  <si>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</si>
  <si>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</si>
  <si>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</si>
  <si>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</si>
  <si>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</si>
  <si>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</si>
  <si>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</si>
  <si>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</si>
  <si>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</si>
  <si>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</si>
  <si>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</si>
  <si>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</si>
  <si>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</si>
  <si>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</si>
  <si>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</si>
  <si>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</si>
  <si>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</si>
  <si>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</si>
  <si>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</si>
  <si>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</si>
  <si>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</si>
  <si>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</si>
  <si>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</si>
  <si>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</si>
  <si>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</si>
  <si>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</si>
  <si>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</si>
  <si>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</si>
  <si>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</si>
  <si>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</si>
  <si>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</si>
  <si>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</si>
  <si>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</si>
  <si>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</si>
  <si>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</si>
  <si>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</si>
  <si>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</si>
  <si>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</si>
  <si>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</si>
  <si>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</si>
  <si>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</si>
  <si>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</si>
  <si>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</si>
  <si>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</si>
  <si>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</si>
  <si>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</si>
  <si>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</si>
  <si>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</si>
  <si>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</si>
  <si>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</si>
  <si>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</si>
  <si>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</si>
  <si>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</si>
  <si>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</si>
  <si>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</si>
  <si>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</si>
  <si>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</si>
  <si>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</si>
  <si>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</si>
  <si>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</si>
  <si>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</si>
  <si>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</si>
  <si>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</si>
  <si>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</si>
  <si>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</si>
  <si>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</si>
  <si>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</si>
  <si>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</si>
  <si>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</si>
  <si>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</si>
  <si>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</si>
  <si>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</si>
  <si>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</si>
  <si>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FONDDB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</si>
  <si>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</si>
  <si>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</si>
  <si>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</si>
  <si>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</si>
  <si>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</si>
  <si>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</si>
  <si>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</si>
  <si>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</si>
  <si>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</si>
  <si>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</si>
  <si>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</si>
  <si>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</si>
  <si>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</si>
  <si>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</si>
  <si>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</si>
  <si>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</si>
  <si>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</si>
  <si>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</si>
  <si>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</si>
  <si>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</si>
  <si>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</si>
  <si>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</si>
  <si>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</si>
  <si>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</si>
  <si>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</si>
  <si>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</si>
  <si>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</si>
  <si>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</si>
  <si>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</si>
  <si>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</si>
  <si>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</si>
  <si>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</si>
  <si>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</si>
  <si>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</si>
  <si>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</si>
  <si>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</si>
  <si>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</si>
  <si>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</si>
  <si>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</si>
  <si>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</si>
  <si>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</si>
  <si>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</si>
  <si>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</si>
  <si>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</si>
  <si>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</si>
  <si>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</si>
  <si>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</si>
  <si>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</si>
  <si>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</si>
  <si>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</si>
  <si>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</si>
  <si>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</si>
  <si>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</si>
  <si>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</si>
  <si>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</si>
  <si>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</si>
  <si>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</si>
  <si>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</si>
  <si>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</si>
  <si>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</si>
  <si>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</si>
  <si>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</si>
  <si>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</si>
  <si>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</si>
  <si>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</si>
  <si>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</si>
  <si>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</si>
  <si>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</si>
  <si>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</si>
  <si>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</si>
  <si>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</si>
  <si>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</si>
  <si>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</si>
  <si>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</si>
  <si>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</si>
  <si>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</si>
  <si>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</si>
  <si>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</si>
  <si>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</si>
  <si>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</si>
  <si>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</si>
  <si>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</si>
  <si>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>tax_diff_report_data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</si>
  <si>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</si>
  <si>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</si>
  <si>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</si>
  <si>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</si>
  <si>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</si>
  <si>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</si>
  <si>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</si>
  <si>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</si>
  <si>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</si>
  <si>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</si>
  <si>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</si>
  <si>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</si>
  <si>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</si>
  <si>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</si>
  <si>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</si>
  <si>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</si>
  <si>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</si>
  <si>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</si>
  <si>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</si>
  <si>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</si>
  <si>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</si>
  <si>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</si>
  <si>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</si>
  <si>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</si>
  <si>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</si>
  <si>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</si>
  <si>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</si>
  <si>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</si>
  <si>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</si>
  <si>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</si>
  <si>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</si>
  <si>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</si>
  <si>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</si>
  <si>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</si>
  <si>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</si>
  <si>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</si>
  <si>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</si>
  <si>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</si>
  <si>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</si>
  <si>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</si>
  <si>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</si>
  <si>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</si>
  <si>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</si>
  <si>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</si>
  <si>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Ок</t>
  </si>
  <si>
    <t>Движение средств по ЛСПВ
за период с 01.01.2017  по 31.08.2017</t>
  </si>
  <si>
    <t>Пенсия</t>
  </si>
  <si>
    <t>Ритуальные пособия</t>
  </si>
  <si>
    <t>Выкупные суммы</t>
  </si>
  <si>
    <t>Ошибки в движении ЛСПВ
за период с 01.01.2017  по 31.08.2017</t>
  </si>
  <si>
    <t>Не определен GF_PERSON участника (см. sp_fiz_lits_non_ident_v)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</si>
</sst>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scheme val="minor"/>
    </font>
    <font>
      <b/>
      <sz val="11"/>
      <name val="Arial Cyr"/>
    </font>
    <font>
      <b/>
      <sz val="11"/>
      <color theme="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0" fillId="0" borderId="39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right" vertical="center"/>
    </xf>
    <xf numFmtId="164" fontId="0" fillId="0" borderId="40" xfId="0" applyNumberFormat="1" applyBorder="1" applyAlignment="1">
      <alignment horizontal="right" vertical="center"/>
    </xf>
    <xf numFmtId="14" fontId="0" fillId="0" borderId="9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right" vertical="center"/>
    </xf>
    <xf numFmtId="49" fontId="0" fillId="0" borderId="6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right" vertical="center"/>
    </xf>
    <xf numFmtId="49" fontId="0" fillId="0" borderId="6" xfId="0" applyNumberForma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>
    <xdr:from>
      <xdr:col>3</xdr:col>
      <xdr:colOff>66676</xdr:colOff>
      <xdr:row>0</xdr:row>
      <xdr:rowOff>28575</xdr:rowOff>
    </xdr:from>
    <xdr:to>
      <xdr:col>3</xdr:col>
      <xdr:colOff>466726</xdr:colOff>
      <xdr:row>0</xdr:row>
      <xdr:rowOff>400050</xdr:rowOff>
    </xdr:to>
    <xdr:sp macro="[0]!send" textlink="">
      <xdr:nvSpPr>
        <xdr:cNvPr id="4" name="Молния 3"/>
        <xdr:cNvSpPr/>
      </xdr:nvSpPr>
      <xdr:spPr>
        <a:xfrm>
          <a:off x="7010401" y="28575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16" totalsRowShown="0">
  <autoFilter ref="D2:E16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24" totalsRowShown="0">
  <autoFilter ref="G2:J24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8" totalsRowShown="0">
  <autoFilter ref="V2:Z8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4" totalsRowShown="0">
  <autoFilter ref="L2:Q2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3" totalsRowShown="0">
  <autoFilter ref="S2:T1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96" tableBorderDxfId="195" totalsRowBorderDxfId="194">
  <autoFilter ref="A2:B8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2" totalsRowShown="0">
  <autoFilter ref="AB2:AH12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5" name="Таблица2436" displayName="Таблица2436" ref="A3:I7" totalsRowShown="0" headerRowDxfId="185" dataDxfId="183" headerRowBorderDxfId="184" tableBorderDxfId="182" totalsRowBorderDxfId="181">
  <autoFilter ref="A3:I7">
    <filterColumn colId="1"/>
  </autoFilter>
  <tableColumns count="9">
    <tableColumn id="1" name="1" dataDxfId="180"/>
    <tableColumn id="3" name="2" dataDxfId="179"/>
    <tableColumn id="2" name="3" dataDxfId="178"/>
    <tableColumn id="5" name="4" dataDxfId="177"/>
    <tableColumn id="6" name="5" dataDxfId="176"/>
    <tableColumn id="7" name="6" dataDxfId="175"/>
    <tableColumn id="10" name="7" dataDxfId="174"/>
    <tableColumn id="11" name="8" dataDxfId="173"/>
    <tableColumn id="12" name="9" dataDxfId="17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4" name="Таблица235" displayName="Таблица235" ref="A4:J114" totalsRowShown="0" headerRowDxfId="171" dataDxfId="169" headerRowBorderDxfId="170" tableBorderDxfId="168" totalsRowBorderDxfId="167">
  <autoFilter ref="A4:J114"/>
  <tableColumns count="10">
    <tableColumn id="1" name="1" dataDxfId="166"/>
    <tableColumn id="2" name="2" dataDxfId="165"/>
    <tableColumn id="5" name="3" dataDxfId="164"/>
    <tableColumn id="6" name="4" dataDxfId="163"/>
    <tableColumn id="7" name="5" dataDxfId="162"/>
    <tableColumn id="10" name="6" dataDxfId="161"/>
    <tableColumn id="11" name="7" dataDxfId="160"/>
    <tableColumn id="12" name="8" dataDxfId="159"/>
    <tableColumn id="13" name="9" dataDxfId="158"/>
    <tableColumn id="14" name="10" dataDxfId="15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8" name="Таблица2229" displayName="Таблица2229" ref="A5:P244" totalsRowShown="0" headerRowDxfId="156" dataDxfId="154" headerRowBorderDxfId="155" tableBorderDxfId="153" totalsRowBorderDxfId="152">
  <autoFilter ref="A5:P244"/>
  <tableColumns count="16">
    <tableColumn id="1" name="1" dataDxfId="151"/>
    <tableColumn id="2" name="2" dataDxfId="150"/>
    <tableColumn id="3" name="3" dataDxfId="149"/>
    <tableColumn id="4" name="4" dataDxfId="148"/>
    <tableColumn id="5" name="5" dataDxfId="147"/>
    <tableColumn id="6" name="6" dataDxfId="146"/>
    <tableColumn id="7" name="7" dataDxfId="145"/>
    <tableColumn id="8" name="8" dataDxfId="144"/>
    <tableColumn id="9" name="9" dataDxfId="143"/>
    <tableColumn id="10" name="10" dataDxfId="142"/>
    <tableColumn id="11" name="11" dataDxfId="141"/>
    <tableColumn id="12" name="12" dataDxfId="140"/>
    <tableColumn id="13" name="13" dataDxfId="139"/>
    <tableColumn id="14" name="14" dataDxfId="138"/>
    <tableColumn id="15" name="15" dataDxfId="137"/>
    <tableColumn id="16" name="16" dataDxfId="13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42" name="Таблица42" displayName="Таблица42" ref="A4:C14" totalsRowCount="1" headerRowDxfId="134" totalsRowDxfId="133">
  <tableColumns count="3">
    <tableColumn id="1" name="ВИД ВЫПЛАТЫ" totalsRowLabel="Итого" dataDxfId="132" totalsRowDxfId="131" dataCellStyle="Обычный 5"/>
    <tableColumn id="2" name="13%" totalsRowFunction="sum" dataDxfId="130" totalsRowDxfId="129" dataCellStyle="Обычный 5"/>
    <tableColumn id="3" name="30%" totalsRowFunction="sum" dataDxfId="128" totalsRowDxfId="127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43" name="Таблица43" displayName="Таблица43" ref="E4:H14" totalsRowCount="1" headerRowDxfId="126" dataDxfId="124" headerRowBorderDxfId="125" headerRowCellStyle="Обычный 5" dataCellStyle="Обычный 5">
  <tableColumns count="4">
    <tableColumn id="1" name="Сумма по ставкам" totalsRowFunction="sum" dataDxfId="123" totalsRowDxfId="122" dataCellStyle="Обычный 5"/>
    <tableColumn id="2" name="13%" dataDxfId="121" totalsRowDxfId="120" dataCellStyle="Обычный 5">
      <calculatedColumnFormula>B31+#REF!-Таблица42[[#This Row],[13%]]</calculatedColumnFormula>
    </tableColumn>
    <tableColumn id="3" name="30%" dataDxfId="119" totalsRowDxfId="118" dataCellStyle="Обычный 5"/>
    <tableColumn id="4" name="Расхождение по ставкам" dataDxfId="117" totalsRowDxfId="116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id="44" name="Таблица44" displayName="Таблица44" ref="A20:H32" totalsRowCount="1" headerRowDxfId="115" totalsRowDxfId="113" headerRowBorderDxfId="114" headerRowCellStyle="Обычный 5">
  <tableColumns count="8">
    <tableColumn id="1" name="ВИД ВЫПЛАТЫ" totalsRowLabel="Итого по ставке" dataDxfId="112" totalsRowDxfId="111" dataCellStyle="Обычный 5"/>
    <tableColumn id="2" name="13%" totalsRowFunction="sum" dataDxfId="110" totalsRowDxfId="109" dataCellStyle="Обычный 5"/>
    <tableColumn id="3" name="30%" totalsRowFunction="sum" dataDxfId="108" totalsRowDxfId="107" dataCellStyle="Обычный 5"/>
    <tableColumn id="4" name="Столбец1" totalsRowDxfId="106" dataCellStyle="Обычный 5"/>
    <tableColumn id="5" name="без исправлений" dataDxfId="105" totalsRowDxfId="104" dataCellStyle="Обычный 5"/>
    <tableColumn id="6" name="с корректоровкой" dataDxfId="103" totalsRowDxfId="102" dataCellStyle="Обычный 5"/>
    <tableColumn id="7" name="без исправлений2" dataDxfId="101" totalsRowDxfId="100" dataCellStyle="Обычный 5"/>
    <tableColumn id="8" name="с корректоровкой3" dataDxfId="99" totalsRowDxfId="98" dataCellStyle="Обычный 5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id="26" name="Таблица26" displayName="Таблица26" ref="B6:D7" totalsRowShown="0" headerRowDxfId="97" headerRowBorderDxfId="96" tableBorderDxfId="95" headerRowCellStyle="Обычный 4">
  <autoFilter ref="B6:D7"/>
  <tableColumns count="3">
    <tableColumn id="1" name="100" dataDxfId="94" dataCellStyle="Обычный 4"/>
    <tableColumn id="2" name="130" dataDxfId="93" dataCellStyle="Обычный 4"/>
    <tableColumn id="3" name="140" dataDxfId="92" dataCellStyle="Обычный 4"/>
  </tableColumns>
  <tableStyleInfo name="TableStyleLight1" showFirstColumn="0" showLastColumn="0" showRowStripes="0" showColumnStripes="0"/>
</table>
</file>

<file path=xl/tables/table3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91" dataDxfId="90"/>
  </tableColumns>
  <tableStyleInfo showFirstColumn="0" showLastColumn="0" showRowStripes="0" showColumnStripes="0"/>
</table>
</file>

<file path=xl/tables/table3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89" dataDxfId="88"/>
  </tableColumns>
  <tableStyleInfo showFirstColumn="0" showLastColumn="0" showRowStripes="0" showColumnStripes="0"/>
</table>
</file>

<file path=xl/tables/table32.xml><?xml version="1.0" encoding="utf-8"?>
<table xmlns="http://schemas.openxmlformats.org/spreadsheetml/2006/main" id="4" name="Таблица4" displayName="Таблица4" ref="B5:E5" headerRowCount="0" totalsRowShown="0" headerRowDxfId="87" dataDxfId="86" tableBorderDxfId="85" totalsRowBorderDxfId="84">
  <tableColumns count="4">
    <tableColumn id="1" name="Столбец1" headerRowDxfId="83" dataDxfId="82" dataCellStyle="Обычный 4"/>
    <tableColumn id="2" name="Столбец2" headerRowDxfId="81" dataDxfId="80" headerRowCellStyle="Обычный 4" dataCellStyle="Обычный 4"/>
    <tableColumn id="3" name="Столбец3" headerRowDxfId="79" dataDxfId="78"/>
    <tableColumn id="4" name="Столбец4" headerRowDxfId="77" dataDxfId="76" headerRowCellStyle="Обычный 4" dataCellStyle="Обычный 4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29" name="Таблица29" displayName="Таблица29" ref="A4:H5" headerRowCount="0" totalsRowCount="1" headerRowDxfId="75" dataDxfId="74">
  <tableColumns count="8">
    <tableColumn id="1" name="Столбец1" totalsRowLabel="Итого:" headerRowDxfId="73" dataDxfId="72" totalsRowDxfId="71"/>
    <tableColumn id="2" name="Столбец2" headerRowDxfId="70" dataDxfId="69" totalsRowDxfId="68"/>
    <tableColumn id="3" name="Столбец3" totalsRowFunction="sum" headerRowDxfId="67" dataDxfId="66" totalsRowDxfId="65"/>
    <tableColumn id="4" name="Столбец4" totalsRowFunction="sum" headerRowDxfId="64" dataDxfId="63" totalsRowDxfId="62"/>
    <tableColumn id="5" name="Столбец5" totalsRowFunction="sum" headerRowDxfId="61" dataDxfId="60" totalsRowDxfId="59"/>
    <tableColumn id="6" name="Столбец6" totalsRowFunction="sum" headerRowDxfId="58" dataDxfId="57" totalsRowDxfId="56"/>
    <tableColumn id="7" name="Столбец7" totalsRowFunction="sum" headerRowDxfId="55" dataDxfId="54" totalsRowDxfId="53"/>
    <tableColumn id="8" name="Столбец8" totalsRowFunction="sum" headerRowDxfId="52" dataDxfId="51" totalsRowDxfId="50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49" totalsRowDxfId="48"/>
    <tableColumn id="4" name="Столбец2" dataDxfId="47"/>
    <tableColumn id="5" name="итог" dataDxfId="4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45"/>
    <tableColumn id="2" name="Столбец2"/>
    <tableColumn id="3" name="Столбец3" totalsRowFunction="sum" headerRowDxfId="44" dataDxfId="43" totalsRowDxfId="4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7.xml><?xml version="1.0" encoding="utf-8"?>
<table xmlns="http://schemas.openxmlformats.org/spreadsheetml/2006/main" id="47" name="Таблица47" displayName="Таблица47" ref="A23:F25" totalsRowCount="1" headerRowDxfId="4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40"/>
    <tableColumn id="5" name="Налог удержанный" totalsRowFunction="sum" dataDxfId="39"/>
    <tableColumn id="6" name="Разница" totalsRowFunction="sum" dataDxfId="3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8" name="Таблица8" displayName="Таблица8" ref="A1:D2" insertRow="1" totalsRowShown="0" headerRowDxfId="37" headerRowBorderDxfId="36" tableBorderDxfId="35" totalsRowBorderDxfId="34">
  <autoFilter ref="A1:D2">
    <filterColumn colId="2"/>
    <filterColumn colId="3"/>
  </autoFilter>
  <tableColumns count="4">
    <tableColumn id="1" name="ФИО" dataDxfId="33"/>
    <tableColumn id="5" name="Дата рождения" dataDxfId="32"/>
    <tableColumn id="2" name="Снилс"/>
    <tableColumn id="3" name="ИНН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5" name="Таблица8526" displayName="Таблица8526" ref="A2:I3" totalsRowShown="0" headerRowDxfId="31" headerRowBorderDxfId="30" tableBorderDxfId="29" totalsRowBorderDxfId="2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27"/>
    <tableColumn id="6" name="Имя" dataDxfId="26"/>
    <tableColumn id="4" name="Отчество" dataDxfId="25"/>
    <tableColumn id="5" name="Дата рождения" dataDxfId="24"/>
    <tableColumn id="3" name="ИНН" dataDxfId="23"/>
    <tableColumn id="1" name="Участник/Не участник" dataDxfId="22"/>
    <tableColumn id="2" name="Доход" dataDxfId="21"/>
    <tableColumn id="8" name="Пенсионные схемы" dataDxfId="20"/>
    <tableColumn id="9" name="Типы дохода" dataDxfId="19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52" name="Таблица52" displayName="Таблица52" ref="A5:I6" headerRowDxfId="18">
  <autoFilter ref="A5:I6">
    <filterColumn colId="5"/>
  </autoFilter>
  <tableColumns count="9">
    <tableColumn id="1" name="Контрагент ID" totalsRowLabel="Итог" dataDxfId="17" totalsRowDxfId="16"/>
    <tableColumn id="2" name="Фамилия" dataDxfId="15" totalsRowDxfId="14"/>
    <tableColumn id="3" name="Имя" dataDxfId="13" totalsRowDxfId="12"/>
    <tableColumn id="4" name="Отчество" dataDxfId="11" totalsRowDxfId="10"/>
    <tableColumn id="5" name="Ставка" dataDxfId="9" totalsRowDxfId="8"/>
    <tableColumn id="9" name="Количество счетов" dataDxfId="7" totalsRowDxfId="6"/>
    <tableColumn id="6" name="Исчисленный налог" dataDxfId="5" totalsRowDxfId="4"/>
    <tableColumn id="7" name="Удержанный налог" dataDxfId="3" totalsRowDxfId="2"/>
    <tableColumn id="8" name="Недоплата" totalsRowFunction="sum" dataDxfId="1" totalsRowDxfId="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3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table" Target="../tables/table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0" t="s">
        <v>254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0" ht="31.5" customHeight="1">
      <c r="A2" s="178" t="s">
        <v>4</v>
      </c>
      <c r="B2" s="178"/>
      <c r="C2" s="178"/>
      <c r="D2" s="178"/>
      <c r="E2" s="178"/>
      <c r="F2" s="179" t="s">
        <v>23</v>
      </c>
      <c r="G2" s="179"/>
      <c r="H2" s="179"/>
      <c r="I2" s="179"/>
      <c r="J2" s="179"/>
    </row>
    <row r="3" spans="1:10" ht="78" customHeight="1">
      <c r="A3" s="19" t="s">
        <v>0</v>
      </c>
      <c r="B3" s="19" t="s">
        <v>30</v>
      </c>
      <c r="C3" s="20" t="s">
        <v>1</v>
      </c>
      <c r="D3" s="20" t="s">
        <v>2</v>
      </c>
      <c r="E3" s="19" t="s">
        <v>22</v>
      </c>
      <c r="F3" s="21" t="s">
        <v>29</v>
      </c>
      <c r="G3" s="21" t="s">
        <v>33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28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2" t="s">
        <v>254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</row>
    <row r="2" spans="1:16" ht="31.5" customHeight="1">
      <c r="A2" s="187" t="s">
        <v>4</v>
      </c>
      <c r="B2" s="188"/>
      <c r="C2" s="188"/>
      <c r="D2" s="188"/>
      <c r="E2" s="188"/>
      <c r="F2" s="188"/>
      <c r="G2" s="188"/>
      <c r="H2" s="188"/>
      <c r="I2" s="189"/>
      <c r="J2" s="190" t="s">
        <v>23</v>
      </c>
      <c r="K2" s="191"/>
      <c r="L2" s="191"/>
      <c r="M2" s="191"/>
      <c r="N2" s="191"/>
      <c r="O2" s="191"/>
      <c r="P2" s="192"/>
    </row>
    <row r="3" spans="1:16" ht="24" customHeight="1">
      <c r="A3" s="193" t="s">
        <v>0</v>
      </c>
      <c r="B3" s="195" t="s">
        <v>30</v>
      </c>
      <c r="C3" s="195" t="s">
        <v>3</v>
      </c>
      <c r="D3" s="195" t="s">
        <v>31</v>
      </c>
      <c r="E3" s="197" t="s">
        <v>5</v>
      </c>
      <c r="F3" s="198"/>
      <c r="G3" s="199"/>
      <c r="H3" s="197" t="s">
        <v>6</v>
      </c>
      <c r="I3" s="200"/>
      <c r="J3" s="201" t="s">
        <v>29</v>
      </c>
      <c r="K3" s="201" t="s">
        <v>33</v>
      </c>
      <c r="L3" s="183" t="s">
        <v>5</v>
      </c>
      <c r="M3" s="184"/>
      <c r="N3" s="185"/>
      <c r="O3" s="183" t="s">
        <v>6</v>
      </c>
      <c r="P3" s="186"/>
    </row>
    <row r="4" spans="1:16" ht="38.25" customHeight="1">
      <c r="A4" s="194"/>
      <c r="B4" s="196"/>
      <c r="C4" s="196"/>
      <c r="D4" s="19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2"/>
      <c r="K4" s="20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34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sqref="A1:I1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2" t="s">
        <v>255</v>
      </c>
      <c r="B1" s="182"/>
      <c r="C1" s="182"/>
      <c r="D1" s="182"/>
      <c r="E1" s="182"/>
      <c r="F1" s="182"/>
      <c r="G1" s="182"/>
      <c r="H1" s="182"/>
      <c r="I1" s="182"/>
      <c r="J1" s="111"/>
      <c r="K1" s="111"/>
      <c r="L1" s="111"/>
      <c r="M1" s="111"/>
      <c r="N1" s="111"/>
      <c r="O1" s="111"/>
      <c r="P1" s="111"/>
    </row>
    <row r="2" spans="1:16" ht="31.5">
      <c r="A2" s="19" t="s">
        <v>36</v>
      </c>
      <c r="B2" s="19" t="s">
        <v>46</v>
      </c>
      <c r="C2" s="19" t="s">
        <v>37</v>
      </c>
      <c r="D2" s="25" t="s">
        <v>38</v>
      </c>
      <c r="E2" s="25" t="s">
        <v>39</v>
      </c>
      <c r="F2" s="19" t="s">
        <v>40</v>
      </c>
      <c r="G2" s="21" t="s">
        <v>41</v>
      </c>
      <c r="H2" s="21" t="s">
        <v>42</v>
      </c>
      <c r="I2" s="21" t="s">
        <v>43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44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3" t="s">
        <v>256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</row>
    <row r="2" spans="1:18" ht="31.5" customHeight="1">
      <c r="A2" s="178" t="s">
        <v>60</v>
      </c>
      <c r="B2" s="178"/>
      <c r="C2" s="178"/>
      <c r="D2" s="178"/>
      <c r="E2" s="178" t="s">
        <v>59</v>
      </c>
      <c r="F2" s="178"/>
      <c r="G2" s="178"/>
      <c r="H2" s="178"/>
      <c r="I2" s="178"/>
      <c r="J2" s="178"/>
      <c r="K2" s="204" t="s">
        <v>53</v>
      </c>
      <c r="L2" s="204" t="s">
        <v>54</v>
      </c>
      <c r="M2" s="204" t="s">
        <v>39</v>
      </c>
      <c r="N2" s="204" t="s">
        <v>55</v>
      </c>
      <c r="O2" s="178" t="s">
        <v>61</v>
      </c>
      <c r="P2" s="178"/>
      <c r="Q2" s="178"/>
      <c r="R2" s="178"/>
    </row>
    <row r="3" spans="1:18" ht="31.5">
      <c r="A3" s="19" t="s">
        <v>52</v>
      </c>
      <c r="B3" s="19" t="s">
        <v>58</v>
      </c>
      <c r="C3" s="19" t="s">
        <v>48</v>
      </c>
      <c r="D3" s="19" t="s">
        <v>62</v>
      </c>
      <c r="E3" s="19" t="s">
        <v>51</v>
      </c>
      <c r="F3" s="19" t="s">
        <v>52</v>
      </c>
      <c r="G3" s="19" t="s">
        <v>48</v>
      </c>
      <c r="H3" s="19" t="s">
        <v>62</v>
      </c>
      <c r="I3" s="19" t="s">
        <v>56</v>
      </c>
      <c r="J3" s="19" t="s">
        <v>57</v>
      </c>
      <c r="K3" s="204"/>
      <c r="L3" s="204"/>
      <c r="M3" s="204"/>
      <c r="N3" s="204"/>
      <c r="O3" s="19" t="s">
        <v>63</v>
      </c>
      <c r="P3" s="19" t="s">
        <v>64</v>
      </c>
      <c r="Q3" s="19" t="s">
        <v>65</v>
      </c>
      <c r="R3" s="19" t="s">
        <v>66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49</v>
      </c>
      <c r="R4" s="22" t="s">
        <v>50</v>
      </c>
    </row>
    <row r="5" spans="1:18">
      <c r="A5" s="30" t="s">
        <v>67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24"/>
  <sheetViews>
    <sheetView workbookViewId="0">
      <selection activeCell="D9" sqref="D9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5" t="s">
        <v>118</v>
      </c>
      <c r="B1" s="205"/>
      <c r="D1" s="206" t="s">
        <v>119</v>
      </c>
      <c r="E1" s="206"/>
      <c r="G1" s="206" t="s">
        <v>114</v>
      </c>
      <c r="H1" s="206"/>
      <c r="I1" s="206"/>
      <c r="J1" s="206"/>
      <c r="L1" s="206" t="s">
        <v>109</v>
      </c>
      <c r="M1" s="206"/>
      <c r="N1" s="206"/>
      <c r="O1" s="206"/>
      <c r="P1" s="206"/>
      <c r="Q1" s="206"/>
      <c r="S1" s="206" t="s">
        <v>115</v>
      </c>
      <c r="T1" s="206"/>
      <c r="V1" s="206" t="s">
        <v>106</v>
      </c>
      <c r="W1" s="206"/>
      <c r="X1" s="206"/>
      <c r="Y1" s="206"/>
      <c r="Z1" s="206"/>
      <c r="AB1" s="206" t="s">
        <v>146</v>
      </c>
      <c r="AC1" s="206"/>
      <c r="AD1" s="206"/>
      <c r="AE1" s="206"/>
      <c r="AF1" s="206"/>
      <c r="AG1" s="206"/>
      <c r="AH1" s="206"/>
      <c r="AJ1" s="38" t="s">
        <v>132</v>
      </c>
      <c r="AL1" s="38" t="s">
        <v>134</v>
      </c>
      <c r="AN1" s="38" t="s">
        <v>136</v>
      </c>
      <c r="AP1" s="38" t="s">
        <v>145</v>
      </c>
      <c r="AR1" s="38" t="s">
        <v>154</v>
      </c>
      <c r="AT1" s="38" t="s">
        <v>155</v>
      </c>
      <c r="AV1" s="38" t="s">
        <v>147</v>
      </c>
      <c r="AX1" s="38" t="s">
        <v>160</v>
      </c>
      <c r="AZ1" s="38" t="s">
        <v>169</v>
      </c>
      <c r="BB1" s="207" t="s">
        <v>251</v>
      </c>
      <c r="BC1" s="207"/>
    </row>
    <row r="2" spans="1:57">
      <c r="A2" s="6" t="s">
        <v>139</v>
      </c>
      <c r="B2" s="6" t="s">
        <v>117</v>
      </c>
      <c r="D2" t="s">
        <v>110</v>
      </c>
      <c r="E2" t="s">
        <v>124</v>
      </c>
      <c r="G2" t="s">
        <v>110</v>
      </c>
      <c r="H2" t="s">
        <v>126</v>
      </c>
      <c r="I2" t="s">
        <v>113</v>
      </c>
      <c r="J2" t="s">
        <v>169</v>
      </c>
      <c r="L2" t="s">
        <v>110</v>
      </c>
      <c r="M2" t="s">
        <v>32</v>
      </c>
      <c r="N2" t="s">
        <v>98</v>
      </c>
      <c r="O2" t="s">
        <v>133</v>
      </c>
      <c r="P2" t="s">
        <v>128</v>
      </c>
      <c r="Q2" t="s">
        <v>120</v>
      </c>
      <c r="S2" t="s">
        <v>110</v>
      </c>
      <c r="T2" t="s">
        <v>116</v>
      </c>
      <c r="V2" t="s">
        <v>110</v>
      </c>
      <c r="W2" t="s">
        <v>126</v>
      </c>
      <c r="X2" t="s">
        <v>142</v>
      </c>
      <c r="Y2" t="s">
        <v>148</v>
      </c>
      <c r="Z2" t="s">
        <v>130</v>
      </c>
      <c r="AB2" t="s">
        <v>128</v>
      </c>
      <c r="AC2" t="s">
        <v>156</v>
      </c>
      <c r="AD2" t="s">
        <v>147</v>
      </c>
      <c r="AE2" t="s">
        <v>157</v>
      </c>
      <c r="AF2" t="s">
        <v>158</v>
      </c>
      <c r="AG2" t="s">
        <v>163</v>
      </c>
      <c r="AH2" t="s">
        <v>168</v>
      </c>
      <c r="AJ2" t="s">
        <v>110</v>
      </c>
      <c r="AL2" t="s">
        <v>110</v>
      </c>
      <c r="AN2" t="s">
        <v>110</v>
      </c>
      <c r="AP2" t="s">
        <v>110</v>
      </c>
      <c r="AR2" t="s">
        <v>110</v>
      </c>
      <c r="AT2" t="s">
        <v>110</v>
      </c>
      <c r="AV2" t="s">
        <v>110</v>
      </c>
      <c r="AX2" t="s">
        <v>110</v>
      </c>
      <c r="AZ2" t="s">
        <v>110</v>
      </c>
      <c r="BB2" t="s">
        <v>139</v>
      </c>
      <c r="BC2" t="s">
        <v>117</v>
      </c>
    </row>
    <row r="3" spans="1:57">
      <c r="A3" s="6" t="s">
        <v>184</v>
      </c>
      <c r="B3" s="6" t="s">
        <v>185</v>
      </c>
      <c r="D3" t="s">
        <v>45</v>
      </c>
      <c r="E3" t="s">
        <v>44</v>
      </c>
      <c r="G3" t="s">
        <v>28</v>
      </c>
      <c r="H3" t="s">
        <v>107</v>
      </c>
      <c r="I3" t="s">
        <v>28</v>
      </c>
      <c r="L3" t="s">
        <v>28</v>
      </c>
      <c r="M3" t="s">
        <v>28</v>
      </c>
      <c r="N3" t="s">
        <v>26</v>
      </c>
      <c r="O3" t="s">
        <v>131</v>
      </c>
      <c r="P3" t="s">
        <v>129</v>
      </c>
      <c r="Q3" t="s">
        <v>137</v>
      </c>
      <c r="S3" t="s">
        <v>122</v>
      </c>
      <c r="T3" t="s">
        <v>140</v>
      </c>
      <c r="V3" s="6" t="s">
        <v>175</v>
      </c>
      <c r="W3" t="s">
        <v>127</v>
      </c>
      <c r="X3" t="s">
        <v>144</v>
      </c>
      <c r="Z3" t="s">
        <v>177</v>
      </c>
      <c r="AB3" s="6" t="s">
        <v>129</v>
      </c>
      <c r="AC3" t="s">
        <v>165</v>
      </c>
      <c r="AD3" t="s">
        <v>150</v>
      </c>
      <c r="AG3">
        <v>2000</v>
      </c>
      <c r="AH3" t="s">
        <v>144</v>
      </c>
      <c r="AJ3" s="36" t="s">
        <v>107</v>
      </c>
      <c r="AL3" t="s">
        <v>131</v>
      </c>
      <c r="AN3" t="s">
        <v>137</v>
      </c>
      <c r="AP3" t="s">
        <v>127</v>
      </c>
      <c r="AR3" t="s">
        <v>153</v>
      </c>
      <c r="AT3" t="s">
        <v>149</v>
      </c>
      <c r="AV3" t="s">
        <v>151</v>
      </c>
      <c r="AX3" t="s">
        <v>144</v>
      </c>
      <c r="AZ3" t="s">
        <v>170</v>
      </c>
      <c r="BB3" t="s">
        <v>252</v>
      </c>
      <c r="BC3" t="s">
        <v>161</v>
      </c>
    </row>
    <row r="4" spans="1:57">
      <c r="A4" s="7" t="s">
        <v>104</v>
      </c>
      <c r="B4" s="7" t="s">
        <v>25</v>
      </c>
      <c r="D4" t="s">
        <v>271</v>
      </c>
      <c r="E4" s="6" t="s">
        <v>186</v>
      </c>
      <c r="G4" t="s">
        <v>34</v>
      </c>
      <c r="H4" t="s">
        <v>107</v>
      </c>
      <c r="I4" t="s">
        <v>34</v>
      </c>
      <c r="L4" t="s">
        <v>34</v>
      </c>
      <c r="M4" t="s">
        <v>34</v>
      </c>
      <c r="N4" t="s">
        <v>35</v>
      </c>
      <c r="O4" t="s">
        <v>131</v>
      </c>
      <c r="P4" t="s">
        <v>129</v>
      </c>
      <c r="Q4" t="s">
        <v>137</v>
      </c>
      <c r="S4" t="s">
        <v>122</v>
      </c>
      <c r="T4" s="6" t="s">
        <v>194</v>
      </c>
      <c r="V4" s="6" t="s">
        <v>129</v>
      </c>
      <c r="W4" t="s">
        <v>164</v>
      </c>
      <c r="X4" t="s">
        <v>144</v>
      </c>
      <c r="Y4" t="s">
        <v>149</v>
      </c>
      <c r="Z4" s="6" t="s">
        <v>248</v>
      </c>
      <c r="AA4" s="6"/>
      <c r="AB4" s="46" t="s">
        <v>129</v>
      </c>
      <c r="AC4" s="6" t="s">
        <v>159</v>
      </c>
      <c r="AD4" s="6" t="s">
        <v>151</v>
      </c>
      <c r="AE4" s="6" t="s">
        <v>152</v>
      </c>
      <c r="AF4" s="6" t="s">
        <v>144</v>
      </c>
      <c r="AG4" s="6">
        <v>40</v>
      </c>
      <c r="AH4" s="6" t="s">
        <v>143</v>
      </c>
      <c r="AJ4" s="37" t="s">
        <v>108</v>
      </c>
      <c r="AL4" t="s">
        <v>135</v>
      </c>
      <c r="AN4" t="s">
        <v>121</v>
      </c>
      <c r="AP4" t="s">
        <v>164</v>
      </c>
      <c r="AV4" t="s">
        <v>150</v>
      </c>
      <c r="AX4" t="s">
        <v>143</v>
      </c>
      <c r="BB4" t="s">
        <v>253</v>
      </c>
      <c r="BC4" t="s">
        <v>162</v>
      </c>
    </row>
    <row r="5" spans="1:57">
      <c r="A5" s="7" t="s">
        <v>105</v>
      </c>
      <c r="B5" s="7" t="s">
        <v>27</v>
      </c>
      <c r="D5" t="s">
        <v>26</v>
      </c>
      <c r="E5" t="s">
        <v>28</v>
      </c>
      <c r="G5" t="s">
        <v>44</v>
      </c>
      <c r="H5" t="s">
        <v>107</v>
      </c>
      <c r="I5" t="s">
        <v>44</v>
      </c>
      <c r="L5" t="s">
        <v>44</v>
      </c>
      <c r="M5" t="s">
        <v>44</v>
      </c>
      <c r="N5" t="s">
        <v>45</v>
      </c>
      <c r="O5" t="s">
        <v>131</v>
      </c>
      <c r="P5" t="s">
        <v>129</v>
      </c>
      <c r="Q5" t="s">
        <v>137</v>
      </c>
      <c r="S5" t="s">
        <v>122</v>
      </c>
      <c r="T5" s="6" t="s">
        <v>195</v>
      </c>
      <c r="V5" s="6" t="s">
        <v>171</v>
      </c>
      <c r="W5" t="s">
        <v>127</v>
      </c>
      <c r="X5" t="s">
        <v>143</v>
      </c>
      <c r="Y5" s="6"/>
      <c r="Z5" t="s">
        <v>172</v>
      </c>
      <c r="AB5" s="46" t="s">
        <v>129</v>
      </c>
      <c r="AC5" s="6" t="s">
        <v>166</v>
      </c>
      <c r="AD5" s="6" t="s">
        <v>151</v>
      </c>
      <c r="AE5" s="6" t="s">
        <v>161</v>
      </c>
      <c r="AF5" s="6" t="s">
        <v>144</v>
      </c>
      <c r="AG5" s="6">
        <v>20</v>
      </c>
      <c r="AH5" s="6" t="s">
        <v>143</v>
      </c>
      <c r="AN5" s="6" t="s">
        <v>312</v>
      </c>
    </row>
    <row r="6" spans="1:57">
      <c r="A6" s="6" t="s">
        <v>125</v>
      </c>
      <c r="B6" s="6" t="str">
        <f>VLOOKUP(ReportSelected,Menu[],2,FALSE)</f>
        <v>error_report</v>
      </c>
      <c r="D6" t="s">
        <v>35</v>
      </c>
      <c r="E6" t="s">
        <v>34</v>
      </c>
      <c r="G6" t="s">
        <v>67</v>
      </c>
      <c r="H6" t="s">
        <v>107</v>
      </c>
      <c r="I6" t="s">
        <v>67</v>
      </c>
      <c r="L6" t="s">
        <v>67</v>
      </c>
      <c r="M6" t="s">
        <v>67</v>
      </c>
      <c r="N6" t="s">
        <v>68</v>
      </c>
      <c r="O6" t="s">
        <v>131</v>
      </c>
      <c r="P6" t="s">
        <v>129</v>
      </c>
      <c r="Q6" t="s">
        <v>137</v>
      </c>
      <c r="S6" s="6" t="s">
        <v>78</v>
      </c>
      <c r="T6" s="6" t="s">
        <v>141</v>
      </c>
      <c r="V6" s="6" t="s">
        <v>176</v>
      </c>
      <c r="W6" t="s">
        <v>164</v>
      </c>
      <c r="X6" t="s">
        <v>144</v>
      </c>
      <c r="Y6" s="6"/>
      <c r="Z6" s="6" t="s">
        <v>249</v>
      </c>
      <c r="AB6" s="46" t="s">
        <v>129</v>
      </c>
      <c r="AC6" s="6" t="s">
        <v>167</v>
      </c>
      <c r="AD6" s="6" t="s">
        <v>151</v>
      </c>
      <c r="AE6" s="6" t="s">
        <v>162</v>
      </c>
      <c r="AF6" s="6" t="s">
        <v>144</v>
      </c>
      <c r="AG6" s="6">
        <v>20</v>
      </c>
      <c r="AH6" s="6" t="s">
        <v>143</v>
      </c>
    </row>
    <row r="7" spans="1:57">
      <c r="A7" s="39" t="s">
        <v>152</v>
      </c>
      <c r="B7" s="6" t="s">
        <v>44</v>
      </c>
      <c r="D7" t="s">
        <v>68</v>
      </c>
      <c r="E7" t="s">
        <v>67</v>
      </c>
      <c r="G7" t="s">
        <v>122</v>
      </c>
      <c r="H7" t="s">
        <v>107</v>
      </c>
      <c r="I7" t="s">
        <v>122</v>
      </c>
      <c r="L7" t="s">
        <v>122</v>
      </c>
      <c r="M7" t="s">
        <v>122</v>
      </c>
      <c r="N7" t="s">
        <v>77</v>
      </c>
      <c r="O7" t="s">
        <v>131</v>
      </c>
      <c r="Q7" t="s">
        <v>121</v>
      </c>
      <c r="S7" s="6" t="s">
        <v>78</v>
      </c>
      <c r="T7" s="6" t="s">
        <v>215</v>
      </c>
      <c r="V7" s="6" t="s">
        <v>186</v>
      </c>
      <c r="W7" t="s">
        <v>164</v>
      </c>
      <c r="X7" t="s">
        <v>144</v>
      </c>
      <c r="Y7" s="6"/>
      <c r="Z7" s="6" t="s">
        <v>250</v>
      </c>
      <c r="AB7" s="6" t="s">
        <v>176</v>
      </c>
      <c r="AC7" t="s">
        <v>165</v>
      </c>
      <c r="AD7" t="s">
        <v>150</v>
      </c>
      <c r="AG7">
        <v>2000</v>
      </c>
      <c r="AH7" t="s">
        <v>144</v>
      </c>
    </row>
    <row r="8" spans="1:57">
      <c r="A8" s="6"/>
      <c r="B8" s="6"/>
      <c r="D8" t="s">
        <v>262</v>
      </c>
      <c r="E8" s="6" t="s">
        <v>263</v>
      </c>
      <c r="G8" t="s">
        <v>78</v>
      </c>
      <c r="H8" t="s">
        <v>107</v>
      </c>
      <c r="I8" t="s">
        <v>78</v>
      </c>
      <c r="L8" t="s">
        <v>78</v>
      </c>
      <c r="M8" t="s">
        <v>78</v>
      </c>
      <c r="N8" t="s">
        <v>79</v>
      </c>
      <c r="O8" t="s">
        <v>131</v>
      </c>
      <c r="Q8" t="s">
        <v>121</v>
      </c>
      <c r="S8" s="6" t="s">
        <v>78</v>
      </c>
      <c r="T8" s="6" t="s">
        <v>216</v>
      </c>
      <c r="V8" s="6" t="s">
        <v>308</v>
      </c>
      <c r="W8" s="6" t="s">
        <v>127</v>
      </c>
      <c r="X8" s="6" t="s">
        <v>144</v>
      </c>
      <c r="Y8" s="6"/>
      <c r="Z8" s="6" t="s">
        <v>309</v>
      </c>
      <c r="AB8" s="6" t="s">
        <v>176</v>
      </c>
      <c r="AC8" s="6" t="s">
        <v>174</v>
      </c>
      <c r="AD8" s="6" t="s">
        <v>151</v>
      </c>
      <c r="AE8" s="6" t="s">
        <v>162</v>
      </c>
      <c r="AF8" s="6" t="s">
        <v>144</v>
      </c>
      <c r="AG8" s="6">
        <v>20</v>
      </c>
      <c r="AH8" s="6" t="s">
        <v>143</v>
      </c>
      <c r="BE8" s="109"/>
    </row>
    <row r="9" spans="1:57">
      <c r="A9" s="6"/>
      <c r="B9" s="6"/>
      <c r="D9" t="s">
        <v>272</v>
      </c>
      <c r="E9" s="6" t="s">
        <v>308</v>
      </c>
      <c r="G9" t="s">
        <v>111</v>
      </c>
      <c r="H9" t="s">
        <v>107</v>
      </c>
      <c r="I9" t="s">
        <v>182</v>
      </c>
      <c r="J9" t="s">
        <v>170</v>
      </c>
      <c r="L9" t="s">
        <v>183</v>
      </c>
      <c r="M9" t="s">
        <v>181</v>
      </c>
      <c r="N9" t="s">
        <v>99</v>
      </c>
      <c r="O9" t="s">
        <v>131</v>
      </c>
      <c r="P9" t="s">
        <v>129</v>
      </c>
      <c r="Q9" t="s">
        <v>137</v>
      </c>
      <c r="S9" s="6" t="s">
        <v>78</v>
      </c>
      <c r="T9" s="6" t="s">
        <v>220</v>
      </c>
      <c r="AB9" s="47" t="s">
        <v>186</v>
      </c>
      <c r="AC9" t="s">
        <v>165</v>
      </c>
      <c r="AD9" t="s">
        <v>150</v>
      </c>
      <c r="AG9">
        <v>2000</v>
      </c>
      <c r="AH9" t="s">
        <v>144</v>
      </c>
    </row>
    <row r="10" spans="1:57">
      <c r="A10" s="6"/>
      <c r="B10" s="6"/>
      <c r="D10" s="6" t="s">
        <v>246</v>
      </c>
      <c r="E10" s="6" t="s">
        <v>247</v>
      </c>
      <c r="G10" t="s">
        <v>111</v>
      </c>
      <c r="H10" t="s">
        <v>108</v>
      </c>
      <c r="I10" t="s">
        <v>171</v>
      </c>
      <c r="L10" t="s">
        <v>182</v>
      </c>
      <c r="M10" t="s">
        <v>97</v>
      </c>
      <c r="N10" t="s">
        <v>99</v>
      </c>
      <c r="O10" t="s">
        <v>131</v>
      </c>
      <c r="P10" s="6"/>
      <c r="Q10" t="s">
        <v>137</v>
      </c>
      <c r="S10" s="6" t="s">
        <v>78</v>
      </c>
      <c r="T10" s="6" t="s">
        <v>222</v>
      </c>
      <c r="AB10" s="47" t="s">
        <v>186</v>
      </c>
      <c r="AC10" s="6" t="s">
        <v>167</v>
      </c>
      <c r="AD10" s="6" t="s">
        <v>151</v>
      </c>
      <c r="AE10" s="6" t="s">
        <v>162</v>
      </c>
      <c r="AF10" s="6" t="s">
        <v>144</v>
      </c>
      <c r="AG10" s="6">
        <v>20</v>
      </c>
      <c r="AH10" s="6" t="s">
        <v>143</v>
      </c>
    </row>
    <row r="11" spans="1:57">
      <c r="A11" s="6"/>
      <c r="B11" s="6"/>
      <c r="D11" s="6" t="s">
        <v>230</v>
      </c>
      <c r="E11" t="s">
        <v>231</v>
      </c>
      <c r="G11" t="s">
        <v>173</v>
      </c>
      <c r="H11" t="s">
        <v>108</v>
      </c>
      <c r="I11" t="s">
        <v>175</v>
      </c>
      <c r="L11" s="6" t="s">
        <v>194</v>
      </c>
      <c r="M11" s="6" t="s">
        <v>196</v>
      </c>
      <c r="N11" s="6" t="s">
        <v>194</v>
      </c>
      <c r="O11" t="s">
        <v>131</v>
      </c>
      <c r="P11" t="s">
        <v>129</v>
      </c>
      <c r="Q11" t="s">
        <v>137</v>
      </c>
      <c r="S11" s="6" t="s">
        <v>244</v>
      </c>
      <c r="T11" s="6" t="s">
        <v>242</v>
      </c>
      <c r="AB11" s="146" t="s">
        <v>308</v>
      </c>
      <c r="AC11" t="s">
        <v>165</v>
      </c>
      <c r="AD11" s="6" t="s">
        <v>150</v>
      </c>
      <c r="AE11" s="6"/>
      <c r="AF11" s="6"/>
      <c r="AG11">
        <v>2000</v>
      </c>
      <c r="AH11" t="s">
        <v>144</v>
      </c>
    </row>
    <row r="12" spans="1:57">
      <c r="A12" s="6"/>
      <c r="B12" s="6"/>
      <c r="D12" t="s">
        <v>77</v>
      </c>
      <c r="E12" t="s">
        <v>122</v>
      </c>
      <c r="G12" t="s">
        <v>173</v>
      </c>
      <c r="H12" t="s">
        <v>108</v>
      </c>
      <c r="I12" t="s">
        <v>176</v>
      </c>
      <c r="L12" s="6" t="s">
        <v>195</v>
      </c>
      <c r="M12" s="6" t="s">
        <v>196</v>
      </c>
      <c r="N12" s="6" t="s">
        <v>195</v>
      </c>
      <c r="O12" t="s">
        <v>131</v>
      </c>
      <c r="P12" t="s">
        <v>129</v>
      </c>
      <c r="Q12" t="s">
        <v>137</v>
      </c>
      <c r="S12" s="6" t="s">
        <v>263</v>
      </c>
      <c r="T12" t="s">
        <v>268</v>
      </c>
      <c r="AB12" s="146" t="s">
        <v>308</v>
      </c>
      <c r="AC12" s="6" t="s">
        <v>159</v>
      </c>
      <c r="AD12" s="6" t="s">
        <v>151</v>
      </c>
      <c r="AE12" s="6" t="s">
        <v>152</v>
      </c>
      <c r="AF12" s="6" t="s">
        <v>144</v>
      </c>
      <c r="AG12" s="6">
        <v>40</v>
      </c>
      <c r="AH12" s="6" t="s">
        <v>143</v>
      </c>
    </row>
    <row r="13" spans="1:57">
      <c r="D13" t="s">
        <v>79</v>
      </c>
      <c r="E13" t="s">
        <v>78</v>
      </c>
      <c r="G13" t="s">
        <v>173</v>
      </c>
      <c r="H13" t="s">
        <v>107</v>
      </c>
      <c r="I13" t="s">
        <v>183</v>
      </c>
      <c r="L13" t="s">
        <v>140</v>
      </c>
      <c r="M13" s="6" t="s">
        <v>196</v>
      </c>
      <c r="N13" t="s">
        <v>140</v>
      </c>
      <c r="O13" t="s">
        <v>131</v>
      </c>
      <c r="P13" t="s">
        <v>129</v>
      </c>
      <c r="Q13" t="s">
        <v>137</v>
      </c>
      <c r="S13" s="6" t="s">
        <v>273</v>
      </c>
      <c r="T13" s="6" t="s">
        <v>310</v>
      </c>
    </row>
    <row r="14" spans="1:57">
      <c r="D14" s="6" t="s">
        <v>243</v>
      </c>
      <c r="E14" s="6" t="s">
        <v>244</v>
      </c>
      <c r="G14" t="s">
        <v>112</v>
      </c>
      <c r="H14" t="s">
        <v>107</v>
      </c>
      <c r="I14" t="s">
        <v>183</v>
      </c>
      <c r="L14" t="s">
        <v>141</v>
      </c>
      <c r="M14" s="6" t="s">
        <v>196</v>
      </c>
      <c r="N14" s="6" t="s">
        <v>141</v>
      </c>
      <c r="O14" t="s">
        <v>131</v>
      </c>
      <c r="P14" t="s">
        <v>129</v>
      </c>
      <c r="Q14" t="s">
        <v>137</v>
      </c>
    </row>
    <row r="15" spans="1:57">
      <c r="D15" t="s">
        <v>123</v>
      </c>
      <c r="E15" t="s">
        <v>111</v>
      </c>
      <c r="G15" s="6" t="s">
        <v>186</v>
      </c>
      <c r="H15" t="s">
        <v>108</v>
      </c>
      <c r="I15" s="6" t="s">
        <v>186</v>
      </c>
      <c r="J15" s="6"/>
      <c r="L15" s="6" t="s">
        <v>215</v>
      </c>
      <c r="M15" s="6" t="s">
        <v>196</v>
      </c>
      <c r="N15" s="6" t="s">
        <v>215</v>
      </c>
      <c r="O15" t="s">
        <v>131</v>
      </c>
      <c r="P15" t="s">
        <v>129</v>
      </c>
      <c r="Q15" t="s">
        <v>137</v>
      </c>
    </row>
    <row r="16" spans="1:57">
      <c r="D16" t="s">
        <v>96</v>
      </c>
      <c r="E16" t="s">
        <v>112</v>
      </c>
      <c r="G16" s="6" t="s">
        <v>231</v>
      </c>
      <c r="H16" t="s">
        <v>107</v>
      </c>
      <c r="I16" t="s">
        <v>78</v>
      </c>
      <c r="J16" s="6"/>
      <c r="L16" s="6" t="s">
        <v>216</v>
      </c>
      <c r="M16" s="6" t="s">
        <v>196</v>
      </c>
      <c r="N16" s="6" t="s">
        <v>216</v>
      </c>
      <c r="O16" t="s">
        <v>131</v>
      </c>
      <c r="P16" t="s">
        <v>129</v>
      </c>
      <c r="Q16" t="s">
        <v>137</v>
      </c>
    </row>
    <row r="17" spans="4:17">
      <c r="D17" s="6"/>
      <c r="G17" s="6" t="s">
        <v>231</v>
      </c>
      <c r="H17" t="s">
        <v>107</v>
      </c>
      <c r="I17" s="6" t="s">
        <v>122</v>
      </c>
      <c r="J17" s="6"/>
      <c r="L17" s="6" t="s">
        <v>220</v>
      </c>
      <c r="M17" s="6" t="s">
        <v>196</v>
      </c>
      <c r="N17" s="6" t="s">
        <v>220</v>
      </c>
      <c r="O17" t="s">
        <v>131</v>
      </c>
      <c r="P17" t="s">
        <v>129</v>
      </c>
      <c r="Q17" t="s">
        <v>137</v>
      </c>
    </row>
    <row r="18" spans="4:17">
      <c r="G18" s="6" t="s">
        <v>244</v>
      </c>
      <c r="H18" t="s">
        <v>107</v>
      </c>
      <c r="I18" s="6" t="s">
        <v>244</v>
      </c>
      <c r="J18" s="6"/>
      <c r="L18" s="6" t="s">
        <v>222</v>
      </c>
      <c r="M18" s="6" t="s">
        <v>196</v>
      </c>
      <c r="N18" s="6" t="s">
        <v>222</v>
      </c>
      <c r="O18" t="s">
        <v>131</v>
      </c>
      <c r="P18" t="s">
        <v>129</v>
      </c>
      <c r="Q18" t="s">
        <v>137</v>
      </c>
    </row>
    <row r="19" spans="4:17">
      <c r="G19" s="6" t="s">
        <v>247</v>
      </c>
      <c r="H19" s="6" t="s">
        <v>107</v>
      </c>
      <c r="I19" s="6" t="s">
        <v>244</v>
      </c>
      <c r="J19" s="6"/>
      <c r="L19" s="6" t="s">
        <v>244</v>
      </c>
      <c r="M19" s="6" t="s">
        <v>244</v>
      </c>
      <c r="N19" s="6" t="s">
        <v>245</v>
      </c>
      <c r="O19" t="s">
        <v>131</v>
      </c>
      <c r="Q19" t="s">
        <v>121</v>
      </c>
    </row>
    <row r="20" spans="4:17">
      <c r="G20" s="6" t="s">
        <v>247</v>
      </c>
      <c r="H20" s="6" t="s">
        <v>107</v>
      </c>
      <c r="I20" t="s">
        <v>78</v>
      </c>
      <c r="J20" s="6"/>
      <c r="L20" s="6" t="s">
        <v>242</v>
      </c>
      <c r="M20" s="6" t="s">
        <v>196</v>
      </c>
      <c r="N20" s="6" t="s">
        <v>242</v>
      </c>
      <c r="O20" t="s">
        <v>131</v>
      </c>
      <c r="P20" t="s">
        <v>129</v>
      </c>
      <c r="Q20" t="s">
        <v>137</v>
      </c>
    </row>
    <row r="21" spans="4:17">
      <c r="G21" s="6" t="s">
        <v>247</v>
      </c>
      <c r="H21" s="6" t="s">
        <v>107</v>
      </c>
      <c r="I21" s="6" t="s">
        <v>122</v>
      </c>
      <c r="J21" s="6"/>
      <c r="L21" s="6" t="s">
        <v>263</v>
      </c>
      <c r="M21" t="s">
        <v>263</v>
      </c>
      <c r="N21" s="6" t="s">
        <v>261</v>
      </c>
      <c r="O21" t="s">
        <v>131</v>
      </c>
      <c r="P21" t="s">
        <v>129</v>
      </c>
      <c r="Q21" t="s">
        <v>137</v>
      </c>
    </row>
    <row r="22" spans="4:17">
      <c r="G22" s="6" t="s">
        <v>263</v>
      </c>
      <c r="H22" s="6" t="s">
        <v>107</v>
      </c>
      <c r="I22" s="6" t="s">
        <v>263</v>
      </c>
      <c r="J22" s="6"/>
      <c r="L22" s="6" t="s">
        <v>268</v>
      </c>
      <c r="M22" s="6" t="s">
        <v>196</v>
      </c>
      <c r="N22" s="6" t="s">
        <v>268</v>
      </c>
      <c r="O22" t="s">
        <v>131</v>
      </c>
      <c r="P22" t="s">
        <v>129</v>
      </c>
      <c r="Q22" t="s">
        <v>137</v>
      </c>
    </row>
    <row r="23" spans="4:17">
      <c r="G23" s="6" t="s">
        <v>308</v>
      </c>
      <c r="H23" s="6" t="s">
        <v>107</v>
      </c>
      <c r="I23" s="6" t="s">
        <v>273</v>
      </c>
      <c r="L23" s="6" t="s">
        <v>273</v>
      </c>
      <c r="M23" s="6" t="s">
        <v>273</v>
      </c>
      <c r="N23" s="6" t="s">
        <v>272</v>
      </c>
      <c r="O23" t="s">
        <v>131</v>
      </c>
      <c r="P23" t="s">
        <v>129</v>
      </c>
      <c r="Q23" t="s">
        <v>121</v>
      </c>
    </row>
    <row r="24" spans="4:17">
      <c r="G24" s="6"/>
      <c r="I24" s="6"/>
      <c r="J24" s="6"/>
      <c r="L24" s="6" t="s">
        <v>310</v>
      </c>
      <c r="M24" s="6"/>
      <c r="N24" s="6"/>
      <c r="P24" t="s">
        <v>129</v>
      </c>
      <c r="Q24" s="6" t="s">
        <v>312</v>
      </c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16:E17 E11:E13 E3 E5:E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2">
      <formula1>INDIRECT("Direction[Code]")</formula1>
    </dataValidation>
    <dataValidation type="list" allowBlank="1" showInputMessage="1" showErrorMessage="1" sqref="S3:S13 T4:T11 L11:L12">
      <formula1>INDIRECT("Reports[Code]")</formula1>
    </dataValidation>
    <dataValidation type="list" allowBlank="1" showInputMessage="1" showErrorMessage="1" sqref="W3:W8">
      <formula1>INDIRECT("ProgramTypes[Code]")</formula1>
    </dataValidation>
    <dataValidation type="list" allowBlank="1" showInputMessage="1" showErrorMessage="1" sqref="Y3:Y8">
      <formula1>INDIRECT("ReturnTypes[Code]")</formula1>
    </dataValidation>
    <dataValidation type="list" allowBlank="1" showInputMessage="1" showErrorMessage="1" sqref="AH3:AH12 AF3:AF12">
      <formula1>INDIRECT("YesNo[Code]")</formula1>
    </dataValidation>
    <dataValidation type="whole" allowBlank="1" showInputMessage="1" showErrorMessage="1" sqref="AG3:AG12">
      <formula1>1</formula1>
      <formula2>32767</formula2>
    </dataValidation>
    <dataValidation type="list" allowBlank="1" showInputMessage="1" showErrorMessage="1" sqref="O3:O24">
      <formula1>INDIRECT("CreateModes[Code]")</formula1>
    </dataValidation>
    <dataValidation type="list" allowBlank="1" showInputMessage="1" showErrorMessage="1" sqref="Q3:Q24">
      <formula1>INDIRECT("ReportTypes[Code]")</formula1>
    </dataValidation>
    <dataValidation type="list" allowBlank="1" showInputMessage="1" showErrorMessage="1" sqref="P3:P24">
      <formula1>INDIRECT("Programs[Code]")</formula1>
    </dataValidation>
    <dataValidation type="list" allowBlank="1" showInputMessage="1" showErrorMessage="1" sqref="H3:H24">
      <formula1>INDIRECT("ActionTypes[Code]")</formula1>
    </dataValidation>
    <dataValidation type="list" allowBlank="1" showInputMessage="1" showErrorMessage="1" sqref="J3:J24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93</v>
      </c>
      <c r="C2" s="40" t="s">
        <v>45</v>
      </c>
      <c r="D2" s="32" t="s">
        <v>197</v>
      </c>
      <c r="E2" s="32"/>
    </row>
    <row r="3" spans="1:6" ht="28.5" customHeight="1">
      <c r="A3" s="32"/>
      <c r="B3" s="31"/>
      <c r="C3" s="43" t="s">
        <v>138</v>
      </c>
      <c r="D3" s="32"/>
      <c r="E3" s="32"/>
    </row>
    <row r="4" spans="1:6">
      <c r="A4" s="32"/>
      <c r="B4" s="31" t="s">
        <v>94</v>
      </c>
      <c r="C4" s="42" t="s">
        <v>311</v>
      </c>
      <c r="D4" s="32"/>
      <c r="E4" s="32"/>
    </row>
    <row r="5" spans="1:6">
      <c r="A5" s="32"/>
      <c r="B5" s="31" t="s">
        <v>95</v>
      </c>
      <c r="C5" s="41">
        <v>42978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11"/>
      <c r="B7" s="211"/>
      <c r="C7" s="211"/>
      <c r="D7" s="211"/>
      <c r="E7" s="211"/>
    </row>
    <row r="8" spans="1:6" ht="51" customHeight="1">
      <c r="A8" s="45"/>
      <c r="B8" s="212" t="s">
        <v>313</v>
      </c>
      <c r="C8" s="213"/>
      <c r="D8" s="213"/>
      <c r="E8" s="45"/>
    </row>
    <row r="9" spans="1:6" s="44" customFormat="1" ht="14.25" customHeight="1">
      <c r="A9" s="211"/>
      <c r="B9" s="211"/>
      <c r="C9" s="211"/>
      <c r="D9" s="211"/>
      <c r="E9" s="211"/>
    </row>
    <row r="10" spans="1:6" hidden="1">
      <c r="A10" s="208"/>
      <c r="B10" s="209"/>
      <c r="C10" s="209"/>
      <c r="D10" s="209"/>
      <c r="E10" s="210"/>
    </row>
    <row r="11" spans="1:6" hidden="1"/>
    <row r="12" spans="1:6" hidden="1"/>
    <row r="13" spans="1:6" hidden="1"/>
    <row r="14" spans="1:6" hidden="1">
      <c r="F14" s="26" t="s">
        <v>47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47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3"/>
  <dimension ref="A1:P7"/>
  <sheetViews>
    <sheetView workbookViewId="0">
      <selection activeCell="C4" sqref="C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2" t="s">
        <v>318</v>
      </c>
      <c r="B1" s="182"/>
      <c r="C1" s="182"/>
      <c r="D1" s="182"/>
      <c r="E1" s="182"/>
      <c r="F1" s="182"/>
      <c r="G1" s="182"/>
      <c r="H1" s="182"/>
      <c r="I1" s="182"/>
      <c r="J1" s="111"/>
      <c r="K1" s="111"/>
      <c r="L1" s="111"/>
      <c r="M1" s="111"/>
      <c r="N1" s="111"/>
      <c r="O1" s="111"/>
      <c r="P1" s="111"/>
    </row>
    <row r="2" spans="1:16" ht="31.5">
      <c r="A2" s="166" t="s">
        <v>36</v>
      </c>
      <c r="B2" s="166" t="s">
        <v>46</v>
      </c>
      <c r="C2" s="166" t="s">
        <v>37</v>
      </c>
      <c r="D2" s="164" t="s">
        <v>38</v>
      </c>
      <c r="E2" s="164" t="s">
        <v>39</v>
      </c>
      <c r="F2" s="166" t="s">
        <v>40</v>
      </c>
      <c r="G2" s="21" t="s">
        <v>41</v>
      </c>
      <c r="H2" s="21" t="s">
        <v>42</v>
      </c>
      <c r="I2" s="21" t="s">
        <v>43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/>
      <c r="B4" s="27"/>
      <c r="C4" s="27">
        <v>302</v>
      </c>
      <c r="D4" s="28">
        <v>5117</v>
      </c>
      <c r="E4" s="27"/>
      <c r="F4" s="27"/>
      <c r="G4" s="24"/>
      <c r="H4" s="29" t="s">
        <v>319</v>
      </c>
      <c r="I4" s="29"/>
    </row>
    <row r="5" spans="1:16">
      <c r="A5" s="173"/>
      <c r="B5" s="27"/>
      <c r="C5" s="27">
        <v>302</v>
      </c>
      <c r="D5" s="28">
        <v>5151</v>
      </c>
      <c r="E5" s="27"/>
      <c r="F5" s="27"/>
      <c r="G5" s="24"/>
      <c r="H5" s="29" t="s">
        <v>319</v>
      </c>
      <c r="I5" s="29"/>
    </row>
    <row r="6" spans="1:16">
      <c r="A6" s="173"/>
      <c r="B6" s="27"/>
      <c r="C6" s="27">
        <v>335</v>
      </c>
      <c r="D6" s="28">
        <v>1904</v>
      </c>
      <c r="E6" s="27"/>
      <c r="F6" s="27"/>
      <c r="G6" s="24"/>
      <c r="H6" s="29" t="s">
        <v>319</v>
      </c>
      <c r="I6" s="29"/>
    </row>
    <row r="7" spans="1:16">
      <c r="A7" s="12"/>
      <c r="B7" s="175"/>
      <c r="C7" s="175">
        <v>335</v>
      </c>
      <c r="D7" s="176">
        <v>1914</v>
      </c>
      <c r="E7" s="175"/>
      <c r="F7" s="175"/>
      <c r="G7" s="16"/>
      <c r="H7" s="177" t="s">
        <v>319</v>
      </c>
      <c r="I7" s="177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J114"/>
  <sheetViews>
    <sheetView workbookViewId="0">
      <pane ySplit="4" topLeftCell="A5" activePane="bottomLeft" state="frozen"/>
      <selection pane="bottomLeft" activeCell="A4" sqref="A4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0" t="s">
        <v>314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0" ht="31.5" customHeight="1">
      <c r="A2" s="178" t="s">
        <v>4</v>
      </c>
      <c r="B2" s="178"/>
      <c r="C2" s="178"/>
      <c r="D2" s="178"/>
      <c r="E2" s="178"/>
      <c r="F2" s="179" t="s">
        <v>23</v>
      </c>
      <c r="G2" s="179"/>
      <c r="H2" s="179"/>
      <c r="I2" s="179"/>
      <c r="J2" s="179"/>
    </row>
    <row r="3" spans="1:10" ht="78" customHeight="1">
      <c r="A3" s="166" t="s">
        <v>0</v>
      </c>
      <c r="B3" s="166" t="s">
        <v>30</v>
      </c>
      <c r="C3" s="164" t="s">
        <v>1</v>
      </c>
      <c r="D3" s="164" t="s">
        <v>2</v>
      </c>
      <c r="E3" s="166" t="s">
        <v>22</v>
      </c>
      <c r="F3" s="21" t="s">
        <v>29</v>
      </c>
      <c r="G3" s="21" t="s">
        <v>33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>
        <v>42745</v>
      </c>
      <c r="B5" s="1">
        <v>42746</v>
      </c>
      <c r="C5" s="24">
        <v>1283335409.8499999</v>
      </c>
      <c r="D5" s="24">
        <v>6308000</v>
      </c>
      <c r="E5" s="24">
        <v>166581807</v>
      </c>
      <c r="F5" s="1">
        <v>42745</v>
      </c>
      <c r="G5" s="1"/>
      <c r="H5" s="24"/>
      <c r="I5" s="24"/>
      <c r="J5" s="24"/>
    </row>
    <row r="6" spans="1:10">
      <c r="A6" s="173">
        <v>42748</v>
      </c>
      <c r="B6" s="1">
        <v>42749</v>
      </c>
      <c r="C6" s="24">
        <v>5153171.72</v>
      </c>
      <c r="D6" s="24"/>
      <c r="E6" s="24">
        <v>669913</v>
      </c>
      <c r="F6" s="1">
        <v>42748</v>
      </c>
      <c r="G6" s="1"/>
      <c r="H6" s="24"/>
      <c r="I6" s="24"/>
      <c r="J6" s="174"/>
    </row>
    <row r="7" spans="1:10">
      <c r="A7" s="173">
        <v>42755</v>
      </c>
      <c r="B7" s="1"/>
      <c r="C7" s="24"/>
      <c r="D7" s="24"/>
      <c r="E7" s="24"/>
      <c r="F7" s="1">
        <v>42755</v>
      </c>
      <c r="G7" s="1">
        <v>42643</v>
      </c>
      <c r="H7" s="24">
        <v>-82000</v>
      </c>
      <c r="I7" s="24"/>
      <c r="J7" s="174">
        <v>-10660</v>
      </c>
    </row>
    <row r="8" spans="1:10">
      <c r="A8" s="173">
        <v>42755</v>
      </c>
      <c r="B8" s="1"/>
      <c r="C8" s="24"/>
      <c r="D8" s="24"/>
      <c r="E8" s="24"/>
      <c r="F8" s="1">
        <v>42755</v>
      </c>
      <c r="G8" s="1">
        <v>42706</v>
      </c>
      <c r="H8" s="24">
        <v>-45000</v>
      </c>
      <c r="I8" s="24"/>
      <c r="J8" s="174">
        <v>-5850</v>
      </c>
    </row>
    <row r="9" spans="1:10">
      <c r="A9" s="173">
        <v>42755</v>
      </c>
      <c r="B9" s="1"/>
      <c r="C9" s="24"/>
      <c r="D9" s="24"/>
      <c r="E9" s="24"/>
      <c r="F9" s="1">
        <v>42755</v>
      </c>
      <c r="G9" s="1">
        <v>42720</v>
      </c>
      <c r="H9" s="24">
        <v>-53000</v>
      </c>
      <c r="I9" s="24"/>
      <c r="J9" s="174">
        <v>-6890</v>
      </c>
    </row>
    <row r="10" spans="1:10">
      <c r="A10" s="173">
        <v>42760</v>
      </c>
      <c r="B10" s="1">
        <v>42761</v>
      </c>
      <c r="C10" s="24">
        <v>12551085.619999999</v>
      </c>
      <c r="D10" s="24">
        <v>20400</v>
      </c>
      <c r="E10" s="24">
        <v>1630610</v>
      </c>
      <c r="F10" s="1">
        <v>42760</v>
      </c>
      <c r="G10" s="1"/>
      <c r="H10" s="24"/>
      <c r="I10" s="24"/>
      <c r="J10" s="174"/>
    </row>
    <row r="11" spans="1:10">
      <c r="A11" s="173">
        <v>42762</v>
      </c>
      <c r="B11" s="1">
        <v>42763</v>
      </c>
      <c r="C11" s="24">
        <v>4946399.78</v>
      </c>
      <c r="D11" s="24"/>
      <c r="E11" s="24">
        <v>671161</v>
      </c>
      <c r="F11" s="1">
        <v>42762</v>
      </c>
      <c r="G11" s="1">
        <v>42671</v>
      </c>
      <c r="H11" s="24">
        <v>-66000</v>
      </c>
      <c r="I11" s="24"/>
      <c r="J11" s="174">
        <v>-8580</v>
      </c>
    </row>
    <row r="12" spans="1:10">
      <c r="A12" s="173">
        <v>42762</v>
      </c>
      <c r="B12" s="1"/>
      <c r="C12" s="24"/>
      <c r="D12" s="24"/>
      <c r="E12" s="24"/>
      <c r="F12" s="1">
        <v>42762</v>
      </c>
      <c r="G12" s="1">
        <v>42716</v>
      </c>
      <c r="H12" s="24">
        <v>-62000</v>
      </c>
      <c r="I12" s="24"/>
      <c r="J12" s="174">
        <v>-8060</v>
      </c>
    </row>
    <row r="13" spans="1:10">
      <c r="A13" s="173">
        <v>42762</v>
      </c>
      <c r="B13" s="1"/>
      <c r="C13" s="24"/>
      <c r="D13" s="24"/>
      <c r="E13" s="24"/>
      <c r="F13" s="1">
        <v>42762</v>
      </c>
      <c r="G13" s="1">
        <v>42727</v>
      </c>
      <c r="H13" s="24">
        <v>-49500</v>
      </c>
      <c r="I13" s="24"/>
      <c r="J13" s="174">
        <v>-6435</v>
      </c>
    </row>
    <row r="14" spans="1:10">
      <c r="A14" s="173">
        <v>42766</v>
      </c>
      <c r="B14" s="1"/>
      <c r="C14" s="24"/>
      <c r="D14" s="24"/>
      <c r="E14" s="24"/>
      <c r="F14" s="1">
        <v>42766</v>
      </c>
      <c r="G14" s="1">
        <v>42745</v>
      </c>
      <c r="H14" s="24">
        <v>-26995.02</v>
      </c>
      <c r="I14" s="24">
        <v>-500</v>
      </c>
      <c r="J14" s="174">
        <v>-3444</v>
      </c>
    </row>
    <row r="15" spans="1:10">
      <c r="A15" s="173">
        <v>42769</v>
      </c>
      <c r="B15" s="1"/>
      <c r="C15" s="24"/>
      <c r="D15" s="24"/>
      <c r="E15" s="24"/>
      <c r="F15" s="1">
        <v>42769</v>
      </c>
      <c r="G15" s="1">
        <v>42731</v>
      </c>
      <c r="H15" s="24">
        <v>-210000</v>
      </c>
      <c r="I15" s="24"/>
      <c r="J15" s="174">
        <v>-27300</v>
      </c>
    </row>
    <row r="16" spans="1:10">
      <c r="A16" s="173">
        <v>42776</v>
      </c>
      <c r="B16" s="1">
        <v>42777</v>
      </c>
      <c r="C16" s="24">
        <v>1287654754.45</v>
      </c>
      <c r="D16" s="24">
        <v>6373800</v>
      </c>
      <c r="E16" s="24">
        <v>167054697</v>
      </c>
      <c r="F16" s="1">
        <v>42776</v>
      </c>
      <c r="G16" s="1">
        <v>42745</v>
      </c>
      <c r="H16" s="24">
        <v>0</v>
      </c>
      <c r="I16" s="24"/>
      <c r="J16" s="174">
        <v>-3504</v>
      </c>
    </row>
    <row r="17" spans="1:10">
      <c r="A17" s="173">
        <v>42779</v>
      </c>
      <c r="B17" s="1">
        <v>42780</v>
      </c>
      <c r="C17" s="24">
        <v>4825209.93</v>
      </c>
      <c r="D17" s="24"/>
      <c r="E17" s="24">
        <v>646568</v>
      </c>
      <c r="F17" s="1">
        <v>42779</v>
      </c>
      <c r="G17" s="1">
        <v>42657</v>
      </c>
      <c r="H17" s="24">
        <v>-10000</v>
      </c>
      <c r="I17" s="24"/>
      <c r="J17" s="174">
        <v>-1300</v>
      </c>
    </row>
    <row r="18" spans="1:10">
      <c r="A18" s="173">
        <v>42779</v>
      </c>
      <c r="B18" s="1"/>
      <c r="C18" s="24"/>
      <c r="D18" s="24"/>
      <c r="E18" s="24"/>
      <c r="F18" s="1">
        <v>42779</v>
      </c>
      <c r="G18" s="1">
        <v>42692</v>
      </c>
      <c r="H18" s="24">
        <v>-40000</v>
      </c>
      <c r="I18" s="24"/>
      <c r="J18" s="174">
        <v>-5200</v>
      </c>
    </row>
    <row r="19" spans="1:10">
      <c r="A19" s="173">
        <v>42779</v>
      </c>
      <c r="B19" s="1"/>
      <c r="C19" s="24"/>
      <c r="D19" s="24"/>
      <c r="E19" s="24"/>
      <c r="F19" s="1">
        <v>42779</v>
      </c>
      <c r="G19" s="1">
        <v>42702</v>
      </c>
      <c r="H19" s="24">
        <v>-104000</v>
      </c>
      <c r="I19" s="24"/>
      <c r="J19" s="174">
        <v>-13520</v>
      </c>
    </row>
    <row r="20" spans="1:10">
      <c r="A20" s="173">
        <v>42779</v>
      </c>
      <c r="B20" s="1"/>
      <c r="C20" s="24"/>
      <c r="D20" s="24"/>
      <c r="E20" s="24"/>
      <c r="F20" s="1">
        <v>42779</v>
      </c>
      <c r="G20" s="1">
        <v>42727</v>
      </c>
      <c r="H20" s="24">
        <v>-28500</v>
      </c>
      <c r="I20" s="24"/>
      <c r="J20" s="174">
        <v>-3705</v>
      </c>
    </row>
    <row r="21" spans="1:10">
      <c r="A21" s="173">
        <v>42793</v>
      </c>
      <c r="B21" s="1">
        <v>42794</v>
      </c>
      <c r="C21" s="24">
        <v>8154389.2400000002</v>
      </c>
      <c r="D21" s="24">
        <v>3900</v>
      </c>
      <c r="E21" s="24">
        <v>1064515</v>
      </c>
      <c r="F21" s="1">
        <v>42793</v>
      </c>
      <c r="G21" s="1"/>
      <c r="H21" s="24"/>
      <c r="I21" s="24"/>
      <c r="J21" s="174"/>
    </row>
    <row r="22" spans="1:10">
      <c r="A22" s="173">
        <v>42794</v>
      </c>
      <c r="B22" s="1">
        <v>42795</v>
      </c>
      <c r="C22" s="24">
        <v>6597302.0999999996</v>
      </c>
      <c r="D22" s="24"/>
      <c r="E22" s="24">
        <v>857649</v>
      </c>
      <c r="F22" s="1">
        <v>42794</v>
      </c>
      <c r="G22" s="1">
        <v>42745</v>
      </c>
      <c r="H22" s="24">
        <v>-15112.68</v>
      </c>
      <c r="I22" s="24">
        <v>-500</v>
      </c>
      <c r="J22" s="174">
        <v>-1899</v>
      </c>
    </row>
    <row r="23" spans="1:10">
      <c r="A23" s="173">
        <v>42794</v>
      </c>
      <c r="B23" s="1"/>
      <c r="C23" s="24"/>
      <c r="D23" s="24"/>
      <c r="E23" s="24"/>
      <c r="F23" s="1">
        <v>42794</v>
      </c>
      <c r="G23" s="1">
        <v>42776</v>
      </c>
      <c r="H23" s="24">
        <v>-8935.0499999999993</v>
      </c>
      <c r="I23" s="24"/>
      <c r="J23" s="174">
        <v>-1162</v>
      </c>
    </row>
    <row r="24" spans="1:10">
      <c r="A24" s="173">
        <v>42804</v>
      </c>
      <c r="B24" s="1">
        <v>42805</v>
      </c>
      <c r="C24" s="24">
        <v>1289499772.21</v>
      </c>
      <c r="D24" s="24">
        <v>7033900</v>
      </c>
      <c r="E24" s="24">
        <v>167213134</v>
      </c>
      <c r="F24" s="1">
        <v>42804</v>
      </c>
      <c r="G24" s="1"/>
      <c r="H24" s="24"/>
      <c r="I24" s="24"/>
      <c r="J24" s="174"/>
    </row>
    <row r="25" spans="1:10">
      <c r="A25" s="173">
        <v>42807</v>
      </c>
      <c r="B25" s="1">
        <v>42808</v>
      </c>
      <c r="C25" s="24">
        <v>6888208.5700000003</v>
      </c>
      <c r="D25" s="24"/>
      <c r="E25" s="24">
        <v>895467</v>
      </c>
      <c r="F25" s="1">
        <v>42807</v>
      </c>
      <c r="G25" s="1"/>
      <c r="H25" s="24"/>
      <c r="I25" s="24"/>
      <c r="J25" s="174"/>
    </row>
    <row r="26" spans="1:10">
      <c r="A26" s="173">
        <v>42811</v>
      </c>
      <c r="B26" s="1"/>
      <c r="C26" s="24"/>
      <c r="D26" s="24"/>
      <c r="E26" s="24"/>
      <c r="F26" s="1">
        <v>42811</v>
      </c>
      <c r="G26" s="1">
        <v>42587</v>
      </c>
      <c r="H26" s="24">
        <v>-50000</v>
      </c>
      <c r="I26" s="24"/>
      <c r="J26" s="174">
        <v>-6500</v>
      </c>
    </row>
    <row r="27" spans="1:10">
      <c r="A27" s="173">
        <v>42818</v>
      </c>
      <c r="B27" s="1">
        <v>42819</v>
      </c>
      <c r="C27" s="24">
        <v>12032292.210000001</v>
      </c>
      <c r="D27" s="24">
        <v>26300</v>
      </c>
      <c r="E27" s="24">
        <v>1562754</v>
      </c>
      <c r="F27" s="1">
        <v>42818</v>
      </c>
      <c r="G27" s="1"/>
      <c r="H27" s="24"/>
      <c r="I27" s="24"/>
      <c r="J27" s="174"/>
    </row>
    <row r="28" spans="1:10">
      <c r="A28" s="173">
        <v>42821</v>
      </c>
      <c r="B28" s="1">
        <v>42822</v>
      </c>
      <c r="C28" s="24">
        <v>5595558.9900000002</v>
      </c>
      <c r="D28" s="24"/>
      <c r="E28" s="24">
        <v>736304</v>
      </c>
      <c r="F28" s="1">
        <v>42821</v>
      </c>
      <c r="G28" s="1">
        <v>42650</v>
      </c>
      <c r="H28" s="24">
        <v>-35000</v>
      </c>
      <c r="I28" s="24"/>
      <c r="J28" s="174">
        <v>-4550</v>
      </c>
    </row>
    <row r="29" spans="1:10">
      <c r="A29" s="173">
        <v>42825</v>
      </c>
      <c r="B29" s="1"/>
      <c r="C29" s="24"/>
      <c r="D29" s="24"/>
      <c r="E29" s="24"/>
      <c r="F29" s="1">
        <v>42825</v>
      </c>
      <c r="G29" s="1">
        <v>42745</v>
      </c>
      <c r="H29" s="24">
        <v>-10090.99</v>
      </c>
      <c r="I29" s="24">
        <v>-500</v>
      </c>
      <c r="J29" s="174">
        <v>-1247</v>
      </c>
    </row>
    <row r="30" spans="1:10">
      <c r="A30" s="173">
        <v>42825</v>
      </c>
      <c r="B30" s="1"/>
      <c r="C30" s="24"/>
      <c r="D30" s="24"/>
      <c r="E30" s="24"/>
      <c r="F30" s="1">
        <v>42825</v>
      </c>
      <c r="G30" s="1">
        <v>42776</v>
      </c>
      <c r="H30" s="24">
        <v>-34138.81</v>
      </c>
      <c r="I30" s="24">
        <v>-1000</v>
      </c>
      <c r="J30" s="174">
        <v>-4304</v>
      </c>
    </row>
    <row r="31" spans="1:10">
      <c r="A31" s="173">
        <v>42825</v>
      </c>
      <c r="B31" s="1"/>
      <c r="C31" s="24"/>
      <c r="D31" s="24"/>
      <c r="E31" s="24"/>
      <c r="F31" s="1">
        <v>42825</v>
      </c>
      <c r="G31" s="1">
        <v>42804</v>
      </c>
      <c r="H31" s="24">
        <v>-3738.4</v>
      </c>
      <c r="I31" s="24"/>
      <c r="J31" s="174">
        <v>-486</v>
      </c>
    </row>
    <row r="32" spans="1:10">
      <c r="A32" s="173">
        <v>42832</v>
      </c>
      <c r="B32" s="1">
        <v>42833</v>
      </c>
      <c r="C32" s="24">
        <v>17238626.34</v>
      </c>
      <c r="D32" s="24"/>
      <c r="E32" s="24">
        <v>2283896</v>
      </c>
      <c r="F32" s="1">
        <v>42832</v>
      </c>
      <c r="G32" s="1">
        <v>42727</v>
      </c>
      <c r="H32" s="24">
        <v>-7000</v>
      </c>
      <c r="I32" s="24"/>
      <c r="J32" s="174">
        <v>-910</v>
      </c>
    </row>
    <row r="33" spans="1:10">
      <c r="A33" s="173">
        <v>42835</v>
      </c>
      <c r="B33" s="1">
        <v>42836</v>
      </c>
      <c r="C33" s="24">
        <v>1310411543.99</v>
      </c>
      <c r="D33" s="24">
        <v>7638700</v>
      </c>
      <c r="E33" s="24">
        <v>169874688</v>
      </c>
      <c r="F33" s="1">
        <v>42835</v>
      </c>
      <c r="G33" s="1"/>
      <c r="H33" s="24"/>
      <c r="I33" s="24"/>
      <c r="J33" s="174"/>
    </row>
    <row r="34" spans="1:10">
      <c r="A34" s="173">
        <v>42839</v>
      </c>
      <c r="B34" s="1">
        <v>42840</v>
      </c>
      <c r="C34" s="24">
        <v>1971442.36</v>
      </c>
      <c r="D34" s="24"/>
      <c r="E34" s="24">
        <v>256287</v>
      </c>
      <c r="F34" s="1">
        <v>42839</v>
      </c>
      <c r="G34" s="1">
        <v>42216</v>
      </c>
      <c r="H34" s="24">
        <v>-24000</v>
      </c>
      <c r="I34" s="24"/>
      <c r="J34" s="174">
        <v>-3120</v>
      </c>
    </row>
    <row r="35" spans="1:10">
      <c r="A35" s="173">
        <v>42839</v>
      </c>
      <c r="B35" s="1"/>
      <c r="C35" s="24"/>
      <c r="D35" s="24"/>
      <c r="E35" s="24"/>
      <c r="F35" s="1">
        <v>42839</v>
      </c>
      <c r="G35" s="1">
        <v>42702</v>
      </c>
      <c r="H35" s="24">
        <v>-20000</v>
      </c>
      <c r="I35" s="24"/>
      <c r="J35" s="174">
        <v>-2600</v>
      </c>
    </row>
    <row r="36" spans="1:10">
      <c r="A36" s="173">
        <v>42839</v>
      </c>
      <c r="B36" s="1"/>
      <c r="C36" s="24"/>
      <c r="D36" s="24"/>
      <c r="E36" s="24"/>
      <c r="F36" s="1">
        <v>42839</v>
      </c>
      <c r="G36" s="1">
        <v>42716</v>
      </c>
      <c r="H36" s="24">
        <v>-10000</v>
      </c>
      <c r="I36" s="24"/>
      <c r="J36" s="174">
        <v>-1300</v>
      </c>
    </row>
    <row r="37" spans="1:10">
      <c r="A37" s="173">
        <v>42839</v>
      </c>
      <c r="B37" s="1"/>
      <c r="C37" s="24"/>
      <c r="D37" s="24"/>
      <c r="E37" s="24"/>
      <c r="F37" s="1">
        <v>42839</v>
      </c>
      <c r="G37" s="1">
        <v>42832</v>
      </c>
      <c r="H37" s="24">
        <v>-164000</v>
      </c>
      <c r="I37" s="24"/>
      <c r="J37" s="174">
        <v>-21320</v>
      </c>
    </row>
    <row r="38" spans="1:10">
      <c r="A38" s="173">
        <v>42846</v>
      </c>
      <c r="B38" s="1">
        <v>42847</v>
      </c>
      <c r="C38" s="24">
        <v>6324114.5999999996</v>
      </c>
      <c r="D38" s="24"/>
      <c r="E38" s="24">
        <v>822138</v>
      </c>
      <c r="F38" s="1">
        <v>42846</v>
      </c>
      <c r="G38" s="1">
        <v>42832</v>
      </c>
      <c r="H38" s="24">
        <v>-109000</v>
      </c>
      <c r="I38" s="24"/>
      <c r="J38" s="174">
        <v>-14170</v>
      </c>
    </row>
    <row r="39" spans="1:10">
      <c r="A39" s="173">
        <v>42846</v>
      </c>
      <c r="B39" s="1"/>
      <c r="C39" s="24"/>
      <c r="D39" s="24"/>
      <c r="E39" s="24"/>
      <c r="F39" s="1">
        <v>42846</v>
      </c>
      <c r="G39" s="1">
        <v>42839</v>
      </c>
      <c r="H39" s="24">
        <v>-55500</v>
      </c>
      <c r="I39" s="24"/>
      <c r="J39" s="174">
        <v>-7215</v>
      </c>
    </row>
    <row r="40" spans="1:10">
      <c r="A40" s="173">
        <v>42850</v>
      </c>
      <c r="B40" s="1">
        <v>42851</v>
      </c>
      <c r="C40" s="24">
        <v>10239982.59</v>
      </c>
      <c r="D40" s="24">
        <v>15300</v>
      </c>
      <c r="E40" s="24">
        <v>1330199</v>
      </c>
      <c r="F40" s="1">
        <v>42850</v>
      </c>
      <c r="G40" s="1"/>
      <c r="H40" s="24"/>
      <c r="I40" s="24"/>
      <c r="J40" s="174"/>
    </row>
    <row r="41" spans="1:10">
      <c r="A41" s="173">
        <v>42853</v>
      </c>
      <c r="B41" s="1">
        <v>42854</v>
      </c>
      <c r="C41" s="24">
        <v>820776.25</v>
      </c>
      <c r="D41" s="24"/>
      <c r="E41" s="24">
        <v>106701</v>
      </c>
      <c r="F41" s="1">
        <v>42853</v>
      </c>
      <c r="G41" s="1">
        <v>42461</v>
      </c>
      <c r="H41" s="24">
        <v>-65000</v>
      </c>
      <c r="I41" s="24"/>
      <c r="J41" s="174">
        <v>-8450</v>
      </c>
    </row>
    <row r="42" spans="1:10">
      <c r="A42" s="173">
        <v>42855</v>
      </c>
      <c r="B42" s="1"/>
      <c r="C42" s="24">
        <v>0</v>
      </c>
      <c r="D42" s="24"/>
      <c r="E42" s="24">
        <v>0</v>
      </c>
      <c r="F42" s="1">
        <v>42855</v>
      </c>
      <c r="G42" s="1">
        <v>42745</v>
      </c>
      <c r="H42" s="24">
        <v>-11450.4</v>
      </c>
      <c r="I42" s="24"/>
      <c r="J42" s="174">
        <v>-1489</v>
      </c>
    </row>
    <row r="43" spans="1:10">
      <c r="A43" s="173">
        <v>42855</v>
      </c>
      <c r="B43" s="1"/>
      <c r="C43" s="24"/>
      <c r="D43" s="24"/>
      <c r="E43" s="24"/>
      <c r="F43" s="1">
        <v>42855</v>
      </c>
      <c r="G43" s="1">
        <v>42776</v>
      </c>
      <c r="H43" s="24">
        <v>-7016.89</v>
      </c>
      <c r="I43" s="24"/>
      <c r="J43" s="174">
        <v>-911</v>
      </c>
    </row>
    <row r="44" spans="1:10">
      <c r="A44" s="173">
        <v>42855</v>
      </c>
      <c r="B44" s="1"/>
      <c r="C44" s="24"/>
      <c r="D44" s="24"/>
      <c r="E44" s="24"/>
      <c r="F44" s="1">
        <v>42855</v>
      </c>
      <c r="G44" s="1">
        <v>42804</v>
      </c>
      <c r="H44" s="24">
        <v>-18717.7</v>
      </c>
      <c r="I44" s="24"/>
      <c r="J44" s="174">
        <v>-2433</v>
      </c>
    </row>
    <row r="45" spans="1:10">
      <c r="A45" s="173">
        <v>42855</v>
      </c>
      <c r="B45" s="1"/>
      <c r="C45" s="24"/>
      <c r="D45" s="24"/>
      <c r="E45" s="24"/>
      <c r="F45" s="1">
        <v>42855</v>
      </c>
      <c r="G45" s="1">
        <v>42835</v>
      </c>
      <c r="H45" s="24">
        <v>-12644.45</v>
      </c>
      <c r="I45" s="24"/>
      <c r="J45" s="174">
        <v>-1643</v>
      </c>
    </row>
    <row r="46" spans="1:10">
      <c r="A46" s="173">
        <v>42857</v>
      </c>
      <c r="B46" s="1">
        <v>42858</v>
      </c>
      <c r="C46" s="24">
        <v>27403809.07</v>
      </c>
      <c r="D46" s="24">
        <v>170600</v>
      </c>
      <c r="E46" s="24">
        <v>3546044</v>
      </c>
      <c r="F46" s="1">
        <v>42857</v>
      </c>
      <c r="G46" s="1"/>
      <c r="H46" s="24"/>
      <c r="I46" s="24"/>
      <c r="J46" s="174"/>
    </row>
    <row r="47" spans="1:10">
      <c r="A47" s="173">
        <v>42858</v>
      </c>
      <c r="B47" s="1">
        <v>42859</v>
      </c>
      <c r="C47" s="24">
        <v>325387797.25999999</v>
      </c>
      <c r="D47" s="24">
        <v>2346800</v>
      </c>
      <c r="E47" s="24">
        <v>42059172</v>
      </c>
      <c r="F47" s="1">
        <v>42858</v>
      </c>
      <c r="G47" s="1">
        <v>42735</v>
      </c>
      <c r="H47" s="24">
        <v>0</v>
      </c>
      <c r="I47" s="24">
        <v>0</v>
      </c>
      <c r="J47" s="174">
        <v>-2184</v>
      </c>
    </row>
    <row r="48" spans="1:10">
      <c r="A48" s="173">
        <v>42859</v>
      </c>
      <c r="B48" s="1">
        <v>42860</v>
      </c>
      <c r="C48" s="24">
        <v>952756992.61000001</v>
      </c>
      <c r="D48" s="24">
        <v>4381400</v>
      </c>
      <c r="E48" s="24">
        <v>123729554</v>
      </c>
      <c r="F48" s="1">
        <v>42859</v>
      </c>
      <c r="G48" s="1"/>
      <c r="H48" s="24"/>
      <c r="I48" s="24"/>
      <c r="J48" s="174"/>
    </row>
    <row r="49" spans="1:10">
      <c r="A49" s="173">
        <v>42865</v>
      </c>
      <c r="B49" s="1">
        <v>42866</v>
      </c>
      <c r="C49" s="24">
        <v>11206283.720000001</v>
      </c>
      <c r="D49" s="24"/>
      <c r="E49" s="24">
        <v>1469217</v>
      </c>
      <c r="F49" s="1">
        <v>42865</v>
      </c>
      <c r="G49" s="1"/>
      <c r="H49" s="24"/>
      <c r="I49" s="24"/>
      <c r="J49" s="174"/>
    </row>
    <row r="50" spans="1:10">
      <c r="A50" s="173">
        <v>42874</v>
      </c>
      <c r="B50" s="1">
        <v>42875</v>
      </c>
      <c r="C50" s="24">
        <v>6141243.1699999999</v>
      </c>
      <c r="D50" s="24"/>
      <c r="E50" s="24">
        <v>798364</v>
      </c>
      <c r="F50" s="1">
        <v>42874</v>
      </c>
      <c r="G50" s="1"/>
      <c r="H50" s="24"/>
      <c r="I50" s="24"/>
      <c r="J50" s="174"/>
    </row>
    <row r="51" spans="1:10">
      <c r="A51" s="173">
        <v>42880</v>
      </c>
      <c r="B51" s="1">
        <v>42881</v>
      </c>
      <c r="C51" s="24">
        <v>11707334.43</v>
      </c>
      <c r="D51" s="24">
        <v>1400</v>
      </c>
      <c r="E51" s="24">
        <v>1522917</v>
      </c>
      <c r="F51" s="1">
        <v>42880</v>
      </c>
      <c r="G51" s="1"/>
      <c r="H51" s="24"/>
      <c r="I51" s="24"/>
      <c r="J51" s="174"/>
    </row>
    <row r="52" spans="1:10">
      <c r="A52" s="173">
        <v>42881</v>
      </c>
      <c r="B52" s="1">
        <v>42882</v>
      </c>
      <c r="C52" s="24">
        <v>2352052.9300000002</v>
      </c>
      <c r="D52" s="24"/>
      <c r="E52" s="24">
        <v>305766</v>
      </c>
      <c r="F52" s="1">
        <v>42881</v>
      </c>
      <c r="G52" s="1">
        <v>42839</v>
      </c>
      <c r="H52" s="24">
        <v>-52500</v>
      </c>
      <c r="I52" s="24"/>
      <c r="J52" s="174">
        <v>-6825</v>
      </c>
    </row>
    <row r="53" spans="1:10">
      <c r="A53" s="173">
        <v>42881</v>
      </c>
      <c r="B53" s="1"/>
      <c r="C53" s="24"/>
      <c r="D53" s="24"/>
      <c r="E53" s="24"/>
      <c r="F53" s="1">
        <v>42881</v>
      </c>
      <c r="G53" s="1">
        <v>42865</v>
      </c>
      <c r="H53" s="24">
        <v>-40000</v>
      </c>
      <c r="I53" s="24"/>
      <c r="J53" s="174">
        <v>-5200</v>
      </c>
    </row>
    <row r="54" spans="1:10">
      <c r="A54" s="173">
        <v>42886</v>
      </c>
      <c r="B54" s="1"/>
      <c r="C54" s="24"/>
      <c r="D54" s="24"/>
      <c r="E54" s="24"/>
      <c r="F54" s="1">
        <v>42886</v>
      </c>
      <c r="G54" s="1">
        <v>42745</v>
      </c>
      <c r="H54" s="24">
        <v>-20227.080000000002</v>
      </c>
      <c r="I54" s="24"/>
      <c r="J54" s="174">
        <v>-2630</v>
      </c>
    </row>
    <row r="55" spans="1:10">
      <c r="A55" s="173">
        <v>42886</v>
      </c>
      <c r="B55" s="1"/>
      <c r="C55" s="24"/>
      <c r="D55" s="24"/>
      <c r="E55" s="24"/>
      <c r="F55" s="1">
        <v>42886</v>
      </c>
      <c r="G55" s="1">
        <v>42776</v>
      </c>
      <c r="H55" s="24">
        <v>-20227.080000000002</v>
      </c>
      <c r="I55" s="24"/>
      <c r="J55" s="174">
        <v>-2629</v>
      </c>
    </row>
    <row r="56" spans="1:10">
      <c r="A56" s="173">
        <v>42886</v>
      </c>
      <c r="B56" s="1"/>
      <c r="C56" s="24"/>
      <c r="D56" s="24"/>
      <c r="E56" s="24"/>
      <c r="F56" s="1">
        <v>42886</v>
      </c>
      <c r="G56" s="1">
        <v>42804</v>
      </c>
      <c r="H56" s="24">
        <v>-25661.29</v>
      </c>
      <c r="I56" s="24"/>
      <c r="J56" s="174">
        <v>-3336</v>
      </c>
    </row>
    <row r="57" spans="1:10">
      <c r="A57" s="173">
        <v>42886</v>
      </c>
      <c r="B57" s="1"/>
      <c r="C57" s="24"/>
      <c r="D57" s="24"/>
      <c r="E57" s="24"/>
      <c r="F57" s="1">
        <v>42886</v>
      </c>
      <c r="G57" s="1">
        <v>42835</v>
      </c>
      <c r="H57" s="24">
        <v>-53496.91</v>
      </c>
      <c r="I57" s="24">
        <v>-500</v>
      </c>
      <c r="J57" s="174">
        <v>-6889</v>
      </c>
    </row>
    <row r="58" spans="1:10">
      <c r="A58" s="173">
        <v>42886</v>
      </c>
      <c r="B58" s="1"/>
      <c r="C58" s="24"/>
      <c r="D58" s="24"/>
      <c r="E58" s="24"/>
      <c r="F58" s="1">
        <v>42886</v>
      </c>
      <c r="G58" s="1">
        <v>42858</v>
      </c>
      <c r="H58" s="24">
        <v>-5440.1</v>
      </c>
      <c r="I58" s="24"/>
      <c r="J58" s="174">
        <v>-707</v>
      </c>
    </row>
    <row r="59" spans="1:10">
      <c r="A59" s="173">
        <v>42886</v>
      </c>
      <c r="B59" s="1"/>
      <c r="C59" s="24"/>
      <c r="D59" s="24"/>
      <c r="E59" s="24"/>
      <c r="F59" s="1">
        <v>42886</v>
      </c>
      <c r="G59" s="1">
        <v>42859</v>
      </c>
      <c r="H59" s="24">
        <v>-14887.7</v>
      </c>
      <c r="I59" s="24"/>
      <c r="J59" s="174">
        <v>-1935</v>
      </c>
    </row>
    <row r="60" spans="1:10">
      <c r="A60" s="173">
        <v>42888</v>
      </c>
      <c r="B60" s="1">
        <v>42889</v>
      </c>
      <c r="C60" s="24">
        <v>6281071.54</v>
      </c>
      <c r="D60" s="24"/>
      <c r="E60" s="24">
        <v>820805</v>
      </c>
      <c r="F60" s="1">
        <v>42888</v>
      </c>
      <c r="G60" s="1">
        <v>42580</v>
      </c>
      <c r="H60" s="24">
        <v>-6000</v>
      </c>
      <c r="I60" s="24"/>
      <c r="J60" s="174">
        <v>-780</v>
      </c>
    </row>
    <row r="61" spans="1:10">
      <c r="A61" s="173">
        <v>42888</v>
      </c>
      <c r="B61" s="1"/>
      <c r="C61" s="24"/>
      <c r="D61" s="24"/>
      <c r="E61" s="24"/>
      <c r="F61" s="1">
        <v>42888</v>
      </c>
      <c r="G61" s="1">
        <v>42636</v>
      </c>
      <c r="H61" s="24">
        <v>-259000</v>
      </c>
      <c r="I61" s="24"/>
      <c r="J61" s="174">
        <v>-33670</v>
      </c>
    </row>
    <row r="62" spans="1:10">
      <c r="A62" s="173">
        <v>42895</v>
      </c>
      <c r="B62" s="1">
        <v>42896</v>
      </c>
      <c r="C62" s="24">
        <v>1331407821.3199999</v>
      </c>
      <c r="D62" s="24">
        <v>7034700</v>
      </c>
      <c r="E62" s="24">
        <v>172680366</v>
      </c>
      <c r="F62" s="1">
        <v>42895</v>
      </c>
      <c r="G62" s="1"/>
      <c r="H62" s="24"/>
      <c r="I62" s="24"/>
      <c r="J62" s="174"/>
    </row>
    <row r="63" spans="1:10">
      <c r="A63" s="173">
        <v>42899</v>
      </c>
      <c r="B63" s="1">
        <v>42900</v>
      </c>
      <c r="C63" s="24">
        <v>3650589.45</v>
      </c>
      <c r="D63" s="24"/>
      <c r="E63" s="24">
        <v>474576</v>
      </c>
      <c r="F63" s="1">
        <v>42899</v>
      </c>
      <c r="G63" s="1">
        <v>42636</v>
      </c>
      <c r="H63" s="24">
        <v>-445000</v>
      </c>
      <c r="I63" s="24"/>
      <c r="J63" s="174">
        <v>-57850</v>
      </c>
    </row>
    <row r="64" spans="1:10">
      <c r="A64" s="173">
        <v>42902</v>
      </c>
      <c r="B64" s="1">
        <v>42903</v>
      </c>
      <c r="C64" s="24">
        <v>32595233.170000002</v>
      </c>
      <c r="D64" s="24"/>
      <c r="E64" s="24">
        <v>4237379</v>
      </c>
      <c r="F64" s="1">
        <v>42902</v>
      </c>
      <c r="G64" s="1">
        <v>42517</v>
      </c>
      <c r="H64" s="24">
        <v>-53500</v>
      </c>
      <c r="I64" s="24"/>
      <c r="J64" s="174">
        <v>-6955</v>
      </c>
    </row>
    <row r="65" spans="1:10">
      <c r="A65" s="173">
        <v>42907</v>
      </c>
      <c r="B65" s="1">
        <v>42908</v>
      </c>
      <c r="C65" s="24">
        <v>2342966.84</v>
      </c>
      <c r="D65" s="24"/>
      <c r="E65" s="24">
        <v>304584</v>
      </c>
      <c r="F65" s="1">
        <v>42907</v>
      </c>
      <c r="G65" s="1">
        <v>42706</v>
      </c>
      <c r="H65" s="24">
        <v>-4000</v>
      </c>
      <c r="I65" s="24"/>
      <c r="J65" s="174">
        <v>-520</v>
      </c>
    </row>
    <row r="66" spans="1:10">
      <c r="A66" s="173">
        <v>42907</v>
      </c>
      <c r="B66" s="1"/>
      <c r="C66" s="24"/>
      <c r="D66" s="24"/>
      <c r="E66" s="24"/>
      <c r="F66" s="1">
        <v>42907</v>
      </c>
      <c r="G66" s="1">
        <v>42853</v>
      </c>
      <c r="H66" s="24">
        <v>-12000</v>
      </c>
      <c r="I66" s="24"/>
      <c r="J66" s="174">
        <v>-1560</v>
      </c>
    </row>
    <row r="67" spans="1:10">
      <c r="A67" s="173">
        <v>42912</v>
      </c>
      <c r="B67" s="1">
        <v>42913</v>
      </c>
      <c r="C67" s="24">
        <v>15134289.43</v>
      </c>
      <c r="D67" s="24">
        <v>3000</v>
      </c>
      <c r="E67" s="24">
        <v>1967099</v>
      </c>
      <c r="F67" s="1">
        <v>42912</v>
      </c>
      <c r="G67" s="1"/>
      <c r="H67" s="24"/>
      <c r="I67" s="24"/>
      <c r="J67" s="174"/>
    </row>
    <row r="68" spans="1:10">
      <c r="A68" s="173">
        <v>42916</v>
      </c>
      <c r="B68" s="1">
        <v>42917</v>
      </c>
      <c r="C68" s="24">
        <v>5108827.5199999996</v>
      </c>
      <c r="D68" s="24"/>
      <c r="E68" s="24">
        <v>679266</v>
      </c>
      <c r="F68" s="1">
        <v>42916</v>
      </c>
      <c r="G68" s="1">
        <v>42745</v>
      </c>
      <c r="H68" s="24">
        <v>-15226.8</v>
      </c>
      <c r="I68" s="24"/>
      <c r="J68" s="174">
        <v>-1980</v>
      </c>
    </row>
    <row r="69" spans="1:10">
      <c r="A69" s="173">
        <v>42916</v>
      </c>
      <c r="B69" s="1"/>
      <c r="C69" s="24"/>
      <c r="D69" s="24"/>
      <c r="E69" s="24"/>
      <c r="F69" s="1">
        <v>42916</v>
      </c>
      <c r="G69" s="1">
        <v>42776</v>
      </c>
      <c r="H69" s="24">
        <v>-5931.8</v>
      </c>
      <c r="I69" s="24"/>
      <c r="J69" s="174">
        <v>-771</v>
      </c>
    </row>
    <row r="70" spans="1:10">
      <c r="A70" s="173">
        <v>42916</v>
      </c>
      <c r="B70" s="1"/>
      <c r="C70" s="24"/>
      <c r="D70" s="24"/>
      <c r="E70" s="24"/>
      <c r="F70" s="1">
        <v>42916</v>
      </c>
      <c r="G70" s="1">
        <v>42804</v>
      </c>
      <c r="H70" s="24">
        <v>-12510.42</v>
      </c>
      <c r="I70" s="24"/>
      <c r="J70" s="174">
        <v>-1627</v>
      </c>
    </row>
    <row r="71" spans="1:10">
      <c r="A71" s="173">
        <v>42916</v>
      </c>
      <c r="B71" s="1"/>
      <c r="C71" s="24"/>
      <c r="D71" s="24"/>
      <c r="E71" s="24"/>
      <c r="F71" s="1">
        <v>42916</v>
      </c>
      <c r="G71" s="1">
        <v>42835</v>
      </c>
      <c r="H71" s="24">
        <v>-25224.799999999999</v>
      </c>
      <c r="I71" s="24">
        <v>-500</v>
      </c>
      <c r="J71" s="174">
        <v>-3216</v>
      </c>
    </row>
    <row r="72" spans="1:10">
      <c r="A72" s="173">
        <v>42916</v>
      </c>
      <c r="B72" s="1"/>
      <c r="C72" s="24"/>
      <c r="D72" s="24"/>
      <c r="E72" s="24"/>
      <c r="F72" s="1">
        <v>42916</v>
      </c>
      <c r="G72" s="1">
        <v>42839</v>
      </c>
      <c r="H72" s="24">
        <v>-252000</v>
      </c>
      <c r="I72" s="24"/>
      <c r="J72" s="174">
        <v>-32760</v>
      </c>
    </row>
    <row r="73" spans="1:10">
      <c r="A73" s="173">
        <v>42916</v>
      </c>
      <c r="B73" s="1"/>
      <c r="C73" s="24"/>
      <c r="D73" s="24"/>
      <c r="E73" s="24"/>
      <c r="F73" s="1">
        <v>42916</v>
      </c>
      <c r="G73" s="1">
        <v>42858</v>
      </c>
      <c r="H73" s="24">
        <v>-9381</v>
      </c>
      <c r="I73" s="24"/>
      <c r="J73" s="174">
        <v>-1220</v>
      </c>
    </row>
    <row r="74" spans="1:10">
      <c r="A74" s="173">
        <v>42916</v>
      </c>
      <c r="B74" s="1"/>
      <c r="C74" s="24"/>
      <c r="D74" s="24"/>
      <c r="E74" s="24"/>
      <c r="F74" s="1">
        <v>42916</v>
      </c>
      <c r="G74" s="1">
        <v>42859</v>
      </c>
      <c r="H74" s="24">
        <v>-14359.21</v>
      </c>
      <c r="I74" s="24">
        <v>-500</v>
      </c>
      <c r="J74" s="174">
        <v>-1802</v>
      </c>
    </row>
    <row r="75" spans="1:10">
      <c r="A75" s="173">
        <v>42916</v>
      </c>
      <c r="B75" s="1"/>
      <c r="C75" s="24"/>
      <c r="D75" s="24"/>
      <c r="E75" s="24"/>
      <c r="F75" s="1">
        <v>42916</v>
      </c>
      <c r="G75" s="1">
        <v>42895</v>
      </c>
      <c r="H75" s="24">
        <v>-8631.41</v>
      </c>
      <c r="I75" s="24">
        <v>-500</v>
      </c>
      <c r="J75" s="174">
        <v>-1057</v>
      </c>
    </row>
    <row r="76" spans="1:10">
      <c r="A76" s="173">
        <v>42916</v>
      </c>
      <c r="B76" s="1"/>
      <c r="C76" s="24"/>
      <c r="D76" s="24"/>
      <c r="E76" s="24"/>
      <c r="F76" s="1">
        <v>42916</v>
      </c>
      <c r="G76" s="1">
        <v>42907</v>
      </c>
      <c r="H76" s="24">
        <v>-22000</v>
      </c>
      <c r="I76" s="24"/>
      <c r="J76" s="174">
        <v>-2860</v>
      </c>
    </row>
    <row r="77" spans="1:10">
      <c r="A77" s="173">
        <v>42923</v>
      </c>
      <c r="B77" s="1">
        <v>42924</v>
      </c>
      <c r="C77" s="24">
        <v>2752796.08</v>
      </c>
      <c r="D77" s="24"/>
      <c r="E77" s="24">
        <v>357866</v>
      </c>
      <c r="F77" s="1">
        <v>42923</v>
      </c>
      <c r="G77" s="1">
        <v>42832</v>
      </c>
      <c r="H77" s="24">
        <v>-47500</v>
      </c>
      <c r="I77" s="24"/>
      <c r="J77" s="174">
        <v>-6175</v>
      </c>
    </row>
    <row r="78" spans="1:10">
      <c r="A78" s="173">
        <v>42923</v>
      </c>
      <c r="B78" s="1"/>
      <c r="C78" s="24"/>
      <c r="D78" s="24"/>
      <c r="E78" s="24"/>
      <c r="F78" s="1">
        <v>42923</v>
      </c>
      <c r="G78" s="1">
        <v>42853</v>
      </c>
      <c r="H78" s="24">
        <v>-61000</v>
      </c>
      <c r="I78" s="24"/>
      <c r="J78" s="174">
        <v>-7930</v>
      </c>
    </row>
    <row r="79" spans="1:10">
      <c r="A79" s="173">
        <v>42923</v>
      </c>
      <c r="B79" s="1"/>
      <c r="C79" s="24"/>
      <c r="D79" s="24"/>
      <c r="E79" s="24"/>
      <c r="F79" s="1">
        <v>42923</v>
      </c>
      <c r="G79" s="1">
        <v>42865</v>
      </c>
      <c r="H79" s="24">
        <v>-190000</v>
      </c>
      <c r="I79" s="24"/>
      <c r="J79" s="174">
        <v>-24700</v>
      </c>
    </row>
    <row r="80" spans="1:10">
      <c r="A80" s="173">
        <v>42926</v>
      </c>
      <c r="B80" s="1">
        <v>42927</v>
      </c>
      <c r="C80" s="24">
        <v>1021865761.8</v>
      </c>
      <c r="D80" s="24">
        <v>4435400</v>
      </c>
      <c r="E80" s="24">
        <v>132715833</v>
      </c>
      <c r="F80" s="1">
        <v>42926</v>
      </c>
      <c r="G80" s="1"/>
      <c r="H80" s="24"/>
      <c r="I80" s="24"/>
      <c r="J80" s="174"/>
    </row>
    <row r="81" spans="1:10">
      <c r="A81" s="173">
        <v>42927</v>
      </c>
      <c r="B81" s="1">
        <v>42928</v>
      </c>
      <c r="C81" s="24">
        <v>330538392.24000001</v>
      </c>
      <c r="D81" s="24">
        <v>2301100</v>
      </c>
      <c r="E81" s="24">
        <v>42736251</v>
      </c>
      <c r="F81" s="1">
        <v>42927</v>
      </c>
      <c r="G81" s="1"/>
      <c r="H81" s="24"/>
      <c r="I81" s="24"/>
      <c r="J81" s="174"/>
    </row>
    <row r="82" spans="1:10">
      <c r="A82" s="173">
        <v>42928</v>
      </c>
      <c r="B82" s="1">
        <v>42929</v>
      </c>
      <c r="C82" s="24">
        <v>2668642.09</v>
      </c>
      <c r="D82" s="24"/>
      <c r="E82" s="24">
        <v>346922</v>
      </c>
      <c r="F82" s="1">
        <v>42928</v>
      </c>
      <c r="G82" s="1"/>
      <c r="H82" s="24"/>
      <c r="I82" s="24"/>
      <c r="J82" s="174"/>
    </row>
    <row r="83" spans="1:10">
      <c r="A83" s="173">
        <v>42930</v>
      </c>
      <c r="B83" s="1">
        <v>42931</v>
      </c>
      <c r="C83" s="24">
        <v>11719916.380000001</v>
      </c>
      <c r="D83" s="24"/>
      <c r="E83" s="24">
        <v>1537617</v>
      </c>
      <c r="F83" s="1">
        <v>42930</v>
      </c>
      <c r="G83" s="1">
        <v>42832</v>
      </c>
      <c r="H83" s="24">
        <v>-185000</v>
      </c>
      <c r="I83" s="24"/>
      <c r="J83" s="174">
        <v>-24050</v>
      </c>
    </row>
    <row r="84" spans="1:10">
      <c r="A84" s="173">
        <v>42930</v>
      </c>
      <c r="B84" s="1"/>
      <c r="C84" s="24"/>
      <c r="D84" s="24"/>
      <c r="E84" s="24"/>
      <c r="F84" s="1">
        <v>42930</v>
      </c>
      <c r="G84" s="1">
        <v>42865</v>
      </c>
      <c r="H84" s="24">
        <v>-12000</v>
      </c>
      <c r="I84" s="24"/>
      <c r="J84" s="174">
        <v>-1560</v>
      </c>
    </row>
    <row r="85" spans="1:10">
      <c r="A85" s="173">
        <v>42930</v>
      </c>
      <c r="B85" s="1"/>
      <c r="C85" s="24"/>
      <c r="D85" s="24"/>
      <c r="E85" s="24"/>
      <c r="F85" s="1">
        <v>42930</v>
      </c>
      <c r="G85" s="1">
        <v>42916</v>
      </c>
      <c r="H85" s="24">
        <v>-57600</v>
      </c>
      <c r="I85" s="24"/>
      <c r="J85" s="174">
        <v>-7488</v>
      </c>
    </row>
    <row r="86" spans="1:10">
      <c r="A86" s="173">
        <v>42937</v>
      </c>
      <c r="B86" s="1">
        <v>42938</v>
      </c>
      <c r="C86" s="24">
        <v>8031549.0300000003</v>
      </c>
      <c r="D86" s="24"/>
      <c r="E86" s="24">
        <v>1044105</v>
      </c>
      <c r="F86" s="1">
        <v>42937</v>
      </c>
      <c r="G86" s="1">
        <v>42874</v>
      </c>
      <c r="H86" s="24">
        <v>-41000</v>
      </c>
      <c r="I86" s="24"/>
      <c r="J86" s="174">
        <v>-5330</v>
      </c>
    </row>
    <row r="87" spans="1:10">
      <c r="A87" s="173">
        <v>42937</v>
      </c>
      <c r="B87" s="1"/>
      <c r="C87" s="24"/>
      <c r="D87" s="24"/>
      <c r="E87" s="24"/>
      <c r="F87" s="1">
        <v>42937</v>
      </c>
      <c r="G87" s="1">
        <v>42916</v>
      </c>
      <c r="H87" s="24">
        <v>-85500</v>
      </c>
      <c r="I87" s="24"/>
      <c r="J87" s="174">
        <v>-11115</v>
      </c>
    </row>
    <row r="88" spans="1:10">
      <c r="A88" s="173">
        <v>42937</v>
      </c>
      <c r="B88" s="1"/>
      <c r="C88" s="24"/>
      <c r="D88" s="24"/>
      <c r="E88" s="24"/>
      <c r="F88" s="1">
        <v>42937</v>
      </c>
      <c r="G88" s="1">
        <v>42923</v>
      </c>
      <c r="H88" s="24">
        <v>-94000</v>
      </c>
      <c r="I88" s="24"/>
      <c r="J88" s="174">
        <v>-12220</v>
      </c>
    </row>
    <row r="89" spans="1:10">
      <c r="A89" s="173">
        <v>42937</v>
      </c>
      <c r="B89" s="1"/>
      <c r="C89" s="24"/>
      <c r="D89" s="24"/>
      <c r="E89" s="24"/>
      <c r="F89" s="1">
        <v>42937</v>
      </c>
      <c r="G89" s="1">
        <v>42930</v>
      </c>
      <c r="H89" s="24">
        <v>-151000</v>
      </c>
      <c r="I89" s="24"/>
      <c r="J89" s="174">
        <v>-19630</v>
      </c>
    </row>
    <row r="90" spans="1:10">
      <c r="A90" s="173">
        <v>42941</v>
      </c>
      <c r="B90" s="1">
        <v>42942</v>
      </c>
      <c r="C90" s="24">
        <v>12291661.35</v>
      </c>
      <c r="D90" s="24">
        <v>5400</v>
      </c>
      <c r="E90" s="24">
        <v>1597225</v>
      </c>
      <c r="F90" s="1">
        <v>42941</v>
      </c>
      <c r="G90" s="1"/>
      <c r="H90" s="24"/>
      <c r="I90" s="24"/>
      <c r="J90" s="174"/>
    </row>
    <row r="91" spans="1:10">
      <c r="A91" s="173">
        <v>42947</v>
      </c>
      <c r="B91" s="1"/>
      <c r="C91" s="24">
        <v>0</v>
      </c>
      <c r="D91" s="24"/>
      <c r="E91" s="24">
        <v>0</v>
      </c>
      <c r="F91" s="1">
        <v>42947</v>
      </c>
      <c r="G91" s="1">
        <v>42745</v>
      </c>
      <c r="H91" s="24">
        <v>-10720.5</v>
      </c>
      <c r="I91" s="24"/>
      <c r="J91" s="174">
        <v>-1393</v>
      </c>
    </row>
    <row r="92" spans="1:10">
      <c r="A92" s="173">
        <v>42947</v>
      </c>
      <c r="B92" s="1"/>
      <c r="C92" s="24"/>
      <c r="D92" s="24"/>
      <c r="E92" s="24"/>
      <c r="F92" s="1">
        <v>42947</v>
      </c>
      <c r="G92" s="1">
        <v>42776</v>
      </c>
      <c r="H92" s="24">
        <v>-1784.7</v>
      </c>
      <c r="I92" s="24"/>
      <c r="J92" s="174">
        <v>-232</v>
      </c>
    </row>
    <row r="93" spans="1:10">
      <c r="A93" s="173">
        <v>42947</v>
      </c>
      <c r="B93" s="1"/>
      <c r="C93" s="24"/>
      <c r="D93" s="24"/>
      <c r="E93" s="24"/>
      <c r="F93" s="1">
        <v>42947</v>
      </c>
      <c r="G93" s="1">
        <v>42804</v>
      </c>
      <c r="H93" s="24">
        <v>-12285</v>
      </c>
      <c r="I93" s="24"/>
      <c r="J93" s="174">
        <v>-1597</v>
      </c>
    </row>
    <row r="94" spans="1:10">
      <c r="A94" s="173">
        <v>42947</v>
      </c>
      <c r="B94" s="1"/>
      <c r="C94" s="24"/>
      <c r="D94" s="24"/>
      <c r="E94" s="24"/>
      <c r="F94" s="1">
        <v>42947</v>
      </c>
      <c r="G94" s="1">
        <v>42835</v>
      </c>
      <c r="H94" s="24">
        <v>-9291.4</v>
      </c>
      <c r="I94" s="24"/>
      <c r="J94" s="174">
        <v>-1208</v>
      </c>
    </row>
    <row r="95" spans="1:10">
      <c r="A95" s="173">
        <v>42947</v>
      </c>
      <c r="B95" s="1"/>
      <c r="C95" s="24"/>
      <c r="D95" s="24"/>
      <c r="E95" s="24"/>
      <c r="F95" s="1">
        <v>42947</v>
      </c>
      <c r="G95" s="1">
        <v>42858</v>
      </c>
      <c r="H95" s="24">
        <v>-949.5</v>
      </c>
      <c r="I95" s="24"/>
      <c r="J95" s="174">
        <v>-123</v>
      </c>
    </row>
    <row r="96" spans="1:10">
      <c r="A96" s="173">
        <v>42947</v>
      </c>
      <c r="B96" s="1"/>
      <c r="C96" s="24"/>
      <c r="D96" s="24"/>
      <c r="E96" s="24"/>
      <c r="F96" s="1">
        <v>42947</v>
      </c>
      <c r="G96" s="1">
        <v>42895</v>
      </c>
      <c r="H96" s="24">
        <v>-10948.61</v>
      </c>
      <c r="I96" s="24">
        <v>-500</v>
      </c>
      <c r="J96" s="174">
        <v>-1357</v>
      </c>
    </row>
    <row r="97" spans="1:10">
      <c r="A97" s="173">
        <v>42947</v>
      </c>
      <c r="B97" s="1"/>
      <c r="C97" s="24"/>
      <c r="D97" s="24"/>
      <c r="E97" s="24"/>
      <c r="F97" s="1">
        <v>42947</v>
      </c>
      <c r="G97" s="1">
        <v>42926</v>
      </c>
      <c r="H97" s="24">
        <v>-10236</v>
      </c>
      <c r="I97" s="24"/>
      <c r="J97" s="174">
        <v>-1331</v>
      </c>
    </row>
    <row r="98" spans="1:10">
      <c r="A98" s="173">
        <v>42947</v>
      </c>
      <c r="B98" s="1"/>
      <c r="C98" s="24"/>
      <c r="D98" s="24"/>
      <c r="E98" s="24"/>
      <c r="F98" s="1">
        <v>42947</v>
      </c>
      <c r="G98" s="1">
        <v>42927</v>
      </c>
      <c r="H98" s="24">
        <v>-9346.74</v>
      </c>
      <c r="I98" s="24"/>
      <c r="J98" s="174">
        <v>-1216</v>
      </c>
    </row>
    <row r="99" spans="1:10">
      <c r="A99" s="173">
        <v>42957</v>
      </c>
      <c r="B99" s="1">
        <v>42958</v>
      </c>
      <c r="C99" s="24">
        <v>1352784121.5899999</v>
      </c>
      <c r="D99" s="24">
        <v>6876700</v>
      </c>
      <c r="E99" s="24">
        <v>175475647</v>
      </c>
      <c r="F99" s="1">
        <v>42957</v>
      </c>
      <c r="G99" s="1">
        <v>42004</v>
      </c>
      <c r="H99" s="24">
        <v>0</v>
      </c>
      <c r="I99" s="24">
        <v>0</v>
      </c>
      <c r="J99" s="174">
        <v>-9048</v>
      </c>
    </row>
    <row r="100" spans="1:10">
      <c r="A100" s="173">
        <v>42957</v>
      </c>
      <c r="B100" s="1"/>
      <c r="C100" s="24"/>
      <c r="D100" s="24"/>
      <c r="E100" s="24"/>
      <c r="F100" s="1">
        <v>42957</v>
      </c>
      <c r="G100" s="1">
        <v>42369</v>
      </c>
      <c r="H100" s="24">
        <v>0</v>
      </c>
      <c r="I100" s="24">
        <v>0</v>
      </c>
      <c r="J100" s="174">
        <v>-9048</v>
      </c>
    </row>
    <row r="101" spans="1:10">
      <c r="A101" s="173">
        <v>42957</v>
      </c>
      <c r="B101" s="1"/>
      <c r="C101" s="24"/>
      <c r="D101" s="24"/>
      <c r="E101" s="24"/>
      <c r="F101" s="1">
        <v>42957</v>
      </c>
      <c r="G101" s="1">
        <v>42735</v>
      </c>
      <c r="H101" s="24">
        <v>0</v>
      </c>
      <c r="I101" s="24">
        <v>0</v>
      </c>
      <c r="J101" s="174">
        <v>-11544</v>
      </c>
    </row>
    <row r="102" spans="1:10">
      <c r="A102" s="173">
        <v>42958</v>
      </c>
      <c r="B102" s="1">
        <v>42959</v>
      </c>
      <c r="C102" s="24">
        <v>6332677.25</v>
      </c>
      <c r="D102" s="24"/>
      <c r="E102" s="24">
        <v>823248</v>
      </c>
      <c r="F102" s="1">
        <v>42958</v>
      </c>
      <c r="G102" s="1">
        <v>42874</v>
      </c>
      <c r="H102" s="24">
        <v>-99000</v>
      </c>
      <c r="I102" s="24"/>
      <c r="J102" s="174">
        <v>-12870</v>
      </c>
    </row>
    <row r="103" spans="1:10">
      <c r="A103" s="173">
        <v>42958</v>
      </c>
      <c r="B103" s="1"/>
      <c r="C103" s="24"/>
      <c r="D103" s="24"/>
      <c r="E103" s="24"/>
      <c r="F103" s="1">
        <v>42958</v>
      </c>
      <c r="G103" s="1">
        <v>42902</v>
      </c>
      <c r="H103" s="24">
        <v>-52000</v>
      </c>
      <c r="I103" s="24"/>
      <c r="J103" s="174">
        <v>-6760</v>
      </c>
    </row>
    <row r="104" spans="1:10">
      <c r="A104" s="173">
        <v>42958</v>
      </c>
      <c r="B104" s="1"/>
      <c r="C104" s="24"/>
      <c r="D104" s="24"/>
      <c r="E104" s="24"/>
      <c r="F104" s="1">
        <v>42958</v>
      </c>
      <c r="G104" s="1">
        <v>42907</v>
      </c>
      <c r="H104" s="24">
        <v>-207000</v>
      </c>
      <c r="I104" s="24"/>
      <c r="J104" s="174">
        <v>-26910</v>
      </c>
    </row>
    <row r="105" spans="1:10">
      <c r="A105" s="173">
        <v>42958</v>
      </c>
      <c r="B105" s="1"/>
      <c r="C105" s="24"/>
      <c r="D105" s="24"/>
      <c r="E105" s="24"/>
      <c r="F105" s="1">
        <v>42958</v>
      </c>
      <c r="G105" s="1">
        <v>42930</v>
      </c>
      <c r="H105" s="24">
        <v>-177500</v>
      </c>
      <c r="I105" s="24"/>
      <c r="J105" s="174">
        <v>-23075</v>
      </c>
    </row>
    <row r="106" spans="1:10">
      <c r="A106" s="173">
        <v>42958</v>
      </c>
      <c r="B106" s="1"/>
      <c r="C106" s="24"/>
      <c r="D106" s="24"/>
      <c r="E106" s="24"/>
      <c r="F106" s="1">
        <v>42958</v>
      </c>
      <c r="G106" s="1">
        <v>42937</v>
      </c>
      <c r="H106" s="24">
        <v>-428500</v>
      </c>
      <c r="I106" s="24"/>
      <c r="J106" s="174">
        <v>-55705</v>
      </c>
    </row>
    <row r="107" spans="1:10">
      <c r="A107" s="173">
        <v>42965</v>
      </c>
      <c r="B107" s="1">
        <v>42966</v>
      </c>
      <c r="C107" s="24">
        <v>3896030.71</v>
      </c>
      <c r="D107" s="24"/>
      <c r="E107" s="24">
        <v>506483</v>
      </c>
      <c r="F107" s="1">
        <v>42965</v>
      </c>
      <c r="G107" s="1">
        <v>42916</v>
      </c>
      <c r="H107" s="24">
        <v>-49000</v>
      </c>
      <c r="I107" s="24"/>
      <c r="J107" s="174">
        <v>-6370</v>
      </c>
    </row>
    <row r="108" spans="1:10">
      <c r="A108" s="173">
        <v>42965</v>
      </c>
      <c r="B108" s="1"/>
      <c r="C108" s="24"/>
      <c r="D108" s="24"/>
      <c r="E108" s="24"/>
      <c r="F108" s="1">
        <v>42965</v>
      </c>
      <c r="G108" s="1">
        <v>42958</v>
      </c>
      <c r="H108" s="24">
        <v>-36500</v>
      </c>
      <c r="I108" s="24"/>
      <c r="J108" s="174">
        <v>-4745</v>
      </c>
    </row>
    <row r="109" spans="1:10">
      <c r="A109" s="173">
        <v>42972</v>
      </c>
      <c r="B109" s="1">
        <v>42973</v>
      </c>
      <c r="C109" s="24">
        <v>6453715.3300000001</v>
      </c>
      <c r="D109" s="24">
        <v>40200</v>
      </c>
      <c r="E109" s="24">
        <v>836811</v>
      </c>
      <c r="F109" s="1">
        <v>42972</v>
      </c>
      <c r="G109" s="1"/>
      <c r="H109" s="24"/>
      <c r="I109" s="24"/>
      <c r="J109" s="174"/>
    </row>
    <row r="110" spans="1:10">
      <c r="A110" s="173">
        <v>42975</v>
      </c>
      <c r="B110" s="1">
        <v>42976</v>
      </c>
      <c r="C110" s="24">
        <v>11495682.92</v>
      </c>
      <c r="D110" s="24"/>
      <c r="E110" s="24">
        <v>1494440</v>
      </c>
      <c r="F110" s="1">
        <v>42975</v>
      </c>
      <c r="G110" s="1">
        <v>42930</v>
      </c>
      <c r="H110" s="24">
        <v>-188000</v>
      </c>
      <c r="I110" s="24"/>
      <c r="J110" s="174">
        <v>-24440</v>
      </c>
    </row>
    <row r="111" spans="1:10">
      <c r="A111" s="173">
        <v>42975</v>
      </c>
      <c r="B111" s="1"/>
      <c r="C111" s="24"/>
      <c r="D111" s="24"/>
      <c r="E111" s="24"/>
      <c r="F111" s="1">
        <v>42975</v>
      </c>
      <c r="G111" s="1">
        <v>42937</v>
      </c>
      <c r="H111" s="24">
        <v>-73500</v>
      </c>
      <c r="I111" s="24"/>
      <c r="J111" s="174">
        <v>-9555</v>
      </c>
    </row>
    <row r="112" spans="1:10">
      <c r="A112" s="173">
        <v>42978</v>
      </c>
      <c r="B112" s="1"/>
      <c r="C112" s="24">
        <v>0</v>
      </c>
      <c r="D112" s="24"/>
      <c r="E112" s="24">
        <v>0</v>
      </c>
      <c r="F112" s="1">
        <v>42978</v>
      </c>
      <c r="G112" s="1">
        <v>42895</v>
      </c>
      <c r="H112" s="24">
        <v>-6493.07</v>
      </c>
      <c r="I112" s="24"/>
      <c r="J112" s="174">
        <v>-844</v>
      </c>
    </row>
    <row r="113" spans="1:10">
      <c r="A113" s="173">
        <v>42978</v>
      </c>
      <c r="B113" s="1"/>
      <c r="C113" s="24"/>
      <c r="D113" s="24"/>
      <c r="E113" s="24"/>
      <c r="F113" s="1">
        <v>42978</v>
      </c>
      <c r="G113" s="1">
        <v>42927</v>
      </c>
      <c r="H113" s="24">
        <v>-11880.9</v>
      </c>
      <c r="I113" s="24"/>
      <c r="J113" s="174">
        <v>-1544</v>
      </c>
    </row>
    <row r="114" spans="1:10">
      <c r="A114" s="12">
        <v>42978</v>
      </c>
      <c r="B114" s="13"/>
      <c r="C114" s="16"/>
      <c r="D114" s="16"/>
      <c r="E114" s="16"/>
      <c r="F114" s="13">
        <v>42978</v>
      </c>
      <c r="G114" s="13">
        <v>42957</v>
      </c>
      <c r="H114" s="16">
        <v>-5896.6</v>
      </c>
      <c r="I114" s="16"/>
      <c r="J114" s="17">
        <v>-766</v>
      </c>
    </row>
  </sheetData>
  <mergeCells count="3">
    <mergeCell ref="A1:J1"/>
    <mergeCell ref="A2:E2"/>
    <mergeCell ref="F2:J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7"/>
  <dimension ref="A1:P244"/>
  <sheetViews>
    <sheetView workbookViewId="0">
      <selection activeCell="A5" sqref="A5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2" t="s">
        <v>314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</row>
    <row r="2" spans="1:16" ht="31.5" customHeight="1">
      <c r="A2" s="187" t="s">
        <v>4</v>
      </c>
      <c r="B2" s="188"/>
      <c r="C2" s="188"/>
      <c r="D2" s="188"/>
      <c r="E2" s="188"/>
      <c r="F2" s="188"/>
      <c r="G2" s="188"/>
      <c r="H2" s="188"/>
      <c r="I2" s="189"/>
      <c r="J2" s="190" t="s">
        <v>23</v>
      </c>
      <c r="K2" s="191"/>
      <c r="L2" s="191"/>
      <c r="M2" s="191"/>
      <c r="N2" s="191"/>
      <c r="O2" s="191"/>
      <c r="P2" s="192"/>
    </row>
    <row r="3" spans="1:16" ht="24" customHeight="1">
      <c r="A3" s="193" t="s">
        <v>0</v>
      </c>
      <c r="B3" s="195" t="s">
        <v>30</v>
      </c>
      <c r="C3" s="195" t="s">
        <v>3</v>
      </c>
      <c r="D3" s="195" t="s">
        <v>31</v>
      </c>
      <c r="E3" s="197" t="s">
        <v>5</v>
      </c>
      <c r="F3" s="198"/>
      <c r="G3" s="199"/>
      <c r="H3" s="197" t="s">
        <v>6</v>
      </c>
      <c r="I3" s="200"/>
      <c r="J3" s="201" t="s">
        <v>29</v>
      </c>
      <c r="K3" s="201" t="s">
        <v>33</v>
      </c>
      <c r="L3" s="183" t="s">
        <v>5</v>
      </c>
      <c r="M3" s="184"/>
      <c r="N3" s="185"/>
      <c r="O3" s="183" t="s">
        <v>6</v>
      </c>
      <c r="P3" s="186"/>
    </row>
    <row r="4" spans="1:16" ht="38.25" customHeight="1">
      <c r="A4" s="194"/>
      <c r="B4" s="196"/>
      <c r="C4" s="196"/>
      <c r="D4" s="196"/>
      <c r="E4" s="2" t="s">
        <v>1</v>
      </c>
      <c r="F4" s="2" t="s">
        <v>2</v>
      </c>
      <c r="G4" s="165" t="s">
        <v>22</v>
      </c>
      <c r="H4" s="2" t="s">
        <v>1</v>
      </c>
      <c r="I4" s="3" t="s">
        <v>22</v>
      </c>
      <c r="J4" s="202"/>
      <c r="K4" s="20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>
        <v>42745</v>
      </c>
      <c r="B6" s="13">
        <v>42746</v>
      </c>
      <c r="C6" s="14" t="s">
        <v>315</v>
      </c>
      <c r="D6" s="15" t="s">
        <v>7</v>
      </c>
      <c r="E6" s="16">
        <v>1109814254.3699999</v>
      </c>
      <c r="F6" s="16">
        <v>5399100</v>
      </c>
      <c r="G6" s="16">
        <v>143653261</v>
      </c>
      <c r="H6" s="16">
        <v>2573994.65</v>
      </c>
      <c r="I6" s="16">
        <v>772203</v>
      </c>
      <c r="J6" s="13">
        <v>42745</v>
      </c>
      <c r="K6" s="13"/>
      <c r="L6" s="16"/>
      <c r="M6" s="16"/>
      <c r="N6" s="16"/>
      <c r="O6" s="16"/>
      <c r="P6" s="17"/>
    </row>
    <row r="7" spans="1:16">
      <c r="A7" s="12">
        <v>42745</v>
      </c>
      <c r="B7" s="13">
        <v>42746</v>
      </c>
      <c r="C7" s="14" t="s">
        <v>315</v>
      </c>
      <c r="D7" s="15" t="s">
        <v>8</v>
      </c>
      <c r="E7" s="16">
        <v>36474311.719999999</v>
      </c>
      <c r="F7" s="16">
        <v>132600</v>
      </c>
      <c r="G7" s="16">
        <v>4726591</v>
      </c>
      <c r="H7" s="16">
        <v>25748</v>
      </c>
      <c r="I7" s="16">
        <v>7725</v>
      </c>
      <c r="J7" s="13">
        <v>42745</v>
      </c>
      <c r="K7" s="13"/>
      <c r="L7" s="16"/>
      <c r="M7" s="16"/>
      <c r="N7" s="16"/>
      <c r="O7" s="16"/>
      <c r="P7" s="17"/>
    </row>
    <row r="8" spans="1:16">
      <c r="A8" s="167">
        <v>42745</v>
      </c>
      <c r="B8" s="168">
        <v>42746</v>
      </c>
      <c r="C8" s="169" t="s">
        <v>315</v>
      </c>
      <c r="D8" s="170" t="s">
        <v>9</v>
      </c>
      <c r="E8" s="171">
        <v>19448481.859999999</v>
      </c>
      <c r="F8" s="171">
        <v>21600</v>
      </c>
      <c r="G8" s="171">
        <v>2525757</v>
      </c>
      <c r="H8" s="171">
        <v>2463</v>
      </c>
      <c r="I8" s="171">
        <v>739</v>
      </c>
      <c r="J8" s="168">
        <v>42745</v>
      </c>
      <c r="K8" s="168"/>
      <c r="L8" s="171"/>
      <c r="M8" s="171"/>
      <c r="N8" s="171"/>
      <c r="O8" s="171"/>
      <c r="P8" s="172"/>
    </row>
    <row r="9" spans="1:16">
      <c r="A9" s="167">
        <v>42745</v>
      </c>
      <c r="B9" s="168">
        <v>42746</v>
      </c>
      <c r="C9" s="169" t="s">
        <v>315</v>
      </c>
      <c r="D9" s="170" t="s">
        <v>11</v>
      </c>
      <c r="E9" s="171">
        <v>3364175.14</v>
      </c>
      <c r="F9" s="171">
        <v>11000</v>
      </c>
      <c r="G9" s="171">
        <v>435906</v>
      </c>
      <c r="H9" s="171">
        <v>4428.5</v>
      </c>
      <c r="I9" s="171">
        <v>1329</v>
      </c>
      <c r="J9" s="168">
        <v>42745</v>
      </c>
      <c r="K9" s="168"/>
      <c r="L9" s="171"/>
      <c r="M9" s="171"/>
      <c r="N9" s="171"/>
      <c r="O9" s="171"/>
      <c r="P9" s="172"/>
    </row>
    <row r="10" spans="1:16">
      <c r="A10" s="167">
        <v>42745</v>
      </c>
      <c r="B10" s="168">
        <v>42746</v>
      </c>
      <c r="C10" s="169" t="s">
        <v>315</v>
      </c>
      <c r="D10" s="170" t="s">
        <v>12</v>
      </c>
      <c r="E10" s="171">
        <v>30643009.879999999</v>
      </c>
      <c r="F10" s="171">
        <v>293900</v>
      </c>
      <c r="G10" s="171">
        <v>3951717</v>
      </c>
      <c r="H10" s="171">
        <v>67450.48</v>
      </c>
      <c r="I10" s="171">
        <v>20235</v>
      </c>
      <c r="J10" s="168">
        <v>42745</v>
      </c>
      <c r="K10" s="168"/>
      <c r="L10" s="171"/>
      <c r="M10" s="171"/>
      <c r="N10" s="171"/>
      <c r="O10" s="171"/>
      <c r="P10" s="172"/>
    </row>
    <row r="11" spans="1:16">
      <c r="A11" s="167">
        <v>42745</v>
      </c>
      <c r="B11" s="168">
        <v>42746</v>
      </c>
      <c r="C11" s="169" t="s">
        <v>315</v>
      </c>
      <c r="D11" s="170" t="s">
        <v>13</v>
      </c>
      <c r="E11" s="171">
        <v>80891708.25</v>
      </c>
      <c r="F11" s="171">
        <v>449800</v>
      </c>
      <c r="G11" s="171">
        <v>10478729</v>
      </c>
      <c r="H11" s="171">
        <v>25384</v>
      </c>
      <c r="I11" s="171">
        <v>7615</v>
      </c>
      <c r="J11" s="168">
        <v>42745</v>
      </c>
      <c r="K11" s="168"/>
      <c r="L11" s="171"/>
      <c r="M11" s="171"/>
      <c r="N11" s="171"/>
      <c r="O11" s="171"/>
      <c r="P11" s="172"/>
    </row>
    <row r="12" spans="1:16">
      <c r="A12" s="167">
        <v>42748</v>
      </c>
      <c r="B12" s="168">
        <v>42749</v>
      </c>
      <c r="C12" s="169" t="s">
        <v>316</v>
      </c>
      <c r="D12" s="170" t="s">
        <v>7</v>
      </c>
      <c r="E12" s="171">
        <v>5153171.72</v>
      </c>
      <c r="F12" s="171">
        <v>0</v>
      </c>
      <c r="G12" s="171">
        <v>669913</v>
      </c>
      <c r="H12" s="171">
        <v>0</v>
      </c>
      <c r="I12" s="171">
        <v>0</v>
      </c>
      <c r="J12" s="168">
        <v>42748</v>
      </c>
      <c r="K12" s="168"/>
      <c r="L12" s="171"/>
      <c r="M12" s="171"/>
      <c r="N12" s="171"/>
      <c r="O12" s="171"/>
      <c r="P12" s="172"/>
    </row>
    <row r="13" spans="1:16">
      <c r="A13" s="167">
        <v>42755</v>
      </c>
      <c r="B13" s="168"/>
      <c r="C13" s="169" t="s">
        <v>317</v>
      </c>
      <c r="D13" s="170" t="s">
        <v>8</v>
      </c>
      <c r="E13" s="171"/>
      <c r="F13" s="171"/>
      <c r="G13" s="171"/>
      <c r="H13" s="171"/>
      <c r="I13" s="171"/>
      <c r="J13" s="168">
        <v>42755</v>
      </c>
      <c r="K13" s="168">
        <v>42643</v>
      </c>
      <c r="L13" s="171">
        <v>-82000</v>
      </c>
      <c r="M13" s="171">
        <v>0</v>
      </c>
      <c r="N13" s="171">
        <v>-10660</v>
      </c>
      <c r="O13" s="171">
        <v>0</v>
      </c>
      <c r="P13" s="172">
        <v>0</v>
      </c>
    </row>
    <row r="14" spans="1:16">
      <c r="A14" s="167">
        <v>42755</v>
      </c>
      <c r="B14" s="168"/>
      <c r="C14" s="169" t="s">
        <v>317</v>
      </c>
      <c r="D14" s="170" t="s">
        <v>9</v>
      </c>
      <c r="E14" s="171"/>
      <c r="F14" s="171"/>
      <c r="G14" s="171"/>
      <c r="H14" s="171"/>
      <c r="I14" s="171"/>
      <c r="J14" s="168">
        <v>42755</v>
      </c>
      <c r="K14" s="168">
        <v>42706</v>
      </c>
      <c r="L14" s="171">
        <v>-45000</v>
      </c>
      <c r="M14" s="171">
        <v>0</v>
      </c>
      <c r="N14" s="171">
        <v>-5850</v>
      </c>
      <c r="O14" s="171">
        <v>0</v>
      </c>
      <c r="P14" s="172">
        <v>0</v>
      </c>
    </row>
    <row r="15" spans="1:16">
      <c r="A15" s="167">
        <v>42755</v>
      </c>
      <c r="B15" s="168"/>
      <c r="C15" s="169" t="s">
        <v>317</v>
      </c>
      <c r="D15" s="170" t="s">
        <v>9</v>
      </c>
      <c r="E15" s="171"/>
      <c r="F15" s="171"/>
      <c r="G15" s="171"/>
      <c r="H15" s="171"/>
      <c r="I15" s="171"/>
      <c r="J15" s="168">
        <v>42755</v>
      </c>
      <c r="K15" s="168">
        <v>42720</v>
      </c>
      <c r="L15" s="171">
        <v>-53000</v>
      </c>
      <c r="M15" s="171">
        <v>0</v>
      </c>
      <c r="N15" s="171">
        <v>-6890</v>
      </c>
      <c r="O15" s="171">
        <v>0</v>
      </c>
      <c r="P15" s="172">
        <v>0</v>
      </c>
    </row>
    <row r="16" spans="1:16">
      <c r="A16" s="167">
        <v>42760</v>
      </c>
      <c r="B16" s="168">
        <v>42761</v>
      </c>
      <c r="C16" s="169" t="s">
        <v>315</v>
      </c>
      <c r="D16" s="170" t="s">
        <v>7</v>
      </c>
      <c r="E16" s="171">
        <v>8066875.4800000004</v>
      </c>
      <c r="F16" s="171">
        <v>14500</v>
      </c>
      <c r="G16" s="171">
        <v>1046808</v>
      </c>
      <c r="H16" s="171">
        <v>2508.1999999999998</v>
      </c>
      <c r="I16" s="171">
        <v>752</v>
      </c>
      <c r="J16" s="168">
        <v>42760</v>
      </c>
      <c r="K16" s="168"/>
      <c r="L16" s="171"/>
      <c r="M16" s="171"/>
      <c r="N16" s="171"/>
      <c r="O16" s="171"/>
      <c r="P16" s="172"/>
    </row>
    <row r="17" spans="1:16">
      <c r="A17" s="167">
        <v>42760</v>
      </c>
      <c r="B17" s="168">
        <v>42761</v>
      </c>
      <c r="C17" s="169" t="s">
        <v>315</v>
      </c>
      <c r="D17" s="170" t="s">
        <v>8</v>
      </c>
      <c r="E17" s="171">
        <v>1255973.58</v>
      </c>
      <c r="F17" s="171">
        <v>0</v>
      </c>
      <c r="G17" s="171">
        <v>163281</v>
      </c>
      <c r="H17" s="171">
        <v>0</v>
      </c>
      <c r="I17" s="171">
        <v>0</v>
      </c>
      <c r="J17" s="168">
        <v>42760</v>
      </c>
      <c r="K17" s="168"/>
      <c r="L17" s="171"/>
      <c r="M17" s="171"/>
      <c r="N17" s="171"/>
      <c r="O17" s="171"/>
      <c r="P17" s="172"/>
    </row>
    <row r="18" spans="1:16">
      <c r="A18" s="167">
        <v>42760</v>
      </c>
      <c r="B18" s="168">
        <v>42761</v>
      </c>
      <c r="C18" s="169" t="s">
        <v>315</v>
      </c>
      <c r="D18" s="170" t="s">
        <v>9</v>
      </c>
      <c r="E18" s="171">
        <v>113028.53</v>
      </c>
      <c r="F18" s="171">
        <v>0</v>
      </c>
      <c r="G18" s="171">
        <v>14694</v>
      </c>
      <c r="H18" s="171">
        <v>6990</v>
      </c>
      <c r="I18" s="171">
        <v>2097</v>
      </c>
      <c r="J18" s="168">
        <v>42760</v>
      </c>
      <c r="K18" s="168"/>
      <c r="L18" s="171"/>
      <c r="M18" s="171"/>
      <c r="N18" s="171"/>
      <c r="O18" s="171"/>
      <c r="P18" s="172"/>
    </row>
    <row r="19" spans="1:16">
      <c r="A19" s="167">
        <v>42760</v>
      </c>
      <c r="B19" s="168">
        <v>42761</v>
      </c>
      <c r="C19" s="169" t="s">
        <v>315</v>
      </c>
      <c r="D19" s="170" t="s">
        <v>11</v>
      </c>
      <c r="E19" s="171">
        <v>55019.5</v>
      </c>
      <c r="F19" s="171">
        <v>0</v>
      </c>
      <c r="G19" s="171">
        <v>7153</v>
      </c>
      <c r="H19" s="171">
        <v>0</v>
      </c>
      <c r="I19" s="171">
        <v>0</v>
      </c>
      <c r="J19" s="168">
        <v>42760</v>
      </c>
      <c r="K19" s="168"/>
      <c r="L19" s="171"/>
      <c r="M19" s="171"/>
      <c r="N19" s="171"/>
      <c r="O19" s="171"/>
      <c r="P19" s="172"/>
    </row>
    <row r="20" spans="1:16">
      <c r="A20" s="167">
        <v>42760</v>
      </c>
      <c r="B20" s="168">
        <v>42761</v>
      </c>
      <c r="C20" s="169" t="s">
        <v>315</v>
      </c>
      <c r="D20" s="170" t="s">
        <v>12</v>
      </c>
      <c r="E20" s="171">
        <v>699777.7</v>
      </c>
      <c r="F20" s="171">
        <v>1000</v>
      </c>
      <c r="G20" s="171">
        <v>90845</v>
      </c>
      <c r="H20" s="171">
        <v>0</v>
      </c>
      <c r="I20" s="171">
        <v>0</v>
      </c>
      <c r="J20" s="168">
        <v>42760</v>
      </c>
      <c r="K20" s="168"/>
      <c r="L20" s="171"/>
      <c r="M20" s="171"/>
      <c r="N20" s="171"/>
      <c r="O20" s="171"/>
      <c r="P20" s="172"/>
    </row>
    <row r="21" spans="1:16">
      <c r="A21" s="167">
        <v>42760</v>
      </c>
      <c r="B21" s="168">
        <v>42761</v>
      </c>
      <c r="C21" s="169" t="s">
        <v>315</v>
      </c>
      <c r="D21" s="170" t="s">
        <v>13</v>
      </c>
      <c r="E21" s="171">
        <v>2350912.63</v>
      </c>
      <c r="F21" s="171">
        <v>4900</v>
      </c>
      <c r="G21" s="171">
        <v>304980</v>
      </c>
      <c r="H21" s="171">
        <v>0</v>
      </c>
      <c r="I21" s="171">
        <v>0</v>
      </c>
      <c r="J21" s="168">
        <v>42760</v>
      </c>
      <c r="K21" s="168"/>
      <c r="L21" s="171"/>
      <c r="M21" s="171"/>
      <c r="N21" s="171"/>
      <c r="O21" s="171"/>
      <c r="P21" s="172"/>
    </row>
    <row r="22" spans="1:16">
      <c r="A22" s="167">
        <v>42762</v>
      </c>
      <c r="B22" s="168"/>
      <c r="C22" s="169" t="s">
        <v>317</v>
      </c>
      <c r="D22" s="170" t="s">
        <v>8</v>
      </c>
      <c r="E22" s="171"/>
      <c r="F22" s="171"/>
      <c r="G22" s="171"/>
      <c r="H22" s="171"/>
      <c r="I22" s="171"/>
      <c r="J22" s="168">
        <v>42762</v>
      </c>
      <c r="K22" s="168">
        <v>42716</v>
      </c>
      <c r="L22" s="171">
        <v>-62000</v>
      </c>
      <c r="M22" s="171">
        <v>0</v>
      </c>
      <c r="N22" s="171">
        <v>-8060</v>
      </c>
      <c r="O22" s="171">
        <v>0</v>
      </c>
      <c r="P22" s="172">
        <v>0</v>
      </c>
    </row>
    <row r="23" spans="1:16">
      <c r="A23" s="167">
        <v>42762</v>
      </c>
      <c r="B23" s="168"/>
      <c r="C23" s="169" t="s">
        <v>317</v>
      </c>
      <c r="D23" s="170" t="s">
        <v>8</v>
      </c>
      <c r="E23" s="171"/>
      <c r="F23" s="171"/>
      <c r="G23" s="171"/>
      <c r="H23" s="171"/>
      <c r="I23" s="171"/>
      <c r="J23" s="168">
        <v>42762</v>
      </c>
      <c r="K23" s="168">
        <v>42727</v>
      </c>
      <c r="L23" s="171">
        <v>-23500</v>
      </c>
      <c r="M23" s="171">
        <v>0</v>
      </c>
      <c r="N23" s="171">
        <v>-3055</v>
      </c>
      <c r="O23" s="171">
        <v>0</v>
      </c>
      <c r="P23" s="172">
        <v>0</v>
      </c>
    </row>
    <row r="24" spans="1:16">
      <c r="A24" s="167">
        <v>42762</v>
      </c>
      <c r="B24" s="168"/>
      <c r="C24" s="169" t="s">
        <v>317</v>
      </c>
      <c r="D24" s="170" t="s">
        <v>9</v>
      </c>
      <c r="E24" s="171"/>
      <c r="F24" s="171"/>
      <c r="G24" s="171"/>
      <c r="H24" s="171"/>
      <c r="I24" s="171"/>
      <c r="J24" s="168">
        <v>42762</v>
      </c>
      <c r="K24" s="168">
        <v>42671</v>
      </c>
      <c r="L24" s="171">
        <v>-66000</v>
      </c>
      <c r="M24" s="171">
        <v>0</v>
      </c>
      <c r="N24" s="171">
        <v>-8580</v>
      </c>
      <c r="O24" s="171">
        <v>0</v>
      </c>
      <c r="P24" s="172">
        <v>0</v>
      </c>
    </row>
    <row r="25" spans="1:16">
      <c r="A25" s="167">
        <v>42762</v>
      </c>
      <c r="B25" s="168"/>
      <c r="C25" s="169" t="s">
        <v>317</v>
      </c>
      <c r="D25" s="170" t="s">
        <v>9</v>
      </c>
      <c r="E25" s="171"/>
      <c r="F25" s="171"/>
      <c r="G25" s="171"/>
      <c r="H25" s="171"/>
      <c r="I25" s="171"/>
      <c r="J25" s="168">
        <v>42762</v>
      </c>
      <c r="K25" s="168">
        <v>42727</v>
      </c>
      <c r="L25" s="171">
        <v>-26000</v>
      </c>
      <c r="M25" s="171">
        <v>0</v>
      </c>
      <c r="N25" s="171">
        <v>-3380</v>
      </c>
      <c r="O25" s="171">
        <v>0</v>
      </c>
      <c r="P25" s="172">
        <v>0</v>
      </c>
    </row>
    <row r="26" spans="1:16">
      <c r="A26" s="167">
        <v>42762</v>
      </c>
      <c r="B26" s="168">
        <v>42763</v>
      </c>
      <c r="C26" s="169" t="s">
        <v>316</v>
      </c>
      <c r="D26" s="170" t="s">
        <v>7</v>
      </c>
      <c r="E26" s="171">
        <v>4780922.18</v>
      </c>
      <c r="F26" s="171">
        <v>0</v>
      </c>
      <c r="G26" s="171">
        <v>621518</v>
      </c>
      <c r="H26" s="171">
        <v>165477.6</v>
      </c>
      <c r="I26" s="171">
        <v>49643</v>
      </c>
      <c r="J26" s="168">
        <v>42762</v>
      </c>
      <c r="K26" s="168"/>
      <c r="L26" s="171"/>
      <c r="M26" s="171"/>
      <c r="N26" s="171"/>
      <c r="O26" s="171"/>
      <c r="P26" s="172"/>
    </row>
    <row r="27" spans="1:16">
      <c r="A27" s="167">
        <v>42766</v>
      </c>
      <c r="B27" s="168"/>
      <c r="C27" s="169" t="s">
        <v>315</v>
      </c>
      <c r="D27" s="170" t="s">
        <v>7</v>
      </c>
      <c r="E27" s="171"/>
      <c r="F27" s="171"/>
      <c r="G27" s="171"/>
      <c r="H27" s="171"/>
      <c r="I27" s="171"/>
      <c r="J27" s="168">
        <v>42766</v>
      </c>
      <c r="K27" s="168">
        <v>42745</v>
      </c>
      <c r="L27" s="171">
        <v>-20595.02</v>
      </c>
      <c r="M27" s="171">
        <v>-500</v>
      </c>
      <c r="N27" s="171">
        <v>-2612</v>
      </c>
      <c r="O27" s="171">
        <v>0</v>
      </c>
      <c r="P27" s="172">
        <v>0</v>
      </c>
    </row>
    <row r="28" spans="1:16">
      <c r="A28" s="167">
        <v>42766</v>
      </c>
      <c r="B28" s="168"/>
      <c r="C28" s="169" t="s">
        <v>315</v>
      </c>
      <c r="D28" s="170" t="s">
        <v>8</v>
      </c>
      <c r="E28" s="171"/>
      <c r="F28" s="171"/>
      <c r="G28" s="171"/>
      <c r="H28" s="171"/>
      <c r="I28" s="171"/>
      <c r="J28" s="168">
        <v>42766</v>
      </c>
      <c r="K28" s="168">
        <v>42745</v>
      </c>
      <c r="L28" s="171">
        <v>-6400</v>
      </c>
      <c r="M28" s="171">
        <v>0</v>
      </c>
      <c r="N28" s="171">
        <v>-832</v>
      </c>
      <c r="O28" s="171">
        <v>0</v>
      </c>
      <c r="P28" s="172">
        <v>0</v>
      </c>
    </row>
    <row r="29" spans="1:16">
      <c r="A29" s="167">
        <v>42769</v>
      </c>
      <c r="B29" s="168"/>
      <c r="C29" s="169" t="s">
        <v>317</v>
      </c>
      <c r="D29" s="170" t="s">
        <v>9</v>
      </c>
      <c r="E29" s="171"/>
      <c r="F29" s="171"/>
      <c r="G29" s="171"/>
      <c r="H29" s="171"/>
      <c r="I29" s="171"/>
      <c r="J29" s="168">
        <v>42769</v>
      </c>
      <c r="K29" s="168">
        <v>42731</v>
      </c>
      <c r="L29" s="171">
        <v>-210000</v>
      </c>
      <c r="M29" s="171">
        <v>0</v>
      </c>
      <c r="N29" s="171">
        <v>-27300</v>
      </c>
      <c r="O29" s="171">
        <v>0</v>
      </c>
      <c r="P29" s="172">
        <v>0</v>
      </c>
    </row>
    <row r="30" spans="1:16">
      <c r="A30" s="167">
        <v>42776</v>
      </c>
      <c r="B30" s="168">
        <v>42777</v>
      </c>
      <c r="C30" s="169" t="s">
        <v>315</v>
      </c>
      <c r="D30" s="170" t="s">
        <v>7</v>
      </c>
      <c r="E30" s="171">
        <v>1109545596.1600001</v>
      </c>
      <c r="F30" s="171">
        <v>5447100</v>
      </c>
      <c r="G30" s="171">
        <v>143562769</v>
      </c>
      <c r="H30" s="171">
        <v>2523959.12</v>
      </c>
      <c r="I30" s="171">
        <v>757190</v>
      </c>
      <c r="J30" s="168">
        <v>42776</v>
      </c>
      <c r="K30" s="168">
        <v>42745</v>
      </c>
      <c r="L30" s="171">
        <v>0</v>
      </c>
      <c r="M30" s="171">
        <v>0</v>
      </c>
      <c r="N30" s="171">
        <v>0</v>
      </c>
      <c r="O30" s="171">
        <v>0</v>
      </c>
      <c r="P30" s="172">
        <v>-3504</v>
      </c>
    </row>
    <row r="31" spans="1:16">
      <c r="A31" s="167">
        <v>42776</v>
      </c>
      <c r="B31" s="168">
        <v>42777</v>
      </c>
      <c r="C31" s="169" t="s">
        <v>315</v>
      </c>
      <c r="D31" s="170" t="s">
        <v>8</v>
      </c>
      <c r="E31" s="171">
        <v>36546838.439999998</v>
      </c>
      <c r="F31" s="171">
        <v>132900</v>
      </c>
      <c r="G31" s="171">
        <v>4735925</v>
      </c>
      <c r="H31" s="171">
        <v>29568</v>
      </c>
      <c r="I31" s="171">
        <v>8871</v>
      </c>
      <c r="J31" s="168">
        <v>42776</v>
      </c>
      <c r="K31" s="168"/>
      <c r="L31" s="171"/>
      <c r="M31" s="171"/>
      <c r="N31" s="171"/>
      <c r="O31" s="171"/>
      <c r="P31" s="172"/>
    </row>
    <row r="32" spans="1:16">
      <c r="A32" s="167">
        <v>42776</v>
      </c>
      <c r="B32" s="168">
        <v>42777</v>
      </c>
      <c r="C32" s="169" t="s">
        <v>315</v>
      </c>
      <c r="D32" s="170" t="s">
        <v>9</v>
      </c>
      <c r="E32" s="171">
        <v>18213993.25</v>
      </c>
      <c r="F32" s="171">
        <v>21100</v>
      </c>
      <c r="G32" s="171">
        <v>2365269</v>
      </c>
      <c r="H32" s="171">
        <v>2463</v>
      </c>
      <c r="I32" s="171">
        <v>739</v>
      </c>
      <c r="J32" s="168">
        <v>42776</v>
      </c>
      <c r="K32" s="168"/>
      <c r="L32" s="171"/>
      <c r="M32" s="171"/>
      <c r="N32" s="171"/>
      <c r="O32" s="171"/>
      <c r="P32" s="172"/>
    </row>
    <row r="33" spans="1:16">
      <c r="A33" s="167">
        <v>42776</v>
      </c>
      <c r="B33" s="168">
        <v>42777</v>
      </c>
      <c r="C33" s="169" t="s">
        <v>315</v>
      </c>
      <c r="D33" s="170" t="s">
        <v>11</v>
      </c>
      <c r="E33" s="171">
        <v>3356274.36</v>
      </c>
      <c r="F33" s="171">
        <v>11000</v>
      </c>
      <c r="G33" s="171">
        <v>434890</v>
      </c>
      <c r="H33" s="171">
        <v>4428.5</v>
      </c>
      <c r="I33" s="171">
        <v>1329</v>
      </c>
      <c r="J33" s="168">
        <v>42776</v>
      </c>
      <c r="K33" s="168"/>
      <c r="L33" s="171"/>
      <c r="M33" s="171"/>
      <c r="N33" s="171"/>
      <c r="O33" s="171"/>
      <c r="P33" s="172"/>
    </row>
    <row r="34" spans="1:16">
      <c r="A34" s="167">
        <v>42776</v>
      </c>
      <c r="B34" s="168">
        <v>42777</v>
      </c>
      <c r="C34" s="169" t="s">
        <v>315</v>
      </c>
      <c r="D34" s="170" t="s">
        <v>12</v>
      </c>
      <c r="E34" s="171">
        <v>31671711.18</v>
      </c>
      <c r="F34" s="171">
        <v>294900</v>
      </c>
      <c r="G34" s="171">
        <v>4081971</v>
      </c>
      <c r="H34" s="171">
        <v>65348.58</v>
      </c>
      <c r="I34" s="171">
        <v>19605</v>
      </c>
      <c r="J34" s="168">
        <v>42776</v>
      </c>
      <c r="K34" s="168"/>
      <c r="L34" s="171"/>
      <c r="M34" s="171"/>
      <c r="N34" s="171"/>
      <c r="O34" s="171"/>
      <c r="P34" s="172"/>
    </row>
    <row r="35" spans="1:16">
      <c r="A35" s="167">
        <v>42776</v>
      </c>
      <c r="B35" s="168">
        <v>42777</v>
      </c>
      <c r="C35" s="169" t="s">
        <v>315</v>
      </c>
      <c r="D35" s="170" t="s">
        <v>13</v>
      </c>
      <c r="E35" s="171">
        <v>85677412.859999999</v>
      </c>
      <c r="F35" s="171">
        <v>466800</v>
      </c>
      <c r="G35" s="171">
        <v>11080991</v>
      </c>
      <c r="H35" s="171">
        <v>17161</v>
      </c>
      <c r="I35" s="171">
        <v>5148</v>
      </c>
      <c r="J35" s="168">
        <v>42776</v>
      </c>
      <c r="K35" s="168"/>
      <c r="L35" s="171"/>
      <c r="M35" s="171"/>
      <c r="N35" s="171"/>
      <c r="O35" s="171"/>
      <c r="P35" s="172"/>
    </row>
    <row r="36" spans="1:16">
      <c r="A36" s="167">
        <v>42779</v>
      </c>
      <c r="B36" s="168"/>
      <c r="C36" s="169" t="s">
        <v>317</v>
      </c>
      <c r="D36" s="170" t="s">
        <v>9</v>
      </c>
      <c r="E36" s="171"/>
      <c r="F36" s="171"/>
      <c r="G36" s="171"/>
      <c r="H36" s="171"/>
      <c r="I36" s="171"/>
      <c r="J36" s="168">
        <v>42779</v>
      </c>
      <c r="K36" s="168">
        <v>42657</v>
      </c>
      <c r="L36" s="171">
        <v>-10000</v>
      </c>
      <c r="M36" s="171">
        <v>0</v>
      </c>
      <c r="N36" s="171">
        <v>-1300</v>
      </c>
      <c r="O36" s="171">
        <v>0</v>
      </c>
      <c r="P36" s="172">
        <v>0</v>
      </c>
    </row>
    <row r="37" spans="1:16">
      <c r="A37" s="167">
        <v>42779</v>
      </c>
      <c r="B37" s="168"/>
      <c r="C37" s="169" t="s">
        <v>317</v>
      </c>
      <c r="D37" s="170" t="s">
        <v>9</v>
      </c>
      <c r="E37" s="171"/>
      <c r="F37" s="171"/>
      <c r="G37" s="171"/>
      <c r="H37" s="171"/>
      <c r="I37" s="171"/>
      <c r="J37" s="168">
        <v>42779</v>
      </c>
      <c r="K37" s="168">
        <v>42692</v>
      </c>
      <c r="L37" s="171">
        <v>-40000</v>
      </c>
      <c r="M37" s="171">
        <v>0</v>
      </c>
      <c r="N37" s="171">
        <v>-5200</v>
      </c>
      <c r="O37" s="171">
        <v>0</v>
      </c>
      <c r="P37" s="172">
        <v>0</v>
      </c>
    </row>
    <row r="38" spans="1:16">
      <c r="A38" s="167">
        <v>42779</v>
      </c>
      <c r="B38" s="168"/>
      <c r="C38" s="169" t="s">
        <v>317</v>
      </c>
      <c r="D38" s="170" t="s">
        <v>9</v>
      </c>
      <c r="E38" s="171"/>
      <c r="F38" s="171"/>
      <c r="G38" s="171"/>
      <c r="H38" s="171"/>
      <c r="I38" s="171"/>
      <c r="J38" s="168">
        <v>42779</v>
      </c>
      <c r="K38" s="168">
        <v>42702</v>
      </c>
      <c r="L38" s="171">
        <v>-104000</v>
      </c>
      <c r="M38" s="171">
        <v>0</v>
      </c>
      <c r="N38" s="171">
        <v>-13520</v>
      </c>
      <c r="O38" s="171">
        <v>0</v>
      </c>
      <c r="P38" s="172">
        <v>0</v>
      </c>
    </row>
    <row r="39" spans="1:16">
      <c r="A39" s="167">
        <v>42779</v>
      </c>
      <c r="B39" s="168"/>
      <c r="C39" s="169" t="s">
        <v>317</v>
      </c>
      <c r="D39" s="170" t="s">
        <v>9</v>
      </c>
      <c r="E39" s="171"/>
      <c r="F39" s="171"/>
      <c r="G39" s="171"/>
      <c r="H39" s="171"/>
      <c r="I39" s="171"/>
      <c r="J39" s="168">
        <v>42779</v>
      </c>
      <c r="K39" s="168">
        <v>42727</v>
      </c>
      <c r="L39" s="171">
        <v>-28500</v>
      </c>
      <c r="M39" s="171">
        <v>0</v>
      </c>
      <c r="N39" s="171">
        <v>-3705</v>
      </c>
      <c r="O39" s="171">
        <v>0</v>
      </c>
      <c r="P39" s="172">
        <v>0</v>
      </c>
    </row>
    <row r="40" spans="1:16">
      <c r="A40" s="167">
        <v>42779</v>
      </c>
      <c r="B40" s="168">
        <v>42780</v>
      </c>
      <c r="C40" s="169" t="s">
        <v>316</v>
      </c>
      <c r="D40" s="170" t="s">
        <v>7</v>
      </c>
      <c r="E40" s="171">
        <v>4711740.97</v>
      </c>
      <c r="F40" s="171">
        <v>0</v>
      </c>
      <c r="G40" s="171">
        <v>612527</v>
      </c>
      <c r="H40" s="171">
        <v>113468.96</v>
      </c>
      <c r="I40" s="171">
        <v>34041</v>
      </c>
      <c r="J40" s="168">
        <v>42779</v>
      </c>
      <c r="K40" s="168"/>
      <c r="L40" s="171"/>
      <c r="M40" s="171"/>
      <c r="N40" s="171"/>
      <c r="O40" s="171"/>
      <c r="P40" s="172"/>
    </row>
    <row r="41" spans="1:16">
      <c r="A41" s="167">
        <v>42793</v>
      </c>
      <c r="B41" s="168">
        <v>42794</v>
      </c>
      <c r="C41" s="169" t="s">
        <v>315</v>
      </c>
      <c r="D41" s="170" t="s">
        <v>7</v>
      </c>
      <c r="E41" s="171">
        <v>3870705.12</v>
      </c>
      <c r="F41" s="171">
        <v>-500</v>
      </c>
      <c r="G41" s="171">
        <v>503264</v>
      </c>
      <c r="H41" s="171">
        <v>26951.78</v>
      </c>
      <c r="I41" s="171">
        <v>8086</v>
      </c>
      <c r="J41" s="168">
        <v>42793</v>
      </c>
      <c r="K41" s="168"/>
      <c r="L41" s="171"/>
      <c r="M41" s="171"/>
      <c r="N41" s="171"/>
      <c r="O41" s="171"/>
      <c r="P41" s="172"/>
    </row>
    <row r="42" spans="1:16">
      <c r="A42" s="167">
        <v>42793</v>
      </c>
      <c r="B42" s="168">
        <v>42794</v>
      </c>
      <c r="C42" s="169" t="s">
        <v>315</v>
      </c>
      <c r="D42" s="170" t="s">
        <v>8</v>
      </c>
      <c r="E42" s="171">
        <v>339218.09</v>
      </c>
      <c r="F42" s="171">
        <v>1000</v>
      </c>
      <c r="G42" s="171">
        <v>43969</v>
      </c>
      <c r="H42" s="171">
        <v>0</v>
      </c>
      <c r="I42" s="171">
        <v>0</v>
      </c>
      <c r="J42" s="168">
        <v>42793</v>
      </c>
      <c r="K42" s="168"/>
      <c r="L42" s="171"/>
      <c r="M42" s="171"/>
      <c r="N42" s="171"/>
      <c r="O42" s="171"/>
      <c r="P42" s="172"/>
    </row>
    <row r="43" spans="1:16">
      <c r="A43" s="167">
        <v>42793</v>
      </c>
      <c r="B43" s="168">
        <v>42794</v>
      </c>
      <c r="C43" s="169" t="s">
        <v>315</v>
      </c>
      <c r="D43" s="170" t="s">
        <v>9</v>
      </c>
      <c r="E43" s="171">
        <v>29886</v>
      </c>
      <c r="F43" s="171">
        <v>0</v>
      </c>
      <c r="G43" s="171">
        <v>3884</v>
      </c>
      <c r="H43" s="171">
        <v>0</v>
      </c>
      <c r="I43" s="171">
        <v>0</v>
      </c>
      <c r="J43" s="168">
        <v>42793</v>
      </c>
      <c r="K43" s="168"/>
      <c r="L43" s="171"/>
      <c r="M43" s="171"/>
      <c r="N43" s="171"/>
      <c r="O43" s="171"/>
      <c r="P43" s="172"/>
    </row>
    <row r="44" spans="1:16">
      <c r="A44" s="167">
        <v>42793</v>
      </c>
      <c r="B44" s="168">
        <v>42794</v>
      </c>
      <c r="C44" s="169" t="s">
        <v>315</v>
      </c>
      <c r="D44" s="170" t="s">
        <v>12</v>
      </c>
      <c r="E44" s="171">
        <v>2865038.2</v>
      </c>
      <c r="F44" s="171">
        <v>1000</v>
      </c>
      <c r="G44" s="171">
        <v>372323</v>
      </c>
      <c r="H44" s="171">
        <v>2101.9</v>
      </c>
      <c r="I44" s="171">
        <v>630</v>
      </c>
      <c r="J44" s="168">
        <v>42793</v>
      </c>
      <c r="K44" s="168"/>
      <c r="L44" s="171"/>
      <c r="M44" s="171"/>
      <c r="N44" s="171"/>
      <c r="O44" s="171"/>
      <c r="P44" s="172"/>
    </row>
    <row r="45" spans="1:16">
      <c r="A45" s="167">
        <v>42793</v>
      </c>
      <c r="B45" s="168">
        <v>42794</v>
      </c>
      <c r="C45" s="169" t="s">
        <v>315</v>
      </c>
      <c r="D45" s="170" t="s">
        <v>13</v>
      </c>
      <c r="E45" s="171">
        <v>1020488.15</v>
      </c>
      <c r="F45" s="171">
        <v>2400</v>
      </c>
      <c r="G45" s="171">
        <v>132359</v>
      </c>
      <c r="H45" s="171">
        <v>0</v>
      </c>
      <c r="I45" s="171">
        <v>0</v>
      </c>
      <c r="J45" s="168">
        <v>42793</v>
      </c>
      <c r="K45" s="168"/>
      <c r="L45" s="171"/>
      <c r="M45" s="171"/>
      <c r="N45" s="171"/>
      <c r="O45" s="171"/>
      <c r="P45" s="172"/>
    </row>
    <row r="46" spans="1:16">
      <c r="A46" s="167">
        <v>42794</v>
      </c>
      <c r="B46" s="168"/>
      <c r="C46" s="169" t="s">
        <v>315</v>
      </c>
      <c r="D46" s="170" t="s">
        <v>7</v>
      </c>
      <c r="E46" s="171"/>
      <c r="F46" s="171"/>
      <c r="G46" s="171"/>
      <c r="H46" s="171"/>
      <c r="I46" s="171"/>
      <c r="J46" s="168">
        <v>42794</v>
      </c>
      <c r="K46" s="168">
        <v>42745</v>
      </c>
      <c r="L46" s="171">
        <v>-15112.68</v>
      </c>
      <c r="M46" s="171">
        <v>-500</v>
      </c>
      <c r="N46" s="171">
        <v>-1899</v>
      </c>
      <c r="O46" s="171">
        <v>0</v>
      </c>
      <c r="P46" s="172">
        <v>0</v>
      </c>
    </row>
    <row r="47" spans="1:16">
      <c r="A47" s="167">
        <v>42794</v>
      </c>
      <c r="B47" s="168"/>
      <c r="C47" s="169" t="s">
        <v>315</v>
      </c>
      <c r="D47" s="170" t="s">
        <v>7</v>
      </c>
      <c r="E47" s="171"/>
      <c r="F47" s="171"/>
      <c r="G47" s="171"/>
      <c r="H47" s="171"/>
      <c r="I47" s="171"/>
      <c r="J47" s="168">
        <v>42794</v>
      </c>
      <c r="K47" s="168">
        <v>42776</v>
      </c>
      <c r="L47" s="171">
        <v>-8935.0499999999993</v>
      </c>
      <c r="M47" s="171">
        <v>0</v>
      </c>
      <c r="N47" s="171">
        <v>-1162</v>
      </c>
      <c r="O47" s="171">
        <v>0</v>
      </c>
      <c r="P47" s="172">
        <v>0</v>
      </c>
    </row>
    <row r="48" spans="1:16">
      <c r="A48" s="167">
        <v>42794</v>
      </c>
      <c r="B48" s="168">
        <v>42795</v>
      </c>
      <c r="C48" s="169" t="s">
        <v>316</v>
      </c>
      <c r="D48" s="170" t="s">
        <v>7</v>
      </c>
      <c r="E48" s="171">
        <v>6597302.0999999996</v>
      </c>
      <c r="F48" s="171">
        <v>0</v>
      </c>
      <c r="G48" s="171">
        <v>857649</v>
      </c>
      <c r="H48" s="171">
        <v>0</v>
      </c>
      <c r="I48" s="171">
        <v>0</v>
      </c>
      <c r="J48" s="168">
        <v>42794</v>
      </c>
      <c r="K48" s="168"/>
      <c r="L48" s="171"/>
      <c r="M48" s="171"/>
      <c r="N48" s="171"/>
      <c r="O48" s="171"/>
      <c r="P48" s="172"/>
    </row>
    <row r="49" spans="1:16">
      <c r="A49" s="167">
        <v>42804</v>
      </c>
      <c r="B49" s="168">
        <v>42805</v>
      </c>
      <c r="C49" s="169" t="s">
        <v>315</v>
      </c>
      <c r="D49" s="170" t="s">
        <v>7</v>
      </c>
      <c r="E49" s="171">
        <v>1111205930.6600001</v>
      </c>
      <c r="F49" s="171">
        <v>5902600</v>
      </c>
      <c r="G49" s="171">
        <v>143717724</v>
      </c>
      <c r="H49" s="171">
        <v>2558044.63</v>
      </c>
      <c r="I49" s="171">
        <v>767419</v>
      </c>
      <c r="J49" s="168">
        <v>42804</v>
      </c>
      <c r="K49" s="168"/>
      <c r="L49" s="171"/>
      <c r="M49" s="171"/>
      <c r="N49" s="171"/>
      <c r="O49" s="171"/>
      <c r="P49" s="172"/>
    </row>
    <row r="50" spans="1:16">
      <c r="A50" s="167">
        <v>42804</v>
      </c>
      <c r="B50" s="168">
        <v>42805</v>
      </c>
      <c r="C50" s="169" t="s">
        <v>315</v>
      </c>
      <c r="D50" s="170" t="s">
        <v>8</v>
      </c>
      <c r="E50" s="171">
        <v>36827110.219999999</v>
      </c>
      <c r="F50" s="171">
        <v>138200</v>
      </c>
      <c r="G50" s="171">
        <v>4771613</v>
      </c>
      <c r="H50" s="171">
        <v>24793</v>
      </c>
      <c r="I50" s="171">
        <v>7438</v>
      </c>
      <c r="J50" s="168">
        <v>42804</v>
      </c>
      <c r="K50" s="168"/>
      <c r="L50" s="171"/>
      <c r="M50" s="171"/>
      <c r="N50" s="171"/>
      <c r="O50" s="171"/>
      <c r="P50" s="172"/>
    </row>
    <row r="51" spans="1:16">
      <c r="A51" s="167">
        <v>42804</v>
      </c>
      <c r="B51" s="168">
        <v>42805</v>
      </c>
      <c r="C51" s="169" t="s">
        <v>315</v>
      </c>
      <c r="D51" s="170" t="s">
        <v>9</v>
      </c>
      <c r="E51" s="171">
        <v>18357778</v>
      </c>
      <c r="F51" s="171">
        <v>34200</v>
      </c>
      <c r="G51" s="171">
        <v>2382300</v>
      </c>
      <c r="H51" s="171">
        <v>2463</v>
      </c>
      <c r="I51" s="171">
        <v>739</v>
      </c>
      <c r="J51" s="168">
        <v>42804</v>
      </c>
      <c r="K51" s="168"/>
      <c r="L51" s="171"/>
      <c r="M51" s="171"/>
      <c r="N51" s="171"/>
      <c r="O51" s="171"/>
      <c r="P51" s="172"/>
    </row>
    <row r="52" spans="1:16">
      <c r="A52" s="167">
        <v>42804</v>
      </c>
      <c r="B52" s="168">
        <v>42805</v>
      </c>
      <c r="C52" s="169" t="s">
        <v>315</v>
      </c>
      <c r="D52" s="170" t="s">
        <v>11</v>
      </c>
      <c r="E52" s="171">
        <v>3371026.83</v>
      </c>
      <c r="F52" s="171">
        <v>11000</v>
      </c>
      <c r="G52" s="171">
        <v>436804</v>
      </c>
      <c r="H52" s="171">
        <v>4428.5</v>
      </c>
      <c r="I52" s="171">
        <v>1329</v>
      </c>
      <c r="J52" s="168">
        <v>42804</v>
      </c>
      <c r="K52" s="168"/>
      <c r="L52" s="171"/>
      <c r="M52" s="171"/>
      <c r="N52" s="171"/>
      <c r="O52" s="171"/>
      <c r="P52" s="172"/>
    </row>
    <row r="53" spans="1:16">
      <c r="A53" s="167">
        <v>42804</v>
      </c>
      <c r="B53" s="168">
        <v>42805</v>
      </c>
      <c r="C53" s="169" t="s">
        <v>315</v>
      </c>
      <c r="D53" s="170" t="s">
        <v>12</v>
      </c>
      <c r="E53" s="171">
        <v>32229430.52</v>
      </c>
      <c r="F53" s="171">
        <v>294400</v>
      </c>
      <c r="G53" s="171">
        <v>4154693</v>
      </c>
      <c r="H53" s="171">
        <v>67450.48</v>
      </c>
      <c r="I53" s="171">
        <v>20235</v>
      </c>
      <c r="J53" s="168">
        <v>42804</v>
      </c>
      <c r="K53" s="168"/>
      <c r="L53" s="171"/>
      <c r="M53" s="171"/>
      <c r="N53" s="171"/>
      <c r="O53" s="171"/>
      <c r="P53" s="172"/>
    </row>
    <row r="54" spans="1:16">
      <c r="A54" s="167">
        <v>42804</v>
      </c>
      <c r="B54" s="168">
        <v>42805</v>
      </c>
      <c r="C54" s="169" t="s">
        <v>315</v>
      </c>
      <c r="D54" s="170" t="s">
        <v>13</v>
      </c>
      <c r="E54" s="171">
        <v>84834155.370000005</v>
      </c>
      <c r="F54" s="171">
        <v>653500</v>
      </c>
      <c r="G54" s="171">
        <v>10947692</v>
      </c>
      <c r="H54" s="171">
        <v>17161</v>
      </c>
      <c r="I54" s="171">
        <v>5148</v>
      </c>
      <c r="J54" s="168">
        <v>42804</v>
      </c>
      <c r="K54" s="168"/>
      <c r="L54" s="171"/>
      <c r="M54" s="171"/>
      <c r="N54" s="171"/>
      <c r="O54" s="171"/>
      <c r="P54" s="172"/>
    </row>
    <row r="55" spans="1:16">
      <c r="A55" s="167">
        <v>42807</v>
      </c>
      <c r="B55" s="168">
        <v>42808</v>
      </c>
      <c r="C55" s="169" t="s">
        <v>316</v>
      </c>
      <c r="D55" s="170" t="s">
        <v>7</v>
      </c>
      <c r="E55" s="171">
        <v>6888208.5700000003</v>
      </c>
      <c r="F55" s="171">
        <v>0</v>
      </c>
      <c r="G55" s="171">
        <v>895467</v>
      </c>
      <c r="H55" s="171">
        <v>0</v>
      </c>
      <c r="I55" s="171">
        <v>0</v>
      </c>
      <c r="J55" s="168">
        <v>42807</v>
      </c>
      <c r="K55" s="168"/>
      <c r="L55" s="171"/>
      <c r="M55" s="171"/>
      <c r="N55" s="171"/>
      <c r="O55" s="171"/>
      <c r="P55" s="172"/>
    </row>
    <row r="56" spans="1:16">
      <c r="A56" s="167">
        <v>42811</v>
      </c>
      <c r="B56" s="168"/>
      <c r="C56" s="169" t="s">
        <v>317</v>
      </c>
      <c r="D56" s="170" t="s">
        <v>8</v>
      </c>
      <c r="E56" s="171"/>
      <c r="F56" s="171"/>
      <c r="G56" s="171"/>
      <c r="H56" s="171"/>
      <c r="I56" s="171"/>
      <c r="J56" s="168">
        <v>42811</v>
      </c>
      <c r="K56" s="168">
        <v>42587</v>
      </c>
      <c r="L56" s="171">
        <v>-50000</v>
      </c>
      <c r="M56" s="171">
        <v>0</v>
      </c>
      <c r="N56" s="171">
        <v>-6500</v>
      </c>
      <c r="O56" s="171">
        <v>0</v>
      </c>
      <c r="P56" s="172">
        <v>0</v>
      </c>
    </row>
    <row r="57" spans="1:16">
      <c r="A57" s="167">
        <v>42818</v>
      </c>
      <c r="B57" s="168">
        <v>42819</v>
      </c>
      <c r="C57" s="169" t="s">
        <v>315</v>
      </c>
      <c r="D57" s="170" t="s">
        <v>7</v>
      </c>
      <c r="E57" s="171">
        <v>10228035.35</v>
      </c>
      <c r="F57" s="171">
        <v>6500</v>
      </c>
      <c r="G57" s="171">
        <v>1328796</v>
      </c>
      <c r="H57" s="171">
        <v>11584.85</v>
      </c>
      <c r="I57" s="171">
        <v>3475</v>
      </c>
      <c r="J57" s="168">
        <v>42818</v>
      </c>
      <c r="K57" s="168"/>
      <c r="L57" s="171"/>
      <c r="M57" s="171"/>
      <c r="N57" s="171"/>
      <c r="O57" s="171"/>
      <c r="P57" s="172"/>
    </row>
    <row r="58" spans="1:16">
      <c r="A58" s="167">
        <v>42818</v>
      </c>
      <c r="B58" s="168">
        <v>42819</v>
      </c>
      <c r="C58" s="169" t="s">
        <v>315</v>
      </c>
      <c r="D58" s="170" t="s">
        <v>8</v>
      </c>
      <c r="E58" s="171">
        <v>180474.12</v>
      </c>
      <c r="F58" s="171">
        <v>0</v>
      </c>
      <c r="G58" s="171">
        <v>23464</v>
      </c>
      <c r="H58" s="171">
        <v>0</v>
      </c>
      <c r="I58" s="171">
        <v>0</v>
      </c>
      <c r="J58" s="168">
        <v>42818</v>
      </c>
      <c r="K58" s="168"/>
      <c r="L58" s="171"/>
      <c r="M58" s="171"/>
      <c r="N58" s="171"/>
      <c r="O58" s="171"/>
      <c r="P58" s="172"/>
    </row>
    <row r="59" spans="1:16">
      <c r="A59" s="167">
        <v>42818</v>
      </c>
      <c r="B59" s="168">
        <v>42819</v>
      </c>
      <c r="C59" s="169" t="s">
        <v>315</v>
      </c>
      <c r="D59" s="170" t="s">
        <v>9</v>
      </c>
      <c r="E59" s="171">
        <v>127077.17</v>
      </c>
      <c r="F59" s="171">
        <v>0</v>
      </c>
      <c r="G59" s="171">
        <v>16520</v>
      </c>
      <c r="H59" s="171">
        <v>0</v>
      </c>
      <c r="I59" s="171">
        <v>0</v>
      </c>
      <c r="J59" s="168">
        <v>42818</v>
      </c>
      <c r="K59" s="168"/>
      <c r="L59" s="171"/>
      <c r="M59" s="171"/>
      <c r="N59" s="171"/>
      <c r="O59" s="171"/>
      <c r="P59" s="172"/>
    </row>
    <row r="60" spans="1:16">
      <c r="A60" s="167">
        <v>42818</v>
      </c>
      <c r="B60" s="168">
        <v>42819</v>
      </c>
      <c r="C60" s="169" t="s">
        <v>315</v>
      </c>
      <c r="D60" s="170" t="s">
        <v>11</v>
      </c>
      <c r="E60" s="171">
        <v>12643.68</v>
      </c>
      <c r="F60" s="171">
        <v>0</v>
      </c>
      <c r="G60" s="171">
        <v>1644</v>
      </c>
      <c r="H60" s="171">
        <v>0</v>
      </c>
      <c r="I60" s="171">
        <v>0</v>
      </c>
      <c r="J60" s="168">
        <v>42818</v>
      </c>
      <c r="K60" s="168"/>
      <c r="L60" s="171"/>
      <c r="M60" s="171"/>
      <c r="N60" s="171"/>
      <c r="O60" s="171"/>
      <c r="P60" s="172"/>
    </row>
    <row r="61" spans="1:16">
      <c r="A61" s="167">
        <v>42818</v>
      </c>
      <c r="B61" s="168">
        <v>42819</v>
      </c>
      <c r="C61" s="169" t="s">
        <v>315</v>
      </c>
      <c r="D61" s="170" t="s">
        <v>12</v>
      </c>
      <c r="E61" s="171">
        <v>267710.5</v>
      </c>
      <c r="F61" s="171">
        <v>0</v>
      </c>
      <c r="G61" s="171">
        <v>34803</v>
      </c>
      <c r="H61" s="171">
        <v>0</v>
      </c>
      <c r="I61" s="171">
        <v>0</v>
      </c>
      <c r="J61" s="168">
        <v>42818</v>
      </c>
      <c r="K61" s="168"/>
      <c r="L61" s="171"/>
      <c r="M61" s="171"/>
      <c r="N61" s="171"/>
      <c r="O61" s="171"/>
      <c r="P61" s="172"/>
    </row>
    <row r="62" spans="1:16">
      <c r="A62" s="167">
        <v>42818</v>
      </c>
      <c r="B62" s="168">
        <v>42819</v>
      </c>
      <c r="C62" s="169" t="s">
        <v>315</v>
      </c>
      <c r="D62" s="170" t="s">
        <v>13</v>
      </c>
      <c r="E62" s="171">
        <v>1204766.54</v>
      </c>
      <c r="F62" s="171">
        <v>19800</v>
      </c>
      <c r="G62" s="171">
        <v>154052</v>
      </c>
      <c r="H62" s="171">
        <v>0</v>
      </c>
      <c r="I62" s="171">
        <v>0</v>
      </c>
      <c r="J62" s="168">
        <v>42818</v>
      </c>
      <c r="K62" s="168"/>
      <c r="L62" s="171"/>
      <c r="M62" s="171"/>
      <c r="N62" s="171"/>
      <c r="O62" s="171"/>
      <c r="P62" s="172"/>
    </row>
    <row r="63" spans="1:16">
      <c r="A63" s="167">
        <v>42821</v>
      </c>
      <c r="B63" s="168"/>
      <c r="C63" s="169" t="s">
        <v>317</v>
      </c>
      <c r="D63" s="170" t="s">
        <v>8</v>
      </c>
      <c r="E63" s="171"/>
      <c r="F63" s="171"/>
      <c r="G63" s="171"/>
      <c r="H63" s="171"/>
      <c r="I63" s="171"/>
      <c r="J63" s="168">
        <v>42821</v>
      </c>
      <c r="K63" s="168">
        <v>42650</v>
      </c>
      <c r="L63" s="171">
        <v>-35000</v>
      </c>
      <c r="M63" s="171">
        <v>0</v>
      </c>
      <c r="N63" s="171">
        <v>-4550</v>
      </c>
      <c r="O63" s="171">
        <v>0</v>
      </c>
      <c r="P63" s="172">
        <v>0</v>
      </c>
    </row>
    <row r="64" spans="1:16">
      <c r="A64" s="167">
        <v>42821</v>
      </c>
      <c r="B64" s="168">
        <v>42822</v>
      </c>
      <c r="C64" s="169" t="s">
        <v>316</v>
      </c>
      <c r="D64" s="170" t="s">
        <v>7</v>
      </c>
      <c r="E64" s="171">
        <v>5543304.9900000002</v>
      </c>
      <c r="F64" s="171">
        <v>0</v>
      </c>
      <c r="G64" s="171">
        <v>720628</v>
      </c>
      <c r="H64" s="171">
        <v>52254</v>
      </c>
      <c r="I64" s="171">
        <v>15676</v>
      </c>
      <c r="J64" s="168">
        <v>42821</v>
      </c>
      <c r="K64" s="168"/>
      <c r="L64" s="171"/>
      <c r="M64" s="171"/>
      <c r="N64" s="171"/>
      <c r="O64" s="171"/>
      <c r="P64" s="172"/>
    </row>
    <row r="65" spans="1:16">
      <c r="A65" s="167">
        <v>42825</v>
      </c>
      <c r="B65" s="168"/>
      <c r="C65" s="169" t="s">
        <v>315</v>
      </c>
      <c r="D65" s="170" t="s">
        <v>7</v>
      </c>
      <c r="E65" s="171"/>
      <c r="F65" s="171"/>
      <c r="G65" s="171"/>
      <c r="H65" s="171"/>
      <c r="I65" s="171"/>
      <c r="J65" s="168">
        <v>42825</v>
      </c>
      <c r="K65" s="168">
        <v>42745</v>
      </c>
      <c r="L65" s="171">
        <v>-10090.99</v>
      </c>
      <c r="M65" s="171">
        <v>-500</v>
      </c>
      <c r="N65" s="171">
        <v>-1247</v>
      </c>
      <c r="O65" s="171">
        <v>0</v>
      </c>
      <c r="P65" s="172">
        <v>0</v>
      </c>
    </row>
    <row r="66" spans="1:16">
      <c r="A66" s="167">
        <v>42825</v>
      </c>
      <c r="B66" s="168"/>
      <c r="C66" s="169" t="s">
        <v>315</v>
      </c>
      <c r="D66" s="170" t="s">
        <v>7</v>
      </c>
      <c r="E66" s="171"/>
      <c r="F66" s="171"/>
      <c r="G66" s="171"/>
      <c r="H66" s="171"/>
      <c r="I66" s="171"/>
      <c r="J66" s="168">
        <v>42825</v>
      </c>
      <c r="K66" s="168">
        <v>42776</v>
      </c>
      <c r="L66" s="171">
        <v>-34138.81</v>
      </c>
      <c r="M66" s="171">
        <v>-1000</v>
      </c>
      <c r="N66" s="171">
        <v>-4304</v>
      </c>
      <c r="O66" s="171">
        <v>0</v>
      </c>
      <c r="P66" s="172">
        <v>0</v>
      </c>
    </row>
    <row r="67" spans="1:16">
      <c r="A67" s="167">
        <v>42825</v>
      </c>
      <c r="B67" s="168"/>
      <c r="C67" s="169" t="s">
        <v>315</v>
      </c>
      <c r="D67" s="170" t="s">
        <v>7</v>
      </c>
      <c r="E67" s="171"/>
      <c r="F67" s="171"/>
      <c r="G67" s="171"/>
      <c r="H67" s="171"/>
      <c r="I67" s="171"/>
      <c r="J67" s="168">
        <v>42825</v>
      </c>
      <c r="K67" s="168">
        <v>42804</v>
      </c>
      <c r="L67" s="171">
        <v>-3738.4</v>
      </c>
      <c r="M67" s="171">
        <v>0</v>
      </c>
      <c r="N67" s="171">
        <v>-486</v>
      </c>
      <c r="O67" s="171">
        <v>0</v>
      </c>
      <c r="P67" s="172">
        <v>0</v>
      </c>
    </row>
    <row r="68" spans="1:16">
      <c r="A68" s="167">
        <v>42832</v>
      </c>
      <c r="B68" s="168">
        <v>42833</v>
      </c>
      <c r="C68" s="169" t="s">
        <v>317</v>
      </c>
      <c r="D68" s="170" t="s">
        <v>8</v>
      </c>
      <c r="E68" s="171">
        <v>3499808.62</v>
      </c>
      <c r="F68" s="171">
        <v>0</v>
      </c>
      <c r="G68" s="171">
        <v>454975</v>
      </c>
      <c r="H68" s="171">
        <v>0</v>
      </c>
      <c r="I68" s="171">
        <v>0</v>
      </c>
      <c r="J68" s="168">
        <v>42832</v>
      </c>
      <c r="K68" s="168"/>
      <c r="L68" s="171"/>
      <c r="M68" s="171"/>
      <c r="N68" s="171"/>
      <c r="O68" s="171"/>
      <c r="P68" s="172"/>
    </row>
    <row r="69" spans="1:16">
      <c r="A69" s="167">
        <v>42832</v>
      </c>
      <c r="B69" s="168">
        <v>42833</v>
      </c>
      <c r="C69" s="169" t="s">
        <v>317</v>
      </c>
      <c r="D69" s="170" t="s">
        <v>9</v>
      </c>
      <c r="E69" s="171">
        <v>2997890.8</v>
      </c>
      <c r="F69" s="171">
        <v>0</v>
      </c>
      <c r="G69" s="171">
        <v>389728</v>
      </c>
      <c r="H69" s="171">
        <v>0</v>
      </c>
      <c r="I69" s="171">
        <v>0</v>
      </c>
      <c r="J69" s="168">
        <v>42832</v>
      </c>
      <c r="K69" s="168">
        <v>42727</v>
      </c>
      <c r="L69" s="171">
        <v>-7000</v>
      </c>
      <c r="M69" s="171">
        <v>0</v>
      </c>
      <c r="N69" s="171">
        <v>-910</v>
      </c>
      <c r="O69" s="171">
        <v>0</v>
      </c>
      <c r="P69" s="172">
        <v>0</v>
      </c>
    </row>
    <row r="70" spans="1:16">
      <c r="A70" s="167">
        <v>42832</v>
      </c>
      <c r="B70" s="168">
        <v>42833</v>
      </c>
      <c r="C70" s="169" t="s">
        <v>317</v>
      </c>
      <c r="D70" s="170" t="s">
        <v>10</v>
      </c>
      <c r="E70" s="171">
        <v>4566024.4400000004</v>
      </c>
      <c r="F70" s="171">
        <v>0</v>
      </c>
      <c r="G70" s="171">
        <v>593583</v>
      </c>
      <c r="H70" s="171">
        <v>0</v>
      </c>
      <c r="I70" s="171">
        <v>0</v>
      </c>
      <c r="J70" s="168">
        <v>42832</v>
      </c>
      <c r="K70" s="168"/>
      <c r="L70" s="171"/>
      <c r="M70" s="171"/>
      <c r="N70" s="171"/>
      <c r="O70" s="171"/>
      <c r="P70" s="172"/>
    </row>
    <row r="71" spans="1:16">
      <c r="A71" s="167">
        <v>42832</v>
      </c>
      <c r="B71" s="168">
        <v>42833</v>
      </c>
      <c r="C71" s="169" t="s">
        <v>317</v>
      </c>
      <c r="D71" s="170" t="s">
        <v>11</v>
      </c>
      <c r="E71" s="171">
        <v>1154670.76</v>
      </c>
      <c r="F71" s="171">
        <v>0</v>
      </c>
      <c r="G71" s="171">
        <v>150108</v>
      </c>
      <c r="H71" s="171">
        <v>0</v>
      </c>
      <c r="I71" s="171">
        <v>0</v>
      </c>
      <c r="J71" s="168">
        <v>42832</v>
      </c>
      <c r="K71" s="168"/>
      <c r="L71" s="171"/>
      <c r="M71" s="171"/>
      <c r="N71" s="171"/>
      <c r="O71" s="171"/>
      <c r="P71" s="172"/>
    </row>
    <row r="72" spans="1:16">
      <c r="A72" s="167">
        <v>42832</v>
      </c>
      <c r="B72" s="168">
        <v>42833</v>
      </c>
      <c r="C72" s="169" t="s">
        <v>316</v>
      </c>
      <c r="D72" s="170" t="s">
        <v>7</v>
      </c>
      <c r="E72" s="171">
        <v>4768030.78</v>
      </c>
      <c r="F72" s="171">
        <v>0</v>
      </c>
      <c r="G72" s="171">
        <v>619843</v>
      </c>
      <c r="H72" s="171">
        <v>252200.94</v>
      </c>
      <c r="I72" s="171">
        <v>75659</v>
      </c>
      <c r="J72" s="168">
        <v>42832</v>
      </c>
      <c r="K72" s="168"/>
      <c r="L72" s="171"/>
      <c r="M72" s="171"/>
      <c r="N72" s="171"/>
      <c r="O72" s="171"/>
      <c r="P72" s="172"/>
    </row>
    <row r="73" spans="1:16">
      <c r="A73" s="167">
        <v>42835</v>
      </c>
      <c r="B73" s="168">
        <v>42836</v>
      </c>
      <c r="C73" s="169" t="s">
        <v>315</v>
      </c>
      <c r="D73" s="170" t="s">
        <v>7</v>
      </c>
      <c r="E73" s="171">
        <v>1122339942.3199999</v>
      </c>
      <c r="F73" s="171">
        <v>6412300</v>
      </c>
      <c r="G73" s="171">
        <v>145095325</v>
      </c>
      <c r="H73" s="171">
        <v>2596322.44</v>
      </c>
      <c r="I73" s="171">
        <v>787476</v>
      </c>
      <c r="J73" s="168">
        <v>42835</v>
      </c>
      <c r="K73" s="168"/>
      <c r="L73" s="171"/>
      <c r="M73" s="171"/>
      <c r="N73" s="171"/>
      <c r="O73" s="171"/>
      <c r="P73" s="172"/>
    </row>
    <row r="74" spans="1:16">
      <c r="A74" s="167">
        <v>42835</v>
      </c>
      <c r="B74" s="168">
        <v>42836</v>
      </c>
      <c r="C74" s="169" t="s">
        <v>315</v>
      </c>
      <c r="D74" s="170" t="s">
        <v>8</v>
      </c>
      <c r="E74" s="171">
        <v>39955767.619999997</v>
      </c>
      <c r="F74" s="171">
        <v>220800</v>
      </c>
      <c r="G74" s="171">
        <v>5176854</v>
      </c>
      <c r="H74" s="171">
        <v>24793</v>
      </c>
      <c r="I74" s="171">
        <v>7438</v>
      </c>
      <c r="J74" s="168">
        <v>42835</v>
      </c>
      <c r="K74" s="168"/>
      <c r="L74" s="171"/>
      <c r="M74" s="171"/>
      <c r="N74" s="171"/>
      <c r="O74" s="171"/>
      <c r="P74" s="172"/>
    </row>
    <row r="75" spans="1:16">
      <c r="A75" s="167">
        <v>42835</v>
      </c>
      <c r="B75" s="168">
        <v>42836</v>
      </c>
      <c r="C75" s="169" t="s">
        <v>315</v>
      </c>
      <c r="D75" s="170" t="s">
        <v>9</v>
      </c>
      <c r="E75" s="171">
        <v>18926470.550000001</v>
      </c>
      <c r="F75" s="171">
        <v>34900</v>
      </c>
      <c r="G75" s="171">
        <v>2456831</v>
      </c>
      <c r="H75" s="171">
        <v>2463</v>
      </c>
      <c r="I75" s="171">
        <v>739</v>
      </c>
      <c r="J75" s="168">
        <v>42835</v>
      </c>
      <c r="K75" s="168"/>
      <c r="L75" s="171"/>
      <c r="M75" s="171"/>
      <c r="N75" s="171"/>
      <c r="O75" s="171"/>
      <c r="P75" s="172"/>
    </row>
    <row r="76" spans="1:16">
      <c r="A76" s="167">
        <v>42835</v>
      </c>
      <c r="B76" s="168">
        <v>42836</v>
      </c>
      <c r="C76" s="169" t="s">
        <v>315</v>
      </c>
      <c r="D76" s="170" t="s">
        <v>11</v>
      </c>
      <c r="E76" s="171">
        <v>3351691.16</v>
      </c>
      <c r="F76" s="171">
        <v>11000</v>
      </c>
      <c r="G76" s="171">
        <v>434291</v>
      </c>
      <c r="H76" s="171">
        <v>4428.5</v>
      </c>
      <c r="I76" s="171">
        <v>1329</v>
      </c>
      <c r="J76" s="168">
        <v>42835</v>
      </c>
      <c r="K76" s="168"/>
      <c r="L76" s="171"/>
      <c r="M76" s="171"/>
      <c r="N76" s="171"/>
      <c r="O76" s="171"/>
      <c r="P76" s="172"/>
    </row>
    <row r="77" spans="1:16">
      <c r="A77" s="167">
        <v>42835</v>
      </c>
      <c r="B77" s="168">
        <v>42836</v>
      </c>
      <c r="C77" s="169" t="s">
        <v>315</v>
      </c>
      <c r="D77" s="170" t="s">
        <v>12</v>
      </c>
      <c r="E77" s="171">
        <v>32009631</v>
      </c>
      <c r="F77" s="171">
        <v>316000</v>
      </c>
      <c r="G77" s="171">
        <v>4123225</v>
      </c>
      <c r="H77" s="171">
        <v>67450.48</v>
      </c>
      <c r="I77" s="171">
        <v>20235</v>
      </c>
      <c r="J77" s="168">
        <v>42835</v>
      </c>
      <c r="K77" s="168"/>
      <c r="L77" s="171"/>
      <c r="M77" s="171"/>
      <c r="N77" s="171"/>
      <c r="O77" s="171"/>
      <c r="P77" s="172"/>
    </row>
    <row r="78" spans="1:16">
      <c r="A78" s="167">
        <v>42835</v>
      </c>
      <c r="B78" s="168">
        <v>42836</v>
      </c>
      <c r="C78" s="169" t="s">
        <v>315</v>
      </c>
      <c r="D78" s="170" t="s">
        <v>13</v>
      </c>
      <c r="E78" s="171">
        <v>91115422.920000002</v>
      </c>
      <c r="F78" s="171">
        <v>643700</v>
      </c>
      <c r="G78" s="171">
        <v>11765797</v>
      </c>
      <c r="H78" s="171">
        <v>17161</v>
      </c>
      <c r="I78" s="171">
        <v>5148</v>
      </c>
      <c r="J78" s="168">
        <v>42835</v>
      </c>
      <c r="K78" s="168"/>
      <c r="L78" s="171"/>
      <c r="M78" s="171"/>
      <c r="N78" s="171"/>
      <c r="O78" s="171"/>
      <c r="P78" s="172"/>
    </row>
    <row r="79" spans="1:16">
      <c r="A79" s="167">
        <v>42839</v>
      </c>
      <c r="B79" s="168">
        <v>42840</v>
      </c>
      <c r="C79" s="169" t="s">
        <v>317</v>
      </c>
      <c r="D79" s="170" t="s">
        <v>8</v>
      </c>
      <c r="E79" s="171">
        <v>721953.93</v>
      </c>
      <c r="F79" s="171">
        <v>0</v>
      </c>
      <c r="G79" s="171">
        <v>93854</v>
      </c>
      <c r="H79" s="171">
        <v>0</v>
      </c>
      <c r="I79" s="171">
        <v>0</v>
      </c>
      <c r="J79" s="168">
        <v>42839</v>
      </c>
      <c r="K79" s="168">
        <v>42832</v>
      </c>
      <c r="L79" s="171">
        <v>-63000</v>
      </c>
      <c r="M79" s="171">
        <v>0</v>
      </c>
      <c r="N79" s="171">
        <v>-8190</v>
      </c>
      <c r="O79" s="171">
        <v>0</v>
      </c>
      <c r="P79" s="172">
        <v>0</v>
      </c>
    </row>
    <row r="80" spans="1:16">
      <c r="A80" s="167">
        <v>42839</v>
      </c>
      <c r="B80" s="168">
        <v>42840</v>
      </c>
      <c r="C80" s="169" t="s">
        <v>317</v>
      </c>
      <c r="D80" s="170" t="s">
        <v>9</v>
      </c>
      <c r="E80" s="171">
        <v>1249488.43</v>
      </c>
      <c r="F80" s="171">
        <v>0</v>
      </c>
      <c r="G80" s="171">
        <v>162433</v>
      </c>
      <c r="H80" s="171">
        <v>0</v>
      </c>
      <c r="I80" s="171">
        <v>0</v>
      </c>
      <c r="J80" s="168">
        <v>42839</v>
      </c>
      <c r="K80" s="168">
        <v>42216</v>
      </c>
      <c r="L80" s="171">
        <v>-24000</v>
      </c>
      <c r="M80" s="171">
        <v>0</v>
      </c>
      <c r="N80" s="171">
        <v>-3120</v>
      </c>
      <c r="O80" s="171">
        <v>0</v>
      </c>
      <c r="P80" s="172">
        <v>0</v>
      </c>
    </row>
    <row r="81" spans="1:16">
      <c r="A81" s="167">
        <v>42839</v>
      </c>
      <c r="B81" s="168"/>
      <c r="C81" s="169" t="s">
        <v>317</v>
      </c>
      <c r="D81" s="170" t="s">
        <v>9</v>
      </c>
      <c r="E81" s="171"/>
      <c r="F81" s="171"/>
      <c r="G81" s="171"/>
      <c r="H81" s="171"/>
      <c r="I81" s="171"/>
      <c r="J81" s="168">
        <v>42839</v>
      </c>
      <c r="K81" s="168">
        <v>42832</v>
      </c>
      <c r="L81" s="171">
        <v>-101000</v>
      </c>
      <c r="M81" s="171">
        <v>0</v>
      </c>
      <c r="N81" s="171">
        <v>-13130</v>
      </c>
      <c r="O81" s="171">
        <v>0</v>
      </c>
      <c r="P81" s="172">
        <v>0</v>
      </c>
    </row>
    <row r="82" spans="1:16">
      <c r="A82" s="167">
        <v>42839</v>
      </c>
      <c r="B82" s="168"/>
      <c r="C82" s="169" t="s">
        <v>317</v>
      </c>
      <c r="D82" s="170" t="s">
        <v>11</v>
      </c>
      <c r="E82" s="171"/>
      <c r="F82" s="171"/>
      <c r="G82" s="171"/>
      <c r="H82" s="171"/>
      <c r="I82" s="171"/>
      <c r="J82" s="168">
        <v>42839</v>
      </c>
      <c r="K82" s="168">
        <v>42702</v>
      </c>
      <c r="L82" s="171">
        <v>-20000</v>
      </c>
      <c r="M82" s="171">
        <v>0</v>
      </c>
      <c r="N82" s="171">
        <v>-2600</v>
      </c>
      <c r="O82" s="171">
        <v>0</v>
      </c>
      <c r="P82" s="172">
        <v>0</v>
      </c>
    </row>
    <row r="83" spans="1:16">
      <c r="A83" s="167">
        <v>42839</v>
      </c>
      <c r="B83" s="168"/>
      <c r="C83" s="169" t="s">
        <v>317</v>
      </c>
      <c r="D83" s="170" t="s">
        <v>11</v>
      </c>
      <c r="E83" s="171"/>
      <c r="F83" s="171"/>
      <c r="G83" s="171"/>
      <c r="H83" s="171"/>
      <c r="I83" s="171"/>
      <c r="J83" s="168">
        <v>42839</v>
      </c>
      <c r="K83" s="168">
        <v>42716</v>
      </c>
      <c r="L83" s="171">
        <v>-10000</v>
      </c>
      <c r="M83" s="171">
        <v>0</v>
      </c>
      <c r="N83" s="171">
        <v>-1300</v>
      </c>
      <c r="O83" s="171">
        <v>0</v>
      </c>
      <c r="P83" s="172">
        <v>0</v>
      </c>
    </row>
    <row r="84" spans="1:16">
      <c r="A84" s="167">
        <v>42846</v>
      </c>
      <c r="B84" s="168">
        <v>42847</v>
      </c>
      <c r="C84" s="169" t="s">
        <v>317</v>
      </c>
      <c r="D84" s="170" t="s">
        <v>8</v>
      </c>
      <c r="E84" s="171">
        <v>130056.51</v>
      </c>
      <c r="F84" s="171">
        <v>0</v>
      </c>
      <c r="G84" s="171">
        <v>16907</v>
      </c>
      <c r="H84" s="171">
        <v>0</v>
      </c>
      <c r="I84" s="171">
        <v>0</v>
      </c>
      <c r="J84" s="168">
        <v>42846</v>
      </c>
      <c r="K84" s="168">
        <v>42832</v>
      </c>
      <c r="L84" s="171">
        <v>-109000</v>
      </c>
      <c r="M84" s="171">
        <v>0</v>
      </c>
      <c r="N84" s="171">
        <v>-14170</v>
      </c>
      <c r="O84" s="171">
        <v>0</v>
      </c>
      <c r="P84" s="172">
        <v>0</v>
      </c>
    </row>
    <row r="85" spans="1:16">
      <c r="A85" s="167">
        <v>42846</v>
      </c>
      <c r="B85" s="168">
        <v>42847</v>
      </c>
      <c r="C85" s="169" t="s">
        <v>317</v>
      </c>
      <c r="D85" s="170" t="s">
        <v>9</v>
      </c>
      <c r="E85" s="171">
        <v>110141.75</v>
      </c>
      <c r="F85" s="171">
        <v>0</v>
      </c>
      <c r="G85" s="171">
        <v>14319</v>
      </c>
      <c r="H85" s="171">
        <v>0</v>
      </c>
      <c r="I85" s="171">
        <v>0</v>
      </c>
      <c r="J85" s="168">
        <v>42846</v>
      </c>
      <c r="K85" s="168">
        <v>42839</v>
      </c>
      <c r="L85" s="171">
        <v>-55500</v>
      </c>
      <c r="M85" s="171">
        <v>0</v>
      </c>
      <c r="N85" s="171">
        <v>-7215</v>
      </c>
      <c r="O85" s="171">
        <v>0</v>
      </c>
      <c r="P85" s="172">
        <v>0</v>
      </c>
    </row>
    <row r="86" spans="1:16">
      <c r="A86" s="167">
        <v>42846</v>
      </c>
      <c r="B86" s="168">
        <v>42847</v>
      </c>
      <c r="C86" s="169" t="s">
        <v>316</v>
      </c>
      <c r="D86" s="170" t="s">
        <v>7</v>
      </c>
      <c r="E86" s="171">
        <v>6083916.3399999999</v>
      </c>
      <c r="F86" s="171">
        <v>0</v>
      </c>
      <c r="G86" s="171">
        <v>790912</v>
      </c>
      <c r="H86" s="171">
        <v>0</v>
      </c>
      <c r="I86" s="171">
        <v>0</v>
      </c>
      <c r="J86" s="168">
        <v>42846</v>
      </c>
      <c r="K86" s="168"/>
      <c r="L86" s="171"/>
      <c r="M86" s="171"/>
      <c r="N86" s="171"/>
      <c r="O86" s="171"/>
      <c r="P86" s="172"/>
    </row>
    <row r="87" spans="1:16">
      <c r="A87" s="167">
        <v>42850</v>
      </c>
      <c r="B87" s="168">
        <v>42851</v>
      </c>
      <c r="C87" s="169" t="s">
        <v>315</v>
      </c>
      <c r="D87" s="170" t="s">
        <v>7</v>
      </c>
      <c r="E87" s="171">
        <v>7131989.3300000001</v>
      </c>
      <c r="F87" s="171">
        <v>2000</v>
      </c>
      <c r="G87" s="171">
        <v>926896</v>
      </c>
      <c r="H87" s="171">
        <v>0</v>
      </c>
      <c r="I87" s="171">
        <v>0</v>
      </c>
      <c r="J87" s="168">
        <v>42850</v>
      </c>
      <c r="K87" s="168"/>
      <c r="L87" s="171"/>
      <c r="M87" s="171"/>
      <c r="N87" s="171"/>
      <c r="O87" s="171"/>
      <c r="P87" s="172"/>
    </row>
    <row r="88" spans="1:16">
      <c r="A88" s="167">
        <v>42850</v>
      </c>
      <c r="B88" s="168">
        <v>42851</v>
      </c>
      <c r="C88" s="169" t="s">
        <v>315</v>
      </c>
      <c r="D88" s="170" t="s">
        <v>8</v>
      </c>
      <c r="E88" s="171">
        <v>166908.31</v>
      </c>
      <c r="F88" s="171">
        <v>0</v>
      </c>
      <c r="G88" s="171">
        <v>21696</v>
      </c>
      <c r="H88" s="171">
        <v>0</v>
      </c>
      <c r="I88" s="171">
        <v>0</v>
      </c>
      <c r="J88" s="168">
        <v>42850</v>
      </c>
      <c r="K88" s="168"/>
      <c r="L88" s="171"/>
      <c r="M88" s="171"/>
      <c r="N88" s="171"/>
      <c r="O88" s="171"/>
      <c r="P88" s="172"/>
    </row>
    <row r="89" spans="1:16">
      <c r="A89" s="167">
        <v>42850</v>
      </c>
      <c r="B89" s="168">
        <v>42851</v>
      </c>
      <c r="C89" s="169" t="s">
        <v>315</v>
      </c>
      <c r="D89" s="170" t="s">
        <v>9</v>
      </c>
      <c r="E89" s="171">
        <v>29534.34</v>
      </c>
      <c r="F89" s="171">
        <v>0</v>
      </c>
      <c r="G89" s="171">
        <v>3840</v>
      </c>
      <c r="H89" s="171">
        <v>0</v>
      </c>
      <c r="I89" s="171">
        <v>0</v>
      </c>
      <c r="J89" s="168">
        <v>42850</v>
      </c>
      <c r="K89" s="168"/>
      <c r="L89" s="171"/>
      <c r="M89" s="171"/>
      <c r="N89" s="171"/>
      <c r="O89" s="171"/>
      <c r="P89" s="172"/>
    </row>
    <row r="90" spans="1:16">
      <c r="A90" s="167">
        <v>42850</v>
      </c>
      <c r="B90" s="168">
        <v>42851</v>
      </c>
      <c r="C90" s="169" t="s">
        <v>315</v>
      </c>
      <c r="D90" s="170" t="s">
        <v>12</v>
      </c>
      <c r="E90" s="171">
        <v>280357.38</v>
      </c>
      <c r="F90" s="171">
        <v>2000</v>
      </c>
      <c r="G90" s="171">
        <v>36188</v>
      </c>
      <c r="H90" s="171">
        <v>0</v>
      </c>
      <c r="I90" s="171">
        <v>0</v>
      </c>
      <c r="J90" s="168">
        <v>42850</v>
      </c>
      <c r="K90" s="168"/>
      <c r="L90" s="171"/>
      <c r="M90" s="171"/>
      <c r="N90" s="171"/>
      <c r="O90" s="171"/>
      <c r="P90" s="172"/>
    </row>
    <row r="91" spans="1:16">
      <c r="A91" s="167">
        <v>42850</v>
      </c>
      <c r="B91" s="168">
        <v>42851</v>
      </c>
      <c r="C91" s="169" t="s">
        <v>315</v>
      </c>
      <c r="D91" s="170" t="s">
        <v>13</v>
      </c>
      <c r="E91" s="171">
        <v>2625347.23</v>
      </c>
      <c r="F91" s="171">
        <v>11300</v>
      </c>
      <c r="G91" s="171">
        <v>339825</v>
      </c>
      <c r="H91" s="171">
        <v>5846</v>
      </c>
      <c r="I91" s="171">
        <v>1754</v>
      </c>
      <c r="J91" s="168">
        <v>42850</v>
      </c>
      <c r="K91" s="168"/>
      <c r="L91" s="171"/>
      <c r="M91" s="171"/>
      <c r="N91" s="171"/>
      <c r="O91" s="171"/>
      <c r="P91" s="172"/>
    </row>
    <row r="92" spans="1:16">
      <c r="A92" s="167">
        <v>42853</v>
      </c>
      <c r="B92" s="168">
        <v>42854</v>
      </c>
      <c r="C92" s="169" t="s">
        <v>317</v>
      </c>
      <c r="D92" s="170" t="s">
        <v>8</v>
      </c>
      <c r="E92" s="171">
        <v>376904.16</v>
      </c>
      <c r="F92" s="171">
        <v>0</v>
      </c>
      <c r="G92" s="171">
        <v>48998</v>
      </c>
      <c r="H92" s="171">
        <v>0</v>
      </c>
      <c r="I92" s="171">
        <v>0</v>
      </c>
      <c r="J92" s="168">
        <v>42853</v>
      </c>
      <c r="K92" s="168"/>
      <c r="L92" s="171"/>
      <c r="M92" s="171"/>
      <c r="N92" s="171"/>
      <c r="O92" s="171"/>
      <c r="P92" s="172"/>
    </row>
    <row r="93" spans="1:16">
      <c r="A93" s="167">
        <v>42853</v>
      </c>
      <c r="B93" s="168">
        <v>42854</v>
      </c>
      <c r="C93" s="169" t="s">
        <v>317</v>
      </c>
      <c r="D93" s="170" t="s">
        <v>9</v>
      </c>
      <c r="E93" s="171">
        <v>443872.09</v>
      </c>
      <c r="F93" s="171">
        <v>0</v>
      </c>
      <c r="G93" s="171">
        <v>57703</v>
      </c>
      <c r="H93" s="171">
        <v>0</v>
      </c>
      <c r="I93" s="171">
        <v>0</v>
      </c>
      <c r="J93" s="168">
        <v>42853</v>
      </c>
      <c r="K93" s="168">
        <v>42461</v>
      </c>
      <c r="L93" s="171">
        <v>-65000</v>
      </c>
      <c r="M93" s="171">
        <v>0</v>
      </c>
      <c r="N93" s="171">
        <v>-8450</v>
      </c>
      <c r="O93" s="171">
        <v>0</v>
      </c>
      <c r="P93" s="172">
        <v>0</v>
      </c>
    </row>
    <row r="94" spans="1:16">
      <c r="A94" s="167">
        <v>42855</v>
      </c>
      <c r="B94" s="168"/>
      <c r="C94" s="169" t="s">
        <v>315</v>
      </c>
      <c r="D94" s="170" t="s">
        <v>7</v>
      </c>
      <c r="E94" s="171">
        <v>0</v>
      </c>
      <c r="F94" s="171">
        <v>0</v>
      </c>
      <c r="G94" s="171">
        <v>-20756</v>
      </c>
      <c r="H94" s="171">
        <v>0</v>
      </c>
      <c r="I94" s="171">
        <v>20756</v>
      </c>
      <c r="J94" s="168">
        <v>42855</v>
      </c>
      <c r="K94" s="168">
        <v>42745</v>
      </c>
      <c r="L94" s="171">
        <v>-11450.4</v>
      </c>
      <c r="M94" s="171">
        <v>0</v>
      </c>
      <c r="N94" s="171">
        <v>-1489</v>
      </c>
      <c r="O94" s="171">
        <v>0</v>
      </c>
      <c r="P94" s="172">
        <v>0</v>
      </c>
    </row>
    <row r="95" spans="1:16">
      <c r="A95" s="167">
        <v>42855</v>
      </c>
      <c r="B95" s="168"/>
      <c r="C95" s="169" t="s">
        <v>315</v>
      </c>
      <c r="D95" s="170" t="s">
        <v>7</v>
      </c>
      <c r="E95" s="171"/>
      <c r="F95" s="171"/>
      <c r="G95" s="171"/>
      <c r="H95" s="171"/>
      <c r="I95" s="171"/>
      <c r="J95" s="168">
        <v>42855</v>
      </c>
      <c r="K95" s="168">
        <v>42776</v>
      </c>
      <c r="L95" s="171">
        <v>-7016.89</v>
      </c>
      <c r="M95" s="171">
        <v>0</v>
      </c>
      <c r="N95" s="171">
        <v>-911</v>
      </c>
      <c r="O95" s="171">
        <v>0</v>
      </c>
      <c r="P95" s="172">
        <v>0</v>
      </c>
    </row>
    <row r="96" spans="1:16">
      <c r="A96" s="167">
        <v>42855</v>
      </c>
      <c r="B96" s="168"/>
      <c r="C96" s="169" t="s">
        <v>315</v>
      </c>
      <c r="D96" s="170" t="s">
        <v>7</v>
      </c>
      <c r="E96" s="171"/>
      <c r="F96" s="171"/>
      <c r="G96" s="171"/>
      <c r="H96" s="171"/>
      <c r="I96" s="171"/>
      <c r="J96" s="168">
        <v>42855</v>
      </c>
      <c r="K96" s="168">
        <v>42804</v>
      </c>
      <c r="L96" s="171">
        <v>-16640.7</v>
      </c>
      <c r="M96" s="171">
        <v>0</v>
      </c>
      <c r="N96" s="171">
        <v>-2163</v>
      </c>
      <c r="O96" s="171">
        <v>0</v>
      </c>
      <c r="P96" s="172">
        <v>0</v>
      </c>
    </row>
    <row r="97" spans="1:16">
      <c r="A97" s="167">
        <v>42855</v>
      </c>
      <c r="B97" s="168"/>
      <c r="C97" s="169" t="s">
        <v>315</v>
      </c>
      <c r="D97" s="170" t="s">
        <v>7</v>
      </c>
      <c r="E97" s="171"/>
      <c r="F97" s="171"/>
      <c r="G97" s="171"/>
      <c r="H97" s="171"/>
      <c r="I97" s="171"/>
      <c r="J97" s="168">
        <v>42855</v>
      </c>
      <c r="K97" s="168">
        <v>42835</v>
      </c>
      <c r="L97" s="171">
        <v>-12602.88</v>
      </c>
      <c r="M97" s="171">
        <v>0</v>
      </c>
      <c r="N97" s="171">
        <v>-1638</v>
      </c>
      <c r="O97" s="171">
        <v>0</v>
      </c>
      <c r="P97" s="172">
        <v>0</v>
      </c>
    </row>
    <row r="98" spans="1:16">
      <c r="A98" s="167">
        <v>42855</v>
      </c>
      <c r="B98" s="168"/>
      <c r="C98" s="169" t="s">
        <v>315</v>
      </c>
      <c r="D98" s="170" t="s">
        <v>8</v>
      </c>
      <c r="E98" s="171"/>
      <c r="F98" s="171"/>
      <c r="G98" s="171"/>
      <c r="H98" s="171"/>
      <c r="I98" s="171"/>
      <c r="J98" s="168">
        <v>42855</v>
      </c>
      <c r="K98" s="168">
        <v>42804</v>
      </c>
      <c r="L98" s="171">
        <v>-2077</v>
      </c>
      <c r="M98" s="171">
        <v>0</v>
      </c>
      <c r="N98" s="171">
        <v>-270</v>
      </c>
      <c r="O98" s="171">
        <v>0</v>
      </c>
      <c r="P98" s="172">
        <v>0</v>
      </c>
    </row>
    <row r="99" spans="1:16">
      <c r="A99" s="167">
        <v>42855</v>
      </c>
      <c r="B99" s="168"/>
      <c r="C99" s="169" t="s">
        <v>315</v>
      </c>
      <c r="D99" s="170" t="s">
        <v>8</v>
      </c>
      <c r="E99" s="171"/>
      <c r="F99" s="171"/>
      <c r="G99" s="171"/>
      <c r="H99" s="171"/>
      <c r="I99" s="171"/>
      <c r="J99" s="168">
        <v>42855</v>
      </c>
      <c r="K99" s="168">
        <v>42835</v>
      </c>
      <c r="L99" s="171">
        <v>-41.57</v>
      </c>
      <c r="M99" s="171">
        <v>0</v>
      </c>
      <c r="N99" s="171">
        <v>-5</v>
      </c>
      <c r="O99" s="171">
        <v>0</v>
      </c>
      <c r="P99" s="172">
        <v>0</v>
      </c>
    </row>
    <row r="100" spans="1:16">
      <c r="A100" s="167">
        <v>42857</v>
      </c>
      <c r="B100" s="168">
        <v>42858</v>
      </c>
      <c r="C100" s="169" t="s">
        <v>315</v>
      </c>
      <c r="D100" s="170" t="s">
        <v>7</v>
      </c>
      <c r="E100" s="171">
        <v>215282.35</v>
      </c>
      <c r="F100" s="171">
        <v>6600</v>
      </c>
      <c r="G100" s="171">
        <v>27132</v>
      </c>
      <c r="H100" s="171">
        <v>2095.1999999999998</v>
      </c>
      <c r="I100" s="171">
        <v>629</v>
      </c>
      <c r="J100" s="168">
        <v>42857</v>
      </c>
      <c r="K100" s="168"/>
      <c r="L100" s="171"/>
      <c r="M100" s="171"/>
      <c r="N100" s="171"/>
      <c r="O100" s="171"/>
      <c r="P100" s="172"/>
    </row>
    <row r="101" spans="1:16">
      <c r="A101" s="167">
        <v>42857</v>
      </c>
      <c r="B101" s="168">
        <v>42858</v>
      </c>
      <c r="C101" s="169" t="s">
        <v>315</v>
      </c>
      <c r="D101" s="170" t="s">
        <v>8</v>
      </c>
      <c r="E101" s="171">
        <v>3399</v>
      </c>
      <c r="F101" s="171">
        <v>0</v>
      </c>
      <c r="G101" s="171">
        <v>443</v>
      </c>
      <c r="H101" s="171">
        <v>0</v>
      </c>
      <c r="I101" s="171">
        <v>0</v>
      </c>
      <c r="J101" s="168">
        <v>42857</v>
      </c>
      <c r="K101" s="168"/>
      <c r="L101" s="171"/>
      <c r="M101" s="171"/>
      <c r="N101" s="171"/>
      <c r="O101" s="171"/>
      <c r="P101" s="172"/>
    </row>
    <row r="102" spans="1:16">
      <c r="A102" s="167">
        <v>42857</v>
      </c>
      <c r="B102" s="168">
        <v>42858</v>
      </c>
      <c r="C102" s="169" t="s">
        <v>315</v>
      </c>
      <c r="D102" s="170" t="s">
        <v>9</v>
      </c>
      <c r="E102" s="171">
        <v>3850</v>
      </c>
      <c r="F102" s="171">
        <v>0</v>
      </c>
      <c r="G102" s="171">
        <v>501</v>
      </c>
      <c r="H102" s="171">
        <v>0</v>
      </c>
      <c r="I102" s="171">
        <v>0</v>
      </c>
      <c r="J102" s="168">
        <v>42857</v>
      </c>
      <c r="K102" s="168"/>
      <c r="L102" s="171"/>
      <c r="M102" s="171"/>
      <c r="N102" s="171"/>
      <c r="O102" s="171"/>
      <c r="P102" s="172"/>
    </row>
    <row r="103" spans="1:16">
      <c r="A103" s="167">
        <v>42857</v>
      </c>
      <c r="B103" s="168">
        <v>42858</v>
      </c>
      <c r="C103" s="169" t="s">
        <v>315</v>
      </c>
      <c r="D103" s="170" t="s">
        <v>12</v>
      </c>
      <c r="E103" s="171">
        <v>27153779.940000001</v>
      </c>
      <c r="F103" s="171">
        <v>158200</v>
      </c>
      <c r="G103" s="171">
        <v>3513894</v>
      </c>
      <c r="H103" s="171">
        <v>4971.58</v>
      </c>
      <c r="I103" s="171">
        <v>1491</v>
      </c>
      <c r="J103" s="168">
        <v>42857</v>
      </c>
      <c r="K103" s="168"/>
      <c r="L103" s="171"/>
      <c r="M103" s="171"/>
      <c r="N103" s="171"/>
      <c r="O103" s="171"/>
      <c r="P103" s="172"/>
    </row>
    <row r="104" spans="1:16">
      <c r="A104" s="167">
        <v>42857</v>
      </c>
      <c r="B104" s="168">
        <v>42858</v>
      </c>
      <c r="C104" s="169" t="s">
        <v>315</v>
      </c>
      <c r="D104" s="170" t="s">
        <v>13</v>
      </c>
      <c r="E104" s="171">
        <v>20431</v>
      </c>
      <c r="F104" s="171">
        <v>5800</v>
      </c>
      <c r="G104" s="171">
        <v>1954</v>
      </c>
      <c r="H104" s="171">
        <v>0</v>
      </c>
      <c r="I104" s="171">
        <v>0</v>
      </c>
      <c r="J104" s="168">
        <v>42857</v>
      </c>
      <c r="K104" s="168"/>
      <c r="L104" s="171"/>
      <c r="M104" s="171"/>
      <c r="N104" s="171"/>
      <c r="O104" s="171"/>
      <c r="P104" s="172"/>
    </row>
    <row r="105" spans="1:16">
      <c r="A105" s="167">
        <v>42858</v>
      </c>
      <c r="B105" s="168">
        <v>42859</v>
      </c>
      <c r="C105" s="169" t="s">
        <v>315</v>
      </c>
      <c r="D105" s="170" t="s">
        <v>7</v>
      </c>
      <c r="E105" s="171">
        <v>325114717.82999998</v>
      </c>
      <c r="F105" s="171">
        <v>2346800</v>
      </c>
      <c r="G105" s="171">
        <v>41975301</v>
      </c>
      <c r="H105" s="171">
        <v>273079.43</v>
      </c>
      <c r="I105" s="171">
        <v>83871</v>
      </c>
      <c r="J105" s="168">
        <v>42858</v>
      </c>
      <c r="K105" s="168">
        <v>42735</v>
      </c>
      <c r="L105" s="171">
        <v>0</v>
      </c>
      <c r="M105" s="171">
        <v>0</v>
      </c>
      <c r="N105" s="171">
        <v>-2184</v>
      </c>
      <c r="O105" s="171">
        <v>0</v>
      </c>
      <c r="P105" s="172">
        <v>0</v>
      </c>
    </row>
    <row r="106" spans="1:16">
      <c r="A106" s="167">
        <v>42859</v>
      </c>
      <c r="B106" s="168">
        <v>42860</v>
      </c>
      <c r="C106" s="169" t="s">
        <v>315</v>
      </c>
      <c r="D106" s="170" t="s">
        <v>7</v>
      </c>
      <c r="E106" s="171">
        <v>794365315.52999997</v>
      </c>
      <c r="F106" s="171">
        <v>3489600</v>
      </c>
      <c r="G106" s="171">
        <v>102820951</v>
      </c>
      <c r="H106" s="171">
        <v>2318268.17</v>
      </c>
      <c r="I106" s="171">
        <v>707828</v>
      </c>
      <c r="J106" s="168">
        <v>42859</v>
      </c>
      <c r="K106" s="168"/>
      <c r="L106" s="171"/>
      <c r="M106" s="171"/>
      <c r="N106" s="171"/>
      <c r="O106" s="171"/>
      <c r="P106" s="172"/>
    </row>
    <row r="107" spans="1:16">
      <c r="A107" s="167">
        <v>42859</v>
      </c>
      <c r="B107" s="168">
        <v>42860</v>
      </c>
      <c r="C107" s="169" t="s">
        <v>315</v>
      </c>
      <c r="D107" s="170" t="s">
        <v>8</v>
      </c>
      <c r="E107" s="171">
        <v>37110570.189999998</v>
      </c>
      <c r="F107" s="171">
        <v>131800</v>
      </c>
      <c r="G107" s="171">
        <v>4809525</v>
      </c>
      <c r="H107" s="171">
        <v>24793</v>
      </c>
      <c r="I107" s="171">
        <v>7438</v>
      </c>
      <c r="J107" s="168">
        <v>42859</v>
      </c>
      <c r="K107" s="168"/>
      <c r="L107" s="171"/>
      <c r="M107" s="171"/>
      <c r="N107" s="171"/>
      <c r="O107" s="171"/>
      <c r="P107" s="172"/>
    </row>
    <row r="108" spans="1:16">
      <c r="A108" s="167">
        <v>42859</v>
      </c>
      <c r="B108" s="168">
        <v>42860</v>
      </c>
      <c r="C108" s="169" t="s">
        <v>315</v>
      </c>
      <c r="D108" s="170" t="s">
        <v>9</v>
      </c>
      <c r="E108" s="171">
        <v>19479506.5</v>
      </c>
      <c r="F108" s="171">
        <v>25700</v>
      </c>
      <c r="G108" s="171">
        <v>2529517</v>
      </c>
      <c r="H108" s="171">
        <v>2463</v>
      </c>
      <c r="I108" s="171">
        <v>739</v>
      </c>
      <c r="J108" s="168">
        <v>42859</v>
      </c>
      <c r="K108" s="168"/>
      <c r="L108" s="171"/>
      <c r="M108" s="171"/>
      <c r="N108" s="171"/>
      <c r="O108" s="171"/>
      <c r="P108" s="172"/>
    </row>
    <row r="109" spans="1:16">
      <c r="A109" s="167">
        <v>42859</v>
      </c>
      <c r="B109" s="168">
        <v>42860</v>
      </c>
      <c r="C109" s="169" t="s">
        <v>315</v>
      </c>
      <c r="D109" s="170" t="s">
        <v>11</v>
      </c>
      <c r="E109" s="171">
        <v>3351691.16</v>
      </c>
      <c r="F109" s="171">
        <v>11000</v>
      </c>
      <c r="G109" s="171">
        <v>434286</v>
      </c>
      <c r="H109" s="171">
        <v>4428.5</v>
      </c>
      <c r="I109" s="171">
        <v>1329</v>
      </c>
      <c r="J109" s="168">
        <v>42859</v>
      </c>
      <c r="K109" s="168"/>
      <c r="L109" s="171"/>
      <c r="M109" s="171"/>
      <c r="N109" s="171"/>
      <c r="O109" s="171"/>
      <c r="P109" s="172"/>
    </row>
    <row r="110" spans="1:16">
      <c r="A110" s="167">
        <v>42859</v>
      </c>
      <c r="B110" s="168">
        <v>42860</v>
      </c>
      <c r="C110" s="169" t="s">
        <v>315</v>
      </c>
      <c r="D110" s="170" t="s">
        <v>12</v>
      </c>
      <c r="E110" s="171">
        <v>4827392.66</v>
      </c>
      <c r="F110" s="171">
        <v>152600</v>
      </c>
      <c r="G110" s="171">
        <v>608425</v>
      </c>
      <c r="H110" s="171">
        <v>62478.9</v>
      </c>
      <c r="I110" s="171">
        <v>18744</v>
      </c>
      <c r="J110" s="168">
        <v>42859</v>
      </c>
      <c r="K110" s="168"/>
      <c r="L110" s="171"/>
      <c r="M110" s="171"/>
      <c r="N110" s="171"/>
      <c r="O110" s="171"/>
      <c r="P110" s="172"/>
    </row>
    <row r="111" spans="1:16">
      <c r="A111" s="167">
        <v>42859</v>
      </c>
      <c r="B111" s="168">
        <v>42860</v>
      </c>
      <c r="C111" s="169" t="s">
        <v>315</v>
      </c>
      <c r="D111" s="170" t="s">
        <v>13</v>
      </c>
      <c r="E111" s="171">
        <v>91190001</v>
      </c>
      <c r="F111" s="171">
        <v>570700</v>
      </c>
      <c r="G111" s="171">
        <v>11784747</v>
      </c>
      <c r="H111" s="171">
        <v>20084</v>
      </c>
      <c r="I111" s="171">
        <v>6025</v>
      </c>
      <c r="J111" s="168">
        <v>42859</v>
      </c>
      <c r="K111" s="168"/>
      <c r="L111" s="171"/>
      <c r="M111" s="171"/>
      <c r="N111" s="171"/>
      <c r="O111" s="171"/>
      <c r="P111" s="172"/>
    </row>
    <row r="112" spans="1:16">
      <c r="A112" s="167">
        <v>42865</v>
      </c>
      <c r="B112" s="168">
        <v>42866</v>
      </c>
      <c r="C112" s="169" t="s">
        <v>317</v>
      </c>
      <c r="D112" s="170" t="s">
        <v>8</v>
      </c>
      <c r="E112" s="171">
        <v>1031626.25</v>
      </c>
      <c r="F112" s="171">
        <v>0</v>
      </c>
      <c r="G112" s="171">
        <v>134113</v>
      </c>
      <c r="H112" s="171">
        <v>0</v>
      </c>
      <c r="I112" s="171">
        <v>0</v>
      </c>
      <c r="J112" s="168">
        <v>42865</v>
      </c>
      <c r="K112" s="168"/>
      <c r="L112" s="171"/>
      <c r="M112" s="171"/>
      <c r="N112" s="171"/>
      <c r="O112" s="171"/>
      <c r="P112" s="172"/>
    </row>
    <row r="113" spans="1:16">
      <c r="A113" s="167">
        <v>42865</v>
      </c>
      <c r="B113" s="168">
        <v>42866</v>
      </c>
      <c r="C113" s="169" t="s">
        <v>317</v>
      </c>
      <c r="D113" s="170" t="s">
        <v>9</v>
      </c>
      <c r="E113" s="171">
        <v>1660464.44</v>
      </c>
      <c r="F113" s="171">
        <v>0</v>
      </c>
      <c r="G113" s="171">
        <v>215861</v>
      </c>
      <c r="H113" s="171">
        <v>0</v>
      </c>
      <c r="I113" s="171">
        <v>0</v>
      </c>
      <c r="J113" s="168">
        <v>42865</v>
      </c>
      <c r="K113" s="168"/>
      <c r="L113" s="171"/>
      <c r="M113" s="171"/>
      <c r="N113" s="171"/>
      <c r="O113" s="171"/>
      <c r="P113" s="172"/>
    </row>
    <row r="114" spans="1:16">
      <c r="A114" s="167">
        <v>42865</v>
      </c>
      <c r="B114" s="168">
        <v>42866</v>
      </c>
      <c r="C114" s="169" t="s">
        <v>317</v>
      </c>
      <c r="D114" s="170" t="s">
        <v>11</v>
      </c>
      <c r="E114" s="171">
        <v>998383.22</v>
      </c>
      <c r="F114" s="171">
        <v>0</v>
      </c>
      <c r="G114" s="171">
        <v>129790</v>
      </c>
      <c r="H114" s="171">
        <v>0</v>
      </c>
      <c r="I114" s="171">
        <v>0</v>
      </c>
      <c r="J114" s="168">
        <v>42865</v>
      </c>
      <c r="K114" s="168"/>
      <c r="L114" s="171"/>
      <c r="M114" s="171"/>
      <c r="N114" s="171"/>
      <c r="O114" s="171"/>
      <c r="P114" s="172"/>
    </row>
    <row r="115" spans="1:16">
      <c r="A115" s="167">
        <v>42865</v>
      </c>
      <c r="B115" s="168">
        <v>42866</v>
      </c>
      <c r="C115" s="169" t="s">
        <v>316</v>
      </c>
      <c r="D115" s="170" t="s">
        <v>7</v>
      </c>
      <c r="E115" s="171">
        <v>7442881.0099999998</v>
      </c>
      <c r="F115" s="171">
        <v>0</v>
      </c>
      <c r="G115" s="171">
        <v>967574</v>
      </c>
      <c r="H115" s="171">
        <v>72928.800000000003</v>
      </c>
      <c r="I115" s="171">
        <v>21879</v>
      </c>
      <c r="J115" s="168">
        <v>42865</v>
      </c>
      <c r="K115" s="168"/>
      <c r="L115" s="171"/>
      <c r="M115" s="171"/>
      <c r="N115" s="171"/>
      <c r="O115" s="171"/>
      <c r="P115" s="172"/>
    </row>
    <row r="116" spans="1:16">
      <c r="A116" s="167">
        <v>42874</v>
      </c>
      <c r="B116" s="168">
        <v>42875</v>
      </c>
      <c r="C116" s="169" t="s">
        <v>317</v>
      </c>
      <c r="D116" s="170" t="s">
        <v>8</v>
      </c>
      <c r="E116" s="171">
        <v>1726399.88</v>
      </c>
      <c r="F116" s="171">
        <v>0</v>
      </c>
      <c r="G116" s="171">
        <v>224431</v>
      </c>
      <c r="H116" s="171">
        <v>0</v>
      </c>
      <c r="I116" s="171">
        <v>0</v>
      </c>
      <c r="J116" s="168">
        <v>42874</v>
      </c>
      <c r="K116" s="168"/>
      <c r="L116" s="171"/>
      <c r="M116" s="171"/>
      <c r="N116" s="171"/>
      <c r="O116" s="171"/>
      <c r="P116" s="172"/>
    </row>
    <row r="117" spans="1:16">
      <c r="A117" s="167">
        <v>42874</v>
      </c>
      <c r="B117" s="168">
        <v>42875</v>
      </c>
      <c r="C117" s="169" t="s">
        <v>317</v>
      </c>
      <c r="D117" s="170" t="s">
        <v>9</v>
      </c>
      <c r="E117" s="171">
        <v>180686.8</v>
      </c>
      <c r="F117" s="171">
        <v>0</v>
      </c>
      <c r="G117" s="171">
        <v>23490</v>
      </c>
      <c r="H117" s="171">
        <v>0</v>
      </c>
      <c r="I117" s="171">
        <v>0</v>
      </c>
      <c r="J117" s="168">
        <v>42874</v>
      </c>
      <c r="K117" s="168"/>
      <c r="L117" s="171"/>
      <c r="M117" s="171"/>
      <c r="N117" s="171"/>
      <c r="O117" s="171"/>
      <c r="P117" s="172"/>
    </row>
    <row r="118" spans="1:16">
      <c r="A118" s="167">
        <v>42874</v>
      </c>
      <c r="B118" s="168">
        <v>42875</v>
      </c>
      <c r="C118" s="169" t="s">
        <v>316</v>
      </c>
      <c r="D118" s="170" t="s">
        <v>7</v>
      </c>
      <c r="E118" s="171">
        <v>4234156.49</v>
      </c>
      <c r="F118" s="171">
        <v>0</v>
      </c>
      <c r="G118" s="171">
        <v>550443</v>
      </c>
      <c r="H118" s="171">
        <v>0</v>
      </c>
      <c r="I118" s="171">
        <v>0</v>
      </c>
      <c r="J118" s="168">
        <v>42874</v>
      </c>
      <c r="K118" s="168"/>
      <c r="L118" s="171"/>
      <c r="M118" s="171"/>
      <c r="N118" s="171"/>
      <c r="O118" s="171"/>
      <c r="P118" s="172"/>
    </row>
    <row r="119" spans="1:16">
      <c r="A119" s="167">
        <v>42880</v>
      </c>
      <c r="B119" s="168">
        <v>42881</v>
      </c>
      <c r="C119" s="169" t="s">
        <v>315</v>
      </c>
      <c r="D119" s="170" t="s">
        <v>7</v>
      </c>
      <c r="E119" s="171">
        <v>7532494.6500000004</v>
      </c>
      <c r="F119" s="171">
        <v>0</v>
      </c>
      <c r="G119" s="171">
        <v>979225</v>
      </c>
      <c r="H119" s="171">
        <v>6749.19</v>
      </c>
      <c r="I119" s="171">
        <v>2024</v>
      </c>
      <c r="J119" s="168">
        <v>42880</v>
      </c>
      <c r="K119" s="168"/>
      <c r="L119" s="171"/>
      <c r="M119" s="171"/>
      <c r="N119" s="171"/>
      <c r="O119" s="171"/>
      <c r="P119" s="172"/>
    </row>
    <row r="120" spans="1:16">
      <c r="A120" s="167">
        <v>42880</v>
      </c>
      <c r="B120" s="168">
        <v>42881</v>
      </c>
      <c r="C120" s="169" t="s">
        <v>315</v>
      </c>
      <c r="D120" s="170" t="s">
        <v>8</v>
      </c>
      <c r="E120" s="171">
        <v>388212.2</v>
      </c>
      <c r="F120" s="171">
        <v>0</v>
      </c>
      <c r="G120" s="171">
        <v>50468</v>
      </c>
      <c r="H120" s="171">
        <v>0</v>
      </c>
      <c r="I120" s="171">
        <v>0</v>
      </c>
      <c r="J120" s="168">
        <v>42880</v>
      </c>
      <c r="K120" s="168"/>
      <c r="L120" s="171"/>
      <c r="M120" s="171"/>
      <c r="N120" s="171"/>
      <c r="O120" s="171"/>
      <c r="P120" s="172"/>
    </row>
    <row r="121" spans="1:16">
      <c r="A121" s="167">
        <v>42880</v>
      </c>
      <c r="B121" s="168">
        <v>42881</v>
      </c>
      <c r="C121" s="169" t="s">
        <v>315</v>
      </c>
      <c r="D121" s="170" t="s">
        <v>9</v>
      </c>
      <c r="E121" s="171">
        <v>230935.93</v>
      </c>
      <c r="F121" s="171">
        <v>0</v>
      </c>
      <c r="G121" s="171">
        <v>30020</v>
      </c>
      <c r="H121" s="171">
        <v>0</v>
      </c>
      <c r="I121" s="171">
        <v>0</v>
      </c>
      <c r="J121" s="168">
        <v>42880</v>
      </c>
      <c r="K121" s="168"/>
      <c r="L121" s="171"/>
      <c r="M121" s="171"/>
      <c r="N121" s="171"/>
      <c r="O121" s="171"/>
      <c r="P121" s="172"/>
    </row>
    <row r="122" spans="1:16">
      <c r="A122" s="167">
        <v>42880</v>
      </c>
      <c r="B122" s="168">
        <v>42881</v>
      </c>
      <c r="C122" s="169" t="s">
        <v>315</v>
      </c>
      <c r="D122" s="170" t="s">
        <v>12</v>
      </c>
      <c r="E122" s="171">
        <v>1616591.86</v>
      </c>
      <c r="F122" s="171">
        <v>0</v>
      </c>
      <c r="G122" s="171">
        <v>210160</v>
      </c>
      <c r="H122" s="171">
        <v>0</v>
      </c>
      <c r="I122" s="171">
        <v>0</v>
      </c>
      <c r="J122" s="168">
        <v>42880</v>
      </c>
      <c r="K122" s="168"/>
      <c r="L122" s="171"/>
      <c r="M122" s="171"/>
      <c r="N122" s="171"/>
      <c r="O122" s="171"/>
      <c r="P122" s="172"/>
    </row>
    <row r="123" spans="1:16">
      <c r="A123" s="167">
        <v>42880</v>
      </c>
      <c r="B123" s="168">
        <v>42881</v>
      </c>
      <c r="C123" s="169" t="s">
        <v>315</v>
      </c>
      <c r="D123" s="170" t="s">
        <v>13</v>
      </c>
      <c r="E123" s="171">
        <v>1932350.6</v>
      </c>
      <c r="F123" s="171">
        <v>1400</v>
      </c>
      <c r="G123" s="171">
        <v>251020</v>
      </c>
      <c r="H123" s="171">
        <v>0</v>
      </c>
      <c r="I123" s="171">
        <v>0</v>
      </c>
      <c r="J123" s="168">
        <v>42880</v>
      </c>
      <c r="K123" s="168"/>
      <c r="L123" s="171"/>
      <c r="M123" s="171"/>
      <c r="N123" s="171"/>
      <c r="O123" s="171"/>
      <c r="P123" s="172"/>
    </row>
    <row r="124" spans="1:16">
      <c r="A124" s="167">
        <v>42881</v>
      </c>
      <c r="B124" s="168">
        <v>42882</v>
      </c>
      <c r="C124" s="169" t="s">
        <v>317</v>
      </c>
      <c r="D124" s="170" t="s">
        <v>8</v>
      </c>
      <c r="E124" s="171">
        <v>1794870.22</v>
      </c>
      <c r="F124" s="171">
        <v>0</v>
      </c>
      <c r="G124" s="171">
        <v>233333</v>
      </c>
      <c r="H124" s="171">
        <v>0</v>
      </c>
      <c r="I124" s="171">
        <v>0</v>
      </c>
      <c r="J124" s="168">
        <v>42881</v>
      </c>
      <c r="K124" s="168">
        <v>42865</v>
      </c>
      <c r="L124" s="171">
        <v>-40000</v>
      </c>
      <c r="M124" s="171">
        <v>0</v>
      </c>
      <c r="N124" s="171">
        <v>-5200</v>
      </c>
      <c r="O124" s="171">
        <v>0</v>
      </c>
      <c r="P124" s="172">
        <v>0</v>
      </c>
    </row>
    <row r="125" spans="1:16">
      <c r="A125" s="167">
        <v>42881</v>
      </c>
      <c r="B125" s="168">
        <v>42882</v>
      </c>
      <c r="C125" s="169" t="s">
        <v>317</v>
      </c>
      <c r="D125" s="170" t="s">
        <v>9</v>
      </c>
      <c r="E125" s="171">
        <v>557182.71</v>
      </c>
      <c r="F125" s="171">
        <v>0</v>
      </c>
      <c r="G125" s="171">
        <v>72433</v>
      </c>
      <c r="H125" s="171">
        <v>0</v>
      </c>
      <c r="I125" s="171">
        <v>0</v>
      </c>
      <c r="J125" s="168">
        <v>42881</v>
      </c>
      <c r="K125" s="168">
        <v>42839</v>
      </c>
      <c r="L125" s="171">
        <v>-52500</v>
      </c>
      <c r="M125" s="171">
        <v>0</v>
      </c>
      <c r="N125" s="171">
        <v>-6825</v>
      </c>
      <c r="O125" s="171">
        <v>0</v>
      </c>
      <c r="P125" s="172">
        <v>0</v>
      </c>
    </row>
    <row r="126" spans="1:16">
      <c r="A126" s="167">
        <v>42886</v>
      </c>
      <c r="B126" s="168"/>
      <c r="C126" s="169" t="s">
        <v>315</v>
      </c>
      <c r="D126" s="170" t="s">
        <v>7</v>
      </c>
      <c r="E126" s="171"/>
      <c r="F126" s="171"/>
      <c r="G126" s="171"/>
      <c r="H126" s="171"/>
      <c r="I126" s="171"/>
      <c r="J126" s="168">
        <v>42886</v>
      </c>
      <c r="K126" s="168">
        <v>42745</v>
      </c>
      <c r="L126" s="171">
        <v>-20227.080000000002</v>
      </c>
      <c r="M126" s="171">
        <v>0</v>
      </c>
      <c r="N126" s="171">
        <v>-2630</v>
      </c>
      <c r="O126" s="171">
        <v>0</v>
      </c>
      <c r="P126" s="172">
        <v>0</v>
      </c>
    </row>
    <row r="127" spans="1:16">
      <c r="A127" s="167">
        <v>42886</v>
      </c>
      <c r="B127" s="168"/>
      <c r="C127" s="169" t="s">
        <v>315</v>
      </c>
      <c r="D127" s="170" t="s">
        <v>7</v>
      </c>
      <c r="E127" s="171"/>
      <c r="F127" s="171"/>
      <c r="G127" s="171"/>
      <c r="H127" s="171"/>
      <c r="I127" s="171"/>
      <c r="J127" s="168">
        <v>42886</v>
      </c>
      <c r="K127" s="168">
        <v>42776</v>
      </c>
      <c r="L127" s="171">
        <v>-20227.080000000002</v>
      </c>
      <c r="M127" s="171">
        <v>0</v>
      </c>
      <c r="N127" s="171">
        <v>-2629</v>
      </c>
      <c r="O127" s="171">
        <v>0</v>
      </c>
      <c r="P127" s="172">
        <v>0</v>
      </c>
    </row>
    <row r="128" spans="1:16">
      <c r="A128" s="167">
        <v>42886</v>
      </c>
      <c r="B128" s="168"/>
      <c r="C128" s="169" t="s">
        <v>315</v>
      </c>
      <c r="D128" s="170" t="s">
        <v>7</v>
      </c>
      <c r="E128" s="171"/>
      <c r="F128" s="171"/>
      <c r="G128" s="171"/>
      <c r="H128" s="171"/>
      <c r="I128" s="171"/>
      <c r="J128" s="168">
        <v>42886</v>
      </c>
      <c r="K128" s="168">
        <v>42804</v>
      </c>
      <c r="L128" s="171">
        <v>-25661.29</v>
      </c>
      <c r="M128" s="171">
        <v>0</v>
      </c>
      <c r="N128" s="171">
        <v>-3336</v>
      </c>
      <c r="O128" s="171">
        <v>0</v>
      </c>
      <c r="P128" s="172">
        <v>0</v>
      </c>
    </row>
    <row r="129" spans="1:16">
      <c r="A129" s="167">
        <v>42886</v>
      </c>
      <c r="B129" s="168"/>
      <c r="C129" s="169" t="s">
        <v>315</v>
      </c>
      <c r="D129" s="170" t="s">
        <v>7</v>
      </c>
      <c r="E129" s="171"/>
      <c r="F129" s="171"/>
      <c r="G129" s="171"/>
      <c r="H129" s="171"/>
      <c r="I129" s="171"/>
      <c r="J129" s="168">
        <v>42886</v>
      </c>
      <c r="K129" s="168">
        <v>42835</v>
      </c>
      <c r="L129" s="171">
        <v>-51616.01</v>
      </c>
      <c r="M129" s="171">
        <v>-500</v>
      </c>
      <c r="N129" s="171">
        <v>-6644</v>
      </c>
      <c r="O129" s="171">
        <v>0</v>
      </c>
      <c r="P129" s="172">
        <v>0</v>
      </c>
    </row>
    <row r="130" spans="1:16">
      <c r="A130" s="167">
        <v>42886</v>
      </c>
      <c r="B130" s="168"/>
      <c r="C130" s="169" t="s">
        <v>315</v>
      </c>
      <c r="D130" s="170" t="s">
        <v>7</v>
      </c>
      <c r="E130" s="171"/>
      <c r="F130" s="171"/>
      <c r="G130" s="171"/>
      <c r="H130" s="171"/>
      <c r="I130" s="171"/>
      <c r="J130" s="168">
        <v>42886</v>
      </c>
      <c r="K130" s="168">
        <v>42858</v>
      </c>
      <c r="L130" s="171">
        <v>-5440.1</v>
      </c>
      <c r="M130" s="171">
        <v>0</v>
      </c>
      <c r="N130" s="171">
        <v>-707</v>
      </c>
      <c r="O130" s="171">
        <v>0</v>
      </c>
      <c r="P130" s="172">
        <v>0</v>
      </c>
    </row>
    <row r="131" spans="1:16">
      <c r="A131" s="167">
        <v>42886</v>
      </c>
      <c r="B131" s="168"/>
      <c r="C131" s="169" t="s">
        <v>315</v>
      </c>
      <c r="D131" s="170" t="s">
        <v>7</v>
      </c>
      <c r="E131" s="171"/>
      <c r="F131" s="171"/>
      <c r="G131" s="171"/>
      <c r="H131" s="171"/>
      <c r="I131" s="171"/>
      <c r="J131" s="168">
        <v>42886</v>
      </c>
      <c r="K131" s="168">
        <v>42859</v>
      </c>
      <c r="L131" s="171">
        <v>-14887.7</v>
      </c>
      <c r="M131" s="171">
        <v>0</v>
      </c>
      <c r="N131" s="171">
        <v>-1935</v>
      </c>
      <c r="O131" s="171">
        <v>0</v>
      </c>
      <c r="P131" s="172">
        <v>0</v>
      </c>
    </row>
    <row r="132" spans="1:16">
      <c r="A132" s="167">
        <v>42886</v>
      </c>
      <c r="B132" s="168"/>
      <c r="C132" s="169" t="s">
        <v>315</v>
      </c>
      <c r="D132" s="170" t="s">
        <v>8</v>
      </c>
      <c r="E132" s="171"/>
      <c r="F132" s="171"/>
      <c r="G132" s="171"/>
      <c r="H132" s="171"/>
      <c r="I132" s="171"/>
      <c r="J132" s="168">
        <v>42886</v>
      </c>
      <c r="K132" s="168">
        <v>42835</v>
      </c>
      <c r="L132" s="171">
        <v>-1880.9</v>
      </c>
      <c r="M132" s="171">
        <v>0</v>
      </c>
      <c r="N132" s="171">
        <v>-245</v>
      </c>
      <c r="O132" s="171">
        <v>0</v>
      </c>
      <c r="P132" s="172">
        <v>0</v>
      </c>
    </row>
    <row r="133" spans="1:16">
      <c r="A133" s="167">
        <v>42888</v>
      </c>
      <c r="B133" s="168">
        <v>42889</v>
      </c>
      <c r="C133" s="169" t="s">
        <v>317</v>
      </c>
      <c r="D133" s="170" t="s">
        <v>8</v>
      </c>
      <c r="E133" s="171">
        <v>893703.25</v>
      </c>
      <c r="F133" s="171">
        <v>0</v>
      </c>
      <c r="G133" s="171">
        <v>116181</v>
      </c>
      <c r="H133" s="171">
        <v>0</v>
      </c>
      <c r="I133" s="171">
        <v>0</v>
      </c>
      <c r="J133" s="168">
        <v>42888</v>
      </c>
      <c r="K133" s="168">
        <v>42636</v>
      </c>
      <c r="L133" s="171">
        <v>-259000</v>
      </c>
      <c r="M133" s="171">
        <v>0</v>
      </c>
      <c r="N133" s="171">
        <v>-33670</v>
      </c>
      <c r="O133" s="171">
        <v>0</v>
      </c>
      <c r="P133" s="172">
        <v>0</v>
      </c>
    </row>
    <row r="134" spans="1:16">
      <c r="A134" s="167">
        <v>42888</v>
      </c>
      <c r="B134" s="168">
        <v>42889</v>
      </c>
      <c r="C134" s="169" t="s">
        <v>317</v>
      </c>
      <c r="D134" s="170" t="s">
        <v>9</v>
      </c>
      <c r="E134" s="171">
        <v>231518.05</v>
      </c>
      <c r="F134" s="171">
        <v>0</v>
      </c>
      <c r="G134" s="171">
        <v>30098</v>
      </c>
      <c r="H134" s="171">
        <v>0</v>
      </c>
      <c r="I134" s="171">
        <v>0</v>
      </c>
      <c r="J134" s="168">
        <v>42888</v>
      </c>
      <c r="K134" s="168">
        <v>42580</v>
      </c>
      <c r="L134" s="171">
        <v>-6000</v>
      </c>
      <c r="M134" s="171">
        <v>0</v>
      </c>
      <c r="N134" s="171">
        <v>-780</v>
      </c>
      <c r="O134" s="171">
        <v>0</v>
      </c>
      <c r="P134" s="172">
        <v>0</v>
      </c>
    </row>
    <row r="135" spans="1:16">
      <c r="A135" s="167">
        <v>42888</v>
      </c>
      <c r="B135" s="168">
        <v>42889</v>
      </c>
      <c r="C135" s="169" t="s">
        <v>317</v>
      </c>
      <c r="D135" s="170" t="s">
        <v>10</v>
      </c>
      <c r="E135" s="171">
        <v>738920.33</v>
      </c>
      <c r="F135" s="171">
        <v>0</v>
      </c>
      <c r="G135" s="171">
        <v>96060</v>
      </c>
      <c r="H135" s="171">
        <v>0</v>
      </c>
      <c r="I135" s="171">
        <v>0</v>
      </c>
      <c r="J135" s="168">
        <v>42888</v>
      </c>
      <c r="K135" s="168"/>
      <c r="L135" s="171"/>
      <c r="M135" s="171"/>
      <c r="N135" s="171"/>
      <c r="O135" s="171"/>
      <c r="P135" s="172"/>
    </row>
    <row r="136" spans="1:16">
      <c r="A136" s="167">
        <v>42888</v>
      </c>
      <c r="B136" s="168">
        <v>42889</v>
      </c>
      <c r="C136" s="169" t="s">
        <v>317</v>
      </c>
      <c r="D136" s="170" t="s">
        <v>11</v>
      </c>
      <c r="E136" s="171">
        <v>40902.300000000003</v>
      </c>
      <c r="F136" s="171">
        <v>0</v>
      </c>
      <c r="G136" s="171">
        <v>5317</v>
      </c>
      <c r="H136" s="171">
        <v>0</v>
      </c>
      <c r="I136" s="171">
        <v>0</v>
      </c>
      <c r="J136" s="168">
        <v>42888</v>
      </c>
      <c r="K136" s="168"/>
      <c r="L136" s="171"/>
      <c r="M136" s="171"/>
      <c r="N136" s="171"/>
      <c r="O136" s="171"/>
      <c r="P136" s="172"/>
    </row>
    <row r="137" spans="1:16">
      <c r="A137" s="167">
        <v>42888</v>
      </c>
      <c r="B137" s="168">
        <v>42889</v>
      </c>
      <c r="C137" s="169" t="s">
        <v>316</v>
      </c>
      <c r="D137" s="170" t="s">
        <v>7</v>
      </c>
      <c r="E137" s="171">
        <v>4350930.09</v>
      </c>
      <c r="F137" s="171">
        <v>0</v>
      </c>
      <c r="G137" s="171">
        <v>565620</v>
      </c>
      <c r="H137" s="171">
        <v>25097.52</v>
      </c>
      <c r="I137" s="171">
        <v>7529</v>
      </c>
      <c r="J137" s="168">
        <v>42888</v>
      </c>
      <c r="K137" s="168"/>
      <c r="L137" s="171"/>
      <c r="M137" s="171"/>
      <c r="N137" s="171"/>
      <c r="O137" s="171"/>
      <c r="P137" s="172"/>
    </row>
    <row r="138" spans="1:16">
      <c r="A138" s="167">
        <v>42895</v>
      </c>
      <c r="B138" s="168">
        <v>42896</v>
      </c>
      <c r="C138" s="169" t="s">
        <v>315</v>
      </c>
      <c r="D138" s="170" t="s">
        <v>7</v>
      </c>
      <c r="E138" s="171">
        <v>1129178992.5699999</v>
      </c>
      <c r="F138" s="171">
        <v>5883800</v>
      </c>
      <c r="G138" s="171">
        <v>146054332</v>
      </c>
      <c r="H138" s="171">
        <v>2616885.08</v>
      </c>
      <c r="I138" s="171">
        <v>795855</v>
      </c>
      <c r="J138" s="168">
        <v>42895</v>
      </c>
      <c r="K138" s="168"/>
      <c r="L138" s="171"/>
      <c r="M138" s="171"/>
      <c r="N138" s="171"/>
      <c r="O138" s="171"/>
      <c r="P138" s="172"/>
    </row>
    <row r="139" spans="1:16">
      <c r="A139" s="167">
        <v>42895</v>
      </c>
      <c r="B139" s="168">
        <v>42896</v>
      </c>
      <c r="C139" s="169" t="s">
        <v>315</v>
      </c>
      <c r="D139" s="170" t="s">
        <v>8</v>
      </c>
      <c r="E139" s="171">
        <v>44777496.219999999</v>
      </c>
      <c r="F139" s="171">
        <v>129800</v>
      </c>
      <c r="G139" s="171">
        <v>5805779</v>
      </c>
      <c r="H139" s="171">
        <v>28979</v>
      </c>
      <c r="I139" s="171">
        <v>8695</v>
      </c>
      <c r="J139" s="168">
        <v>42895</v>
      </c>
      <c r="K139" s="168"/>
      <c r="L139" s="171"/>
      <c r="M139" s="171"/>
      <c r="N139" s="171"/>
      <c r="O139" s="171"/>
      <c r="P139" s="172"/>
    </row>
    <row r="140" spans="1:16">
      <c r="A140" s="167">
        <v>42895</v>
      </c>
      <c r="B140" s="168">
        <v>42896</v>
      </c>
      <c r="C140" s="169" t="s">
        <v>315</v>
      </c>
      <c r="D140" s="170" t="s">
        <v>9</v>
      </c>
      <c r="E140" s="171">
        <v>18797970.829999998</v>
      </c>
      <c r="F140" s="171">
        <v>42500</v>
      </c>
      <c r="G140" s="171">
        <v>2438480</v>
      </c>
      <c r="H140" s="171">
        <v>2463</v>
      </c>
      <c r="I140" s="171">
        <v>739</v>
      </c>
      <c r="J140" s="168">
        <v>42895</v>
      </c>
      <c r="K140" s="168"/>
      <c r="L140" s="171"/>
      <c r="M140" s="171"/>
      <c r="N140" s="171"/>
      <c r="O140" s="171"/>
      <c r="P140" s="172"/>
    </row>
    <row r="141" spans="1:16">
      <c r="A141" s="167">
        <v>42895</v>
      </c>
      <c r="B141" s="168">
        <v>42896</v>
      </c>
      <c r="C141" s="169" t="s">
        <v>315</v>
      </c>
      <c r="D141" s="170" t="s">
        <v>11</v>
      </c>
      <c r="E141" s="171">
        <v>3747292.6</v>
      </c>
      <c r="F141" s="171">
        <v>11000</v>
      </c>
      <c r="G141" s="171">
        <v>485730</v>
      </c>
      <c r="H141" s="171">
        <v>4933.8</v>
      </c>
      <c r="I141" s="171">
        <v>1480</v>
      </c>
      <c r="J141" s="168">
        <v>42895</v>
      </c>
      <c r="K141" s="168"/>
      <c r="L141" s="171"/>
      <c r="M141" s="171"/>
      <c r="N141" s="171"/>
      <c r="O141" s="171"/>
      <c r="P141" s="172"/>
    </row>
    <row r="142" spans="1:16">
      <c r="A142" s="167">
        <v>42895</v>
      </c>
      <c r="B142" s="168">
        <v>42896</v>
      </c>
      <c r="C142" s="169" t="s">
        <v>315</v>
      </c>
      <c r="D142" s="170" t="s">
        <v>12</v>
      </c>
      <c r="E142" s="171">
        <v>34731905.579999998</v>
      </c>
      <c r="F142" s="171">
        <v>318600</v>
      </c>
      <c r="G142" s="171">
        <v>4476804</v>
      </c>
      <c r="H142" s="171">
        <v>70822.98</v>
      </c>
      <c r="I142" s="171">
        <v>21247</v>
      </c>
      <c r="J142" s="168">
        <v>42895</v>
      </c>
      <c r="K142" s="168"/>
      <c r="L142" s="171"/>
      <c r="M142" s="171"/>
      <c r="N142" s="171"/>
      <c r="O142" s="171"/>
      <c r="P142" s="172"/>
    </row>
    <row r="143" spans="1:16">
      <c r="A143" s="167">
        <v>42895</v>
      </c>
      <c r="B143" s="168">
        <v>42896</v>
      </c>
      <c r="C143" s="169" t="s">
        <v>315</v>
      </c>
      <c r="D143" s="170" t="s">
        <v>13</v>
      </c>
      <c r="E143" s="171">
        <v>97429565.659999996</v>
      </c>
      <c r="F143" s="171">
        <v>649000</v>
      </c>
      <c r="G143" s="171">
        <v>12585070</v>
      </c>
      <c r="H143" s="171">
        <v>20514</v>
      </c>
      <c r="I143" s="171">
        <v>6155</v>
      </c>
      <c r="J143" s="168">
        <v>42895</v>
      </c>
      <c r="K143" s="168"/>
      <c r="L143" s="171"/>
      <c r="M143" s="171"/>
      <c r="N143" s="171"/>
      <c r="O143" s="171"/>
      <c r="P143" s="172"/>
    </row>
    <row r="144" spans="1:16">
      <c r="A144" s="167">
        <v>42899</v>
      </c>
      <c r="B144" s="168">
        <v>42900</v>
      </c>
      <c r="C144" s="169" t="s">
        <v>317</v>
      </c>
      <c r="D144" s="170" t="s">
        <v>8</v>
      </c>
      <c r="E144" s="171">
        <v>867716.7</v>
      </c>
      <c r="F144" s="171">
        <v>0</v>
      </c>
      <c r="G144" s="171">
        <v>112802</v>
      </c>
      <c r="H144" s="171">
        <v>0</v>
      </c>
      <c r="I144" s="171">
        <v>0</v>
      </c>
      <c r="J144" s="168">
        <v>42899</v>
      </c>
      <c r="K144" s="168">
        <v>42636</v>
      </c>
      <c r="L144" s="171">
        <v>-445000</v>
      </c>
      <c r="M144" s="171">
        <v>0</v>
      </c>
      <c r="N144" s="171">
        <v>-57850</v>
      </c>
      <c r="O144" s="171">
        <v>0</v>
      </c>
      <c r="P144" s="172">
        <v>0</v>
      </c>
    </row>
    <row r="145" spans="1:16">
      <c r="A145" s="167">
        <v>42899</v>
      </c>
      <c r="B145" s="168">
        <v>42900</v>
      </c>
      <c r="C145" s="169" t="s">
        <v>317</v>
      </c>
      <c r="D145" s="170" t="s">
        <v>9</v>
      </c>
      <c r="E145" s="171">
        <v>2782872.75</v>
      </c>
      <c r="F145" s="171">
        <v>0</v>
      </c>
      <c r="G145" s="171">
        <v>361774</v>
      </c>
      <c r="H145" s="171">
        <v>0</v>
      </c>
      <c r="I145" s="171">
        <v>0</v>
      </c>
      <c r="J145" s="168">
        <v>42899</v>
      </c>
      <c r="K145" s="168"/>
      <c r="L145" s="171"/>
      <c r="M145" s="171"/>
      <c r="N145" s="171"/>
      <c r="O145" s="171"/>
      <c r="P145" s="172"/>
    </row>
    <row r="146" spans="1:16">
      <c r="A146" s="167">
        <v>42902</v>
      </c>
      <c r="B146" s="168">
        <v>42903</v>
      </c>
      <c r="C146" s="169" t="s">
        <v>317</v>
      </c>
      <c r="D146" s="170" t="s">
        <v>8</v>
      </c>
      <c r="E146" s="171">
        <v>24470513.109999999</v>
      </c>
      <c r="F146" s="171">
        <v>0</v>
      </c>
      <c r="G146" s="171">
        <v>3181165</v>
      </c>
      <c r="H146" s="171">
        <v>0</v>
      </c>
      <c r="I146" s="171">
        <v>0</v>
      </c>
      <c r="J146" s="168">
        <v>42902</v>
      </c>
      <c r="K146" s="168">
        <v>42517</v>
      </c>
      <c r="L146" s="171">
        <v>-53500</v>
      </c>
      <c r="M146" s="171">
        <v>0</v>
      </c>
      <c r="N146" s="171">
        <v>-6955</v>
      </c>
      <c r="O146" s="171">
        <v>0</v>
      </c>
      <c r="P146" s="172">
        <v>0</v>
      </c>
    </row>
    <row r="147" spans="1:16">
      <c r="A147" s="167">
        <v>42902</v>
      </c>
      <c r="B147" s="168">
        <v>42903</v>
      </c>
      <c r="C147" s="169" t="s">
        <v>317</v>
      </c>
      <c r="D147" s="170" t="s">
        <v>9</v>
      </c>
      <c r="E147" s="171">
        <v>1016047.98</v>
      </c>
      <c r="F147" s="171">
        <v>0</v>
      </c>
      <c r="G147" s="171">
        <v>132087</v>
      </c>
      <c r="H147" s="171">
        <v>0</v>
      </c>
      <c r="I147" s="171">
        <v>0</v>
      </c>
      <c r="J147" s="168">
        <v>42902</v>
      </c>
      <c r="K147" s="168"/>
      <c r="L147" s="171"/>
      <c r="M147" s="171"/>
      <c r="N147" s="171"/>
      <c r="O147" s="171"/>
      <c r="P147" s="172"/>
    </row>
    <row r="148" spans="1:16">
      <c r="A148" s="167">
        <v>42902</v>
      </c>
      <c r="B148" s="168">
        <v>42903</v>
      </c>
      <c r="C148" s="169" t="s">
        <v>317</v>
      </c>
      <c r="D148" s="170" t="s">
        <v>11</v>
      </c>
      <c r="E148" s="171">
        <v>2329855.39</v>
      </c>
      <c r="F148" s="171">
        <v>0</v>
      </c>
      <c r="G148" s="171">
        <v>302881</v>
      </c>
      <c r="H148" s="171">
        <v>0</v>
      </c>
      <c r="I148" s="171">
        <v>0</v>
      </c>
      <c r="J148" s="168">
        <v>42902</v>
      </c>
      <c r="K148" s="168"/>
      <c r="L148" s="171"/>
      <c r="M148" s="171"/>
      <c r="N148" s="171"/>
      <c r="O148" s="171"/>
      <c r="P148" s="172"/>
    </row>
    <row r="149" spans="1:16">
      <c r="A149" s="167">
        <v>42902</v>
      </c>
      <c r="B149" s="168">
        <v>42903</v>
      </c>
      <c r="C149" s="169" t="s">
        <v>316</v>
      </c>
      <c r="D149" s="170" t="s">
        <v>7</v>
      </c>
      <c r="E149" s="171">
        <v>4778816.6900000004</v>
      </c>
      <c r="F149" s="171">
        <v>0</v>
      </c>
      <c r="G149" s="171">
        <v>621246</v>
      </c>
      <c r="H149" s="171">
        <v>0</v>
      </c>
      <c r="I149" s="171">
        <v>0</v>
      </c>
      <c r="J149" s="168">
        <v>42902</v>
      </c>
      <c r="K149" s="168"/>
      <c r="L149" s="171"/>
      <c r="M149" s="171"/>
      <c r="N149" s="171"/>
      <c r="O149" s="171"/>
      <c r="P149" s="172"/>
    </row>
    <row r="150" spans="1:16">
      <c r="A150" s="167">
        <v>42907</v>
      </c>
      <c r="B150" s="168">
        <v>42908</v>
      </c>
      <c r="C150" s="169" t="s">
        <v>317</v>
      </c>
      <c r="D150" s="170" t="s">
        <v>8</v>
      </c>
      <c r="E150" s="171">
        <v>1521347.44</v>
      </c>
      <c r="F150" s="171">
        <v>0</v>
      </c>
      <c r="G150" s="171">
        <v>197774</v>
      </c>
      <c r="H150" s="171">
        <v>0</v>
      </c>
      <c r="I150" s="171">
        <v>0</v>
      </c>
      <c r="J150" s="168">
        <v>42907</v>
      </c>
      <c r="K150" s="168"/>
      <c r="L150" s="171"/>
      <c r="M150" s="171"/>
      <c r="N150" s="171"/>
      <c r="O150" s="171"/>
      <c r="P150" s="172"/>
    </row>
    <row r="151" spans="1:16">
      <c r="A151" s="167">
        <v>42907</v>
      </c>
      <c r="B151" s="168">
        <v>42908</v>
      </c>
      <c r="C151" s="169" t="s">
        <v>317</v>
      </c>
      <c r="D151" s="170" t="s">
        <v>9</v>
      </c>
      <c r="E151" s="171">
        <v>673020.24</v>
      </c>
      <c r="F151" s="171">
        <v>0</v>
      </c>
      <c r="G151" s="171">
        <v>87492</v>
      </c>
      <c r="H151" s="171">
        <v>0</v>
      </c>
      <c r="I151" s="171">
        <v>0</v>
      </c>
      <c r="J151" s="168">
        <v>42907</v>
      </c>
      <c r="K151" s="168">
        <v>42706</v>
      </c>
      <c r="L151" s="171">
        <v>-4000</v>
      </c>
      <c r="M151" s="171">
        <v>0</v>
      </c>
      <c r="N151" s="171">
        <v>-520</v>
      </c>
      <c r="O151" s="171">
        <v>0</v>
      </c>
      <c r="P151" s="172">
        <v>0</v>
      </c>
    </row>
    <row r="152" spans="1:16">
      <c r="A152" s="167">
        <v>42907</v>
      </c>
      <c r="B152" s="168"/>
      <c r="C152" s="169" t="s">
        <v>317</v>
      </c>
      <c r="D152" s="170" t="s">
        <v>9</v>
      </c>
      <c r="E152" s="171"/>
      <c r="F152" s="171"/>
      <c r="G152" s="171"/>
      <c r="H152" s="171"/>
      <c r="I152" s="171"/>
      <c r="J152" s="168">
        <v>42907</v>
      </c>
      <c r="K152" s="168">
        <v>42853</v>
      </c>
      <c r="L152" s="171">
        <v>-12000</v>
      </c>
      <c r="M152" s="171">
        <v>0</v>
      </c>
      <c r="N152" s="171">
        <v>-1560</v>
      </c>
      <c r="O152" s="171">
        <v>0</v>
      </c>
      <c r="P152" s="172">
        <v>0</v>
      </c>
    </row>
    <row r="153" spans="1:16">
      <c r="A153" s="167">
        <v>42907</v>
      </c>
      <c r="B153" s="168">
        <v>42908</v>
      </c>
      <c r="C153" s="169" t="s">
        <v>317</v>
      </c>
      <c r="D153" s="170" t="s">
        <v>11</v>
      </c>
      <c r="E153" s="171">
        <v>148599.16</v>
      </c>
      <c r="F153" s="171">
        <v>0</v>
      </c>
      <c r="G153" s="171">
        <v>19318</v>
      </c>
      <c r="H153" s="171">
        <v>0</v>
      </c>
      <c r="I153" s="171">
        <v>0</v>
      </c>
      <c r="J153" s="168">
        <v>42907</v>
      </c>
      <c r="K153" s="168"/>
      <c r="L153" s="171"/>
      <c r="M153" s="171"/>
      <c r="N153" s="171"/>
      <c r="O153" s="171"/>
      <c r="P153" s="172"/>
    </row>
    <row r="154" spans="1:16">
      <c r="A154" s="167">
        <v>42912</v>
      </c>
      <c r="B154" s="168">
        <v>42913</v>
      </c>
      <c r="C154" s="169" t="s">
        <v>315</v>
      </c>
      <c r="D154" s="170" t="s">
        <v>7</v>
      </c>
      <c r="E154" s="171">
        <v>11495876.880000001</v>
      </c>
      <c r="F154" s="171">
        <v>0</v>
      </c>
      <c r="G154" s="171">
        <v>1494474</v>
      </c>
      <c r="H154" s="171">
        <v>0</v>
      </c>
      <c r="I154" s="171">
        <v>0</v>
      </c>
      <c r="J154" s="168">
        <v>42912</v>
      </c>
      <c r="K154" s="168"/>
      <c r="L154" s="171"/>
      <c r="M154" s="171"/>
      <c r="N154" s="171"/>
      <c r="O154" s="171"/>
      <c r="P154" s="172"/>
    </row>
    <row r="155" spans="1:16">
      <c r="A155" s="167">
        <v>42912</v>
      </c>
      <c r="B155" s="168">
        <v>42913</v>
      </c>
      <c r="C155" s="169" t="s">
        <v>315</v>
      </c>
      <c r="D155" s="170" t="s">
        <v>8</v>
      </c>
      <c r="E155" s="171">
        <v>506484.21</v>
      </c>
      <c r="F155" s="171">
        <v>0</v>
      </c>
      <c r="G155" s="171">
        <v>65845</v>
      </c>
      <c r="H155" s="171">
        <v>122</v>
      </c>
      <c r="I155" s="171">
        <v>37</v>
      </c>
      <c r="J155" s="168">
        <v>42912</v>
      </c>
      <c r="K155" s="168"/>
      <c r="L155" s="171"/>
      <c r="M155" s="171"/>
      <c r="N155" s="171"/>
      <c r="O155" s="171"/>
      <c r="P155" s="172"/>
    </row>
    <row r="156" spans="1:16">
      <c r="A156" s="167">
        <v>42912</v>
      </c>
      <c r="B156" s="168">
        <v>42913</v>
      </c>
      <c r="C156" s="169" t="s">
        <v>315</v>
      </c>
      <c r="D156" s="170" t="s">
        <v>9</v>
      </c>
      <c r="E156" s="171">
        <v>30299</v>
      </c>
      <c r="F156" s="171">
        <v>0</v>
      </c>
      <c r="G156" s="171">
        <v>3939</v>
      </c>
      <c r="H156" s="171">
        <v>0</v>
      </c>
      <c r="I156" s="171">
        <v>0</v>
      </c>
      <c r="J156" s="168">
        <v>42912</v>
      </c>
      <c r="K156" s="168"/>
      <c r="L156" s="171"/>
      <c r="M156" s="171"/>
      <c r="N156" s="171"/>
      <c r="O156" s="171"/>
      <c r="P156" s="172"/>
    </row>
    <row r="157" spans="1:16">
      <c r="A157" s="167">
        <v>42912</v>
      </c>
      <c r="B157" s="168">
        <v>42913</v>
      </c>
      <c r="C157" s="169" t="s">
        <v>315</v>
      </c>
      <c r="D157" s="170" t="s">
        <v>11</v>
      </c>
      <c r="E157" s="171">
        <v>6811.23</v>
      </c>
      <c r="F157" s="171">
        <v>0</v>
      </c>
      <c r="G157" s="171">
        <v>885</v>
      </c>
      <c r="H157" s="171">
        <v>0</v>
      </c>
      <c r="I157" s="171">
        <v>0</v>
      </c>
      <c r="J157" s="168">
        <v>42912</v>
      </c>
      <c r="K157" s="168"/>
      <c r="L157" s="171"/>
      <c r="M157" s="171"/>
      <c r="N157" s="171"/>
      <c r="O157" s="171"/>
      <c r="P157" s="172"/>
    </row>
    <row r="158" spans="1:16">
      <c r="A158" s="167">
        <v>42912</v>
      </c>
      <c r="B158" s="168">
        <v>42913</v>
      </c>
      <c r="C158" s="169" t="s">
        <v>315</v>
      </c>
      <c r="D158" s="170" t="s">
        <v>12</v>
      </c>
      <c r="E158" s="171">
        <v>160209.63</v>
      </c>
      <c r="F158" s="171">
        <v>3000</v>
      </c>
      <c r="G158" s="171">
        <v>20438</v>
      </c>
      <c r="H158" s="171">
        <v>0</v>
      </c>
      <c r="I158" s="171">
        <v>0</v>
      </c>
      <c r="J158" s="168">
        <v>42912</v>
      </c>
      <c r="K158" s="168"/>
      <c r="L158" s="171"/>
      <c r="M158" s="171"/>
      <c r="N158" s="171"/>
      <c r="O158" s="171"/>
      <c r="P158" s="172"/>
    </row>
    <row r="159" spans="1:16">
      <c r="A159" s="167">
        <v>42912</v>
      </c>
      <c r="B159" s="168">
        <v>42913</v>
      </c>
      <c r="C159" s="169" t="s">
        <v>315</v>
      </c>
      <c r="D159" s="170" t="s">
        <v>13</v>
      </c>
      <c r="E159" s="171">
        <v>2934486.48</v>
      </c>
      <c r="F159" s="171">
        <v>0</v>
      </c>
      <c r="G159" s="171">
        <v>381481</v>
      </c>
      <c r="H159" s="171">
        <v>0</v>
      </c>
      <c r="I159" s="171">
        <v>0</v>
      </c>
      <c r="J159" s="168">
        <v>42912</v>
      </c>
      <c r="K159" s="168"/>
      <c r="L159" s="171"/>
      <c r="M159" s="171"/>
      <c r="N159" s="171"/>
      <c r="O159" s="171"/>
      <c r="P159" s="172"/>
    </row>
    <row r="160" spans="1:16">
      <c r="A160" s="167">
        <v>42916</v>
      </c>
      <c r="B160" s="168"/>
      <c r="C160" s="169" t="s">
        <v>315</v>
      </c>
      <c r="D160" s="170" t="s">
        <v>7</v>
      </c>
      <c r="E160" s="171">
        <v>0</v>
      </c>
      <c r="F160" s="171">
        <v>0</v>
      </c>
      <c r="G160" s="171">
        <v>-14845</v>
      </c>
      <c r="H160" s="171">
        <v>0</v>
      </c>
      <c r="I160" s="171">
        <v>14845</v>
      </c>
      <c r="J160" s="168">
        <v>42916</v>
      </c>
      <c r="K160" s="168">
        <v>42745</v>
      </c>
      <c r="L160" s="171">
        <v>-12452.8</v>
      </c>
      <c r="M160" s="171">
        <v>0</v>
      </c>
      <c r="N160" s="171">
        <v>-1619</v>
      </c>
      <c r="O160" s="171">
        <v>0</v>
      </c>
      <c r="P160" s="172">
        <v>0</v>
      </c>
    </row>
    <row r="161" spans="1:16">
      <c r="A161" s="167">
        <v>42916</v>
      </c>
      <c r="B161" s="168"/>
      <c r="C161" s="169" t="s">
        <v>315</v>
      </c>
      <c r="D161" s="170" t="s">
        <v>7</v>
      </c>
      <c r="E161" s="171"/>
      <c r="F161" s="171"/>
      <c r="G161" s="171"/>
      <c r="H161" s="171"/>
      <c r="I161" s="171"/>
      <c r="J161" s="168">
        <v>42916</v>
      </c>
      <c r="K161" s="168">
        <v>42776</v>
      </c>
      <c r="L161" s="171">
        <v>-5931.8</v>
      </c>
      <c r="M161" s="171">
        <v>0</v>
      </c>
      <c r="N161" s="171">
        <v>-771</v>
      </c>
      <c r="O161" s="171">
        <v>0</v>
      </c>
      <c r="P161" s="172">
        <v>0</v>
      </c>
    </row>
    <row r="162" spans="1:16">
      <c r="A162" s="167">
        <v>42916</v>
      </c>
      <c r="B162" s="168"/>
      <c r="C162" s="169" t="s">
        <v>315</v>
      </c>
      <c r="D162" s="170" t="s">
        <v>7</v>
      </c>
      <c r="E162" s="171"/>
      <c r="F162" s="171"/>
      <c r="G162" s="171"/>
      <c r="H162" s="171"/>
      <c r="I162" s="171"/>
      <c r="J162" s="168">
        <v>42916</v>
      </c>
      <c r="K162" s="168">
        <v>42804</v>
      </c>
      <c r="L162" s="171">
        <v>-12510.42</v>
      </c>
      <c r="M162" s="171">
        <v>0</v>
      </c>
      <c r="N162" s="171">
        <v>-1627</v>
      </c>
      <c r="O162" s="171">
        <v>0</v>
      </c>
      <c r="P162" s="172">
        <v>0</v>
      </c>
    </row>
    <row r="163" spans="1:16">
      <c r="A163" s="167">
        <v>42916</v>
      </c>
      <c r="B163" s="168"/>
      <c r="C163" s="169" t="s">
        <v>315</v>
      </c>
      <c r="D163" s="170" t="s">
        <v>7</v>
      </c>
      <c r="E163" s="171"/>
      <c r="F163" s="171"/>
      <c r="G163" s="171"/>
      <c r="H163" s="171"/>
      <c r="I163" s="171"/>
      <c r="J163" s="168">
        <v>42916</v>
      </c>
      <c r="K163" s="168">
        <v>42835</v>
      </c>
      <c r="L163" s="171">
        <v>-19896.7</v>
      </c>
      <c r="M163" s="171">
        <v>0</v>
      </c>
      <c r="N163" s="171">
        <v>-2588</v>
      </c>
      <c r="O163" s="171">
        <v>0</v>
      </c>
      <c r="P163" s="172">
        <v>0</v>
      </c>
    </row>
    <row r="164" spans="1:16">
      <c r="A164" s="167">
        <v>42916</v>
      </c>
      <c r="B164" s="168"/>
      <c r="C164" s="169" t="s">
        <v>315</v>
      </c>
      <c r="D164" s="170" t="s">
        <v>7</v>
      </c>
      <c r="E164" s="171"/>
      <c r="F164" s="171"/>
      <c r="G164" s="171"/>
      <c r="H164" s="171"/>
      <c r="I164" s="171"/>
      <c r="J164" s="168">
        <v>42916</v>
      </c>
      <c r="K164" s="168">
        <v>42858</v>
      </c>
      <c r="L164" s="171">
        <v>-9381</v>
      </c>
      <c r="M164" s="171">
        <v>0</v>
      </c>
      <c r="N164" s="171">
        <v>-1220</v>
      </c>
      <c r="O164" s="171">
        <v>0</v>
      </c>
      <c r="P164" s="172">
        <v>0</v>
      </c>
    </row>
    <row r="165" spans="1:16">
      <c r="A165" s="167">
        <v>42916</v>
      </c>
      <c r="B165" s="168"/>
      <c r="C165" s="169" t="s">
        <v>315</v>
      </c>
      <c r="D165" s="170" t="s">
        <v>7</v>
      </c>
      <c r="E165" s="171"/>
      <c r="F165" s="171"/>
      <c r="G165" s="171"/>
      <c r="H165" s="171"/>
      <c r="I165" s="171"/>
      <c r="J165" s="168">
        <v>42916</v>
      </c>
      <c r="K165" s="168">
        <v>42859</v>
      </c>
      <c r="L165" s="171">
        <v>-14359.21</v>
      </c>
      <c r="M165" s="171">
        <v>-500</v>
      </c>
      <c r="N165" s="171">
        <v>-1802</v>
      </c>
      <c r="O165" s="171">
        <v>0</v>
      </c>
      <c r="P165" s="172">
        <v>0</v>
      </c>
    </row>
    <row r="166" spans="1:16">
      <c r="A166" s="167">
        <v>42916</v>
      </c>
      <c r="B166" s="168"/>
      <c r="C166" s="169" t="s">
        <v>315</v>
      </c>
      <c r="D166" s="170" t="s">
        <v>7</v>
      </c>
      <c r="E166" s="171"/>
      <c r="F166" s="171"/>
      <c r="G166" s="171"/>
      <c r="H166" s="171"/>
      <c r="I166" s="171"/>
      <c r="J166" s="168">
        <v>42916</v>
      </c>
      <c r="K166" s="168">
        <v>42895</v>
      </c>
      <c r="L166" s="171">
        <v>-8631.41</v>
      </c>
      <c r="M166" s="171">
        <v>-500</v>
      </c>
      <c r="N166" s="171">
        <v>-1057</v>
      </c>
      <c r="O166" s="171">
        <v>0</v>
      </c>
      <c r="P166" s="172">
        <v>0</v>
      </c>
    </row>
    <row r="167" spans="1:16">
      <c r="A167" s="167">
        <v>42916</v>
      </c>
      <c r="B167" s="168"/>
      <c r="C167" s="169" t="s">
        <v>315</v>
      </c>
      <c r="D167" s="170" t="s">
        <v>8</v>
      </c>
      <c r="E167" s="171"/>
      <c r="F167" s="171"/>
      <c r="G167" s="171"/>
      <c r="H167" s="171"/>
      <c r="I167" s="171"/>
      <c r="J167" s="168">
        <v>42916</v>
      </c>
      <c r="K167" s="168">
        <v>42745</v>
      </c>
      <c r="L167" s="171">
        <v>-2774</v>
      </c>
      <c r="M167" s="171">
        <v>0</v>
      </c>
      <c r="N167" s="171">
        <v>-361</v>
      </c>
      <c r="O167" s="171">
        <v>0</v>
      </c>
      <c r="P167" s="172">
        <v>0</v>
      </c>
    </row>
    <row r="168" spans="1:16">
      <c r="A168" s="167">
        <v>42916</v>
      </c>
      <c r="B168" s="168"/>
      <c r="C168" s="169" t="s">
        <v>315</v>
      </c>
      <c r="D168" s="170" t="s">
        <v>12</v>
      </c>
      <c r="E168" s="171"/>
      <c r="F168" s="171"/>
      <c r="G168" s="171"/>
      <c r="H168" s="171"/>
      <c r="I168" s="171"/>
      <c r="J168" s="168">
        <v>42916</v>
      </c>
      <c r="K168" s="168">
        <v>42835</v>
      </c>
      <c r="L168" s="171">
        <v>-5328.1</v>
      </c>
      <c r="M168" s="171">
        <v>-500</v>
      </c>
      <c r="N168" s="171">
        <v>-628</v>
      </c>
      <c r="O168" s="171">
        <v>0</v>
      </c>
      <c r="P168" s="172">
        <v>0</v>
      </c>
    </row>
    <row r="169" spans="1:16">
      <c r="A169" s="167">
        <v>42916</v>
      </c>
      <c r="B169" s="168">
        <v>42917</v>
      </c>
      <c r="C169" s="169" t="s">
        <v>317</v>
      </c>
      <c r="D169" s="170" t="s">
        <v>8</v>
      </c>
      <c r="E169" s="171">
        <v>384426.16</v>
      </c>
      <c r="F169" s="171">
        <v>0</v>
      </c>
      <c r="G169" s="171">
        <v>49976</v>
      </c>
      <c r="H169" s="171">
        <v>0</v>
      </c>
      <c r="I169" s="171">
        <v>0</v>
      </c>
      <c r="J169" s="168">
        <v>42916</v>
      </c>
      <c r="K169" s="168">
        <v>42907</v>
      </c>
      <c r="L169" s="171">
        <v>-12000</v>
      </c>
      <c r="M169" s="171">
        <v>0</v>
      </c>
      <c r="N169" s="171">
        <v>-1560</v>
      </c>
      <c r="O169" s="171">
        <v>0</v>
      </c>
      <c r="P169" s="172">
        <v>0</v>
      </c>
    </row>
    <row r="170" spans="1:16">
      <c r="A170" s="167">
        <v>42916</v>
      </c>
      <c r="B170" s="168">
        <v>42917</v>
      </c>
      <c r="C170" s="169" t="s">
        <v>317</v>
      </c>
      <c r="D170" s="170" t="s">
        <v>9</v>
      </c>
      <c r="E170" s="171">
        <v>1136499.71</v>
      </c>
      <c r="F170" s="171">
        <v>0</v>
      </c>
      <c r="G170" s="171">
        <v>147744</v>
      </c>
      <c r="H170" s="171">
        <v>0</v>
      </c>
      <c r="I170" s="171">
        <v>0</v>
      </c>
      <c r="J170" s="168">
        <v>42916</v>
      </c>
      <c r="K170" s="168">
        <v>42839</v>
      </c>
      <c r="L170" s="171">
        <v>-252000</v>
      </c>
      <c r="M170" s="171">
        <v>0</v>
      </c>
      <c r="N170" s="171">
        <v>-32760</v>
      </c>
      <c r="O170" s="171">
        <v>0</v>
      </c>
      <c r="P170" s="172">
        <v>0</v>
      </c>
    </row>
    <row r="171" spans="1:16">
      <c r="A171" s="167">
        <v>42916</v>
      </c>
      <c r="B171" s="168"/>
      <c r="C171" s="169" t="s">
        <v>317</v>
      </c>
      <c r="D171" s="170" t="s">
        <v>9</v>
      </c>
      <c r="E171" s="171"/>
      <c r="F171" s="171"/>
      <c r="G171" s="171"/>
      <c r="H171" s="171"/>
      <c r="I171" s="171"/>
      <c r="J171" s="168">
        <v>42916</v>
      </c>
      <c r="K171" s="168">
        <v>42907</v>
      </c>
      <c r="L171" s="171">
        <v>-10000</v>
      </c>
      <c r="M171" s="171">
        <v>0</v>
      </c>
      <c r="N171" s="171">
        <v>-1300</v>
      </c>
      <c r="O171" s="171">
        <v>0</v>
      </c>
      <c r="P171" s="172">
        <v>0</v>
      </c>
    </row>
    <row r="172" spans="1:16">
      <c r="A172" s="167">
        <v>42916</v>
      </c>
      <c r="B172" s="168">
        <v>42917</v>
      </c>
      <c r="C172" s="169" t="s">
        <v>316</v>
      </c>
      <c r="D172" s="170" t="s">
        <v>7</v>
      </c>
      <c r="E172" s="171">
        <v>3498970.65</v>
      </c>
      <c r="F172" s="171">
        <v>0</v>
      </c>
      <c r="G172" s="171">
        <v>454867</v>
      </c>
      <c r="H172" s="171">
        <v>88931</v>
      </c>
      <c r="I172" s="171">
        <v>26679</v>
      </c>
      <c r="J172" s="168">
        <v>42916</v>
      </c>
      <c r="K172" s="168"/>
      <c r="L172" s="171"/>
      <c r="M172" s="171"/>
      <c r="N172" s="171"/>
      <c r="O172" s="171"/>
      <c r="P172" s="172"/>
    </row>
    <row r="173" spans="1:16">
      <c r="A173" s="167">
        <v>42923</v>
      </c>
      <c r="B173" s="168">
        <v>42924</v>
      </c>
      <c r="C173" s="169" t="s">
        <v>317</v>
      </c>
      <c r="D173" s="170" t="s">
        <v>8</v>
      </c>
      <c r="E173" s="171">
        <v>1371745.85</v>
      </c>
      <c r="F173" s="171">
        <v>0</v>
      </c>
      <c r="G173" s="171">
        <v>178328</v>
      </c>
      <c r="H173" s="171">
        <v>0</v>
      </c>
      <c r="I173" s="171">
        <v>0</v>
      </c>
      <c r="J173" s="168">
        <v>42923</v>
      </c>
      <c r="K173" s="168">
        <v>42865</v>
      </c>
      <c r="L173" s="171">
        <v>-178000</v>
      </c>
      <c r="M173" s="171">
        <v>0</v>
      </c>
      <c r="N173" s="171">
        <v>-23140</v>
      </c>
      <c r="O173" s="171">
        <v>0</v>
      </c>
      <c r="P173" s="172">
        <v>0</v>
      </c>
    </row>
    <row r="174" spans="1:16">
      <c r="A174" s="167">
        <v>42923</v>
      </c>
      <c r="B174" s="168">
        <v>42924</v>
      </c>
      <c r="C174" s="169" t="s">
        <v>317</v>
      </c>
      <c r="D174" s="170" t="s">
        <v>9</v>
      </c>
      <c r="E174" s="171">
        <v>1381050.23</v>
      </c>
      <c r="F174" s="171">
        <v>0</v>
      </c>
      <c r="G174" s="171">
        <v>179538</v>
      </c>
      <c r="H174" s="171">
        <v>0</v>
      </c>
      <c r="I174" s="171">
        <v>0</v>
      </c>
      <c r="J174" s="168">
        <v>42923</v>
      </c>
      <c r="K174" s="168">
        <v>42853</v>
      </c>
      <c r="L174" s="171">
        <v>-61000</v>
      </c>
      <c r="M174" s="171">
        <v>0</v>
      </c>
      <c r="N174" s="171">
        <v>-7930</v>
      </c>
      <c r="O174" s="171">
        <v>0</v>
      </c>
      <c r="P174" s="172">
        <v>0</v>
      </c>
    </row>
    <row r="175" spans="1:16">
      <c r="A175" s="167">
        <v>42923</v>
      </c>
      <c r="B175" s="168"/>
      <c r="C175" s="169" t="s">
        <v>317</v>
      </c>
      <c r="D175" s="170" t="s">
        <v>9</v>
      </c>
      <c r="E175" s="171"/>
      <c r="F175" s="171"/>
      <c r="G175" s="171"/>
      <c r="H175" s="171"/>
      <c r="I175" s="171"/>
      <c r="J175" s="168">
        <v>42923</v>
      </c>
      <c r="K175" s="168">
        <v>42865</v>
      </c>
      <c r="L175" s="171">
        <v>-12000</v>
      </c>
      <c r="M175" s="171">
        <v>0</v>
      </c>
      <c r="N175" s="171">
        <v>-1560</v>
      </c>
      <c r="O175" s="171">
        <v>0</v>
      </c>
      <c r="P175" s="172">
        <v>0</v>
      </c>
    </row>
    <row r="176" spans="1:16">
      <c r="A176" s="167">
        <v>42923</v>
      </c>
      <c r="B176" s="168"/>
      <c r="C176" s="169" t="s">
        <v>317</v>
      </c>
      <c r="D176" s="170" t="s">
        <v>11</v>
      </c>
      <c r="E176" s="171"/>
      <c r="F176" s="171"/>
      <c r="G176" s="171"/>
      <c r="H176" s="171"/>
      <c r="I176" s="171"/>
      <c r="J176" s="168">
        <v>42923</v>
      </c>
      <c r="K176" s="168">
        <v>42832</v>
      </c>
      <c r="L176" s="171">
        <v>-47500</v>
      </c>
      <c r="M176" s="171">
        <v>0</v>
      </c>
      <c r="N176" s="171">
        <v>-6175</v>
      </c>
      <c r="O176" s="171">
        <v>0</v>
      </c>
      <c r="P176" s="172">
        <v>0</v>
      </c>
    </row>
    <row r="177" spans="1:16">
      <c r="A177" s="167">
        <v>42926</v>
      </c>
      <c r="B177" s="168">
        <v>42927</v>
      </c>
      <c r="C177" s="169" t="s">
        <v>315</v>
      </c>
      <c r="D177" s="170" t="s">
        <v>7</v>
      </c>
      <c r="E177" s="171">
        <v>807545432.76999998</v>
      </c>
      <c r="F177" s="171">
        <v>3390300</v>
      </c>
      <c r="G177" s="171">
        <v>104550731</v>
      </c>
      <c r="H177" s="171">
        <v>2310119.75</v>
      </c>
      <c r="I177" s="171">
        <v>698828</v>
      </c>
      <c r="J177" s="168">
        <v>42926</v>
      </c>
      <c r="K177" s="168"/>
      <c r="L177" s="171"/>
      <c r="M177" s="171"/>
      <c r="N177" s="171"/>
      <c r="O177" s="171"/>
      <c r="P177" s="172"/>
    </row>
    <row r="178" spans="1:16">
      <c r="A178" s="167">
        <v>42926</v>
      </c>
      <c r="B178" s="168">
        <v>42927</v>
      </c>
      <c r="C178" s="169" t="s">
        <v>315</v>
      </c>
      <c r="D178" s="170" t="s">
        <v>8</v>
      </c>
      <c r="E178" s="171">
        <v>45434106.82</v>
      </c>
      <c r="F178" s="171">
        <v>130400</v>
      </c>
      <c r="G178" s="171">
        <v>5891500</v>
      </c>
      <c r="H178" s="171">
        <v>77423</v>
      </c>
      <c r="I178" s="171">
        <v>23229</v>
      </c>
      <c r="J178" s="168">
        <v>42926</v>
      </c>
      <c r="K178" s="168"/>
      <c r="L178" s="171"/>
      <c r="M178" s="171"/>
      <c r="N178" s="171"/>
      <c r="O178" s="171"/>
      <c r="P178" s="172"/>
    </row>
    <row r="179" spans="1:16">
      <c r="A179" s="167">
        <v>42926</v>
      </c>
      <c r="B179" s="168">
        <v>42927</v>
      </c>
      <c r="C179" s="169" t="s">
        <v>315</v>
      </c>
      <c r="D179" s="170" t="s">
        <v>9</v>
      </c>
      <c r="E179" s="171">
        <v>23717259.530000001</v>
      </c>
      <c r="F179" s="171">
        <v>30000</v>
      </c>
      <c r="G179" s="171">
        <v>3079812</v>
      </c>
      <c r="H179" s="171">
        <v>9453</v>
      </c>
      <c r="I179" s="171">
        <v>2836</v>
      </c>
      <c r="J179" s="168">
        <v>42926</v>
      </c>
      <c r="K179" s="168"/>
      <c r="L179" s="171"/>
      <c r="M179" s="171"/>
      <c r="N179" s="171"/>
      <c r="O179" s="171"/>
      <c r="P179" s="172"/>
    </row>
    <row r="180" spans="1:16">
      <c r="A180" s="167">
        <v>42926</v>
      </c>
      <c r="B180" s="168">
        <v>42927</v>
      </c>
      <c r="C180" s="169" t="s">
        <v>315</v>
      </c>
      <c r="D180" s="170" t="s">
        <v>11</v>
      </c>
      <c r="E180" s="171">
        <v>3735232.56</v>
      </c>
      <c r="F180" s="171">
        <v>11000</v>
      </c>
      <c r="G180" s="171">
        <v>484150</v>
      </c>
      <c r="H180" s="171">
        <v>4933.8</v>
      </c>
      <c r="I180" s="171">
        <v>1480</v>
      </c>
      <c r="J180" s="168">
        <v>42926</v>
      </c>
      <c r="K180" s="168"/>
      <c r="L180" s="171"/>
      <c r="M180" s="171"/>
      <c r="N180" s="171"/>
      <c r="O180" s="171"/>
      <c r="P180" s="172"/>
    </row>
    <row r="181" spans="1:16">
      <c r="A181" s="167">
        <v>42926</v>
      </c>
      <c r="B181" s="168">
        <v>42927</v>
      </c>
      <c r="C181" s="169" t="s">
        <v>315</v>
      </c>
      <c r="D181" s="170" t="s">
        <v>12</v>
      </c>
      <c r="E181" s="171">
        <v>34695613.380000003</v>
      </c>
      <c r="F181" s="171">
        <v>296300</v>
      </c>
      <c r="G181" s="171">
        <v>4475361</v>
      </c>
      <c r="H181" s="171">
        <v>70822.98</v>
      </c>
      <c r="I181" s="171">
        <v>21247</v>
      </c>
      <c r="J181" s="168">
        <v>42926</v>
      </c>
      <c r="K181" s="168"/>
      <c r="L181" s="171"/>
      <c r="M181" s="171"/>
      <c r="N181" s="171"/>
      <c r="O181" s="171"/>
      <c r="P181" s="172"/>
    </row>
    <row r="182" spans="1:16">
      <c r="A182" s="167">
        <v>42926</v>
      </c>
      <c r="B182" s="168">
        <v>42927</v>
      </c>
      <c r="C182" s="169" t="s">
        <v>315</v>
      </c>
      <c r="D182" s="170" t="s">
        <v>13</v>
      </c>
      <c r="E182" s="171">
        <v>104244850.20999999</v>
      </c>
      <c r="F182" s="171">
        <v>577400</v>
      </c>
      <c r="G182" s="171">
        <v>13480504</v>
      </c>
      <c r="H182" s="171">
        <v>20514</v>
      </c>
      <c r="I182" s="171">
        <v>6155</v>
      </c>
      <c r="J182" s="168">
        <v>42926</v>
      </c>
      <c r="K182" s="168"/>
      <c r="L182" s="171"/>
      <c r="M182" s="171"/>
      <c r="N182" s="171"/>
      <c r="O182" s="171"/>
      <c r="P182" s="172"/>
    </row>
    <row r="183" spans="1:16">
      <c r="A183" s="167">
        <v>42927</v>
      </c>
      <c r="B183" s="168">
        <v>42928</v>
      </c>
      <c r="C183" s="169" t="s">
        <v>315</v>
      </c>
      <c r="D183" s="170" t="s">
        <v>7</v>
      </c>
      <c r="E183" s="171">
        <v>330255243.01999998</v>
      </c>
      <c r="F183" s="171">
        <v>2301100</v>
      </c>
      <c r="G183" s="171">
        <v>42648939</v>
      </c>
      <c r="H183" s="171">
        <v>283149.21999999997</v>
      </c>
      <c r="I183" s="171">
        <v>87312</v>
      </c>
      <c r="J183" s="168">
        <v>42927</v>
      </c>
      <c r="K183" s="168"/>
      <c r="L183" s="171"/>
      <c r="M183" s="171"/>
      <c r="N183" s="171"/>
      <c r="O183" s="171"/>
      <c r="P183" s="172"/>
    </row>
    <row r="184" spans="1:16">
      <c r="A184" s="167">
        <v>42928</v>
      </c>
      <c r="B184" s="168">
        <v>42929</v>
      </c>
      <c r="C184" s="169" t="s">
        <v>315</v>
      </c>
      <c r="D184" s="170" t="s">
        <v>12</v>
      </c>
      <c r="E184" s="171">
        <v>2668642.09</v>
      </c>
      <c r="F184" s="171">
        <v>0</v>
      </c>
      <c r="G184" s="171">
        <v>346922</v>
      </c>
      <c r="H184" s="171">
        <v>0</v>
      </c>
      <c r="I184" s="171">
        <v>0</v>
      </c>
      <c r="J184" s="168">
        <v>42928</v>
      </c>
      <c r="K184" s="168"/>
      <c r="L184" s="171"/>
      <c r="M184" s="171"/>
      <c r="N184" s="171"/>
      <c r="O184" s="171"/>
      <c r="P184" s="172"/>
    </row>
    <row r="185" spans="1:16">
      <c r="A185" s="167">
        <v>42930</v>
      </c>
      <c r="B185" s="168">
        <v>42931</v>
      </c>
      <c r="C185" s="169" t="s">
        <v>317</v>
      </c>
      <c r="D185" s="170" t="s">
        <v>8</v>
      </c>
      <c r="E185" s="171">
        <v>2034848.74</v>
      </c>
      <c r="F185" s="171">
        <v>0</v>
      </c>
      <c r="G185" s="171">
        <v>264532</v>
      </c>
      <c r="H185" s="171">
        <v>0</v>
      </c>
      <c r="I185" s="171">
        <v>0</v>
      </c>
      <c r="J185" s="168">
        <v>42930</v>
      </c>
      <c r="K185" s="168">
        <v>42832</v>
      </c>
      <c r="L185" s="171">
        <v>-185000</v>
      </c>
      <c r="M185" s="171">
        <v>0</v>
      </c>
      <c r="N185" s="171">
        <v>-24050</v>
      </c>
      <c r="O185" s="171">
        <v>0</v>
      </c>
      <c r="P185" s="172">
        <v>0</v>
      </c>
    </row>
    <row r="186" spans="1:16">
      <c r="A186" s="167">
        <v>42930</v>
      </c>
      <c r="B186" s="168"/>
      <c r="C186" s="169" t="s">
        <v>317</v>
      </c>
      <c r="D186" s="170" t="s">
        <v>8</v>
      </c>
      <c r="E186" s="171"/>
      <c r="F186" s="171"/>
      <c r="G186" s="171"/>
      <c r="H186" s="171"/>
      <c r="I186" s="171"/>
      <c r="J186" s="168">
        <v>42930</v>
      </c>
      <c r="K186" s="168">
        <v>42865</v>
      </c>
      <c r="L186" s="171">
        <v>-12000</v>
      </c>
      <c r="M186" s="171">
        <v>0</v>
      </c>
      <c r="N186" s="171">
        <v>-1560</v>
      </c>
      <c r="O186" s="171">
        <v>0</v>
      </c>
      <c r="P186" s="172">
        <v>0</v>
      </c>
    </row>
    <row r="187" spans="1:16">
      <c r="A187" s="167">
        <v>42930</v>
      </c>
      <c r="B187" s="168">
        <v>42931</v>
      </c>
      <c r="C187" s="169" t="s">
        <v>317</v>
      </c>
      <c r="D187" s="170" t="s">
        <v>9</v>
      </c>
      <c r="E187" s="171">
        <v>3076323.87</v>
      </c>
      <c r="F187" s="171">
        <v>0</v>
      </c>
      <c r="G187" s="171">
        <v>399922</v>
      </c>
      <c r="H187" s="171">
        <v>0</v>
      </c>
      <c r="I187" s="171">
        <v>0</v>
      </c>
      <c r="J187" s="168">
        <v>42930</v>
      </c>
      <c r="K187" s="168">
        <v>42916</v>
      </c>
      <c r="L187" s="171">
        <v>-57600</v>
      </c>
      <c r="M187" s="171">
        <v>0</v>
      </c>
      <c r="N187" s="171">
        <v>-7488</v>
      </c>
      <c r="O187" s="171">
        <v>0</v>
      </c>
      <c r="P187" s="172">
        <v>0</v>
      </c>
    </row>
    <row r="188" spans="1:16">
      <c r="A188" s="167">
        <v>42930</v>
      </c>
      <c r="B188" s="168">
        <v>42931</v>
      </c>
      <c r="C188" s="169" t="s">
        <v>317</v>
      </c>
      <c r="D188" s="170" t="s">
        <v>11</v>
      </c>
      <c r="E188" s="171">
        <v>101828.61</v>
      </c>
      <c r="F188" s="171">
        <v>0</v>
      </c>
      <c r="G188" s="171">
        <v>13238</v>
      </c>
      <c r="H188" s="171">
        <v>0</v>
      </c>
      <c r="I188" s="171">
        <v>0</v>
      </c>
      <c r="J188" s="168">
        <v>42930</v>
      </c>
      <c r="K188" s="168"/>
      <c r="L188" s="171"/>
      <c r="M188" s="171"/>
      <c r="N188" s="171"/>
      <c r="O188" s="171"/>
      <c r="P188" s="172"/>
    </row>
    <row r="189" spans="1:16">
      <c r="A189" s="167">
        <v>42930</v>
      </c>
      <c r="B189" s="168">
        <v>42931</v>
      </c>
      <c r="C189" s="169" t="s">
        <v>316</v>
      </c>
      <c r="D189" s="170" t="s">
        <v>7</v>
      </c>
      <c r="E189" s="171">
        <v>6424425.7199999997</v>
      </c>
      <c r="F189" s="171">
        <v>0</v>
      </c>
      <c r="G189" s="171">
        <v>835178</v>
      </c>
      <c r="H189" s="171">
        <v>82489.440000000002</v>
      </c>
      <c r="I189" s="171">
        <v>24747</v>
      </c>
      <c r="J189" s="168">
        <v>42930</v>
      </c>
      <c r="K189" s="168"/>
      <c r="L189" s="171"/>
      <c r="M189" s="171"/>
      <c r="N189" s="171"/>
      <c r="O189" s="171"/>
      <c r="P189" s="172"/>
    </row>
    <row r="190" spans="1:16">
      <c r="A190" s="167">
        <v>42937</v>
      </c>
      <c r="B190" s="168">
        <v>42938</v>
      </c>
      <c r="C190" s="169" t="s">
        <v>317</v>
      </c>
      <c r="D190" s="170" t="s">
        <v>8</v>
      </c>
      <c r="E190" s="171">
        <v>1397363.42</v>
      </c>
      <c r="F190" s="171">
        <v>0</v>
      </c>
      <c r="G190" s="171">
        <v>181655</v>
      </c>
      <c r="H190" s="171">
        <v>0</v>
      </c>
      <c r="I190" s="171">
        <v>0</v>
      </c>
      <c r="J190" s="168">
        <v>42937</v>
      </c>
      <c r="K190" s="168">
        <v>42874</v>
      </c>
      <c r="L190" s="171">
        <v>-41000</v>
      </c>
      <c r="M190" s="171">
        <v>0</v>
      </c>
      <c r="N190" s="171">
        <v>-5330</v>
      </c>
      <c r="O190" s="171">
        <v>0</v>
      </c>
      <c r="P190" s="172">
        <v>0</v>
      </c>
    </row>
    <row r="191" spans="1:16">
      <c r="A191" s="167">
        <v>42937</v>
      </c>
      <c r="B191" s="168"/>
      <c r="C191" s="169" t="s">
        <v>317</v>
      </c>
      <c r="D191" s="170" t="s">
        <v>8</v>
      </c>
      <c r="E191" s="171"/>
      <c r="F191" s="171"/>
      <c r="G191" s="171"/>
      <c r="H191" s="171"/>
      <c r="I191" s="171"/>
      <c r="J191" s="168">
        <v>42937</v>
      </c>
      <c r="K191" s="168">
        <v>42916</v>
      </c>
      <c r="L191" s="171">
        <v>-35000</v>
      </c>
      <c r="M191" s="171">
        <v>0</v>
      </c>
      <c r="N191" s="171">
        <v>-4550</v>
      </c>
      <c r="O191" s="171">
        <v>0</v>
      </c>
      <c r="P191" s="172">
        <v>0</v>
      </c>
    </row>
    <row r="192" spans="1:16">
      <c r="A192" s="167">
        <v>42937</v>
      </c>
      <c r="B192" s="168"/>
      <c r="C192" s="169" t="s">
        <v>317</v>
      </c>
      <c r="D192" s="170" t="s">
        <v>8</v>
      </c>
      <c r="E192" s="171"/>
      <c r="F192" s="171"/>
      <c r="G192" s="171"/>
      <c r="H192" s="171"/>
      <c r="I192" s="171"/>
      <c r="J192" s="168">
        <v>42937</v>
      </c>
      <c r="K192" s="168">
        <v>42930</v>
      </c>
      <c r="L192" s="171">
        <v>-60000</v>
      </c>
      <c r="M192" s="171">
        <v>0</v>
      </c>
      <c r="N192" s="171">
        <v>-7800</v>
      </c>
      <c r="O192" s="171">
        <v>0</v>
      </c>
      <c r="P192" s="172">
        <v>0</v>
      </c>
    </row>
    <row r="193" spans="1:16">
      <c r="A193" s="167">
        <v>42937</v>
      </c>
      <c r="B193" s="168">
        <v>42938</v>
      </c>
      <c r="C193" s="169" t="s">
        <v>317</v>
      </c>
      <c r="D193" s="170" t="s">
        <v>9</v>
      </c>
      <c r="E193" s="171">
        <v>2862626.04</v>
      </c>
      <c r="F193" s="171">
        <v>0</v>
      </c>
      <c r="G193" s="171">
        <v>372144</v>
      </c>
      <c r="H193" s="171">
        <v>0</v>
      </c>
      <c r="I193" s="171">
        <v>0</v>
      </c>
      <c r="J193" s="168">
        <v>42937</v>
      </c>
      <c r="K193" s="168">
        <v>42916</v>
      </c>
      <c r="L193" s="171">
        <v>-50500</v>
      </c>
      <c r="M193" s="171">
        <v>0</v>
      </c>
      <c r="N193" s="171">
        <v>-6565</v>
      </c>
      <c r="O193" s="171">
        <v>0</v>
      </c>
      <c r="P193" s="172">
        <v>0</v>
      </c>
    </row>
    <row r="194" spans="1:16">
      <c r="A194" s="167">
        <v>42937</v>
      </c>
      <c r="B194" s="168"/>
      <c r="C194" s="169" t="s">
        <v>317</v>
      </c>
      <c r="D194" s="170" t="s">
        <v>9</v>
      </c>
      <c r="E194" s="171"/>
      <c r="F194" s="171"/>
      <c r="G194" s="171"/>
      <c r="H194" s="171"/>
      <c r="I194" s="171"/>
      <c r="J194" s="168">
        <v>42937</v>
      </c>
      <c r="K194" s="168">
        <v>42923</v>
      </c>
      <c r="L194" s="171">
        <v>-94000</v>
      </c>
      <c r="M194" s="171">
        <v>0</v>
      </c>
      <c r="N194" s="171">
        <v>-12220</v>
      </c>
      <c r="O194" s="171">
        <v>0</v>
      </c>
      <c r="P194" s="172">
        <v>0</v>
      </c>
    </row>
    <row r="195" spans="1:16">
      <c r="A195" s="167">
        <v>42937</v>
      </c>
      <c r="B195" s="168"/>
      <c r="C195" s="169" t="s">
        <v>317</v>
      </c>
      <c r="D195" s="170" t="s">
        <v>9</v>
      </c>
      <c r="E195" s="171"/>
      <c r="F195" s="171"/>
      <c r="G195" s="171"/>
      <c r="H195" s="171"/>
      <c r="I195" s="171"/>
      <c r="J195" s="168">
        <v>42937</v>
      </c>
      <c r="K195" s="168">
        <v>42930</v>
      </c>
      <c r="L195" s="171">
        <v>-91000</v>
      </c>
      <c r="M195" s="171">
        <v>0</v>
      </c>
      <c r="N195" s="171">
        <v>-11830</v>
      </c>
      <c r="O195" s="171">
        <v>0</v>
      </c>
      <c r="P195" s="172">
        <v>0</v>
      </c>
    </row>
    <row r="196" spans="1:16">
      <c r="A196" s="167">
        <v>42937</v>
      </c>
      <c r="B196" s="168">
        <v>42938</v>
      </c>
      <c r="C196" s="169" t="s">
        <v>317</v>
      </c>
      <c r="D196" s="170" t="s">
        <v>11</v>
      </c>
      <c r="E196" s="171">
        <v>206184.16</v>
      </c>
      <c r="F196" s="171">
        <v>0</v>
      </c>
      <c r="G196" s="171">
        <v>26805</v>
      </c>
      <c r="H196" s="171">
        <v>0</v>
      </c>
      <c r="I196" s="171">
        <v>0</v>
      </c>
      <c r="J196" s="168">
        <v>42937</v>
      </c>
      <c r="K196" s="168"/>
      <c r="L196" s="171"/>
      <c r="M196" s="171"/>
      <c r="N196" s="171"/>
      <c r="O196" s="171"/>
      <c r="P196" s="172"/>
    </row>
    <row r="197" spans="1:16">
      <c r="A197" s="167">
        <v>42937</v>
      </c>
      <c r="B197" s="168">
        <v>42938</v>
      </c>
      <c r="C197" s="169" t="s">
        <v>316</v>
      </c>
      <c r="D197" s="170" t="s">
        <v>7</v>
      </c>
      <c r="E197" s="171">
        <v>3565375.41</v>
      </c>
      <c r="F197" s="171">
        <v>0</v>
      </c>
      <c r="G197" s="171">
        <v>463501</v>
      </c>
      <c r="H197" s="171">
        <v>0</v>
      </c>
      <c r="I197" s="171">
        <v>0</v>
      </c>
      <c r="J197" s="168">
        <v>42937</v>
      </c>
      <c r="K197" s="168"/>
      <c r="L197" s="171"/>
      <c r="M197" s="171"/>
      <c r="N197" s="171"/>
      <c r="O197" s="171"/>
      <c r="P197" s="172"/>
    </row>
    <row r="198" spans="1:16">
      <c r="A198" s="167">
        <v>42941</v>
      </c>
      <c r="B198" s="168">
        <v>42942</v>
      </c>
      <c r="C198" s="169" t="s">
        <v>315</v>
      </c>
      <c r="D198" s="170" t="s">
        <v>7</v>
      </c>
      <c r="E198" s="171">
        <v>6474290.1900000004</v>
      </c>
      <c r="F198" s="171">
        <v>500</v>
      </c>
      <c r="G198" s="171">
        <v>841592</v>
      </c>
      <c r="H198" s="171">
        <v>0</v>
      </c>
      <c r="I198" s="171">
        <v>0</v>
      </c>
      <c r="J198" s="168">
        <v>42941</v>
      </c>
      <c r="K198" s="168"/>
      <c r="L198" s="171"/>
      <c r="M198" s="171"/>
      <c r="N198" s="171"/>
      <c r="O198" s="171"/>
      <c r="P198" s="172"/>
    </row>
    <row r="199" spans="1:16">
      <c r="A199" s="167">
        <v>42941</v>
      </c>
      <c r="B199" s="168">
        <v>42942</v>
      </c>
      <c r="C199" s="169" t="s">
        <v>315</v>
      </c>
      <c r="D199" s="170" t="s">
        <v>8</v>
      </c>
      <c r="E199" s="171">
        <v>542508.19999999995</v>
      </c>
      <c r="F199" s="171">
        <v>0</v>
      </c>
      <c r="G199" s="171">
        <v>70532</v>
      </c>
      <c r="H199" s="171">
        <v>0</v>
      </c>
      <c r="I199" s="171">
        <v>0</v>
      </c>
      <c r="J199" s="168">
        <v>42941</v>
      </c>
      <c r="K199" s="168"/>
      <c r="L199" s="171"/>
      <c r="M199" s="171"/>
      <c r="N199" s="171"/>
      <c r="O199" s="171"/>
      <c r="P199" s="172"/>
    </row>
    <row r="200" spans="1:16">
      <c r="A200" s="167">
        <v>42941</v>
      </c>
      <c r="B200" s="168">
        <v>42942</v>
      </c>
      <c r="C200" s="169" t="s">
        <v>315</v>
      </c>
      <c r="D200" s="170" t="s">
        <v>9</v>
      </c>
      <c r="E200" s="171">
        <v>49798.42</v>
      </c>
      <c r="F200" s="171">
        <v>0</v>
      </c>
      <c r="G200" s="171">
        <v>6472</v>
      </c>
      <c r="H200" s="171">
        <v>0</v>
      </c>
      <c r="I200" s="171">
        <v>0</v>
      </c>
      <c r="J200" s="168">
        <v>42941</v>
      </c>
      <c r="K200" s="168"/>
      <c r="L200" s="171"/>
      <c r="M200" s="171"/>
      <c r="N200" s="171"/>
      <c r="O200" s="171"/>
      <c r="P200" s="172"/>
    </row>
    <row r="201" spans="1:16">
      <c r="A201" s="167">
        <v>42941</v>
      </c>
      <c r="B201" s="168">
        <v>42942</v>
      </c>
      <c r="C201" s="169" t="s">
        <v>315</v>
      </c>
      <c r="D201" s="170" t="s">
        <v>11</v>
      </c>
      <c r="E201" s="171">
        <v>17499.099999999999</v>
      </c>
      <c r="F201" s="171">
        <v>0</v>
      </c>
      <c r="G201" s="171">
        <v>2275</v>
      </c>
      <c r="H201" s="171">
        <v>0</v>
      </c>
      <c r="I201" s="171">
        <v>0</v>
      </c>
      <c r="J201" s="168">
        <v>42941</v>
      </c>
      <c r="K201" s="168"/>
      <c r="L201" s="171"/>
      <c r="M201" s="171"/>
      <c r="N201" s="171"/>
      <c r="O201" s="171"/>
      <c r="P201" s="172"/>
    </row>
    <row r="202" spans="1:16">
      <c r="A202" s="167">
        <v>42941</v>
      </c>
      <c r="B202" s="168">
        <v>42942</v>
      </c>
      <c r="C202" s="169" t="s">
        <v>315</v>
      </c>
      <c r="D202" s="170" t="s">
        <v>12</v>
      </c>
      <c r="E202" s="171">
        <v>1213685.42</v>
      </c>
      <c r="F202" s="171">
        <v>500</v>
      </c>
      <c r="G202" s="171">
        <v>157717</v>
      </c>
      <c r="H202" s="171">
        <v>0</v>
      </c>
      <c r="I202" s="171">
        <v>0</v>
      </c>
      <c r="J202" s="168">
        <v>42941</v>
      </c>
      <c r="K202" s="168"/>
      <c r="L202" s="171"/>
      <c r="M202" s="171"/>
      <c r="N202" s="171"/>
      <c r="O202" s="171"/>
      <c r="P202" s="172"/>
    </row>
    <row r="203" spans="1:16">
      <c r="A203" s="167">
        <v>42941</v>
      </c>
      <c r="B203" s="168">
        <v>42942</v>
      </c>
      <c r="C203" s="169" t="s">
        <v>315</v>
      </c>
      <c r="D203" s="170" t="s">
        <v>13</v>
      </c>
      <c r="E203" s="171">
        <v>3993880.02</v>
      </c>
      <c r="F203" s="171">
        <v>4400</v>
      </c>
      <c r="G203" s="171">
        <v>518637</v>
      </c>
      <c r="H203" s="171">
        <v>0</v>
      </c>
      <c r="I203" s="171">
        <v>0</v>
      </c>
      <c r="J203" s="168">
        <v>42941</v>
      </c>
      <c r="K203" s="168"/>
      <c r="L203" s="171"/>
      <c r="M203" s="171"/>
      <c r="N203" s="171"/>
      <c r="O203" s="171"/>
      <c r="P203" s="172"/>
    </row>
    <row r="204" spans="1:16">
      <c r="A204" s="167">
        <v>42947</v>
      </c>
      <c r="B204" s="168"/>
      <c r="C204" s="169" t="s">
        <v>315</v>
      </c>
      <c r="D204" s="170" t="s">
        <v>7</v>
      </c>
      <c r="E204" s="171">
        <v>0</v>
      </c>
      <c r="F204" s="171">
        <v>0</v>
      </c>
      <c r="G204" s="171">
        <v>-3475</v>
      </c>
      <c r="H204" s="171">
        <v>0</v>
      </c>
      <c r="I204" s="171">
        <v>3475</v>
      </c>
      <c r="J204" s="168">
        <v>42947</v>
      </c>
      <c r="K204" s="168">
        <v>42858</v>
      </c>
      <c r="L204" s="171">
        <v>-949.5</v>
      </c>
      <c r="M204" s="171">
        <v>0</v>
      </c>
      <c r="N204" s="171">
        <v>-123</v>
      </c>
      <c r="O204" s="171">
        <v>0</v>
      </c>
      <c r="P204" s="172">
        <v>0</v>
      </c>
    </row>
    <row r="205" spans="1:16">
      <c r="A205" s="167">
        <v>42947</v>
      </c>
      <c r="B205" s="168"/>
      <c r="C205" s="169" t="s">
        <v>315</v>
      </c>
      <c r="D205" s="170" t="s">
        <v>7</v>
      </c>
      <c r="E205" s="171"/>
      <c r="F205" s="171"/>
      <c r="G205" s="171"/>
      <c r="H205" s="171"/>
      <c r="I205" s="171"/>
      <c r="J205" s="168">
        <v>42947</v>
      </c>
      <c r="K205" s="168">
        <v>42895</v>
      </c>
      <c r="L205" s="171">
        <v>-10948.61</v>
      </c>
      <c r="M205" s="171">
        <v>-500</v>
      </c>
      <c r="N205" s="171">
        <v>-1357</v>
      </c>
      <c r="O205" s="171">
        <v>0</v>
      </c>
      <c r="P205" s="172">
        <v>0</v>
      </c>
    </row>
    <row r="206" spans="1:16">
      <c r="A206" s="167">
        <v>42947</v>
      </c>
      <c r="B206" s="168"/>
      <c r="C206" s="169" t="s">
        <v>315</v>
      </c>
      <c r="D206" s="170" t="s">
        <v>7</v>
      </c>
      <c r="E206" s="171"/>
      <c r="F206" s="171"/>
      <c r="G206" s="171"/>
      <c r="H206" s="171"/>
      <c r="I206" s="171"/>
      <c r="J206" s="168">
        <v>42947</v>
      </c>
      <c r="K206" s="168">
        <v>42927</v>
      </c>
      <c r="L206" s="171">
        <v>-9346.74</v>
      </c>
      <c r="M206" s="171">
        <v>0</v>
      </c>
      <c r="N206" s="171">
        <v>-1216</v>
      </c>
      <c r="O206" s="171">
        <v>0</v>
      </c>
      <c r="P206" s="172">
        <v>0</v>
      </c>
    </row>
    <row r="207" spans="1:16">
      <c r="A207" s="167">
        <v>42947</v>
      </c>
      <c r="B207" s="168"/>
      <c r="C207" s="169" t="s">
        <v>315</v>
      </c>
      <c r="D207" s="170" t="s">
        <v>8</v>
      </c>
      <c r="E207" s="171"/>
      <c r="F207" s="171"/>
      <c r="G207" s="171"/>
      <c r="H207" s="171"/>
      <c r="I207" s="171"/>
      <c r="J207" s="168">
        <v>42947</v>
      </c>
      <c r="K207" s="168">
        <v>42926</v>
      </c>
      <c r="L207" s="171">
        <v>-10236</v>
      </c>
      <c r="M207" s="171">
        <v>0</v>
      </c>
      <c r="N207" s="171">
        <v>-1331</v>
      </c>
      <c r="O207" s="171">
        <v>0</v>
      </c>
      <c r="P207" s="172">
        <v>0</v>
      </c>
    </row>
    <row r="208" spans="1:16">
      <c r="A208" s="167">
        <v>42947</v>
      </c>
      <c r="B208" s="168"/>
      <c r="C208" s="169" t="s">
        <v>315</v>
      </c>
      <c r="D208" s="170" t="s">
        <v>12</v>
      </c>
      <c r="E208" s="171"/>
      <c r="F208" s="171"/>
      <c r="G208" s="171"/>
      <c r="H208" s="171"/>
      <c r="I208" s="171"/>
      <c r="J208" s="168">
        <v>42947</v>
      </c>
      <c r="K208" s="168">
        <v>42745</v>
      </c>
      <c r="L208" s="171">
        <v>-10720.5</v>
      </c>
      <c r="M208" s="171">
        <v>0</v>
      </c>
      <c r="N208" s="171">
        <v>-1393</v>
      </c>
      <c r="O208" s="171">
        <v>0</v>
      </c>
      <c r="P208" s="172">
        <v>0</v>
      </c>
    </row>
    <row r="209" spans="1:16">
      <c r="A209" s="167">
        <v>42947</v>
      </c>
      <c r="B209" s="168"/>
      <c r="C209" s="169" t="s">
        <v>315</v>
      </c>
      <c r="D209" s="170" t="s">
        <v>12</v>
      </c>
      <c r="E209" s="171"/>
      <c r="F209" s="171"/>
      <c r="G209" s="171"/>
      <c r="H209" s="171"/>
      <c r="I209" s="171"/>
      <c r="J209" s="168">
        <v>42947</v>
      </c>
      <c r="K209" s="168">
        <v>42776</v>
      </c>
      <c r="L209" s="171">
        <v>-1784.7</v>
      </c>
      <c r="M209" s="171">
        <v>0</v>
      </c>
      <c r="N209" s="171">
        <v>-232</v>
      </c>
      <c r="O209" s="171">
        <v>0</v>
      </c>
      <c r="P209" s="172">
        <v>0</v>
      </c>
    </row>
    <row r="210" spans="1:16">
      <c r="A210" s="167">
        <v>42947</v>
      </c>
      <c r="B210" s="168"/>
      <c r="C210" s="169" t="s">
        <v>315</v>
      </c>
      <c r="D210" s="170" t="s">
        <v>12</v>
      </c>
      <c r="E210" s="171"/>
      <c r="F210" s="171"/>
      <c r="G210" s="171"/>
      <c r="H210" s="171"/>
      <c r="I210" s="171"/>
      <c r="J210" s="168">
        <v>42947</v>
      </c>
      <c r="K210" s="168">
        <v>42804</v>
      </c>
      <c r="L210" s="171">
        <v>-12285</v>
      </c>
      <c r="M210" s="171">
        <v>0</v>
      </c>
      <c r="N210" s="171">
        <v>-1597</v>
      </c>
      <c r="O210" s="171">
        <v>0</v>
      </c>
      <c r="P210" s="172">
        <v>0</v>
      </c>
    </row>
    <row r="211" spans="1:16">
      <c r="A211" s="167">
        <v>42947</v>
      </c>
      <c r="B211" s="168"/>
      <c r="C211" s="169" t="s">
        <v>315</v>
      </c>
      <c r="D211" s="170" t="s">
        <v>12</v>
      </c>
      <c r="E211" s="171"/>
      <c r="F211" s="171"/>
      <c r="G211" s="171"/>
      <c r="H211" s="171"/>
      <c r="I211" s="171"/>
      <c r="J211" s="168">
        <v>42947</v>
      </c>
      <c r="K211" s="168">
        <v>42835</v>
      </c>
      <c r="L211" s="171">
        <v>-9291.4</v>
      </c>
      <c r="M211" s="171">
        <v>0</v>
      </c>
      <c r="N211" s="171">
        <v>-1208</v>
      </c>
      <c r="O211" s="171">
        <v>0</v>
      </c>
      <c r="P211" s="172">
        <v>0</v>
      </c>
    </row>
    <row r="212" spans="1:16">
      <c r="A212" s="167">
        <v>42957</v>
      </c>
      <c r="B212" s="168">
        <v>42958</v>
      </c>
      <c r="C212" s="169" t="s">
        <v>315</v>
      </c>
      <c r="D212" s="170" t="s">
        <v>7</v>
      </c>
      <c r="E212" s="171">
        <v>1140892301.0799999</v>
      </c>
      <c r="F212" s="171">
        <v>5786000</v>
      </c>
      <c r="G212" s="171">
        <v>147591799</v>
      </c>
      <c r="H212" s="171">
        <v>2569395.1800000002</v>
      </c>
      <c r="I212" s="171">
        <v>781778</v>
      </c>
      <c r="J212" s="168">
        <v>42957</v>
      </c>
      <c r="K212" s="168">
        <v>42004</v>
      </c>
      <c r="L212" s="171">
        <v>0</v>
      </c>
      <c r="M212" s="171">
        <v>0</v>
      </c>
      <c r="N212" s="171">
        <v>-9048</v>
      </c>
      <c r="O212" s="171">
        <v>0</v>
      </c>
      <c r="P212" s="172">
        <v>0</v>
      </c>
    </row>
    <row r="213" spans="1:16">
      <c r="A213" s="167">
        <v>42957</v>
      </c>
      <c r="B213" s="168"/>
      <c r="C213" s="169" t="s">
        <v>315</v>
      </c>
      <c r="D213" s="170" t="s">
        <v>7</v>
      </c>
      <c r="E213" s="171"/>
      <c r="F213" s="171"/>
      <c r="G213" s="171"/>
      <c r="H213" s="171"/>
      <c r="I213" s="171"/>
      <c r="J213" s="168">
        <v>42957</v>
      </c>
      <c r="K213" s="168">
        <v>42369</v>
      </c>
      <c r="L213" s="171">
        <v>0</v>
      </c>
      <c r="M213" s="171">
        <v>0</v>
      </c>
      <c r="N213" s="171">
        <v>-9048</v>
      </c>
      <c r="O213" s="171">
        <v>0</v>
      </c>
      <c r="P213" s="172">
        <v>0</v>
      </c>
    </row>
    <row r="214" spans="1:16">
      <c r="A214" s="167">
        <v>42957</v>
      </c>
      <c r="B214" s="168"/>
      <c r="C214" s="169" t="s">
        <v>315</v>
      </c>
      <c r="D214" s="170" t="s">
        <v>7</v>
      </c>
      <c r="E214" s="171"/>
      <c r="F214" s="171"/>
      <c r="G214" s="171"/>
      <c r="H214" s="171"/>
      <c r="I214" s="171"/>
      <c r="J214" s="168">
        <v>42957</v>
      </c>
      <c r="K214" s="168">
        <v>42735</v>
      </c>
      <c r="L214" s="171">
        <v>0</v>
      </c>
      <c r="M214" s="171">
        <v>0</v>
      </c>
      <c r="N214" s="171">
        <v>-11544</v>
      </c>
      <c r="O214" s="171">
        <v>0</v>
      </c>
      <c r="P214" s="172">
        <v>0</v>
      </c>
    </row>
    <row r="215" spans="1:16">
      <c r="A215" s="167">
        <v>42957</v>
      </c>
      <c r="B215" s="168">
        <v>42958</v>
      </c>
      <c r="C215" s="169" t="s">
        <v>315</v>
      </c>
      <c r="D215" s="170" t="s">
        <v>8</v>
      </c>
      <c r="E215" s="171">
        <v>44084726.539999999</v>
      </c>
      <c r="F215" s="171">
        <v>125000</v>
      </c>
      <c r="G215" s="171">
        <v>5716489</v>
      </c>
      <c r="H215" s="171">
        <v>35792</v>
      </c>
      <c r="I215" s="171">
        <v>10739</v>
      </c>
      <c r="J215" s="168">
        <v>42957</v>
      </c>
      <c r="K215" s="168"/>
      <c r="L215" s="171"/>
      <c r="M215" s="171"/>
      <c r="N215" s="171"/>
      <c r="O215" s="171"/>
      <c r="P215" s="172"/>
    </row>
    <row r="216" spans="1:16">
      <c r="A216" s="167">
        <v>42957</v>
      </c>
      <c r="B216" s="168">
        <v>42958</v>
      </c>
      <c r="C216" s="169" t="s">
        <v>315</v>
      </c>
      <c r="D216" s="170" t="s">
        <v>9</v>
      </c>
      <c r="E216" s="171">
        <v>18234954.07</v>
      </c>
      <c r="F216" s="171">
        <v>28500</v>
      </c>
      <c r="G216" s="171">
        <v>2367214</v>
      </c>
      <c r="H216" s="171">
        <v>2463</v>
      </c>
      <c r="I216" s="171">
        <v>739</v>
      </c>
      <c r="J216" s="168">
        <v>42957</v>
      </c>
      <c r="K216" s="168"/>
      <c r="L216" s="171"/>
      <c r="M216" s="171"/>
      <c r="N216" s="171"/>
      <c r="O216" s="171"/>
      <c r="P216" s="172"/>
    </row>
    <row r="217" spans="1:16">
      <c r="A217" s="167">
        <v>42957</v>
      </c>
      <c r="B217" s="168">
        <v>42958</v>
      </c>
      <c r="C217" s="169" t="s">
        <v>315</v>
      </c>
      <c r="D217" s="170" t="s">
        <v>11</v>
      </c>
      <c r="E217" s="171">
        <v>3723916.76</v>
      </c>
      <c r="F217" s="171">
        <v>11000</v>
      </c>
      <c r="G217" s="171">
        <v>482676</v>
      </c>
      <c r="H217" s="171">
        <v>4933.8</v>
      </c>
      <c r="I217" s="171">
        <v>1480</v>
      </c>
      <c r="J217" s="168">
        <v>42957</v>
      </c>
      <c r="K217" s="168"/>
      <c r="L217" s="171"/>
      <c r="M217" s="171"/>
      <c r="N217" s="171"/>
      <c r="O217" s="171"/>
      <c r="P217" s="172"/>
    </row>
    <row r="218" spans="1:16">
      <c r="A218" s="167">
        <v>42957</v>
      </c>
      <c r="B218" s="168">
        <v>42958</v>
      </c>
      <c r="C218" s="169" t="s">
        <v>315</v>
      </c>
      <c r="D218" s="170" t="s">
        <v>12</v>
      </c>
      <c r="E218" s="171">
        <v>35556879.409999996</v>
      </c>
      <c r="F218" s="171">
        <v>315500</v>
      </c>
      <c r="G218" s="171">
        <v>4584580</v>
      </c>
      <c r="H218" s="171">
        <v>70822.98</v>
      </c>
      <c r="I218" s="171">
        <v>21247</v>
      </c>
      <c r="J218" s="168">
        <v>42957</v>
      </c>
      <c r="K218" s="168"/>
      <c r="L218" s="171"/>
      <c r="M218" s="171"/>
      <c r="N218" s="171"/>
      <c r="O218" s="171"/>
      <c r="P218" s="172"/>
    </row>
    <row r="219" spans="1:16">
      <c r="A219" s="167">
        <v>42957</v>
      </c>
      <c r="B219" s="168">
        <v>42958</v>
      </c>
      <c r="C219" s="169" t="s">
        <v>315</v>
      </c>
      <c r="D219" s="170" t="s">
        <v>13</v>
      </c>
      <c r="E219" s="171">
        <v>107587422.77</v>
      </c>
      <c r="F219" s="171">
        <v>610700</v>
      </c>
      <c r="G219" s="171">
        <v>13910751</v>
      </c>
      <c r="H219" s="171">
        <v>20514</v>
      </c>
      <c r="I219" s="171">
        <v>6155</v>
      </c>
      <c r="J219" s="168">
        <v>42957</v>
      </c>
      <c r="K219" s="168"/>
      <c r="L219" s="171"/>
      <c r="M219" s="171"/>
      <c r="N219" s="171"/>
      <c r="O219" s="171"/>
      <c r="P219" s="172"/>
    </row>
    <row r="220" spans="1:16">
      <c r="A220" s="167">
        <v>42958</v>
      </c>
      <c r="B220" s="168"/>
      <c r="C220" s="169" t="s">
        <v>317</v>
      </c>
      <c r="D220" s="170" t="s">
        <v>8</v>
      </c>
      <c r="E220" s="171"/>
      <c r="F220" s="171"/>
      <c r="G220" s="171"/>
      <c r="H220" s="171"/>
      <c r="I220" s="171"/>
      <c r="J220" s="168">
        <v>42958</v>
      </c>
      <c r="K220" s="168">
        <v>42874</v>
      </c>
      <c r="L220" s="171">
        <v>-99000</v>
      </c>
      <c r="M220" s="171">
        <v>0</v>
      </c>
      <c r="N220" s="171">
        <v>-12870</v>
      </c>
      <c r="O220" s="171">
        <v>0</v>
      </c>
      <c r="P220" s="172">
        <v>0</v>
      </c>
    </row>
    <row r="221" spans="1:16">
      <c r="A221" s="167">
        <v>42958</v>
      </c>
      <c r="B221" s="168"/>
      <c r="C221" s="169" t="s">
        <v>317</v>
      </c>
      <c r="D221" s="170" t="s">
        <v>8</v>
      </c>
      <c r="E221" s="171"/>
      <c r="F221" s="171"/>
      <c r="G221" s="171"/>
      <c r="H221" s="171"/>
      <c r="I221" s="171"/>
      <c r="J221" s="168">
        <v>42958</v>
      </c>
      <c r="K221" s="168">
        <v>42930</v>
      </c>
      <c r="L221" s="171">
        <v>-67500</v>
      </c>
      <c r="M221" s="171">
        <v>0</v>
      </c>
      <c r="N221" s="171">
        <v>-8775</v>
      </c>
      <c r="O221" s="171">
        <v>0</v>
      </c>
      <c r="P221" s="172">
        <v>0</v>
      </c>
    </row>
    <row r="222" spans="1:16">
      <c r="A222" s="167">
        <v>42958</v>
      </c>
      <c r="B222" s="168"/>
      <c r="C222" s="169" t="s">
        <v>317</v>
      </c>
      <c r="D222" s="170" t="s">
        <v>8</v>
      </c>
      <c r="E222" s="171"/>
      <c r="F222" s="171"/>
      <c r="G222" s="171"/>
      <c r="H222" s="171"/>
      <c r="I222" s="171"/>
      <c r="J222" s="168">
        <v>42958</v>
      </c>
      <c r="K222" s="168">
        <v>42937</v>
      </c>
      <c r="L222" s="171">
        <v>-57500</v>
      </c>
      <c r="M222" s="171">
        <v>0</v>
      </c>
      <c r="N222" s="171">
        <v>-7475</v>
      </c>
      <c r="O222" s="171">
        <v>0</v>
      </c>
      <c r="P222" s="172">
        <v>0</v>
      </c>
    </row>
    <row r="223" spans="1:16">
      <c r="A223" s="167">
        <v>42958</v>
      </c>
      <c r="B223" s="168">
        <v>42959</v>
      </c>
      <c r="C223" s="169" t="s">
        <v>317</v>
      </c>
      <c r="D223" s="170" t="s">
        <v>9</v>
      </c>
      <c r="E223" s="171">
        <v>61666.47</v>
      </c>
      <c r="F223" s="171">
        <v>0</v>
      </c>
      <c r="G223" s="171">
        <v>8017</v>
      </c>
      <c r="H223" s="171">
        <v>0</v>
      </c>
      <c r="I223" s="171">
        <v>0</v>
      </c>
      <c r="J223" s="168">
        <v>42958</v>
      </c>
      <c r="K223" s="168">
        <v>42902</v>
      </c>
      <c r="L223" s="171">
        <v>-52000</v>
      </c>
      <c r="M223" s="171">
        <v>0</v>
      </c>
      <c r="N223" s="171">
        <v>-6760</v>
      </c>
      <c r="O223" s="171">
        <v>0</v>
      </c>
      <c r="P223" s="172">
        <v>0</v>
      </c>
    </row>
    <row r="224" spans="1:16">
      <c r="A224" s="167">
        <v>42958</v>
      </c>
      <c r="B224" s="168"/>
      <c r="C224" s="169" t="s">
        <v>317</v>
      </c>
      <c r="D224" s="170" t="s">
        <v>9</v>
      </c>
      <c r="E224" s="171"/>
      <c r="F224" s="171"/>
      <c r="G224" s="171"/>
      <c r="H224" s="171"/>
      <c r="I224" s="171"/>
      <c r="J224" s="168">
        <v>42958</v>
      </c>
      <c r="K224" s="168">
        <v>42907</v>
      </c>
      <c r="L224" s="171">
        <v>-207000</v>
      </c>
      <c r="M224" s="171">
        <v>0</v>
      </c>
      <c r="N224" s="171">
        <v>-26910</v>
      </c>
      <c r="O224" s="171">
        <v>0</v>
      </c>
      <c r="P224" s="172">
        <v>0</v>
      </c>
    </row>
    <row r="225" spans="1:16">
      <c r="A225" s="167">
        <v>42958</v>
      </c>
      <c r="B225" s="168"/>
      <c r="C225" s="169" t="s">
        <v>317</v>
      </c>
      <c r="D225" s="170" t="s">
        <v>9</v>
      </c>
      <c r="E225" s="171"/>
      <c r="F225" s="171"/>
      <c r="G225" s="171"/>
      <c r="H225" s="171"/>
      <c r="I225" s="171"/>
      <c r="J225" s="168">
        <v>42958</v>
      </c>
      <c r="K225" s="168">
        <v>42930</v>
      </c>
      <c r="L225" s="171">
        <v>-110000</v>
      </c>
      <c r="M225" s="171">
        <v>0</v>
      </c>
      <c r="N225" s="171">
        <v>-14300</v>
      </c>
      <c r="O225" s="171">
        <v>0</v>
      </c>
      <c r="P225" s="172">
        <v>0</v>
      </c>
    </row>
    <row r="226" spans="1:16">
      <c r="A226" s="167">
        <v>42958</v>
      </c>
      <c r="B226" s="168"/>
      <c r="C226" s="169" t="s">
        <v>317</v>
      </c>
      <c r="D226" s="170" t="s">
        <v>9</v>
      </c>
      <c r="E226" s="171"/>
      <c r="F226" s="171"/>
      <c r="G226" s="171"/>
      <c r="H226" s="171"/>
      <c r="I226" s="171"/>
      <c r="J226" s="168">
        <v>42958</v>
      </c>
      <c r="K226" s="168">
        <v>42937</v>
      </c>
      <c r="L226" s="171">
        <v>-371000</v>
      </c>
      <c r="M226" s="171">
        <v>0</v>
      </c>
      <c r="N226" s="171">
        <v>-48230</v>
      </c>
      <c r="O226" s="171">
        <v>0</v>
      </c>
      <c r="P226" s="172">
        <v>0</v>
      </c>
    </row>
    <row r="227" spans="1:16">
      <c r="A227" s="167">
        <v>42958</v>
      </c>
      <c r="B227" s="168">
        <v>42959</v>
      </c>
      <c r="C227" s="169" t="s">
        <v>316</v>
      </c>
      <c r="D227" s="170" t="s">
        <v>7</v>
      </c>
      <c r="E227" s="171">
        <v>6271010.7800000003</v>
      </c>
      <c r="F227" s="171">
        <v>0</v>
      </c>
      <c r="G227" s="171">
        <v>815231</v>
      </c>
      <c r="H227" s="171">
        <v>0</v>
      </c>
      <c r="I227" s="171">
        <v>0</v>
      </c>
      <c r="J227" s="168">
        <v>42958</v>
      </c>
      <c r="K227" s="168"/>
      <c r="L227" s="171"/>
      <c r="M227" s="171"/>
      <c r="N227" s="171"/>
      <c r="O227" s="171"/>
      <c r="P227" s="172"/>
    </row>
    <row r="228" spans="1:16">
      <c r="A228" s="167">
        <v>42965</v>
      </c>
      <c r="B228" s="168">
        <v>42966</v>
      </c>
      <c r="C228" s="169" t="s">
        <v>317</v>
      </c>
      <c r="D228" s="170" t="s">
        <v>8</v>
      </c>
      <c r="E228" s="171">
        <v>1208940.26</v>
      </c>
      <c r="F228" s="171">
        <v>0</v>
      </c>
      <c r="G228" s="171">
        <v>157160</v>
      </c>
      <c r="H228" s="171">
        <v>0</v>
      </c>
      <c r="I228" s="171">
        <v>0</v>
      </c>
      <c r="J228" s="168">
        <v>42965</v>
      </c>
      <c r="K228" s="168"/>
      <c r="L228" s="171"/>
      <c r="M228" s="171"/>
      <c r="N228" s="171"/>
      <c r="O228" s="171"/>
      <c r="P228" s="172"/>
    </row>
    <row r="229" spans="1:16">
      <c r="A229" s="167">
        <v>42965</v>
      </c>
      <c r="B229" s="168">
        <v>42966</v>
      </c>
      <c r="C229" s="169" t="s">
        <v>317</v>
      </c>
      <c r="D229" s="170" t="s">
        <v>9</v>
      </c>
      <c r="E229" s="171">
        <v>984988.15</v>
      </c>
      <c r="F229" s="171">
        <v>0</v>
      </c>
      <c r="G229" s="171">
        <v>128049</v>
      </c>
      <c r="H229" s="171">
        <v>0</v>
      </c>
      <c r="I229" s="171">
        <v>0</v>
      </c>
      <c r="J229" s="168">
        <v>42965</v>
      </c>
      <c r="K229" s="168">
        <v>42916</v>
      </c>
      <c r="L229" s="171">
        <v>-49000</v>
      </c>
      <c r="M229" s="171">
        <v>0</v>
      </c>
      <c r="N229" s="171">
        <v>-6370</v>
      </c>
      <c r="O229" s="171">
        <v>0</v>
      </c>
      <c r="P229" s="172">
        <v>0</v>
      </c>
    </row>
    <row r="230" spans="1:16">
      <c r="A230" s="167">
        <v>42965</v>
      </c>
      <c r="B230" s="168"/>
      <c r="C230" s="169" t="s">
        <v>317</v>
      </c>
      <c r="D230" s="170" t="s">
        <v>9</v>
      </c>
      <c r="E230" s="171"/>
      <c r="F230" s="171"/>
      <c r="G230" s="171"/>
      <c r="H230" s="171"/>
      <c r="I230" s="171"/>
      <c r="J230" s="168">
        <v>42965</v>
      </c>
      <c r="K230" s="168">
        <v>42958</v>
      </c>
      <c r="L230" s="171">
        <v>-36500</v>
      </c>
      <c r="M230" s="171">
        <v>0</v>
      </c>
      <c r="N230" s="171">
        <v>-4745</v>
      </c>
      <c r="O230" s="171">
        <v>0</v>
      </c>
      <c r="P230" s="172">
        <v>0</v>
      </c>
    </row>
    <row r="231" spans="1:16">
      <c r="A231" s="167">
        <v>42965</v>
      </c>
      <c r="B231" s="168">
        <v>42966</v>
      </c>
      <c r="C231" s="169" t="s">
        <v>317</v>
      </c>
      <c r="D231" s="170" t="s">
        <v>11</v>
      </c>
      <c r="E231" s="171">
        <v>1702102.3</v>
      </c>
      <c r="F231" s="171">
        <v>0</v>
      </c>
      <c r="G231" s="171">
        <v>221274</v>
      </c>
      <c r="H231" s="171">
        <v>0</v>
      </c>
      <c r="I231" s="171">
        <v>0</v>
      </c>
      <c r="J231" s="168">
        <v>42965</v>
      </c>
      <c r="K231" s="168"/>
      <c r="L231" s="171"/>
      <c r="M231" s="171"/>
      <c r="N231" s="171"/>
      <c r="O231" s="171"/>
      <c r="P231" s="172"/>
    </row>
    <row r="232" spans="1:16">
      <c r="A232" s="167">
        <v>42972</v>
      </c>
      <c r="B232" s="168">
        <v>42973</v>
      </c>
      <c r="C232" s="169" t="s">
        <v>315</v>
      </c>
      <c r="D232" s="170" t="s">
        <v>7</v>
      </c>
      <c r="E232" s="171">
        <v>3950698.46</v>
      </c>
      <c r="F232" s="171">
        <v>1000</v>
      </c>
      <c r="G232" s="171">
        <v>513470</v>
      </c>
      <c r="H232" s="171">
        <v>0</v>
      </c>
      <c r="I232" s="171">
        <v>0</v>
      </c>
      <c r="J232" s="168">
        <v>42972</v>
      </c>
      <c r="K232" s="168"/>
      <c r="L232" s="171"/>
      <c r="M232" s="171"/>
      <c r="N232" s="171"/>
      <c r="O232" s="171"/>
      <c r="P232" s="172"/>
    </row>
    <row r="233" spans="1:16">
      <c r="A233" s="167">
        <v>42972</v>
      </c>
      <c r="B233" s="168">
        <v>42973</v>
      </c>
      <c r="C233" s="169" t="s">
        <v>315</v>
      </c>
      <c r="D233" s="170" t="s">
        <v>8</v>
      </c>
      <c r="E233" s="171">
        <v>382712.19</v>
      </c>
      <c r="F233" s="171">
        <v>0</v>
      </c>
      <c r="G233" s="171">
        <v>49752</v>
      </c>
      <c r="H233" s="171">
        <v>0</v>
      </c>
      <c r="I233" s="171">
        <v>0</v>
      </c>
      <c r="J233" s="168">
        <v>42972</v>
      </c>
      <c r="K233" s="168"/>
      <c r="L233" s="171"/>
      <c r="M233" s="171"/>
      <c r="N233" s="171"/>
      <c r="O233" s="171"/>
      <c r="P233" s="172"/>
    </row>
    <row r="234" spans="1:16">
      <c r="A234" s="167">
        <v>42972</v>
      </c>
      <c r="B234" s="168">
        <v>42973</v>
      </c>
      <c r="C234" s="169" t="s">
        <v>315</v>
      </c>
      <c r="D234" s="170" t="s">
        <v>9</v>
      </c>
      <c r="E234" s="171">
        <v>42658</v>
      </c>
      <c r="F234" s="171">
        <v>0</v>
      </c>
      <c r="G234" s="171">
        <v>5546</v>
      </c>
      <c r="H234" s="171">
        <v>0</v>
      </c>
      <c r="I234" s="171">
        <v>0</v>
      </c>
      <c r="J234" s="168">
        <v>42972</v>
      </c>
      <c r="K234" s="168"/>
      <c r="L234" s="171"/>
      <c r="M234" s="171"/>
      <c r="N234" s="171"/>
      <c r="O234" s="171"/>
      <c r="P234" s="172"/>
    </row>
    <row r="235" spans="1:16">
      <c r="A235" s="167">
        <v>42972</v>
      </c>
      <c r="B235" s="168">
        <v>42973</v>
      </c>
      <c r="C235" s="169" t="s">
        <v>315</v>
      </c>
      <c r="D235" s="170" t="s">
        <v>12</v>
      </c>
      <c r="E235" s="171">
        <v>839838.4</v>
      </c>
      <c r="F235" s="171">
        <v>39200</v>
      </c>
      <c r="G235" s="171">
        <v>107128</v>
      </c>
      <c r="H235" s="171">
        <v>0</v>
      </c>
      <c r="I235" s="171">
        <v>0</v>
      </c>
      <c r="J235" s="168">
        <v>42972</v>
      </c>
      <c r="K235" s="168"/>
      <c r="L235" s="171"/>
      <c r="M235" s="171"/>
      <c r="N235" s="171"/>
      <c r="O235" s="171"/>
      <c r="P235" s="172"/>
    </row>
    <row r="236" spans="1:16">
      <c r="A236" s="167">
        <v>42972</v>
      </c>
      <c r="B236" s="168">
        <v>42973</v>
      </c>
      <c r="C236" s="169" t="s">
        <v>315</v>
      </c>
      <c r="D236" s="170" t="s">
        <v>13</v>
      </c>
      <c r="E236" s="171">
        <v>1237808.28</v>
      </c>
      <c r="F236" s="171">
        <v>0</v>
      </c>
      <c r="G236" s="171">
        <v>160915</v>
      </c>
      <c r="H236" s="171">
        <v>0</v>
      </c>
      <c r="I236" s="171">
        <v>0</v>
      </c>
      <c r="J236" s="168">
        <v>42972</v>
      </c>
      <c r="K236" s="168"/>
      <c r="L236" s="171"/>
      <c r="M236" s="171"/>
      <c r="N236" s="171"/>
      <c r="O236" s="171"/>
      <c r="P236" s="172"/>
    </row>
    <row r="237" spans="1:16">
      <c r="A237" s="167">
        <v>42975</v>
      </c>
      <c r="B237" s="168">
        <v>42976</v>
      </c>
      <c r="C237" s="169" t="s">
        <v>317</v>
      </c>
      <c r="D237" s="170" t="s">
        <v>8</v>
      </c>
      <c r="E237" s="171">
        <v>2357170.7200000002</v>
      </c>
      <c r="F237" s="171">
        <v>0</v>
      </c>
      <c r="G237" s="171">
        <v>306432</v>
      </c>
      <c r="H237" s="171">
        <v>0</v>
      </c>
      <c r="I237" s="171">
        <v>0</v>
      </c>
      <c r="J237" s="168">
        <v>42975</v>
      </c>
      <c r="K237" s="168"/>
      <c r="L237" s="171"/>
      <c r="M237" s="171"/>
      <c r="N237" s="171"/>
      <c r="O237" s="171"/>
      <c r="P237" s="172"/>
    </row>
    <row r="238" spans="1:16">
      <c r="A238" s="167">
        <v>42975</v>
      </c>
      <c r="B238" s="168">
        <v>42976</v>
      </c>
      <c r="C238" s="169" t="s">
        <v>317</v>
      </c>
      <c r="D238" s="170" t="s">
        <v>9</v>
      </c>
      <c r="E238" s="171">
        <v>6776071.0999999996</v>
      </c>
      <c r="F238" s="171">
        <v>0</v>
      </c>
      <c r="G238" s="171">
        <v>880890</v>
      </c>
      <c r="H238" s="171">
        <v>0</v>
      </c>
      <c r="I238" s="171">
        <v>0</v>
      </c>
      <c r="J238" s="168">
        <v>42975</v>
      </c>
      <c r="K238" s="168">
        <v>42930</v>
      </c>
      <c r="L238" s="171">
        <v>-188000</v>
      </c>
      <c r="M238" s="171">
        <v>0</v>
      </c>
      <c r="N238" s="171">
        <v>-24440</v>
      </c>
      <c r="O238" s="171">
        <v>0</v>
      </c>
      <c r="P238" s="172">
        <v>0</v>
      </c>
    </row>
    <row r="239" spans="1:16">
      <c r="A239" s="167">
        <v>42975</v>
      </c>
      <c r="B239" s="168"/>
      <c r="C239" s="169" t="s">
        <v>317</v>
      </c>
      <c r="D239" s="170" t="s">
        <v>9</v>
      </c>
      <c r="E239" s="171"/>
      <c r="F239" s="171"/>
      <c r="G239" s="171"/>
      <c r="H239" s="171"/>
      <c r="I239" s="171"/>
      <c r="J239" s="168">
        <v>42975</v>
      </c>
      <c r="K239" s="168">
        <v>42937</v>
      </c>
      <c r="L239" s="171">
        <v>-73500</v>
      </c>
      <c r="M239" s="171">
        <v>0</v>
      </c>
      <c r="N239" s="171">
        <v>-9555</v>
      </c>
      <c r="O239" s="171">
        <v>0</v>
      </c>
      <c r="P239" s="172">
        <v>0</v>
      </c>
    </row>
    <row r="240" spans="1:16">
      <c r="A240" s="167">
        <v>42975</v>
      </c>
      <c r="B240" s="168">
        <v>42976</v>
      </c>
      <c r="C240" s="169" t="s">
        <v>317</v>
      </c>
      <c r="D240" s="170" t="s">
        <v>11</v>
      </c>
      <c r="E240" s="171">
        <v>2362441.1</v>
      </c>
      <c r="F240" s="171">
        <v>0</v>
      </c>
      <c r="G240" s="171">
        <v>307118</v>
      </c>
      <c r="H240" s="171">
        <v>0</v>
      </c>
      <c r="I240" s="171">
        <v>0</v>
      </c>
      <c r="J240" s="168">
        <v>42975</v>
      </c>
      <c r="K240" s="168"/>
      <c r="L240" s="171"/>
      <c r="M240" s="171"/>
      <c r="N240" s="171"/>
      <c r="O240" s="171"/>
      <c r="P240" s="172"/>
    </row>
    <row r="241" spans="1:16">
      <c r="A241" s="167">
        <v>42978</v>
      </c>
      <c r="B241" s="168"/>
      <c r="C241" s="169" t="s">
        <v>315</v>
      </c>
      <c r="D241" s="170" t="s">
        <v>7</v>
      </c>
      <c r="E241" s="171">
        <v>0</v>
      </c>
      <c r="F241" s="171">
        <v>0</v>
      </c>
      <c r="G241" s="171">
        <v>-6864</v>
      </c>
      <c r="H241" s="171">
        <v>0</v>
      </c>
      <c r="I241" s="171">
        <v>6864</v>
      </c>
      <c r="J241" s="168">
        <v>42978</v>
      </c>
      <c r="K241" s="168">
        <v>42895</v>
      </c>
      <c r="L241" s="171">
        <v>-2101.0700000000002</v>
      </c>
      <c r="M241" s="171">
        <v>0</v>
      </c>
      <c r="N241" s="171">
        <v>-273</v>
      </c>
      <c r="O241" s="171">
        <v>0</v>
      </c>
      <c r="P241" s="172">
        <v>0</v>
      </c>
    </row>
    <row r="242" spans="1:16">
      <c r="A242" s="167">
        <v>42978</v>
      </c>
      <c r="B242" s="168"/>
      <c r="C242" s="169" t="s">
        <v>315</v>
      </c>
      <c r="D242" s="170" t="s">
        <v>7</v>
      </c>
      <c r="E242" s="171"/>
      <c r="F242" s="171"/>
      <c r="G242" s="171"/>
      <c r="H242" s="171"/>
      <c r="I242" s="171"/>
      <c r="J242" s="168">
        <v>42978</v>
      </c>
      <c r="K242" s="168">
        <v>42927</v>
      </c>
      <c r="L242" s="171">
        <v>-11880.9</v>
      </c>
      <c r="M242" s="171">
        <v>0</v>
      </c>
      <c r="N242" s="171">
        <v>-1544</v>
      </c>
      <c r="O242" s="171">
        <v>0</v>
      </c>
      <c r="P242" s="172">
        <v>0</v>
      </c>
    </row>
    <row r="243" spans="1:16">
      <c r="A243" s="167">
        <v>42978</v>
      </c>
      <c r="B243" s="168"/>
      <c r="C243" s="169" t="s">
        <v>315</v>
      </c>
      <c r="D243" s="170" t="s">
        <v>7</v>
      </c>
      <c r="E243" s="171"/>
      <c r="F243" s="171"/>
      <c r="G243" s="171"/>
      <c r="H243" s="171"/>
      <c r="I243" s="171"/>
      <c r="J243" s="168">
        <v>42978</v>
      </c>
      <c r="K243" s="168">
        <v>42957</v>
      </c>
      <c r="L243" s="171">
        <v>-5896.6</v>
      </c>
      <c r="M243" s="171">
        <v>0</v>
      </c>
      <c r="N243" s="171">
        <v>-766</v>
      </c>
      <c r="O243" s="171">
        <v>0</v>
      </c>
      <c r="P243" s="172">
        <v>0</v>
      </c>
    </row>
    <row r="244" spans="1:16">
      <c r="A244" s="167">
        <v>42978</v>
      </c>
      <c r="B244" s="168"/>
      <c r="C244" s="169" t="s">
        <v>315</v>
      </c>
      <c r="D244" s="170" t="s">
        <v>13</v>
      </c>
      <c r="E244" s="171"/>
      <c r="F244" s="171"/>
      <c r="G244" s="171"/>
      <c r="H244" s="171"/>
      <c r="I244" s="171"/>
      <c r="J244" s="168">
        <v>42978</v>
      </c>
      <c r="K244" s="168">
        <v>42895</v>
      </c>
      <c r="L244" s="171">
        <v>-4392</v>
      </c>
      <c r="M244" s="171">
        <v>0</v>
      </c>
      <c r="N244" s="171">
        <v>-571</v>
      </c>
      <c r="O244" s="171">
        <v>0</v>
      </c>
      <c r="P244" s="172">
        <v>0</v>
      </c>
    </row>
  </sheetData>
  <mergeCells count="13">
    <mergeCell ref="K3:K4"/>
    <mergeCell ref="L3:N3"/>
    <mergeCell ref="O3:P3"/>
    <mergeCell ref="A1:P1"/>
    <mergeCell ref="A2:I2"/>
    <mergeCell ref="J2:P2"/>
    <mergeCell ref="A3:A4"/>
    <mergeCell ref="B3:B4"/>
    <mergeCell ref="C3:C4"/>
    <mergeCell ref="D3:D4"/>
    <mergeCell ref="E3:G3"/>
    <mergeCell ref="H3:I3"/>
    <mergeCell ref="J3:J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6" t="s">
        <v>299</v>
      </c>
      <c r="B1" s="217"/>
      <c r="C1" s="217"/>
      <c r="D1" s="217"/>
      <c r="E1" s="217"/>
      <c r="F1" s="217"/>
      <c r="G1" s="217"/>
      <c r="H1" s="217"/>
    </row>
    <row r="2" spans="1:8" ht="15.75" customHeight="1">
      <c r="A2" s="221"/>
      <c r="B2" s="221"/>
      <c r="C2" s="221"/>
      <c r="D2" s="221"/>
      <c r="E2" s="221"/>
      <c r="F2" s="221"/>
      <c r="G2" s="221"/>
      <c r="H2" s="221"/>
    </row>
    <row r="3" spans="1:8" ht="27" customHeight="1">
      <c r="A3" s="218" t="s">
        <v>274</v>
      </c>
      <c r="B3" s="218"/>
      <c r="C3" s="218"/>
      <c r="D3" s="118"/>
      <c r="E3" s="218" t="s">
        <v>275</v>
      </c>
      <c r="F3" s="218"/>
      <c r="G3" s="218"/>
      <c r="H3" s="218"/>
    </row>
    <row r="4" spans="1:8">
      <c r="A4" s="156" t="s">
        <v>292</v>
      </c>
      <c r="B4" s="157" t="s">
        <v>276</v>
      </c>
      <c r="C4" s="157" t="s">
        <v>277</v>
      </c>
      <c r="D4" s="118"/>
      <c r="E4" s="125" t="s">
        <v>278</v>
      </c>
      <c r="F4" s="125" t="s">
        <v>276</v>
      </c>
      <c r="G4" s="125" t="s">
        <v>277</v>
      </c>
      <c r="H4" s="125" t="s">
        <v>304</v>
      </c>
    </row>
    <row r="5" spans="1:8" ht="18">
      <c r="A5" s="158" t="s">
        <v>279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280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281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282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283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284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285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286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287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300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289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19" t="s">
        <v>290</v>
      </c>
      <c r="B18" s="219"/>
      <c r="C18" s="219"/>
      <c r="D18" s="120"/>
      <c r="E18" s="219" t="s">
        <v>291</v>
      </c>
      <c r="F18" s="219"/>
      <c r="G18" s="219"/>
      <c r="H18" s="219"/>
    </row>
    <row r="19" spans="1:8" ht="14.25" customHeight="1">
      <c r="A19" s="219"/>
      <c r="B19" s="219"/>
      <c r="C19" s="219"/>
      <c r="D19" s="119"/>
      <c r="E19" s="220" t="s">
        <v>276</v>
      </c>
      <c r="F19" s="220"/>
      <c r="G19" s="220" t="s">
        <v>277</v>
      </c>
      <c r="H19" s="220"/>
    </row>
    <row r="20" spans="1:8">
      <c r="A20" s="126" t="s">
        <v>292</v>
      </c>
      <c r="B20" s="149" t="s">
        <v>276</v>
      </c>
      <c r="C20" s="126" t="s">
        <v>277</v>
      </c>
      <c r="D20" s="151" t="s">
        <v>138</v>
      </c>
      <c r="E20" s="152" t="s">
        <v>293</v>
      </c>
      <c r="F20" s="150" t="s">
        <v>294</v>
      </c>
      <c r="G20" s="148" t="s">
        <v>302</v>
      </c>
      <c r="H20" s="148" t="s">
        <v>303</v>
      </c>
    </row>
    <row r="21" spans="1:8" ht="18">
      <c r="A21" s="127" t="s">
        <v>273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288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301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295</v>
      </c>
      <c r="B36" s="141"/>
      <c r="C36" s="118"/>
      <c r="D36" s="118"/>
      <c r="F36" s="118"/>
      <c r="G36" s="118"/>
      <c r="H36" s="118"/>
    </row>
    <row r="37" spans="1:8" ht="18">
      <c r="A37" s="127" t="s">
        <v>296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305</v>
      </c>
      <c r="B38" s="142"/>
      <c r="C38" s="136"/>
      <c r="D38" s="118"/>
      <c r="F38" s="118"/>
      <c r="G38" s="118"/>
      <c r="H38" s="118"/>
    </row>
    <row r="39" spans="1:8" ht="18">
      <c r="A39" s="127" t="s">
        <v>297</v>
      </c>
      <c r="B39" s="124">
        <f>B37-B38</f>
        <v>0</v>
      </c>
      <c r="C39" s="118"/>
      <c r="D39" s="118"/>
    </row>
    <row r="40" spans="1:8">
      <c r="D40" s="118"/>
    </row>
    <row r="41" spans="1:8">
      <c r="A41" s="214" t="s">
        <v>306</v>
      </c>
      <c r="B41" s="215"/>
      <c r="D41" s="118"/>
    </row>
    <row r="42" spans="1:8">
      <c r="A42" s="214"/>
      <c r="B42" s="215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298</v>
      </c>
      <c r="B44" s="142"/>
      <c r="C44" s="118"/>
      <c r="D44" s="118"/>
    </row>
    <row r="45" spans="1:8">
      <c r="D45" s="118"/>
    </row>
    <row r="46" spans="1:8" ht="51.75" customHeight="1">
      <c r="A46" s="162" t="s">
        <v>307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35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0" t="s">
        <v>257</v>
      </c>
      <c r="B1" s="180"/>
      <c r="C1" s="180"/>
      <c r="D1" s="180"/>
      <c r="E1" s="112"/>
      <c r="F1" s="112"/>
      <c r="G1" s="112"/>
      <c r="H1" s="112"/>
      <c r="I1" s="112"/>
      <c r="J1" s="112"/>
    </row>
    <row r="2" spans="1:10">
      <c r="B2" s="96"/>
      <c r="C2" s="65" t="s">
        <v>232</v>
      </c>
      <c r="D2" s="65" t="s">
        <v>233</v>
      </c>
      <c r="E2" s="6"/>
      <c r="F2" s="6"/>
      <c r="G2" s="6"/>
      <c r="H2" s="6"/>
      <c r="I2" s="6"/>
      <c r="J2" s="6"/>
    </row>
    <row r="3" spans="1:10">
      <c r="B3" s="97" t="s">
        <v>234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188</v>
      </c>
      <c r="B5" s="99" t="s">
        <v>235</v>
      </c>
      <c r="C5" s="100" t="s">
        <v>236</v>
      </c>
      <c r="D5" s="101" t="s">
        <v>236</v>
      </c>
    </row>
    <row r="6" spans="1:10" s="103" customFormat="1" ht="12" thickBot="1">
      <c r="A6" s="102" t="s">
        <v>189</v>
      </c>
      <c r="B6" s="106" t="s">
        <v>241</v>
      </c>
      <c r="C6" s="107" t="s">
        <v>237</v>
      </c>
      <c r="D6" s="108" t="s">
        <v>238</v>
      </c>
    </row>
    <row r="7" spans="1:10">
      <c r="A7" s="52"/>
      <c r="B7" s="104" t="s">
        <v>242</v>
      </c>
      <c r="C7" s="105"/>
      <c r="D7" s="105"/>
    </row>
    <row r="9" spans="1:10">
      <c r="B9" t="s">
        <v>239</v>
      </c>
    </row>
    <row r="10" spans="1:10">
      <c r="B10" t="s">
        <v>240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2" t="s">
        <v>258</v>
      </c>
      <c r="B1" s="223"/>
      <c r="C1" s="223"/>
      <c r="D1" s="223"/>
      <c r="E1" s="223"/>
    </row>
    <row r="2" spans="1:6" ht="19.5" customHeight="1">
      <c r="A2" s="224" t="s">
        <v>187</v>
      </c>
      <c r="B2" s="225"/>
      <c r="C2" s="225"/>
      <c r="D2" s="225"/>
      <c r="E2" s="226"/>
    </row>
    <row r="3" spans="1:6" ht="30">
      <c r="A3" s="78" t="s">
        <v>188</v>
      </c>
      <c r="B3" s="78" t="s">
        <v>69</v>
      </c>
      <c r="C3" s="78" t="s">
        <v>70</v>
      </c>
      <c r="D3" s="78" t="s">
        <v>71</v>
      </c>
      <c r="E3" s="78" t="s">
        <v>72</v>
      </c>
    </row>
    <row r="4" spans="1:6">
      <c r="A4" s="79" t="s">
        <v>189</v>
      </c>
      <c r="B4" s="77" t="s">
        <v>73</v>
      </c>
      <c r="C4" s="77" t="s">
        <v>74</v>
      </c>
      <c r="D4" s="77" t="s">
        <v>75</v>
      </c>
      <c r="E4" s="77" t="s">
        <v>76</v>
      </c>
    </row>
    <row r="5" spans="1:6">
      <c r="A5" s="80"/>
      <c r="B5" s="81" t="s">
        <v>140</v>
      </c>
      <c r="C5" s="82"/>
      <c r="D5" s="83"/>
      <c r="E5" s="84"/>
    </row>
    <row r="6" spans="1:6">
      <c r="D6" t="s">
        <v>197</v>
      </c>
    </row>
    <row r="7" spans="1:6">
      <c r="D7" t="s">
        <v>190</v>
      </c>
    </row>
    <row r="8" spans="1:6" ht="20.25" customHeight="1">
      <c r="D8" s="206" t="s">
        <v>191</v>
      </c>
      <c r="E8" s="206"/>
    </row>
    <row r="9" spans="1:6">
      <c r="C9" s="6"/>
      <c r="D9" s="6" t="s">
        <v>194</v>
      </c>
      <c r="E9" s="56"/>
      <c r="F9" s="6"/>
    </row>
    <row r="10" spans="1:6">
      <c r="C10" s="56"/>
      <c r="D10" s="57" t="s">
        <v>192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206" t="s">
        <v>193</v>
      </c>
      <c r="E11" s="206"/>
    </row>
    <row r="12" spans="1:6">
      <c r="D12" s="6" t="s">
        <v>195</v>
      </c>
      <c r="E12" s="54"/>
    </row>
    <row r="13" spans="1:6">
      <c r="D13" s="55" t="s">
        <v>192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7" t="s">
        <v>259</v>
      </c>
      <c r="B1" s="228"/>
      <c r="C1" s="228"/>
      <c r="D1" s="228"/>
      <c r="E1" s="228"/>
      <c r="F1" s="228"/>
      <c r="G1" s="228"/>
      <c r="H1" s="228"/>
    </row>
    <row r="2" spans="1:8" ht="30.75" thickBot="1">
      <c r="A2" s="75" t="s">
        <v>188</v>
      </c>
      <c r="B2" s="73" t="s">
        <v>80</v>
      </c>
      <c r="C2" s="73" t="s">
        <v>1</v>
      </c>
      <c r="D2" s="73" t="s">
        <v>81</v>
      </c>
      <c r="E2" s="73" t="s">
        <v>82</v>
      </c>
      <c r="F2" s="73" t="s">
        <v>83</v>
      </c>
      <c r="G2" s="73" t="s">
        <v>84</v>
      </c>
      <c r="H2" s="74" t="s">
        <v>85</v>
      </c>
    </row>
    <row r="3" spans="1:8">
      <c r="A3" s="76" t="s">
        <v>189</v>
      </c>
      <c r="B3" s="59" t="s">
        <v>86</v>
      </c>
      <c r="C3" s="59" t="s">
        <v>87</v>
      </c>
      <c r="D3" s="59" t="s">
        <v>88</v>
      </c>
      <c r="E3" s="59" t="s">
        <v>89</v>
      </c>
      <c r="F3" s="59" t="s">
        <v>90</v>
      </c>
      <c r="G3" s="59" t="s">
        <v>91</v>
      </c>
      <c r="H3" s="60" t="s">
        <v>92</v>
      </c>
    </row>
    <row r="4" spans="1:8">
      <c r="A4" s="69"/>
      <c r="B4" s="70" t="s">
        <v>141</v>
      </c>
      <c r="C4" s="71"/>
      <c r="D4" s="71"/>
      <c r="E4" s="71"/>
      <c r="F4" s="72"/>
      <c r="G4" s="72"/>
      <c r="H4" s="72"/>
    </row>
    <row r="5" spans="1:8">
      <c r="A5" s="92" t="s">
        <v>221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198</v>
      </c>
    </row>
    <row r="7" spans="1:8">
      <c r="A7" s="61" t="s">
        <v>199</v>
      </c>
      <c r="C7" s="54"/>
      <c r="D7" s="54"/>
      <c r="E7" s="234" t="s">
        <v>200</v>
      </c>
      <c r="F7" s="234"/>
      <c r="G7" s="234"/>
      <c r="H7" s="234"/>
    </row>
    <row r="8" spans="1:8">
      <c r="A8" s="85" t="s">
        <v>201</v>
      </c>
      <c r="B8" s="85" t="s">
        <v>202</v>
      </c>
      <c r="C8" s="85" t="s">
        <v>227</v>
      </c>
      <c r="D8" s="85" t="s">
        <v>203</v>
      </c>
      <c r="E8" s="85" t="s">
        <v>204</v>
      </c>
      <c r="F8" s="85" t="s">
        <v>205</v>
      </c>
      <c r="G8" s="85" t="s">
        <v>217</v>
      </c>
      <c r="H8" s="85" t="s">
        <v>218</v>
      </c>
    </row>
    <row r="9" spans="1:8">
      <c r="A9" s="6" t="s">
        <v>215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35" t="s">
        <v>206</v>
      </c>
      <c r="F11" s="235"/>
      <c r="G11" s="235"/>
      <c r="H11" s="235"/>
    </row>
    <row r="12" spans="1:8">
      <c r="C12" s="54"/>
      <c r="D12" s="86"/>
      <c r="E12" s="231" t="s">
        <v>207</v>
      </c>
      <c r="F12" s="232"/>
      <c r="G12" s="233"/>
      <c r="H12" s="229" t="s">
        <v>219</v>
      </c>
    </row>
    <row r="13" spans="1:8" ht="15.75" thickBot="1">
      <c r="C13" s="90" t="s">
        <v>227</v>
      </c>
      <c r="D13" s="86" t="s">
        <v>208</v>
      </c>
      <c r="E13" s="87" t="s">
        <v>209</v>
      </c>
      <c r="F13" s="88" t="s">
        <v>210</v>
      </c>
      <c r="G13" s="89" t="s">
        <v>211</v>
      </c>
      <c r="H13" s="229"/>
    </row>
    <row r="14" spans="1:8">
      <c r="A14" s="6" t="s">
        <v>216</v>
      </c>
      <c r="C14" s="54"/>
    </row>
    <row r="15" spans="1:8">
      <c r="C15" s="62">
        <f>SUM(Таблица30[Столбец1])+SUM(Таблица31[Столбец3])</f>
        <v>0</v>
      </c>
      <c r="D15" t="s">
        <v>212</v>
      </c>
      <c r="E15" s="54"/>
    </row>
    <row r="16" spans="1:8">
      <c r="A16" s="61" t="s">
        <v>213</v>
      </c>
      <c r="E16" s="54"/>
    </row>
    <row r="17" spans="1:8" ht="37.5" customHeight="1">
      <c r="A17" s="90" t="s">
        <v>201</v>
      </c>
      <c r="B17" s="90" t="s">
        <v>202</v>
      </c>
      <c r="C17" s="90" t="s">
        <v>227</v>
      </c>
      <c r="D17" s="90" t="s">
        <v>228</v>
      </c>
      <c r="E17" s="91" t="s">
        <v>229</v>
      </c>
    </row>
    <row r="18" spans="1:8">
      <c r="A18" t="s">
        <v>220</v>
      </c>
      <c r="F18" s="63"/>
    </row>
    <row r="19" spans="1:8" ht="15.75" thickBot="1">
      <c r="C19" s="64">
        <f>SUM(C18:C18)</f>
        <v>0</v>
      </c>
      <c r="D19" t="s">
        <v>214</v>
      </c>
      <c r="F19" s="63"/>
    </row>
    <row r="20" spans="1:8" ht="15.75" thickTop="1">
      <c r="C20" s="65">
        <f>tax_13+tax_30</f>
        <v>0</v>
      </c>
      <c r="D20" t="s">
        <v>226</v>
      </c>
    </row>
    <row r="21" spans="1:8">
      <c r="C21" s="66"/>
      <c r="H21" s="67"/>
    </row>
    <row r="22" spans="1:8">
      <c r="A22" s="230" t="s">
        <v>225</v>
      </c>
      <c r="B22" s="230"/>
      <c r="C22" s="230"/>
      <c r="D22" s="230"/>
      <c r="E22" s="230"/>
      <c r="F22" s="230"/>
      <c r="G22" s="67"/>
      <c r="H22" s="67"/>
    </row>
    <row r="23" spans="1:8">
      <c r="A23" s="68" t="s">
        <v>64</v>
      </c>
      <c r="B23" s="68" t="s">
        <v>65</v>
      </c>
      <c r="C23" s="68" t="s">
        <v>66</v>
      </c>
      <c r="D23" s="68" t="s">
        <v>83</v>
      </c>
      <c r="E23" s="68" t="s">
        <v>70</v>
      </c>
      <c r="F23" s="68" t="s">
        <v>223</v>
      </c>
      <c r="G23" s="67"/>
    </row>
    <row r="24" spans="1:8">
      <c r="A24" t="s">
        <v>222</v>
      </c>
      <c r="D24" s="54"/>
      <c r="E24" s="54"/>
      <c r="F24" s="54"/>
    </row>
    <row r="25" spans="1:8">
      <c r="A25" t="s">
        <v>224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100</v>
      </c>
      <c r="B1" s="34" t="s">
        <v>101</v>
      </c>
      <c r="C1" s="34" t="s">
        <v>102</v>
      </c>
      <c r="D1" s="34" t="s">
        <v>103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36" t="s">
        <v>260</v>
      </c>
      <c r="B1" s="236"/>
      <c r="C1" s="236"/>
      <c r="D1" s="236"/>
      <c r="E1" s="236"/>
      <c r="F1" s="236"/>
      <c r="G1" s="236"/>
      <c r="H1" s="236"/>
      <c r="I1" s="236"/>
    </row>
    <row r="2" spans="1:9" ht="34.5" customHeight="1">
      <c r="A2" s="33" t="s">
        <v>64</v>
      </c>
      <c r="B2" s="48" t="s">
        <v>65</v>
      </c>
      <c r="C2" s="48" t="s">
        <v>66</v>
      </c>
      <c r="D2" s="48" t="s">
        <v>101</v>
      </c>
      <c r="E2" s="48" t="s">
        <v>103</v>
      </c>
      <c r="F2" s="52" t="s">
        <v>178</v>
      </c>
      <c r="G2" s="52" t="s">
        <v>1</v>
      </c>
      <c r="H2" s="52" t="s">
        <v>179</v>
      </c>
      <c r="I2" s="53" t="s">
        <v>180</v>
      </c>
    </row>
    <row r="3" spans="1:9">
      <c r="A3" t="s">
        <v>183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122</v>
      </c>
    </row>
    <row r="2" spans="1:1">
      <c r="A2" t="s">
        <v>78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38" t="s">
        <v>270</v>
      </c>
      <c r="B1" s="239"/>
      <c r="C1" s="239"/>
      <c r="D1" s="239"/>
      <c r="E1" s="239"/>
      <c r="F1" s="239"/>
      <c r="G1" s="239"/>
      <c r="H1" s="239"/>
      <c r="I1" s="239"/>
    </row>
    <row r="2" spans="1:9" ht="15.75">
      <c r="A2" s="113"/>
    </row>
    <row r="3" spans="1:9" ht="31.5" customHeight="1">
      <c r="A3" s="237" t="s">
        <v>269</v>
      </c>
      <c r="B3" s="237"/>
      <c r="C3" s="237"/>
      <c r="D3" s="237"/>
      <c r="E3" s="237"/>
      <c r="F3" s="237"/>
      <c r="G3" s="237"/>
      <c r="H3" s="237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264</v>
      </c>
      <c r="B5" s="114" t="s">
        <v>64</v>
      </c>
      <c r="C5" s="114" t="s">
        <v>65</v>
      </c>
      <c r="D5" s="114" t="s">
        <v>66</v>
      </c>
      <c r="E5" s="114" t="s">
        <v>80</v>
      </c>
      <c r="F5" s="114" t="s">
        <v>267</v>
      </c>
      <c r="G5" s="114" t="s">
        <v>265</v>
      </c>
      <c r="H5" s="114" t="s">
        <v>233</v>
      </c>
      <c r="I5" s="114" t="s">
        <v>266</v>
      </c>
    </row>
    <row r="6" spans="1:9">
      <c r="A6" s="115" t="s">
        <v>263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19</vt:i4>
      </vt:variant>
    </vt:vector>
  </HeadingPairs>
  <TitlesOfParts>
    <vt:vector size="36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Ошибки в движении средств</vt:lpstr>
      <vt:lpstr>Расшифровка 6 НДФЛ</vt:lpstr>
      <vt:lpstr>Расшифровка 6 НДФЛ (дет)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2017-09-13T07:58:59Z</dcterms:modified>
</cp:coreProperties>
</file>