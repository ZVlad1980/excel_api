
<file path=[Content_Types].xml><?xml version="1.0" encoding="utf-8"?>
<Types xmlns="http://schemas.openxmlformats.org/package/2006/content-types">
  <Override PartName="/xl/tables/table4.xml" ContentType="application/vnd.openxmlformats-officedocument.spreadsheetml.table+xml"/>
  <Override PartName="/xl/tables/table16.xml" ContentType="application/vnd.openxmlformats-officedocument.spreadsheetml.table+xml"/>
  <Override PartName="/xl/tables/table25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tables/table14.xml" ContentType="application/vnd.openxmlformats-officedocument.spreadsheetml.table+xml"/>
  <Override PartName="/xl/tables/table23.xml" ContentType="application/vnd.openxmlformats-officedocument.spreadsheetml.table+xml"/>
  <Override PartName="/xl/tables/table3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19.xml" ContentType="application/vnd.openxmlformats-officedocument.spreadsheetml.table+xml"/>
  <Override PartName="/xl/tables/table29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docProps/core.xml" ContentType="application/vnd.openxmlformats-package.core-properties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tables/table22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ЭтаКнига"/>
  <bookViews>
    <workbookView xWindow="0" yWindow="0" windowWidth="12450" windowHeight="11685" tabRatio="698" firstSheet="5" activeTab="5"/>
  </bookViews>
  <sheets>
    <sheet name="detail_report" sheetId="55" state="hidden" r:id="rId1"/>
    <sheet name="detail_report_2" sheetId="56" state="hidden" r:id="rId2"/>
    <sheet name="error_report" sheetId="57" state="hidden" r:id="rId3"/>
    <sheet name="correcting_report" sheetId="60" state="hidden" r:id="rId4"/>
    <sheet name="Settings" sheetId="103" state="hidden" r:id="rId5"/>
    <sheet name="Отчеты" sheetId="6" r:id="rId6"/>
    <sheet name="ndfl6_part2" sheetId="249" state="hidden" r:id="rId7"/>
    <sheet name="ndfl6_part1_general" sheetId="71" state="hidden" r:id="rId8"/>
    <sheet name="ndfl6_part1_rates" sheetId="69" state="hidden" r:id="rId9"/>
    <sheet name="funds_employees" sheetId="73" state="hidden" r:id="rId10"/>
    <sheet name="funds_employees_report" sheetId="123" state="hidden" r:id="rId11"/>
    <sheet name="ndfl6_part1" sheetId="248" state="hidden" r:id="rId12"/>
  </sheets>
  <functionGroups/>
  <definedNames>
    <definedName name="data_source_name">Settings!$B$3</definedName>
    <definedName name="end_date">Отчеты!$C$5</definedName>
    <definedName name="EndDate">Отчеты!$C$5</definedName>
    <definedName name="menu_item_selected">Settings!$B$6</definedName>
    <definedName name="oracle_owner">Settings!$B$4</definedName>
    <definedName name="output">Отчеты!$B$8</definedName>
    <definedName name="report_code">Settings!$B$7</definedName>
    <definedName name="ReportSelected">Отчеты!$C$2</definedName>
    <definedName name="start_date">Отчеты!$C$4</definedName>
    <definedName name="start_sheet_name">Settings!$B$5</definedName>
    <definedName name="StartDate">Отчеты!$C$4</definedName>
    <definedName name="StartDateRow">Отчеты!$4:$4</definedName>
    <definedName name="tax_13">ndfl6_part1_rates!$C$15</definedName>
    <definedName name="tax_13_amount">ndfl6_part1_rates!$C$15</definedName>
    <definedName name="tax_30">ndfl6_part1_rates!$C$19</definedName>
  </definedNames>
  <calcPr calcId="124519"/>
</workbook>
</file>

<file path=xl/calcChain.xml><?xml version="1.0" encoding="utf-8"?>
<calcChain xmlns="http://schemas.openxmlformats.org/spreadsheetml/2006/main">
  <c r="D2" i="249"/>
  <c r="C2"/>
  <c r="F25" i="69"/>
  <c r="E25"/>
  <c r="D25"/>
  <c r="H5"/>
  <c r="G5"/>
  <c r="F5"/>
  <c r="E5"/>
  <c r="D5"/>
  <c r="C5"/>
  <c r="C15"/>
  <c r="C19"/>
  <c r="E13" i="71"/>
  <c r="E10"/>
  <c r="B6" i="103"/>
  <c r="C20" i="69" l="1"/>
</calcChain>
</file>

<file path=xl/comments1.xml><?xml version="1.0" encoding="utf-8"?>
<comments xmlns="http://schemas.openxmlformats.org/spreadsheetml/2006/main">
  <authors>
    <author>Zhuravov</author>
  </authors>
  <commentList>
    <comment ref="B7" authorId="0">
      <text>
        <r>
          <rPr>
            <b/>
            <sz val="9"/>
            <color indexed="81"/>
            <rFont val="Tahoma"/>
            <family val="2"/>
            <charset val="204"/>
          </rPr>
          <t>Zhuravov:</t>
        </r>
        <r>
          <rPr>
            <sz val="9"/>
            <color indexed="81"/>
            <rFont val="Tahoma"/>
            <family val="2"/>
            <charset val="204"/>
          </rPr>
          <t xml:space="preserve">
API Processor пишет сюда код текущего отчета</t>
        </r>
      </text>
    </comment>
  </commentList>
</comments>
</file>

<file path=xl/sharedStrings.xml><?xml version="1.0" encoding="utf-8"?>
<sst xmlns="http://schemas.openxmlformats.org/spreadsheetml/2006/main" count="604" uniqueCount="256">
  <si>
    <t>Дата дохода</t>
  </si>
  <si>
    <t>Доход</t>
  </si>
  <si>
    <t>Вычет</t>
  </si>
  <si>
    <t>Тип дохода</t>
  </si>
  <si>
    <t>Операции текущего периода</t>
  </si>
  <si>
    <t>Ставка 13%</t>
  </si>
  <si>
    <t>Ставка 30%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</si>
  <si>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</si>
  <si>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</si>
  <si>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</si>
  <si>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</si>
  <si>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</si>
  <si>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</si>
  <si>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</si>
  <si>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</si>
  <si>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</si>
  <si>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</si>
  <si>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</si>
  <si>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</si>
  <si>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</si>
  <si>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</si>
  <si>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</si>
  <si>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НДФЛ</t>
  </si>
  <si>
    <t>Коррекция операций предыдущих периодов</t>
  </si>
  <si>
    <t>16</t>
  </si>
  <si>
    <t>VBZ</t>
  </si>
  <si>
    <t>Расшифровка 6 НДФЛ</t>
  </si>
  <si>
    <t>Отчеты</t>
  </si>
  <si>
    <t>detail_report</t>
  </si>
  <si>
    <t>Дата
коррекции</t>
  </si>
  <si>
    <t>Срок
перечисления
дохода</t>
  </si>
  <si>
    <t>Пенсионная
схема</t>
  </si>
  <si>
    <t>TemplateSheetName</t>
  </si>
  <si>
    <t>Дата
корректи-
руемой
операции</t>
  </si>
  <si>
    <t>detail_report_2</t>
  </si>
  <si>
    <t>Расшифровка 6 НДФЛ (дет)</t>
  </si>
  <si>
    <t>Дата операции</t>
  </si>
  <si>
    <t>Номер вкладчика</t>
  </si>
  <si>
    <t>Номер ИПС</t>
  </si>
  <si>
    <t>Счет</t>
  </si>
  <si>
    <t>Субсчет</t>
  </si>
  <si>
    <t>Сумма</t>
  </si>
  <si>
    <t>Корректируемые документы</t>
  </si>
  <si>
    <t>Описание ошибки</t>
  </si>
  <si>
    <t>error_report</t>
  </si>
  <si>
    <t>Ошибки в движении средств</t>
  </si>
  <si>
    <t>Документ (ссылка)</t>
  </si>
  <si>
    <t xml:space="preserve">НДФЛ6:  Расшифровка детализированная </t>
  </si>
  <si>
    <t>Дата</t>
  </si>
  <si>
    <t>17</t>
  </si>
  <si>
    <t>18</t>
  </si>
  <si>
    <t>Год</t>
  </si>
  <si>
    <t>Квартал</t>
  </si>
  <si>
    <t>Вкладчик</t>
  </si>
  <si>
    <t>ИПС</t>
  </si>
  <si>
    <t>Суб-счет</t>
  </si>
  <si>
    <t>Исходная сумма</t>
  </si>
  <si>
    <t>Изменение</t>
  </si>
  <si>
    <t>Месяц</t>
  </si>
  <si>
    <t>Исходная операция</t>
  </si>
  <si>
    <t>Операция коррекции</t>
  </si>
  <si>
    <t>SP_FIZ_LITS</t>
  </si>
  <si>
    <t>Документ-основание</t>
  </si>
  <si>
    <t>SSYLKA</t>
  </si>
  <si>
    <t>Фамилия</t>
  </si>
  <si>
    <t>Имя</t>
  </si>
  <si>
    <t>Отчество</t>
  </si>
  <si>
    <t>correcting_report</t>
  </si>
  <si>
    <t>Операции перерасчета</t>
  </si>
  <si>
    <t>Число физ.лиц</t>
  </si>
  <si>
    <t>Налог удержанный</t>
  </si>
  <si>
    <t>Налог НЕ удержанный</t>
  </si>
  <si>
    <t>Налог возвращенный</t>
  </si>
  <si>
    <t>060</t>
  </si>
  <si>
    <t>070</t>
  </si>
  <si>
    <t>080</t>
  </si>
  <si>
    <t>090</t>
  </si>
  <si>
    <t>НДФЛ6 Раздел 1 Общие итоги</t>
  </si>
  <si>
    <t>ndfl6_part1_rates</t>
  </si>
  <si>
    <t>НДФЛ6 Раздел 1 Итоги по ставкам</t>
  </si>
  <si>
    <t>Ставка</t>
  </si>
  <si>
    <t>Доход в т.ч. с дивидентов</t>
  </si>
  <si>
    <t>Вычеты</t>
  </si>
  <si>
    <t>Налог исчисленный</t>
  </si>
  <si>
    <t>НИ в т.ч. с дивидентов</t>
  </si>
  <si>
    <t>Аванс</t>
  </si>
  <si>
    <t>010</t>
  </si>
  <si>
    <t>020</t>
  </si>
  <si>
    <t>025</t>
  </si>
  <si>
    <t>030</t>
  </si>
  <si>
    <t>040</t>
  </si>
  <si>
    <t>045</t>
  </si>
  <si>
    <t>050</t>
  </si>
  <si>
    <t>Выберите отчет:</t>
  </si>
  <si>
    <t>Период с:</t>
  </si>
  <si>
    <t>Период по:</t>
  </si>
  <si>
    <t>Сотрудники фонда: отчет</t>
  </si>
  <si>
    <t>funds_employees</t>
  </si>
  <si>
    <t>NewSheetName</t>
  </si>
  <si>
    <t>Сотрудники фонда</t>
  </si>
  <si>
    <t>ФИО</t>
  </si>
  <si>
    <t>Дата рождения</t>
  </si>
  <si>
    <t>Снилс</t>
  </si>
  <si>
    <t>ИНН</t>
  </si>
  <si>
    <t>oracle_owner</t>
  </si>
  <si>
    <t>start_sheet_name</t>
  </si>
  <si>
    <t>Programs</t>
  </si>
  <si>
    <t>report</t>
  </si>
  <si>
    <t>program</t>
  </si>
  <si>
    <t>Reports</t>
  </si>
  <si>
    <t>Code</t>
  </si>
  <si>
    <t>employees_load</t>
  </si>
  <si>
    <t>employees_report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</si>
  <si>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</si>
  <si>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</si>
  <si>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</si>
  <si>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</si>
  <si>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</si>
  <si>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</si>
  <si>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</si>
  <si>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</si>
  <si>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</si>
  <si>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ndfl6_part1_general</t>
  </si>
  <si>
    <t>Сотрудники фонда: загрузить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</si>
  <si>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</si>
  <si>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</si>
  <si>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</si>
  <si>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</si>
  <si>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</si>
  <si>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</si>
  <si>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</si>
  <si>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</si>
  <si>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</si>
  <si>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</si>
  <si>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</si>
  <si>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</si>
  <si>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</si>
  <si>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</si>
  <si>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</si>
  <si>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</si>
  <si>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ndfl6_part1_general_data</t>
  </si>
  <si>
    <t>ndfl6_part1_rates_data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</si>
  <si>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</si>
  <si>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</si>
  <si>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</si>
  <si>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</si>
  <si>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</si>
  <si>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</si>
  <si>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</si>
  <si>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</si>
  <si>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</si>
  <si>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</si>
  <si>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</si>
  <si>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</si>
  <si>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</si>
  <si>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</si>
  <si>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</si>
  <si>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</si>
  <si>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</si>
  <si>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</si>
  <si>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</si>
  <si>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start_date</t>
  </si>
  <si>
    <t>end_date</t>
  </si>
  <si>
    <t>Size</t>
  </si>
  <si>
    <t>ndfl_report_api.get_report</t>
  </si>
  <si>
    <t>Oracle</t>
  </si>
  <si>
    <t>x_err_msg</t>
  </si>
  <si>
    <t>p_from_date</t>
  </si>
  <si>
    <t>p_end_date</t>
  </si>
  <si>
    <t>test_run</t>
  </si>
  <si>
    <t>module3.test_run</t>
  </si>
  <si>
    <t>output</t>
  </si>
  <si>
    <t>AfterAction</t>
  </si>
  <si>
    <t>Break</t>
  </si>
  <si>
    <t>parse_fio</t>
  </si>
  <si>
    <t>EmployeesApi.parse_fio</t>
  </si>
  <si>
    <t>employees_send</t>
  </si>
  <si>
    <t>ndfl_report_api.load_employees</t>
  </si>
  <si>
    <t>p_load_date</t>
  </si>
  <si>
    <t>send_employees</t>
  </si>
  <si>
    <t>load_employees</t>
  </si>
  <si>
    <t>EmployeesApi.send_employees</t>
  </si>
  <si>
    <t>Участник/Не участник</t>
  </si>
  <si>
    <t>Пенсионные схемы</t>
  </si>
  <si>
    <t>Типы дохода</t>
  </si>
  <si>
    <t>funds_employees_report</t>
  </si>
  <si>
    <t>employees_sheet</t>
  </si>
  <si>
    <t>ndfl6_employees_report</t>
  </si>
  <si>
    <t>data_source_name</t>
  </si>
  <si>
    <t>FONDDB</t>
  </si>
  <si>
    <t>ndfl_prepare_data</t>
  </si>
  <si>
    <t>ndfl_report_api.ndfl_prepare_data</t>
  </si>
  <si>
    <t>НДФЛ6: подготовка данных</t>
  </si>
  <si>
    <t>Раздел 1 справок 6-НДФЛ (общие итоги)</t>
  </si>
  <si>
    <t>Итоги общие</t>
  </si>
  <si>
    <t>показатель</t>
  </si>
  <si>
    <t>поле справки</t>
  </si>
  <si>
    <t>в т.ч. За перерасчеты НДФЛ с доходов</t>
  </si>
  <si>
    <t>в текущем году</t>
  </si>
  <si>
    <t>всего</t>
  </si>
  <si>
    <t>в предыдущих годах</t>
  </si>
  <si>
    <t>ndfl6_recalc_curr_year</t>
  </si>
  <si>
    <t>ndfl6_recalc_prev_year</t>
  </si>
  <si>
    <t>EmptySheet</t>
  </si>
  <si>
    <t xml:space="preserve"> </t>
  </si>
  <si>
    <t>Раздел 1 справок 6-НДФЛ (итоги по ставкам)</t>
  </si>
  <si>
    <t>расшифровка сумм, в т.ч.</t>
  </si>
  <si>
    <t xml:space="preserve"> по ставке 13%</t>
  </si>
  <si>
    <t>в сумме доходов по 13% учтены операции сторно за период</t>
  </si>
  <si>
    <t>тип</t>
  </si>
  <si>
    <t>схема</t>
  </si>
  <si>
    <t>итог</t>
  </si>
  <si>
    <t>в 1 кв</t>
  </si>
  <si>
    <t>во 2 кв</t>
  </si>
  <si>
    <t>расшифровка по выкупным суммам 13%</t>
  </si>
  <si>
    <t>исправленное в текущем году</t>
  </si>
  <si>
    <t>неправленные</t>
  </si>
  <si>
    <t>первоначально</t>
  </si>
  <si>
    <t>изменение</t>
  </si>
  <si>
    <t>результат</t>
  </si>
  <si>
    <t>сумма доходов 13% по всем источникам</t>
  </si>
  <si>
    <t xml:space="preserve"> по ставке 30%</t>
  </si>
  <si>
    <t>сумма доходов 30% по всем источникам</t>
  </si>
  <si>
    <t>ndfl6_part1_rates_13_wo_bb</t>
  </si>
  <si>
    <t>ndfl6_part1_rates_13_bb</t>
  </si>
  <si>
    <t>в 3 кв</t>
  </si>
  <si>
    <t>в 4 кв</t>
  </si>
  <si>
    <t>год дохода предыдущий</t>
  </si>
  <si>
    <t>ndfl6_part1_rates_30</t>
  </si>
  <si>
    <t>Итого:</t>
  </si>
  <si>
    <t>ndfl6_part1_rates_persn</t>
  </si>
  <si>
    <t>Разница</t>
  </si>
  <si>
    <t>Итог</t>
  </si>
  <si>
    <t>Недоплата налога по ставке 30%</t>
  </si>
  <si>
    <t>сумма доходов. Должна совпадать с суммой дохода из раздела 2</t>
  </si>
  <si>
    <t>доход</t>
  </si>
  <si>
    <t>налог</t>
  </si>
  <si>
    <t>Недоплата/
переплата</t>
  </si>
  <si>
    <t>НДФЛ6 Раздел 1</t>
  </si>
  <si>
    <t>ndfl6_part1</t>
  </si>
  <si>
    <t>Полученный доход</t>
  </si>
  <si>
    <t>Удержанный налог</t>
  </si>
  <si>
    <t>Итого за период:</t>
  </si>
  <si>
    <t>Дата получения дохода</t>
  </si>
  <si>
    <t>Сумма на дату</t>
  </si>
  <si>
    <t>130</t>
  </si>
  <si>
    <t>140</t>
  </si>
  <si>
    <t>значение поля 110 равно значению поля 100</t>
  </si>
  <si>
    <t>значение поля 120 равно значению поля 100 + 1 день</t>
  </si>
  <si>
    <t>100</t>
  </si>
  <si>
    <t>ndfl6_part2_data</t>
  </si>
  <si>
    <t>НДФЛ6 Раздел 2</t>
  </si>
  <si>
    <t>ndfl6_part2</t>
  </si>
  <si>
    <t>НФДЛ Раздел 2</t>
  </si>
  <si>
    <t>НДФЛ6 Раздел 1 + Раздел 2</t>
  </si>
  <si>
    <t>ndfl6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</si>
</sst>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18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3D454C"/>
      <name val="Helvetica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9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8"/>
      <name val="Arial Cyr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/>
    <xf numFmtId="0" fontId="7" fillId="0" borderId="0"/>
    <xf numFmtId="165" fontId="16" fillId="0" borderId="0"/>
    <xf numFmtId="0" fontId="11" fillId="0" borderId="0"/>
  </cellStyleXfs>
  <cellXfs count="15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/>
    <xf numFmtId="0" fontId="4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164" fontId="0" fillId="0" borderId="6" xfId="0" applyNumberFormat="1" applyBorder="1" applyAlignment="1">
      <alignment horizontal="right" vertical="center"/>
    </xf>
    <xf numFmtId="164" fontId="0" fillId="0" borderId="18" xfId="0" applyNumberFormat="1" applyBorder="1" applyAlignment="1">
      <alignment horizontal="right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49" fontId="0" fillId="0" borderId="1" xfId="0" applyNumberFormat="1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0" fillId="4" borderId="0" xfId="0" applyFill="1" applyAlignment="1">
      <alignment horizontal="right" vertical="center" indent="1"/>
    </xf>
    <xf numFmtId="0" fontId="0" fillId="4" borderId="0" xfId="0" applyFill="1"/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21" xfId="0" applyFont="1" applyBorder="1"/>
    <xf numFmtId="0" fontId="0" fillId="5" borderId="0" xfId="0" applyFont="1" applyFill="1" applyBorder="1"/>
    <xf numFmtId="0" fontId="3" fillId="4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6" xfId="0" applyFill="1" applyBorder="1" applyAlignment="1">
      <alignment horizontal="left" vertical="center"/>
    </xf>
    <xf numFmtId="14" fontId="0" fillId="0" borderId="6" xfId="0" applyNumberFormat="1" applyFill="1" applyBorder="1" applyAlignment="1">
      <alignment horizontal="center" vertical="center"/>
    </xf>
    <xf numFmtId="14" fontId="0" fillId="0" borderId="2" xfId="0" applyNumberFormat="1" applyFill="1" applyBorder="1" applyAlignment="1">
      <alignment horizontal="center" vertical="center"/>
    </xf>
    <xf numFmtId="0" fontId="8" fillId="4" borderId="0" xfId="0" applyFont="1" applyFill="1" applyBorder="1"/>
    <xf numFmtId="0" fontId="0" fillId="0" borderId="0" xfId="0" applyFill="1" applyAlignment="1"/>
    <xf numFmtId="0" fontId="0" fillId="4" borderId="0" xfId="0" applyFill="1" applyBorder="1" applyAlignment="1">
      <alignment horizontal="center"/>
    </xf>
    <xf numFmtId="0" fontId="0" fillId="0" borderId="0" xfId="0" applyFont="1" applyBorder="1"/>
    <xf numFmtId="0" fontId="11" fillId="0" borderId="0" xfId="0" applyFont="1" applyBorder="1"/>
    <xf numFmtId="0" fontId="0" fillId="0" borderId="2" xfId="0" applyBorder="1" applyAlignment="1">
      <alignment horizontal="center" vertical="center"/>
    </xf>
    <xf numFmtId="0" fontId="0" fillId="0" borderId="6" xfId="0" applyBorder="1"/>
    <xf numFmtId="14" fontId="0" fillId="0" borderId="6" xfId="0" applyNumberFormat="1" applyBorder="1" applyAlignment="1">
      <alignment horizontal="center"/>
    </xf>
    <xf numFmtId="0" fontId="0" fillId="0" borderId="18" xfId="0" applyBorder="1"/>
    <xf numFmtId="0" fontId="0" fillId="0" borderId="2" xfId="0" applyBorder="1"/>
    <xf numFmtId="0" fontId="0" fillId="0" borderId="16" xfId="0" applyBorder="1"/>
    <xf numFmtId="4" fontId="0" fillId="0" borderId="0" xfId="0" applyNumberFormat="1"/>
    <xf numFmtId="0" fontId="0" fillId="0" borderId="0" xfId="0" applyAlignment="1">
      <alignment horizontal="right"/>
    </xf>
    <xf numFmtId="4" fontId="0" fillId="0" borderId="0" xfId="0" applyNumberFormat="1" applyBorder="1"/>
    <xf numFmtId="0" fontId="0" fillId="0" borderId="0" xfId="0" applyBorder="1" applyAlignment="1">
      <alignment horizontal="right"/>
    </xf>
    <xf numFmtId="4" fontId="0" fillId="0" borderId="23" xfId="0" applyNumberFormat="1" applyBorder="1"/>
    <xf numFmtId="0" fontId="6" fillId="3" borderId="25" xfId="0" quotePrefix="1" applyFont="1" applyFill="1" applyBorder="1" applyAlignment="1">
      <alignment horizontal="center"/>
    </xf>
    <xf numFmtId="0" fontId="6" fillId="3" borderId="26" xfId="0" quotePrefix="1" applyFont="1" applyFill="1" applyBorder="1" applyAlignment="1">
      <alignment horizontal="center"/>
    </xf>
    <xf numFmtId="0" fontId="3" fillId="0" borderId="0" xfId="0" applyFont="1"/>
    <xf numFmtId="4" fontId="3" fillId="0" borderId="0" xfId="0" applyNumberFormat="1" applyFont="1"/>
    <xf numFmtId="3" fontId="0" fillId="0" borderId="0" xfId="0" applyNumberFormat="1"/>
    <xf numFmtId="4" fontId="3" fillId="0" borderId="28" xfId="0" applyNumberFormat="1" applyFont="1" applyBorder="1"/>
    <xf numFmtId="4" fontId="12" fillId="0" borderId="0" xfId="1" applyNumberFormat="1" applyFont="1"/>
    <xf numFmtId="4" fontId="7" fillId="0" borderId="0" xfId="1" applyNumberFormat="1"/>
    <xf numFmtId="0" fontId="13" fillId="0" borderId="0" xfId="0" applyFont="1"/>
    <xf numFmtId="0" fontId="14" fillId="0" borderId="0" xfId="0" applyFont="1"/>
    <xf numFmtId="0" fontId="0" fillId="0" borderId="1" xfId="0" applyFont="1" applyFill="1" applyBorder="1"/>
    <xf numFmtId="0" fontId="0" fillId="0" borderId="1" xfId="0" applyFont="1" applyBorder="1"/>
    <xf numFmtId="4" fontId="0" fillId="0" borderId="1" xfId="0" applyNumberFormat="1" applyFont="1" applyFill="1" applyBorder="1"/>
    <xf numFmtId="3" fontId="0" fillId="0" borderId="1" xfId="0" applyNumberFormat="1" applyFont="1" applyFill="1" applyBorder="1"/>
    <xf numFmtId="0" fontId="3" fillId="3" borderId="19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27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/>
    </xf>
    <xf numFmtId="0" fontId="6" fillId="3" borderId="7" xfId="0" quotePrefix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/>
    </xf>
    <xf numFmtId="0" fontId="0" fillId="0" borderId="1" xfId="0" applyBorder="1"/>
    <xf numFmtId="3" fontId="7" fillId="0" borderId="1" xfId="1" applyNumberFormat="1" applyFont="1" applyFill="1" applyBorder="1"/>
    <xf numFmtId="4" fontId="7" fillId="0" borderId="1" xfId="1" applyNumberFormat="1" applyFont="1" applyFill="1" applyBorder="1"/>
    <xf numFmtId="0" fontId="4" fillId="0" borderId="1" xfId="0" applyFont="1" applyFill="1" applyBorder="1"/>
    <xf numFmtId="4" fontId="7" fillId="0" borderId="1" xfId="1" applyNumberFormat="1" applyFont="1" applyFill="1" applyBorder="1" applyAlignment="1">
      <alignment horizontal="right"/>
    </xf>
    <xf numFmtId="0" fontId="3" fillId="0" borderId="2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15" fillId="0" borderId="0" xfId="0" applyFont="1" applyFill="1" applyAlignment="1">
      <alignment horizontal="right"/>
    </xf>
    <xf numFmtId="0" fontId="15" fillId="0" borderId="0" xfId="0" applyFont="1" applyFill="1"/>
    <xf numFmtId="4" fontId="15" fillId="0" borderId="0" xfId="0" applyNumberFormat="1" applyFont="1" applyFill="1"/>
    <xf numFmtId="3" fontId="15" fillId="0" borderId="0" xfId="0" applyNumberFormat="1" applyFont="1" applyFill="1"/>
    <xf numFmtId="0" fontId="7" fillId="0" borderId="0" xfId="1"/>
    <xf numFmtId="49" fontId="12" fillId="0" borderId="0" xfId="1" applyNumberFormat="1" applyFont="1" applyAlignment="1" applyProtection="1">
      <alignment horizontal="right"/>
      <protection locked="0" hidden="1"/>
    </xf>
    <xf numFmtId="0" fontId="3" fillId="2" borderId="33" xfId="0" applyFont="1" applyFill="1" applyBorder="1" applyAlignment="1">
      <alignment wrapText="1"/>
    </xf>
    <xf numFmtId="14" fontId="12" fillId="2" borderId="34" xfId="1" applyNumberFormat="1" applyFont="1" applyFill="1" applyBorder="1" applyAlignment="1">
      <alignment horizontal="center" wrapText="1"/>
    </xf>
    <xf numFmtId="4" fontId="12" fillId="2" borderId="34" xfId="1" applyNumberFormat="1" applyFont="1" applyFill="1" applyBorder="1" applyAlignment="1">
      <alignment horizontal="center" wrapText="1"/>
    </xf>
    <xf numFmtId="4" fontId="12" fillId="2" borderId="35" xfId="1" applyNumberFormat="1" applyFont="1" applyFill="1" applyBorder="1" applyAlignment="1">
      <alignment horizontal="center" wrapText="1"/>
    </xf>
    <xf numFmtId="0" fontId="6" fillId="2" borderId="27" xfId="0" applyFont="1" applyFill="1" applyBorder="1" applyAlignment="1">
      <alignment horizontal="right"/>
    </xf>
    <xf numFmtId="49" fontId="6" fillId="0" borderId="0" xfId="0" applyNumberFormat="1" applyFont="1"/>
    <xf numFmtId="14" fontId="7" fillId="0" borderId="39" xfId="1" applyNumberFormat="1" applyBorder="1"/>
    <xf numFmtId="4" fontId="7" fillId="0" borderId="7" xfId="1" applyNumberFormat="1" applyBorder="1"/>
    <xf numFmtId="49" fontId="17" fillId="2" borderId="36" xfId="0" applyNumberFormat="1" applyFont="1" applyFill="1" applyBorder="1" applyAlignment="1" applyProtection="1">
      <alignment horizontal="center" wrapText="1"/>
    </xf>
    <xf numFmtId="49" fontId="17" fillId="2" borderId="37" xfId="0" applyNumberFormat="1" applyFont="1" applyFill="1" applyBorder="1" applyAlignment="1" applyProtection="1">
      <alignment horizontal="center" wrapText="1"/>
    </xf>
    <xf numFmtId="49" fontId="17" fillId="2" borderId="38" xfId="0" applyNumberFormat="1" applyFont="1" applyFill="1" applyBorder="1" applyAlignment="1" applyProtection="1">
      <alignment horizontal="center" wrapText="1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/>
    </xf>
    <xf numFmtId="0" fontId="1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vertical="center"/>
    </xf>
    <xf numFmtId="0" fontId="1" fillId="0" borderId="1" xfId="0" applyFont="1" applyBorder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6" borderId="16" xfId="0" applyFill="1" applyBorder="1" applyAlignment="1">
      <alignment horizontal="left" vertical="top"/>
    </xf>
    <xf numFmtId="0" fontId="0" fillId="6" borderId="22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4" borderId="0" xfId="0" applyFill="1" applyBorder="1" applyAlignment="1">
      <alignment horizontal="center"/>
    </xf>
    <xf numFmtId="0" fontId="4" fillId="6" borderId="0" xfId="0" applyFont="1" applyFill="1" applyBorder="1" applyAlignment="1">
      <alignment horizontal="left" vertical="top"/>
    </xf>
    <xf numFmtId="0" fontId="1" fillId="0" borderId="0" xfId="0" applyFont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 wrapText="1"/>
    </xf>
    <xf numFmtId="0" fontId="13" fillId="0" borderId="0" xfId="0" applyFont="1" applyAlignment="1">
      <alignment horizontal="center"/>
    </xf>
  </cellXfs>
  <cellStyles count="4">
    <cellStyle name="Обычный" xfId="0" builtinId="0"/>
    <cellStyle name="Обычный 2" xfId="2"/>
    <cellStyle name="Обычный 3" xfId="3"/>
    <cellStyle name="Обычный 4" xfId="1"/>
  </cellStyles>
  <dxfs count="163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border diagonalUp="0" diagonalDown="0" outline="0">
        <left/>
        <right/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 val="0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9" formatCode="dd/mm/yyyy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187686</xdr:colOff>
      <xdr:row>0</xdr:row>
      <xdr:rowOff>136823</xdr:rowOff>
    </xdr:from>
    <xdr:to>
      <xdr:col>4</xdr:col>
      <xdr:colOff>167604</xdr:colOff>
      <xdr:row>2</xdr:row>
      <xdr:rowOff>38288</xdr:rowOff>
    </xdr:to>
    <xdr:sp macro="[0]!Reports.go_onclick" textlink="">
      <xdr:nvSpPr>
        <xdr:cNvPr id="7" name="Стрелка вправо 6"/>
        <xdr:cNvSpPr/>
      </xdr:nvSpPr>
      <xdr:spPr>
        <a:xfrm>
          <a:off x="3845286" y="136823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0</xdr:rowOff>
    </xdr:from>
    <xdr:to>
      <xdr:col>0</xdr:col>
      <xdr:colOff>1095375</xdr:colOff>
      <xdr:row>0</xdr:row>
      <xdr:rowOff>400050</xdr:rowOff>
    </xdr:to>
    <xdr:sp macro="[0]!Processor.continue" textlink="">
      <xdr:nvSpPr>
        <xdr:cNvPr id="2" name="Стрелка вправо 1"/>
        <xdr:cNvSpPr/>
      </xdr:nvSpPr>
      <xdr:spPr>
        <a:xfrm>
          <a:off x="152400" y="0"/>
          <a:ext cx="942975" cy="400050"/>
        </a:xfrm>
        <a:prstGeom prst="rightArrow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>
              <a:solidFill>
                <a:sysClr val="windowText" lastClr="000000"/>
              </a:solidFill>
            </a:rPr>
            <a:t>Разобрать</a:t>
          </a:r>
        </a:p>
      </xdr:txBody>
    </xdr:sp>
    <xdr:clientData/>
  </xdr:twoCellAnchor>
  <xdr:twoCellAnchor>
    <xdr:from>
      <xdr:col>3</xdr:col>
      <xdr:colOff>66676</xdr:colOff>
      <xdr:row>0</xdr:row>
      <xdr:rowOff>28575</xdr:rowOff>
    </xdr:from>
    <xdr:to>
      <xdr:col>3</xdr:col>
      <xdr:colOff>466726</xdr:colOff>
      <xdr:row>0</xdr:row>
      <xdr:rowOff>400050</xdr:rowOff>
    </xdr:to>
    <xdr:sp macro="[0]!send" textlink="">
      <xdr:nvSpPr>
        <xdr:cNvPr id="4" name="Молния 3"/>
        <xdr:cNvSpPr/>
      </xdr:nvSpPr>
      <xdr:spPr>
        <a:xfrm>
          <a:off x="7010401" y="28575"/>
          <a:ext cx="400050" cy="371475"/>
        </a:xfrm>
        <a:prstGeom prst="lightningBol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Таблица2" displayName="Таблица2" ref="A3:J4" totalsRowShown="0" headerRowDxfId="162" dataDxfId="160" headerRowBorderDxfId="161" tableBorderDxfId="159" totalsRowBorderDxfId="158">
  <autoFilter ref="A3:J4"/>
  <tableColumns count="10">
    <tableColumn id="1" name="1" dataDxfId="157"/>
    <tableColumn id="2" name="2" dataDxfId="156"/>
    <tableColumn id="5" name="3" dataDxfId="155"/>
    <tableColumn id="6" name="4" dataDxfId="154"/>
    <tableColumn id="7" name="5" dataDxfId="153"/>
    <tableColumn id="10" name="6" dataDxfId="152"/>
    <tableColumn id="11" name="7" dataDxfId="151"/>
    <tableColumn id="12" name="8" dataDxfId="150"/>
    <tableColumn id="13" name="9" dataDxfId="149"/>
    <tableColumn id="14" name="10" dataDxfId="14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22" displayName="Таблица22" ref="A4:P5" totalsRowShown="0" headerRowDxfId="147" dataDxfId="145" headerRowBorderDxfId="146" tableBorderDxfId="144" totalsRowBorderDxfId="143">
  <autoFilter ref="A4:P5"/>
  <tableColumns count="16">
    <tableColumn id="1" name="1" dataDxfId="142"/>
    <tableColumn id="2" name="2" dataDxfId="141"/>
    <tableColumn id="3" name="3" dataDxfId="140"/>
    <tableColumn id="4" name="4" dataDxfId="139"/>
    <tableColumn id="5" name="5" dataDxfId="138"/>
    <tableColumn id="6" name="6" dataDxfId="137"/>
    <tableColumn id="7" name="7" dataDxfId="136"/>
    <tableColumn id="8" name="8" dataDxfId="135"/>
    <tableColumn id="9" name="9" dataDxfId="134"/>
    <tableColumn id="10" name="10" dataDxfId="133"/>
    <tableColumn id="11" name="11" dataDxfId="132"/>
    <tableColumn id="12" name="12" dataDxfId="131"/>
    <tableColumn id="13" name="13" dataDxfId="130"/>
    <tableColumn id="14" name="14" dataDxfId="129"/>
    <tableColumn id="15" name="15" dataDxfId="128"/>
    <tableColumn id="16" name="16" dataDxfId="12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ица24" displayName="Таблица24" ref="A2:I3" totalsRowShown="0" headerRowDxfId="126" dataDxfId="124" headerRowBorderDxfId="125" tableBorderDxfId="123" totalsRowBorderDxfId="122">
  <autoFilter ref="A2:I3">
    <filterColumn colId="1"/>
  </autoFilter>
  <tableColumns count="9">
    <tableColumn id="1" name="1" dataDxfId="121"/>
    <tableColumn id="3" name="2" dataDxfId="120"/>
    <tableColumn id="2" name="3" dataDxfId="119"/>
    <tableColumn id="5" name="4" dataDxfId="118"/>
    <tableColumn id="6" name="5" dataDxfId="117"/>
    <tableColumn id="7" name="6" dataDxfId="116"/>
    <tableColumn id="10" name="7" dataDxfId="115"/>
    <tableColumn id="11" name="8" dataDxfId="114"/>
    <tableColumn id="12" name="9" dataDxfId="11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Таблица225" displayName="Таблица225" ref="A3:R4" totalsRowShown="0" headerRowDxfId="112" dataDxfId="110" headerRowBorderDxfId="111" tableBorderDxfId="109" totalsRowBorderDxfId="108">
  <autoFilter ref="A3:R4">
    <filterColumn colId="1"/>
    <filterColumn colId="2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</autoFilter>
  <tableColumns count="18">
    <tableColumn id="1" name="1" dataDxfId="107"/>
    <tableColumn id="20" name="2" dataDxfId="106"/>
    <tableColumn id="19" name="3" dataDxfId="105"/>
    <tableColumn id="18" name="4" dataDxfId="104"/>
    <tableColumn id="17" name="5" dataDxfId="103"/>
    <tableColumn id="23" name="6" dataDxfId="102"/>
    <tableColumn id="22" name="7" dataDxfId="101"/>
    <tableColumn id="21" name="8" dataDxfId="100"/>
    <tableColumn id="28" name="9" dataDxfId="99"/>
    <tableColumn id="29" name="10" dataDxfId="98"/>
    <tableColumn id="27" name="11" dataDxfId="97"/>
    <tableColumn id="26" name="12" dataDxfId="96"/>
    <tableColumn id="25" name="13" dataDxfId="95"/>
    <tableColumn id="5" name="14" dataDxfId="94"/>
    <tableColumn id="4" name="15" dataDxfId="93"/>
    <tableColumn id="3" name="16" dataDxfId="92"/>
    <tableColumn id="2" name="17" dataDxfId="91"/>
    <tableColumn id="24" name="18" dataDxfId="9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Menu" displayName="Menu" ref="D2:E14" totalsRowShown="0">
  <autoFilter ref="D2:E14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0" name="Actions" displayName="Actions" ref="G2:J21" totalsRowShown="0">
  <autoFilter ref="G2:J21">
    <filterColumn colId="3"/>
  </autoFilter>
  <tableColumns count="4">
    <tableColumn id="1" name="Code"/>
    <tableColumn id="2" name="Type"/>
    <tableColumn id="3" name="ActionCode"/>
    <tableColumn id="4" name="AfterAction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1" name="Programs" displayName="Programs" ref="V2:Z8" totalsRowShown="0">
  <autoFilter ref="V2:Z8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2" name="Reports" displayName="Reports" ref="L2:Q20" totalsRowShown="0">
  <autoFilter ref="L2:Q20">
    <filterColumn colId="3"/>
    <filterColumn colId="4"/>
  </autoFilter>
  <tableColumns count="6">
    <tableColumn id="1" name="Code"/>
    <tableColumn id="2" name="TemplateSheetName"/>
    <tableColumn id="3" name="NewSheetName"/>
    <tableColumn id="5" name="CreateMode"/>
    <tableColumn id="6" name="Program"/>
    <tableColumn id="4" name="ReportTyp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3" name="SubReports" displayName="SubReports" ref="S2:T12" totalsRowShown="0">
  <autoFilter ref="S2:T12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4" name="GeneralOptions" displayName="GeneralOptions" ref="A2:B8" headerRowBorderDxfId="89" tableBorderDxfId="88" totalsRowBorderDxfId="87">
  <autoFilter ref="A2:B8"/>
  <tableColumns count="2">
    <tableColumn id="1" name="Key" totalsRowLabel="Итог" totalsRowDxfId="86"/>
    <tableColumn id="2" name="Value" totalsRowFunction="count" totalsRowDxfId="8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7" name="ActionTypes" displayName="ActionTypes" ref="AJ2:AJ4" totalsRowShown="0" tableBorderDxfId="84">
  <autoFilter ref="AJ2:AJ4"/>
  <tableColumns count="1">
    <tableColumn id="1" name="Cod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8" name="CreateModes" displayName="CreateModes" ref="AL2:AL4" totalsRowShown="0">
  <autoFilter ref="AL2:AL4"/>
  <tableColumns count="1">
    <tableColumn id="1" name="Cod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20" name="ReportTypes" displayName="ReportTypes" ref="AN2:AN4" totalsRowShown="0">
  <autoFilter ref="AN2:AN4"/>
  <tableColumns count="1">
    <tableColumn id="1" name="Cod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5" name="ProgramTypes" displayName="ProgramTypes" ref="AP2:AP4" totalsRowShown="0">
  <autoFilter ref="AP2:AP4"/>
  <tableColumns count="1">
    <tableColumn id="1" name="Cod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9" name="ParamPurpose" displayName="ParamPurpose" ref="AR2:AR3" totalsRowShown="0">
  <autoFilter ref="AR2:AR3"/>
  <tableColumns count="1">
    <tableColumn id="1" name="Cod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1" name="ReturnTypes" displayName="ReturnTypes" ref="AT2:AT3" totalsRowShown="0">
  <autoFilter ref="AT2:AT3"/>
  <tableColumns count="1">
    <tableColumn id="1" name="Cod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23" name="Direction" displayName="Direction" ref="AV2:AV4" totalsRowShown="0">
  <autoFilter ref="AV2:AV4"/>
  <tableColumns count="1">
    <tableColumn id="1" name="Cod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2" name="Parameters" displayName="Parameters" ref="AB2:AH13" totalsRowShown="0">
  <autoFilter ref="AB2:AH13">
    <filterColumn colId="5"/>
    <filterColumn colId="6"/>
  </autoFilter>
  <tableColumns count="7">
    <tableColumn id="1" name="Program" dataDxfId="83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4" name="YesNo" displayName="YesNo" ref="AX2:AX4" totalsRowShown="0">
  <autoFilter ref="AX2:AX4"/>
  <tableColumns count="1">
    <tableColumn id="1" name="Cod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7" name="AfterAction" displayName="AfterAction" ref="AZ2:AZ3" totalsRowShown="0">
  <autoFilter ref="AZ2:AZ3"/>
  <tableColumns count="1">
    <tableColumn id="1" name="Code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16" name="Таблица16" displayName="Таблица16" ref="C3:C5" totalsRowShown="0" headerRowDxfId="82" dataDxfId="81" tableBorderDxfId="80">
  <tableColumns count="1">
    <tableColumn id="1" name="Столбец1" dataDxfId="79"/>
  </tableColumns>
  <tableStyleInfo name="TableStyleMedium2" showFirstColumn="0" showLastColumn="0" showRowStripes="0" showColumnStripes="0"/>
</table>
</file>

<file path=xl/tables/table22.xml><?xml version="1.0" encoding="utf-8"?>
<table xmlns="http://schemas.openxmlformats.org/spreadsheetml/2006/main" id="26" name="Таблица26" displayName="Таблица26" ref="B5:D6" totalsRowShown="0" headerRowDxfId="78" headerRowBorderDxfId="77" tableBorderDxfId="76" headerRowCellStyle="Обычный 4">
  <autoFilter ref="B5:D6"/>
  <tableColumns count="3">
    <tableColumn id="1" name="100" dataDxfId="75" dataCellStyle="Обычный 4"/>
    <tableColumn id="2" name="130" dataDxfId="74" dataCellStyle="Обычный 4"/>
    <tableColumn id="3" name="140" dataDxfId="73" dataCellStyle="Обычный 4"/>
  </tableColumns>
  <tableStyleInfo name="TableStyleLight1" showFirstColumn="0" showLastColumn="0" showRowStripes="0" showColumnStripes="0"/>
</table>
</file>

<file path=xl/tables/table23.xml><?xml version="1.0" encoding="utf-8"?>
<table xmlns="http://schemas.openxmlformats.org/spreadsheetml/2006/main" id="33" name="ndfl6_recalc_prev_year" displayName="ndfl6_recalc_prev_year" ref="D12:E12" headerRowCount="0" totalsRowShown="0">
  <tableColumns count="2">
    <tableColumn id="1" name="Столбец1"/>
    <tableColumn id="2" name="Столбец2" headerRowDxfId="72" dataDxfId="71"/>
  </tableColumns>
  <tableStyleInfo showFirstColumn="0" showLastColumn="0" showRowStripes="0" showColumnStripes="0"/>
</table>
</file>

<file path=xl/tables/table24.xml><?xml version="1.0" encoding="utf-8"?>
<table xmlns="http://schemas.openxmlformats.org/spreadsheetml/2006/main" id="32" name="ndfl6_part1_general_recalc_curr" displayName="ndfl6_part1_general_recalc_curr" ref="D9:E9" headerRowCount="0" totalsRowShown="0">
  <tableColumns count="2">
    <tableColumn id="1" name="Столбец1"/>
    <tableColumn id="2" name="Столбец2" headerRowDxfId="70" dataDxfId="69"/>
  </tableColumns>
  <tableStyleInfo showFirstColumn="0" showLastColumn="0" showRowStripes="0" showColumnStripes="0"/>
</table>
</file>

<file path=xl/tables/table25.xml><?xml version="1.0" encoding="utf-8"?>
<table xmlns="http://schemas.openxmlformats.org/spreadsheetml/2006/main" id="4" name="Таблица4" displayName="Таблица4" ref="B5:E5" headerRowCount="0" totalsRowShown="0" headerRowDxfId="68" dataDxfId="67" tableBorderDxfId="66" totalsRowBorderDxfId="65">
  <tableColumns count="4">
    <tableColumn id="1" name="Столбец1" headerRowDxfId="64" dataDxfId="63" dataCellStyle="Обычный 4"/>
    <tableColumn id="2" name="Столбец2" headerRowDxfId="62" dataDxfId="61" headerRowCellStyle="Обычный 4" dataCellStyle="Обычный 4"/>
    <tableColumn id="3" name="Столбец3" headerRowDxfId="60" dataDxfId="59"/>
    <tableColumn id="4" name="Столбец4" headerRowDxfId="58" dataDxfId="57" headerRowCellStyle="Обычный 4" dataCellStyle="Обычный 4"/>
  </tableColumns>
  <tableStyleInfo name="TableStyleLight1" showFirstColumn="0" showLastColumn="0" showRowStripes="0" showColumnStripes="0"/>
</table>
</file>

<file path=xl/tables/table26.xml><?xml version="1.0" encoding="utf-8"?>
<table xmlns="http://schemas.openxmlformats.org/spreadsheetml/2006/main" id="29" name="Таблица29" displayName="Таблица29" ref="A4:H5" headerRowCount="0" totalsRowCount="1" headerRowDxfId="56" dataDxfId="55">
  <tableColumns count="8">
    <tableColumn id="1" name="Столбец1" totalsRowLabel="Итого:" headerRowDxfId="54" dataDxfId="53" totalsRowDxfId="52"/>
    <tableColumn id="2" name="Столбец2" headerRowDxfId="51" dataDxfId="50" totalsRowDxfId="49"/>
    <tableColumn id="3" name="Столбец3" totalsRowFunction="sum" headerRowDxfId="48" dataDxfId="47" totalsRowDxfId="46"/>
    <tableColumn id="4" name="Столбец4" totalsRowFunction="sum" headerRowDxfId="45" dataDxfId="44" totalsRowDxfId="43"/>
    <tableColumn id="5" name="Столбец5" totalsRowFunction="sum" headerRowDxfId="42" dataDxfId="41" totalsRowDxfId="40"/>
    <tableColumn id="6" name="Столбец6" totalsRowFunction="sum" headerRowDxfId="39" dataDxfId="38" totalsRowDxfId="37"/>
    <tableColumn id="7" name="Столбец7" totalsRowFunction="sum" headerRowDxfId="36" dataDxfId="35" totalsRowDxfId="34"/>
    <tableColumn id="8" name="Столбец8" totalsRowFunction="sum" headerRowDxfId="33" dataDxfId="32" totalsRowDxfId="31"/>
  </tableColumns>
  <tableStyleInfo name="TableStyleLight1" showFirstColumn="0" showLastColumn="0" showRowStripes="0" showColumnStripes="0"/>
</table>
</file>

<file path=xl/tables/table27.xml><?xml version="1.0" encoding="utf-8"?>
<table xmlns="http://schemas.openxmlformats.org/spreadsheetml/2006/main" id="30" name="Таблица30" displayName="Таблица30" ref="A9:H9" headerRowCount="0">
  <tableColumns count="8">
    <tableColumn id="1" name="тип" totalsRowLabel="Итог"/>
    <tableColumn id="2" name="схема"/>
    <tableColumn id="3" name="Столбец1" totalsRowFunction="sum" dataDxfId="30" totalsRowDxfId="29"/>
    <tableColumn id="4" name="Столбец2" dataDxfId="28"/>
    <tableColumn id="5" name="итог" dataDxfId="27"/>
    <tableColumn id="6" name="в 1 кв"/>
    <tableColumn id="7" name="во 2 кв"/>
    <tableColumn id="8" name="в 3 кв"/>
  </tableColumns>
  <tableStyleInfo name="TableStyleLight1" showFirstColumn="0" showLastColumn="0" showRowStripes="0" showColumnStripes="0"/>
</table>
</file>

<file path=xl/tables/table28.xml><?xml version="1.0" encoding="utf-8"?>
<table xmlns="http://schemas.openxmlformats.org/spreadsheetml/2006/main" id="31" name="Таблица31" displayName="Таблица31" ref="A14:H14" headerRowCount="0">
  <tableColumns count="8">
    <tableColumn id="1" name="Столбец1" totalsRowLabel="Итог" headerRowDxfId="26"/>
    <tableColumn id="2" name="Столбец2"/>
    <tableColumn id="3" name="Столбец3" totalsRowFunction="sum" headerRowDxfId="25" dataDxfId="24" totalsRowDxfId="23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0" showColumnStripes="0"/>
</table>
</file>

<file path=xl/tables/table29.xml><?xml version="1.0" encoding="utf-8"?>
<table xmlns="http://schemas.openxmlformats.org/spreadsheetml/2006/main" id="5" name="Таблица5" displayName="Таблица5" ref="A18:E18" headerRowCount="0" totalsRowShown="0">
  <tableColumns count="5">
    <tableColumn id="1" name="Столбец1"/>
    <tableColumn id="2" name="Столбец2"/>
    <tableColumn id="3" name="Столбец3"/>
    <tableColumn id="4" name="Столбец4"/>
    <tableColumn id="5" name="Столбец5"/>
  </tableColumns>
  <tableStyleInfo name="TableStyleLight1" showFirstColumn="0" showLastColumn="0" showRowStripes="0" showColumnStripes="0"/>
</table>
</file>

<file path=xl/tables/table30.xml><?xml version="1.0" encoding="utf-8"?>
<table xmlns="http://schemas.openxmlformats.org/spreadsheetml/2006/main" id="47" name="Таблица47" displayName="Таблица47" ref="A23:F25" totalsRowCount="1" headerRowDxfId="22">
  <autoFilter ref="A23:F24"/>
  <tableColumns count="6">
    <tableColumn id="1" name="Фамилия" totalsRowLabel="Итог"/>
    <tableColumn id="2" name="Имя"/>
    <tableColumn id="3" name="Отчество"/>
    <tableColumn id="4" name="Налог исчисленный" totalsRowFunction="sum" dataDxfId="21"/>
    <tableColumn id="5" name="Налог удержанный" totalsRowFunction="sum" dataDxfId="20"/>
    <tableColumn id="6" name="Разница" totalsRowFunction="sum" dataDxfId="19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id="8" name="Таблица8" displayName="Таблица8" ref="A1:D2" insertRow="1" totalsRowShown="0" headerRowDxfId="18" headerRowBorderDxfId="17" tableBorderDxfId="16" totalsRowBorderDxfId="15">
  <autoFilter ref="A1:D2">
    <filterColumn colId="2"/>
    <filterColumn colId="3"/>
  </autoFilter>
  <tableColumns count="4">
    <tableColumn id="1" name="ФИО" dataDxfId="14"/>
    <tableColumn id="5" name="Дата рождения" dataDxfId="13"/>
    <tableColumn id="2" name="Снилс"/>
    <tableColumn id="3" name="ИНН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25" name="Таблица8526" displayName="Таблица8526" ref="A1:I2" totalsRowShown="0" headerRowDxfId="12" headerRowBorderDxfId="11" tableBorderDxfId="10" totalsRowBorderDxfId="9">
  <autoFilter ref="A1:I2">
    <filterColumn colId="0"/>
    <filterColumn colId="1"/>
    <filterColumn colId="2"/>
    <filterColumn colId="4"/>
    <filterColumn colId="5"/>
    <filterColumn colId="6"/>
    <filterColumn colId="7"/>
    <filterColumn colId="8"/>
  </autoFilter>
  <tableColumns count="9">
    <tableColumn id="7" name="Фамилия" dataDxfId="8"/>
    <tableColumn id="6" name="Имя" dataDxfId="7"/>
    <tableColumn id="4" name="Отчество" dataDxfId="6"/>
    <tableColumn id="5" name="Дата рождения" dataDxfId="5"/>
    <tableColumn id="3" name="ИНН" dataDxfId="4"/>
    <tableColumn id="1" name="Участник/Не участник" dataDxfId="3"/>
    <tableColumn id="2" name="Доход" dataDxfId="2"/>
    <tableColumn id="8" name="Пенсионные схемы" dataDxfId="1"/>
    <tableColumn id="9" name="Типы дохода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13" Type="http://schemas.openxmlformats.org/officeDocument/2006/relationships/table" Target="../tables/table15.xml"/><Relationship Id="rId18" Type="http://schemas.openxmlformats.org/officeDocument/2006/relationships/table" Target="../tables/table2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12" Type="http://schemas.openxmlformats.org/officeDocument/2006/relationships/table" Target="../tables/table14.xml"/><Relationship Id="rId17" Type="http://schemas.openxmlformats.org/officeDocument/2006/relationships/table" Target="../tables/table19.xml"/><Relationship Id="rId2" Type="http://schemas.openxmlformats.org/officeDocument/2006/relationships/vmlDrawing" Target="../drawings/vmlDrawing1.vml"/><Relationship Id="rId16" Type="http://schemas.openxmlformats.org/officeDocument/2006/relationships/table" Target="../tables/table18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8.xml"/><Relationship Id="rId11" Type="http://schemas.openxmlformats.org/officeDocument/2006/relationships/table" Target="../tables/table13.xml"/><Relationship Id="rId5" Type="http://schemas.openxmlformats.org/officeDocument/2006/relationships/table" Target="../tables/table7.xml"/><Relationship Id="rId15" Type="http://schemas.openxmlformats.org/officeDocument/2006/relationships/table" Target="../tables/table17.xml"/><Relationship Id="rId10" Type="http://schemas.openxmlformats.org/officeDocument/2006/relationships/table" Target="../tables/table12.xml"/><Relationship Id="rId19" Type="http://schemas.openxmlformats.org/officeDocument/2006/relationships/comments" Target="../comments1.xml"/><Relationship Id="rId4" Type="http://schemas.openxmlformats.org/officeDocument/2006/relationships/table" Target="../tables/table6.xml"/><Relationship Id="rId9" Type="http://schemas.openxmlformats.org/officeDocument/2006/relationships/table" Target="../tables/table11.xml"/><Relationship Id="rId14" Type="http://schemas.openxmlformats.org/officeDocument/2006/relationships/table" Target="../tables/table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8.bin"/><Relationship Id="rId4" Type="http://schemas.openxmlformats.org/officeDocument/2006/relationships/table" Target="../tables/table2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30.xml"/><Relationship Id="rId5" Type="http://schemas.openxmlformats.org/officeDocument/2006/relationships/table" Target="../tables/table29.xml"/><Relationship Id="rId4" Type="http://schemas.openxmlformats.org/officeDocument/2006/relationships/table" Target="../tables/table2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J4"/>
  <sheetViews>
    <sheetView workbookViewId="0">
      <selection activeCell="A4" sqref="A4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</cols>
  <sheetData>
    <row r="1" spans="1:10" ht="31.5" customHeight="1">
      <c r="A1" s="109" t="s">
        <v>4</v>
      </c>
      <c r="B1" s="109"/>
      <c r="C1" s="109"/>
      <c r="D1" s="109"/>
      <c r="E1" s="109"/>
      <c r="F1" s="110" t="s">
        <v>23</v>
      </c>
      <c r="G1" s="110"/>
      <c r="H1" s="110"/>
      <c r="I1" s="110"/>
      <c r="J1" s="110"/>
    </row>
    <row r="2" spans="1:10" ht="78" customHeight="1">
      <c r="A2" s="19" t="s">
        <v>0</v>
      </c>
      <c r="B2" s="19" t="s">
        <v>30</v>
      </c>
      <c r="C2" s="20" t="s">
        <v>1</v>
      </c>
      <c r="D2" s="20" t="s">
        <v>2</v>
      </c>
      <c r="E2" s="19" t="s">
        <v>22</v>
      </c>
      <c r="F2" s="21" t="s">
        <v>29</v>
      </c>
      <c r="G2" s="21" t="s">
        <v>33</v>
      </c>
      <c r="H2" s="21" t="s">
        <v>1</v>
      </c>
      <c r="I2" s="21" t="s">
        <v>2</v>
      </c>
      <c r="J2" s="21" t="s">
        <v>22</v>
      </c>
    </row>
    <row r="3" spans="1:10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3" t="s">
        <v>12</v>
      </c>
      <c r="G3" s="23" t="s">
        <v>13</v>
      </c>
      <c r="H3" s="23" t="s">
        <v>14</v>
      </c>
      <c r="I3" s="23" t="s">
        <v>15</v>
      </c>
      <c r="J3" s="23" t="s">
        <v>16</v>
      </c>
    </row>
    <row r="4" spans="1:10">
      <c r="A4" s="1" t="s">
        <v>28</v>
      </c>
      <c r="B4" s="1"/>
      <c r="C4" s="24"/>
      <c r="D4" s="24"/>
      <c r="E4" s="24"/>
      <c r="F4" s="1"/>
      <c r="G4" s="1"/>
      <c r="H4" s="24"/>
      <c r="I4" s="24"/>
      <c r="J4" s="24"/>
    </row>
  </sheetData>
  <mergeCells count="2">
    <mergeCell ref="A1:E1"/>
    <mergeCell ref="F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P5"/>
  <sheetViews>
    <sheetView workbookViewId="0">
      <selection activeCell="A5" sqref="A5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</cols>
  <sheetData>
    <row r="1" spans="1:16" ht="31.5" customHeight="1">
      <c r="A1" s="115" t="s">
        <v>4</v>
      </c>
      <c r="B1" s="116"/>
      <c r="C1" s="116"/>
      <c r="D1" s="116"/>
      <c r="E1" s="116"/>
      <c r="F1" s="116"/>
      <c r="G1" s="116"/>
      <c r="H1" s="116"/>
      <c r="I1" s="117"/>
      <c r="J1" s="118" t="s">
        <v>23</v>
      </c>
      <c r="K1" s="119"/>
      <c r="L1" s="119"/>
      <c r="M1" s="119"/>
      <c r="N1" s="119"/>
      <c r="O1" s="119"/>
      <c r="P1" s="120"/>
    </row>
    <row r="2" spans="1:16" ht="24" customHeight="1">
      <c r="A2" s="121" t="s">
        <v>0</v>
      </c>
      <c r="B2" s="123" t="s">
        <v>30</v>
      </c>
      <c r="C2" s="123" t="s">
        <v>3</v>
      </c>
      <c r="D2" s="123" t="s">
        <v>31</v>
      </c>
      <c r="E2" s="125" t="s">
        <v>5</v>
      </c>
      <c r="F2" s="126"/>
      <c r="G2" s="127"/>
      <c r="H2" s="125" t="s">
        <v>6</v>
      </c>
      <c r="I2" s="128"/>
      <c r="J2" s="129" t="s">
        <v>29</v>
      </c>
      <c r="K2" s="129" t="s">
        <v>33</v>
      </c>
      <c r="L2" s="111" t="s">
        <v>5</v>
      </c>
      <c r="M2" s="112"/>
      <c r="N2" s="113"/>
      <c r="O2" s="111" t="s">
        <v>6</v>
      </c>
      <c r="P2" s="114"/>
    </row>
    <row r="3" spans="1:16" ht="38.25" customHeight="1">
      <c r="A3" s="122"/>
      <c r="B3" s="124"/>
      <c r="C3" s="124"/>
      <c r="D3" s="124"/>
      <c r="E3" s="2" t="s">
        <v>1</v>
      </c>
      <c r="F3" s="2" t="s">
        <v>2</v>
      </c>
      <c r="G3" s="18" t="s">
        <v>22</v>
      </c>
      <c r="H3" s="2" t="s">
        <v>1</v>
      </c>
      <c r="I3" s="3" t="s">
        <v>22</v>
      </c>
      <c r="J3" s="130"/>
      <c r="K3" s="130"/>
      <c r="L3" s="4" t="s">
        <v>1</v>
      </c>
      <c r="M3" s="4" t="s">
        <v>2</v>
      </c>
      <c r="N3" s="4" t="s">
        <v>22</v>
      </c>
      <c r="O3" s="4" t="s">
        <v>1</v>
      </c>
      <c r="P3" s="5" t="s">
        <v>22</v>
      </c>
    </row>
    <row r="4" spans="1:16">
      <c r="A4" s="10" t="s">
        <v>7</v>
      </c>
      <c r="B4" s="8" t="s">
        <v>8</v>
      </c>
      <c r="C4" s="8" t="s">
        <v>9</v>
      </c>
      <c r="D4" s="8" t="s">
        <v>10</v>
      </c>
      <c r="E4" s="8" t="s">
        <v>11</v>
      </c>
      <c r="F4" s="8" t="s">
        <v>12</v>
      </c>
      <c r="G4" s="8" t="s">
        <v>13</v>
      </c>
      <c r="H4" s="8" t="s">
        <v>14</v>
      </c>
      <c r="I4" s="8" t="s">
        <v>15</v>
      </c>
      <c r="J4" s="9" t="s">
        <v>16</v>
      </c>
      <c r="K4" s="9" t="s">
        <v>17</v>
      </c>
      <c r="L4" s="9" t="s">
        <v>18</v>
      </c>
      <c r="M4" s="9" t="s">
        <v>19</v>
      </c>
      <c r="N4" s="9" t="s">
        <v>20</v>
      </c>
      <c r="O4" s="9" t="s">
        <v>21</v>
      </c>
      <c r="P4" s="11" t="s">
        <v>24</v>
      </c>
    </row>
    <row r="5" spans="1:16">
      <c r="A5" s="12" t="s">
        <v>34</v>
      </c>
      <c r="B5" s="13"/>
      <c r="C5" s="14"/>
      <c r="D5" s="15"/>
      <c r="E5" s="16"/>
      <c r="F5" s="16"/>
      <c r="G5" s="16"/>
      <c r="H5" s="16"/>
      <c r="I5" s="16"/>
      <c r="J5" s="13"/>
      <c r="K5" s="13"/>
      <c r="L5" s="16"/>
      <c r="M5" s="16"/>
      <c r="N5" s="16"/>
      <c r="O5" s="16"/>
      <c r="P5" s="17"/>
    </row>
  </sheetData>
  <mergeCells count="12">
    <mergeCell ref="L2:N2"/>
    <mergeCell ref="O2:P2"/>
    <mergeCell ref="A1:I1"/>
    <mergeCell ref="J1:P1"/>
    <mergeCell ref="A2:A3"/>
    <mergeCell ref="B2:B3"/>
    <mergeCell ref="C2:C3"/>
    <mergeCell ref="D2:D3"/>
    <mergeCell ref="E2:G2"/>
    <mergeCell ref="H2:I2"/>
    <mergeCell ref="J2:J3"/>
    <mergeCell ref="K2:K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I3"/>
  <sheetViews>
    <sheetView workbookViewId="0">
      <selection activeCell="A4" sqref="A4"/>
    </sheetView>
  </sheetViews>
  <sheetFormatPr defaultRowHeight="15"/>
  <cols>
    <col min="1" max="2" width="13.140625" customWidth="1"/>
    <col min="3" max="4" width="15.28515625" customWidth="1"/>
    <col min="5" max="5" width="11.42578125" customWidth="1"/>
    <col min="6" max="6" width="10.5703125" customWidth="1"/>
    <col min="7" max="7" width="20.7109375" customWidth="1"/>
    <col min="8" max="8" width="62" customWidth="1"/>
    <col min="9" max="9" width="99" customWidth="1"/>
  </cols>
  <sheetData>
    <row r="1" spans="1:9" ht="31.5">
      <c r="A1" s="19" t="s">
        <v>36</v>
      </c>
      <c r="B1" s="19" t="s">
        <v>46</v>
      </c>
      <c r="C1" s="19" t="s">
        <v>37</v>
      </c>
      <c r="D1" s="25" t="s">
        <v>38</v>
      </c>
      <c r="E1" s="25" t="s">
        <v>39</v>
      </c>
      <c r="F1" s="19" t="s">
        <v>40</v>
      </c>
      <c r="G1" s="21" t="s">
        <v>41</v>
      </c>
      <c r="H1" s="21" t="s">
        <v>42</v>
      </c>
      <c r="I1" s="21" t="s">
        <v>43</v>
      </c>
    </row>
    <row r="2" spans="1:9">
      <c r="A2" s="22" t="s">
        <v>7</v>
      </c>
      <c r="B2" s="22" t="s">
        <v>8</v>
      </c>
      <c r="C2" s="22" t="s">
        <v>9</v>
      </c>
      <c r="D2" s="22" t="s">
        <v>10</v>
      </c>
      <c r="E2" s="22" t="s">
        <v>11</v>
      </c>
      <c r="F2" s="22" t="s">
        <v>12</v>
      </c>
      <c r="G2" s="23" t="s">
        <v>13</v>
      </c>
      <c r="H2" s="23" t="s">
        <v>14</v>
      </c>
      <c r="I2" s="23" t="s">
        <v>15</v>
      </c>
    </row>
    <row r="3" spans="1:9">
      <c r="A3" s="1" t="s">
        <v>44</v>
      </c>
      <c r="B3" s="27"/>
      <c r="C3" s="27"/>
      <c r="D3" s="28"/>
      <c r="E3" s="27"/>
      <c r="F3" s="27"/>
      <c r="G3" s="24"/>
      <c r="H3" s="29"/>
      <c r="I3" s="29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R4"/>
  <sheetViews>
    <sheetView workbookViewId="0">
      <selection activeCell="A4" sqref="A4"/>
    </sheetView>
  </sheetViews>
  <sheetFormatPr defaultRowHeight="15"/>
  <cols>
    <col min="1" max="2" width="9.140625" customWidth="1"/>
    <col min="3" max="3" width="13.5703125" customWidth="1"/>
    <col min="4" max="4" width="14.28515625" customWidth="1"/>
    <col min="5" max="6" width="9.140625" customWidth="1"/>
    <col min="7" max="10" width="13.5703125" customWidth="1"/>
    <col min="11" max="11" width="6.7109375" customWidth="1"/>
    <col min="12" max="12" width="13.5703125" customWidth="1"/>
    <col min="13" max="13" width="10.42578125" customWidth="1"/>
    <col min="14" max="14" width="8" customWidth="1"/>
    <col min="15" max="15" width="13.85546875" customWidth="1"/>
    <col min="16" max="18" width="26.42578125" customWidth="1"/>
  </cols>
  <sheetData>
    <row r="1" spans="1:18" ht="31.5" customHeight="1">
      <c r="A1" s="109" t="s">
        <v>60</v>
      </c>
      <c r="B1" s="109"/>
      <c r="C1" s="109"/>
      <c r="D1" s="109"/>
      <c r="E1" s="109" t="s">
        <v>59</v>
      </c>
      <c r="F1" s="109"/>
      <c r="G1" s="109"/>
      <c r="H1" s="109"/>
      <c r="I1" s="109"/>
      <c r="J1" s="109"/>
      <c r="K1" s="131" t="s">
        <v>53</v>
      </c>
      <c r="L1" s="131" t="s">
        <v>54</v>
      </c>
      <c r="M1" s="131" t="s">
        <v>39</v>
      </c>
      <c r="N1" s="131" t="s">
        <v>55</v>
      </c>
      <c r="O1" s="109" t="s">
        <v>61</v>
      </c>
      <c r="P1" s="109"/>
      <c r="Q1" s="109"/>
      <c r="R1" s="109"/>
    </row>
    <row r="2" spans="1:18" ht="31.5">
      <c r="A2" s="19" t="s">
        <v>52</v>
      </c>
      <c r="B2" s="19" t="s">
        <v>58</v>
      </c>
      <c r="C2" s="19" t="s">
        <v>48</v>
      </c>
      <c r="D2" s="19" t="s">
        <v>62</v>
      </c>
      <c r="E2" s="19" t="s">
        <v>51</v>
      </c>
      <c r="F2" s="19" t="s">
        <v>52</v>
      </c>
      <c r="G2" s="19" t="s">
        <v>48</v>
      </c>
      <c r="H2" s="19" t="s">
        <v>62</v>
      </c>
      <c r="I2" s="19" t="s">
        <v>56</v>
      </c>
      <c r="J2" s="19" t="s">
        <v>57</v>
      </c>
      <c r="K2" s="131"/>
      <c r="L2" s="131"/>
      <c r="M2" s="131"/>
      <c r="N2" s="131"/>
      <c r="O2" s="19" t="s">
        <v>63</v>
      </c>
      <c r="P2" s="19" t="s">
        <v>64</v>
      </c>
      <c r="Q2" s="19" t="s">
        <v>65</v>
      </c>
      <c r="R2" s="19" t="s">
        <v>66</v>
      </c>
    </row>
    <row r="3" spans="1:18" ht="15" customHeight="1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2" t="s">
        <v>12</v>
      </c>
      <c r="G3" s="22" t="s">
        <v>13</v>
      </c>
      <c r="H3" s="22" t="s">
        <v>14</v>
      </c>
      <c r="I3" s="22" t="s">
        <v>15</v>
      </c>
      <c r="J3" s="22" t="s">
        <v>16</v>
      </c>
      <c r="K3" s="22" t="s">
        <v>17</v>
      </c>
      <c r="L3" s="22" t="s">
        <v>18</v>
      </c>
      <c r="M3" s="22" t="s">
        <v>19</v>
      </c>
      <c r="N3" s="22" t="s">
        <v>20</v>
      </c>
      <c r="O3" s="22" t="s">
        <v>21</v>
      </c>
      <c r="P3" s="22" t="s">
        <v>24</v>
      </c>
      <c r="Q3" s="22" t="s">
        <v>49</v>
      </c>
      <c r="R3" s="22" t="s">
        <v>50</v>
      </c>
    </row>
    <row r="4" spans="1:18">
      <c r="A4" s="30" t="s">
        <v>67</v>
      </c>
      <c r="B4" s="30"/>
      <c r="C4" s="1"/>
      <c r="D4" s="27"/>
      <c r="E4" s="30"/>
      <c r="F4" s="30"/>
      <c r="G4" s="1"/>
      <c r="H4" s="27"/>
      <c r="I4" s="24"/>
      <c r="J4" s="24"/>
      <c r="K4" s="30"/>
      <c r="L4" s="30"/>
      <c r="M4" s="30"/>
      <c r="N4" s="30"/>
      <c r="O4" s="30"/>
      <c r="P4" s="29"/>
      <c r="Q4" s="29"/>
      <c r="R4" s="29"/>
    </row>
  </sheetData>
  <mergeCells count="7">
    <mergeCell ref="O1:R1"/>
    <mergeCell ref="A1:D1"/>
    <mergeCell ref="E1:J1"/>
    <mergeCell ref="K1:K2"/>
    <mergeCell ref="L1:L2"/>
    <mergeCell ref="M1:M2"/>
    <mergeCell ref="N1:N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ettings"/>
  <dimension ref="A1:AZ21"/>
  <sheetViews>
    <sheetView workbookViewId="0">
      <selection activeCell="E7" sqref="E7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0" width="23" customWidth="1"/>
    <col min="11" max="11" width="7.5703125" customWidth="1"/>
    <col min="12" max="13" width="30.7109375" bestFit="1" customWidth="1"/>
    <col min="14" max="14" width="32.42578125" bestFit="1" customWidth="1"/>
    <col min="15" max="16" width="16.7109375" customWidth="1"/>
    <col min="17" max="17" width="13.85546875" customWidth="1"/>
    <col min="18" max="18" width="7.5703125" customWidth="1"/>
    <col min="19" max="19" width="23" customWidth="1"/>
    <col min="20" max="20" width="30.7109375" bestFit="1" customWidth="1"/>
    <col min="21" max="21" width="7.5703125" customWidth="1"/>
    <col min="22" max="22" width="19.7109375" bestFit="1" customWidth="1"/>
    <col min="23" max="25" width="17.85546875" customWidth="1"/>
    <col min="26" max="26" width="34" bestFit="1" customWidth="1"/>
    <col min="27" max="27" width="7.5703125" customWidth="1"/>
    <col min="28" max="28" width="19.7109375" bestFit="1" customWidth="1"/>
    <col min="29" max="29" width="14.140625" bestFit="1" customWidth="1"/>
    <col min="30" max="30" width="11.28515625" customWidth="1"/>
    <col min="31" max="31" width="11.85546875" bestFit="1" customWidth="1"/>
    <col min="32" max="34" width="13.7109375" customWidth="1"/>
    <col min="35" max="35" width="7.5703125" customWidth="1"/>
    <col min="36" max="36" width="11.85546875" bestFit="1" customWidth="1"/>
    <col min="37" max="37" width="7.5703125" customWidth="1"/>
    <col min="38" max="38" width="13.140625" bestFit="1" customWidth="1"/>
    <col min="39" max="39" width="7.5703125" customWidth="1"/>
    <col min="40" max="40" width="12.140625" bestFit="1" customWidth="1"/>
    <col min="41" max="41" width="7.5703125" customWidth="1"/>
    <col min="42" max="42" width="13.7109375" bestFit="1" customWidth="1"/>
    <col min="43" max="43" width="7.5703125" customWidth="1"/>
    <col min="44" max="44" width="14" bestFit="1" customWidth="1"/>
    <col min="45" max="45" width="7.5703125" customWidth="1"/>
    <col min="46" max="46" width="12.140625" bestFit="1" customWidth="1"/>
    <col min="47" max="47" width="7.5703125" customWidth="1"/>
    <col min="48" max="48" width="13.5703125" customWidth="1"/>
    <col min="49" max="49" width="7.5703125" customWidth="1"/>
    <col min="52" max="52" width="11.28515625" bestFit="1" customWidth="1"/>
  </cols>
  <sheetData>
    <row r="1" spans="1:52" ht="29.25" customHeight="1">
      <c r="A1" s="133" t="s">
        <v>118</v>
      </c>
      <c r="B1" s="133"/>
      <c r="D1" s="132" t="s">
        <v>119</v>
      </c>
      <c r="E1" s="132"/>
      <c r="G1" s="132" t="s">
        <v>114</v>
      </c>
      <c r="H1" s="132"/>
      <c r="I1" s="132"/>
      <c r="J1" s="132"/>
      <c r="L1" s="132" t="s">
        <v>109</v>
      </c>
      <c r="M1" s="132"/>
      <c r="N1" s="132"/>
      <c r="O1" s="132"/>
      <c r="P1" s="132"/>
      <c r="Q1" s="132"/>
      <c r="S1" s="132" t="s">
        <v>115</v>
      </c>
      <c r="T1" s="132"/>
      <c r="V1" s="132" t="s">
        <v>106</v>
      </c>
      <c r="W1" s="132"/>
      <c r="X1" s="132"/>
      <c r="Y1" s="132"/>
      <c r="Z1" s="132"/>
      <c r="AB1" s="132" t="s">
        <v>146</v>
      </c>
      <c r="AC1" s="132"/>
      <c r="AD1" s="132"/>
      <c r="AE1" s="132"/>
      <c r="AF1" s="132"/>
      <c r="AG1" s="132"/>
      <c r="AH1" s="132"/>
      <c r="AJ1" s="38" t="s">
        <v>132</v>
      </c>
      <c r="AL1" s="38" t="s">
        <v>134</v>
      </c>
      <c r="AN1" s="38" t="s">
        <v>136</v>
      </c>
      <c r="AP1" s="38" t="s">
        <v>145</v>
      </c>
      <c r="AR1" s="38" t="s">
        <v>154</v>
      </c>
      <c r="AT1" s="38" t="s">
        <v>155</v>
      </c>
      <c r="AV1" s="38" t="s">
        <v>147</v>
      </c>
      <c r="AX1" s="38" t="s">
        <v>160</v>
      </c>
      <c r="AZ1" s="38" t="s">
        <v>172</v>
      </c>
    </row>
    <row r="2" spans="1:52">
      <c r="A2" s="6" t="s">
        <v>139</v>
      </c>
      <c r="B2" s="6" t="s">
        <v>117</v>
      </c>
      <c r="D2" t="s">
        <v>110</v>
      </c>
      <c r="E2" t="s">
        <v>124</v>
      </c>
      <c r="G2" t="s">
        <v>110</v>
      </c>
      <c r="H2" t="s">
        <v>126</v>
      </c>
      <c r="I2" t="s">
        <v>113</v>
      </c>
      <c r="J2" t="s">
        <v>172</v>
      </c>
      <c r="L2" t="s">
        <v>110</v>
      </c>
      <c r="M2" t="s">
        <v>32</v>
      </c>
      <c r="N2" t="s">
        <v>98</v>
      </c>
      <c r="O2" t="s">
        <v>133</v>
      </c>
      <c r="P2" t="s">
        <v>128</v>
      </c>
      <c r="Q2" t="s">
        <v>120</v>
      </c>
      <c r="S2" t="s">
        <v>110</v>
      </c>
      <c r="T2" t="s">
        <v>116</v>
      </c>
      <c r="V2" t="s">
        <v>110</v>
      </c>
      <c r="W2" t="s">
        <v>126</v>
      </c>
      <c r="X2" t="s">
        <v>142</v>
      </c>
      <c r="Y2" t="s">
        <v>148</v>
      </c>
      <c r="Z2" t="s">
        <v>130</v>
      </c>
      <c r="AB2" t="s">
        <v>128</v>
      </c>
      <c r="AC2" t="s">
        <v>156</v>
      </c>
      <c r="AD2" t="s">
        <v>147</v>
      </c>
      <c r="AE2" t="s">
        <v>157</v>
      </c>
      <c r="AF2" t="s">
        <v>158</v>
      </c>
      <c r="AG2" t="s">
        <v>163</v>
      </c>
      <c r="AH2" t="s">
        <v>171</v>
      </c>
      <c r="AJ2" t="s">
        <v>110</v>
      </c>
      <c r="AL2" t="s">
        <v>110</v>
      </c>
      <c r="AN2" t="s">
        <v>110</v>
      </c>
      <c r="AP2" t="s">
        <v>110</v>
      </c>
      <c r="AR2" t="s">
        <v>110</v>
      </c>
      <c r="AT2" t="s">
        <v>110</v>
      </c>
      <c r="AV2" t="s">
        <v>110</v>
      </c>
      <c r="AX2" t="s">
        <v>110</v>
      </c>
      <c r="AZ2" t="s">
        <v>110</v>
      </c>
    </row>
    <row r="3" spans="1:52">
      <c r="A3" s="6" t="s">
        <v>188</v>
      </c>
      <c r="B3" s="6" t="s">
        <v>189</v>
      </c>
      <c r="D3" t="s">
        <v>26</v>
      </c>
      <c r="E3" t="s">
        <v>28</v>
      </c>
      <c r="G3" t="s">
        <v>28</v>
      </c>
      <c r="H3" t="s">
        <v>107</v>
      </c>
      <c r="I3" t="s">
        <v>28</v>
      </c>
      <c r="L3" t="s">
        <v>28</v>
      </c>
      <c r="M3" t="s">
        <v>28</v>
      </c>
      <c r="N3" t="s">
        <v>26</v>
      </c>
      <c r="O3" t="s">
        <v>131</v>
      </c>
      <c r="P3" t="s">
        <v>129</v>
      </c>
      <c r="Q3" t="s">
        <v>137</v>
      </c>
      <c r="S3" t="s">
        <v>122</v>
      </c>
      <c r="T3" t="s">
        <v>140</v>
      </c>
      <c r="V3" s="6" t="s">
        <v>179</v>
      </c>
      <c r="W3" t="s">
        <v>127</v>
      </c>
      <c r="X3" t="s">
        <v>144</v>
      </c>
      <c r="Z3" t="s">
        <v>181</v>
      </c>
      <c r="AB3" s="6" t="s">
        <v>129</v>
      </c>
      <c r="AC3" t="s">
        <v>166</v>
      </c>
      <c r="AD3" t="s">
        <v>150</v>
      </c>
      <c r="AG3">
        <v>2000</v>
      </c>
      <c r="AH3" t="s">
        <v>144</v>
      </c>
      <c r="AJ3" s="36" t="s">
        <v>107</v>
      </c>
      <c r="AL3" t="s">
        <v>131</v>
      </c>
      <c r="AN3" t="s">
        <v>137</v>
      </c>
      <c r="AP3" t="s">
        <v>127</v>
      </c>
      <c r="AR3" t="s">
        <v>153</v>
      </c>
      <c r="AT3" t="s">
        <v>149</v>
      </c>
      <c r="AV3" t="s">
        <v>151</v>
      </c>
      <c r="AX3" t="s">
        <v>144</v>
      </c>
      <c r="AZ3" t="s">
        <v>173</v>
      </c>
    </row>
    <row r="4" spans="1:52">
      <c r="A4" s="7" t="s">
        <v>104</v>
      </c>
      <c r="B4" s="7" t="s">
        <v>25</v>
      </c>
      <c r="D4" t="s">
        <v>35</v>
      </c>
      <c r="E4" t="s">
        <v>34</v>
      </c>
      <c r="G4" t="s">
        <v>34</v>
      </c>
      <c r="H4" t="s">
        <v>107</v>
      </c>
      <c r="I4" t="s">
        <v>34</v>
      </c>
      <c r="L4" t="s">
        <v>34</v>
      </c>
      <c r="M4" t="s">
        <v>34</v>
      </c>
      <c r="N4" t="s">
        <v>35</v>
      </c>
      <c r="O4" t="s">
        <v>131</v>
      </c>
      <c r="P4" t="s">
        <v>129</v>
      </c>
      <c r="Q4" t="s">
        <v>137</v>
      </c>
      <c r="S4" t="s">
        <v>122</v>
      </c>
      <c r="T4" s="6" t="s">
        <v>201</v>
      </c>
      <c r="V4" s="6" t="s">
        <v>129</v>
      </c>
      <c r="W4" t="s">
        <v>165</v>
      </c>
      <c r="X4" t="s">
        <v>144</v>
      </c>
      <c r="Y4" t="s">
        <v>149</v>
      </c>
      <c r="Z4" s="6" t="s">
        <v>164</v>
      </c>
      <c r="AA4" s="6"/>
      <c r="AB4" s="46" t="s">
        <v>129</v>
      </c>
      <c r="AC4" s="6" t="s">
        <v>159</v>
      </c>
      <c r="AD4" s="6" t="s">
        <v>151</v>
      </c>
      <c r="AE4" s="6" t="s">
        <v>152</v>
      </c>
      <c r="AF4" s="6" t="s">
        <v>144</v>
      </c>
      <c r="AG4" s="6">
        <v>40</v>
      </c>
      <c r="AH4" s="6" t="s">
        <v>143</v>
      </c>
      <c r="AJ4" s="37" t="s">
        <v>108</v>
      </c>
      <c r="AL4" t="s">
        <v>135</v>
      </c>
      <c r="AN4" t="s">
        <v>121</v>
      </c>
      <c r="AP4" t="s">
        <v>165</v>
      </c>
      <c r="AV4" t="s">
        <v>150</v>
      </c>
      <c r="AX4" t="s">
        <v>143</v>
      </c>
    </row>
    <row r="5" spans="1:52">
      <c r="A5" s="7" t="s">
        <v>105</v>
      </c>
      <c r="B5" s="7" t="s">
        <v>27</v>
      </c>
      <c r="D5" t="s">
        <v>45</v>
      </c>
      <c r="E5" t="s">
        <v>44</v>
      </c>
      <c r="G5" t="s">
        <v>44</v>
      </c>
      <c r="H5" t="s">
        <v>107</v>
      </c>
      <c r="I5" t="s">
        <v>44</v>
      </c>
      <c r="L5" t="s">
        <v>44</v>
      </c>
      <c r="M5" t="s">
        <v>44</v>
      </c>
      <c r="N5" t="s">
        <v>45</v>
      </c>
      <c r="O5" t="s">
        <v>131</v>
      </c>
      <c r="P5" t="s">
        <v>129</v>
      </c>
      <c r="Q5" t="s">
        <v>137</v>
      </c>
      <c r="S5" t="s">
        <v>122</v>
      </c>
      <c r="T5" s="6" t="s">
        <v>202</v>
      </c>
      <c r="V5" s="6" t="s">
        <v>169</v>
      </c>
      <c r="W5" t="s">
        <v>127</v>
      </c>
      <c r="X5" s="6" t="s">
        <v>143</v>
      </c>
      <c r="Y5" s="6"/>
      <c r="Z5" s="6" t="s">
        <v>170</v>
      </c>
      <c r="AB5" s="46" t="s">
        <v>129</v>
      </c>
      <c r="AC5" s="6" t="s">
        <v>167</v>
      </c>
      <c r="AD5" s="6" t="s">
        <v>151</v>
      </c>
      <c r="AE5" s="6" t="s">
        <v>161</v>
      </c>
      <c r="AF5" s="6" t="s">
        <v>144</v>
      </c>
      <c r="AG5" s="6">
        <v>20</v>
      </c>
      <c r="AH5" s="6" t="s">
        <v>143</v>
      </c>
    </row>
    <row r="6" spans="1:52">
      <c r="A6" s="6" t="s">
        <v>125</v>
      </c>
      <c r="B6" s="6" t="str">
        <f>VLOOKUP(ReportSelected,Menu[],2,FALSE)</f>
        <v>detail_report_2</v>
      </c>
      <c r="D6" t="s">
        <v>68</v>
      </c>
      <c r="E6" t="s">
        <v>67</v>
      </c>
      <c r="G6" t="s">
        <v>67</v>
      </c>
      <c r="H6" t="s">
        <v>107</v>
      </c>
      <c r="I6" t="s">
        <v>67</v>
      </c>
      <c r="L6" t="s">
        <v>67</v>
      </c>
      <c r="M6" t="s">
        <v>67</v>
      </c>
      <c r="N6" t="s">
        <v>68</v>
      </c>
      <c r="O6" t="s">
        <v>131</v>
      </c>
      <c r="P6" t="s">
        <v>129</v>
      </c>
      <c r="Q6" t="s">
        <v>137</v>
      </c>
      <c r="S6" s="6" t="s">
        <v>78</v>
      </c>
      <c r="T6" s="6" t="s">
        <v>141</v>
      </c>
      <c r="V6" s="6" t="s">
        <v>174</v>
      </c>
      <c r="W6" t="s">
        <v>127</v>
      </c>
      <c r="X6" t="s">
        <v>143</v>
      </c>
      <c r="Y6" s="6"/>
      <c r="Z6" t="s">
        <v>175</v>
      </c>
      <c r="AB6" s="46" t="s">
        <v>129</v>
      </c>
      <c r="AC6" s="6" t="s">
        <v>168</v>
      </c>
      <c r="AD6" s="6" t="s">
        <v>151</v>
      </c>
      <c r="AE6" s="6" t="s">
        <v>162</v>
      </c>
      <c r="AF6" s="6" t="s">
        <v>144</v>
      </c>
      <c r="AG6" s="6">
        <v>20</v>
      </c>
      <c r="AH6" s="6" t="s">
        <v>143</v>
      </c>
    </row>
    <row r="7" spans="1:52">
      <c r="A7" s="39" t="s">
        <v>152</v>
      </c>
      <c r="B7" s="6" t="s">
        <v>202</v>
      </c>
      <c r="D7" t="s">
        <v>192</v>
      </c>
      <c r="E7" s="6" t="s">
        <v>190</v>
      </c>
      <c r="G7" t="s">
        <v>122</v>
      </c>
      <c r="H7" t="s">
        <v>107</v>
      </c>
      <c r="I7" t="s">
        <v>122</v>
      </c>
      <c r="L7" t="s">
        <v>122</v>
      </c>
      <c r="M7" t="s">
        <v>122</v>
      </c>
      <c r="N7" t="s">
        <v>77</v>
      </c>
      <c r="O7" t="s">
        <v>131</v>
      </c>
      <c r="Q7" t="s">
        <v>121</v>
      </c>
      <c r="S7" s="6" t="s">
        <v>78</v>
      </c>
      <c r="T7" s="6" t="s">
        <v>223</v>
      </c>
      <c r="V7" s="6" t="s">
        <v>180</v>
      </c>
      <c r="W7" t="s">
        <v>165</v>
      </c>
      <c r="X7" t="s">
        <v>144</v>
      </c>
      <c r="Y7" s="6"/>
      <c r="Z7" s="6" t="s">
        <v>177</v>
      </c>
      <c r="AB7" s="46" t="s">
        <v>169</v>
      </c>
      <c r="AC7" s="6" t="s">
        <v>159</v>
      </c>
      <c r="AD7" s="6" t="s">
        <v>151</v>
      </c>
      <c r="AE7" s="6" t="s">
        <v>152</v>
      </c>
      <c r="AF7" s="6" t="s">
        <v>144</v>
      </c>
      <c r="AG7" s="6">
        <v>40</v>
      </c>
      <c r="AH7" s="6" t="s">
        <v>143</v>
      </c>
    </row>
    <row r="8" spans="1:52">
      <c r="A8" s="6"/>
      <c r="B8" s="6"/>
      <c r="D8" s="6" t="s">
        <v>254</v>
      </c>
      <c r="E8" s="6" t="s">
        <v>255</v>
      </c>
      <c r="G8" t="s">
        <v>78</v>
      </c>
      <c r="H8" t="s">
        <v>107</v>
      </c>
      <c r="I8" t="s">
        <v>78</v>
      </c>
      <c r="L8" t="s">
        <v>78</v>
      </c>
      <c r="M8" t="s">
        <v>78</v>
      </c>
      <c r="N8" t="s">
        <v>79</v>
      </c>
      <c r="O8" t="s">
        <v>131</v>
      </c>
      <c r="Q8" t="s">
        <v>121</v>
      </c>
      <c r="S8" s="6" t="s">
        <v>78</v>
      </c>
      <c r="T8" s="6" t="s">
        <v>224</v>
      </c>
      <c r="V8" s="6" t="s">
        <v>190</v>
      </c>
      <c r="W8" t="s">
        <v>165</v>
      </c>
      <c r="X8" t="s">
        <v>144</v>
      </c>
      <c r="Y8" s="6"/>
      <c r="Z8" s="6" t="s">
        <v>191</v>
      </c>
      <c r="AB8" s="47" t="s">
        <v>169</v>
      </c>
      <c r="AC8" s="6" t="s">
        <v>167</v>
      </c>
      <c r="AD8" s="6" t="s">
        <v>151</v>
      </c>
      <c r="AE8" s="6" t="s">
        <v>161</v>
      </c>
      <c r="AF8" s="6" t="s">
        <v>144</v>
      </c>
      <c r="AG8" s="6">
        <v>20</v>
      </c>
      <c r="AH8" s="6" t="s">
        <v>143</v>
      </c>
    </row>
    <row r="9" spans="1:52">
      <c r="A9" s="6"/>
      <c r="B9" s="6"/>
      <c r="D9" s="6" t="s">
        <v>238</v>
      </c>
      <c r="E9" t="s">
        <v>239</v>
      </c>
      <c r="G9" t="s">
        <v>111</v>
      </c>
      <c r="H9" t="s">
        <v>107</v>
      </c>
      <c r="I9" t="s">
        <v>186</v>
      </c>
      <c r="J9" t="s">
        <v>173</v>
      </c>
      <c r="L9" t="s">
        <v>187</v>
      </c>
      <c r="M9" t="s">
        <v>185</v>
      </c>
      <c r="N9" t="s">
        <v>99</v>
      </c>
      <c r="O9" t="s">
        <v>131</v>
      </c>
      <c r="P9" t="s">
        <v>129</v>
      </c>
      <c r="Q9" t="s">
        <v>137</v>
      </c>
      <c r="S9" s="6" t="s">
        <v>78</v>
      </c>
      <c r="T9" s="6" t="s">
        <v>228</v>
      </c>
      <c r="AB9" s="47" t="s">
        <v>169</v>
      </c>
      <c r="AC9" s="6" t="s">
        <v>168</v>
      </c>
      <c r="AD9" s="6" t="s">
        <v>151</v>
      </c>
      <c r="AE9" s="6" t="s">
        <v>162</v>
      </c>
      <c r="AF9" s="6" t="s">
        <v>144</v>
      </c>
      <c r="AG9" s="6">
        <v>20</v>
      </c>
      <c r="AH9" s="6" t="s">
        <v>143</v>
      </c>
    </row>
    <row r="10" spans="1:52">
      <c r="A10" s="6"/>
      <c r="B10" s="6"/>
      <c r="D10" t="s">
        <v>77</v>
      </c>
      <c r="E10" t="s">
        <v>122</v>
      </c>
      <c r="G10" t="s">
        <v>111</v>
      </c>
      <c r="H10" t="s">
        <v>108</v>
      </c>
      <c r="I10" t="s">
        <v>174</v>
      </c>
      <c r="L10" t="s">
        <v>186</v>
      </c>
      <c r="M10" t="s">
        <v>97</v>
      </c>
      <c r="N10" t="s">
        <v>99</v>
      </c>
      <c r="O10" t="s">
        <v>131</v>
      </c>
      <c r="P10" s="6"/>
      <c r="Q10" t="s">
        <v>137</v>
      </c>
      <c r="S10" s="6" t="s">
        <v>78</v>
      </c>
      <c r="T10" s="6" t="s">
        <v>230</v>
      </c>
      <c r="AB10" s="6" t="s">
        <v>180</v>
      </c>
      <c r="AC10" t="s">
        <v>166</v>
      </c>
      <c r="AD10" t="s">
        <v>150</v>
      </c>
      <c r="AG10">
        <v>2000</v>
      </c>
      <c r="AH10" t="s">
        <v>144</v>
      </c>
    </row>
    <row r="11" spans="1:52">
      <c r="A11" s="6"/>
      <c r="B11" s="6"/>
      <c r="D11" t="s">
        <v>79</v>
      </c>
      <c r="E11" t="s">
        <v>78</v>
      </c>
      <c r="G11" t="s">
        <v>176</v>
      </c>
      <c r="H11" t="s">
        <v>108</v>
      </c>
      <c r="I11" t="s">
        <v>179</v>
      </c>
      <c r="L11" s="6" t="s">
        <v>201</v>
      </c>
      <c r="M11" s="6" t="s">
        <v>203</v>
      </c>
      <c r="N11" s="6" t="s">
        <v>201</v>
      </c>
      <c r="O11" t="s">
        <v>131</v>
      </c>
      <c r="P11" t="s">
        <v>129</v>
      </c>
      <c r="Q11" t="s">
        <v>137</v>
      </c>
      <c r="S11" s="6" t="s">
        <v>252</v>
      </c>
      <c r="T11" s="6" t="s">
        <v>250</v>
      </c>
      <c r="AB11" s="6" t="s">
        <v>180</v>
      </c>
      <c r="AC11" s="6" t="s">
        <v>178</v>
      </c>
      <c r="AD11" s="6" t="s">
        <v>151</v>
      </c>
      <c r="AE11" s="6" t="s">
        <v>162</v>
      </c>
      <c r="AF11" s="6" t="s">
        <v>144</v>
      </c>
      <c r="AG11" s="6">
        <v>20</v>
      </c>
      <c r="AH11" s="6" t="s">
        <v>143</v>
      </c>
    </row>
    <row r="12" spans="1:52">
      <c r="A12" s="6"/>
      <c r="B12" s="6"/>
      <c r="D12" s="6" t="s">
        <v>251</v>
      </c>
      <c r="E12" s="6" t="s">
        <v>252</v>
      </c>
      <c r="G12" t="s">
        <v>176</v>
      </c>
      <c r="H12" t="s">
        <v>108</v>
      </c>
      <c r="I12" t="s">
        <v>180</v>
      </c>
      <c r="L12" s="6" t="s">
        <v>202</v>
      </c>
      <c r="M12" s="6" t="s">
        <v>203</v>
      </c>
      <c r="N12" s="6" t="s">
        <v>202</v>
      </c>
      <c r="O12" t="s">
        <v>131</v>
      </c>
      <c r="P12" t="s">
        <v>129</v>
      </c>
      <c r="Q12" t="s">
        <v>137</v>
      </c>
      <c r="S12" s="6"/>
      <c r="AB12" s="47" t="s">
        <v>190</v>
      </c>
      <c r="AC12" t="s">
        <v>166</v>
      </c>
      <c r="AD12" t="s">
        <v>150</v>
      </c>
      <c r="AG12">
        <v>2000</v>
      </c>
      <c r="AH12" t="s">
        <v>144</v>
      </c>
    </row>
    <row r="13" spans="1:52">
      <c r="D13" t="s">
        <v>123</v>
      </c>
      <c r="E13" t="s">
        <v>111</v>
      </c>
      <c r="G13" t="s">
        <v>176</v>
      </c>
      <c r="H13" t="s">
        <v>107</v>
      </c>
      <c r="I13" t="s">
        <v>187</v>
      </c>
      <c r="L13" t="s">
        <v>140</v>
      </c>
      <c r="M13" s="6" t="s">
        <v>203</v>
      </c>
      <c r="N13" t="s">
        <v>140</v>
      </c>
      <c r="O13" t="s">
        <v>131</v>
      </c>
      <c r="P13" t="s">
        <v>129</v>
      </c>
      <c r="Q13" t="s">
        <v>137</v>
      </c>
      <c r="AB13" s="47" t="s">
        <v>190</v>
      </c>
      <c r="AC13" s="6" t="s">
        <v>168</v>
      </c>
      <c r="AD13" s="6" t="s">
        <v>151</v>
      </c>
      <c r="AE13" s="6" t="s">
        <v>162</v>
      </c>
      <c r="AF13" s="6" t="s">
        <v>144</v>
      </c>
      <c r="AG13" s="6">
        <v>20</v>
      </c>
      <c r="AH13" s="6" t="s">
        <v>143</v>
      </c>
    </row>
    <row r="14" spans="1:52">
      <c r="D14" t="s">
        <v>96</v>
      </c>
      <c r="E14" t="s">
        <v>112</v>
      </c>
      <c r="G14" t="s">
        <v>112</v>
      </c>
      <c r="H14" t="s">
        <v>107</v>
      </c>
      <c r="I14" t="s">
        <v>187</v>
      </c>
      <c r="L14" t="s">
        <v>141</v>
      </c>
      <c r="M14" s="6" t="s">
        <v>203</v>
      </c>
      <c r="N14" s="6" t="s">
        <v>141</v>
      </c>
      <c r="O14" t="s">
        <v>131</v>
      </c>
      <c r="P14" t="s">
        <v>129</v>
      </c>
      <c r="Q14" t="s">
        <v>137</v>
      </c>
    </row>
    <row r="15" spans="1:52">
      <c r="D15" s="6"/>
      <c r="G15" s="6" t="s">
        <v>190</v>
      </c>
      <c r="H15" t="s">
        <v>108</v>
      </c>
      <c r="I15" s="6" t="s">
        <v>190</v>
      </c>
      <c r="J15" s="6"/>
      <c r="L15" s="6" t="s">
        <v>223</v>
      </c>
      <c r="M15" s="6" t="s">
        <v>203</v>
      </c>
      <c r="N15" s="6" t="s">
        <v>223</v>
      </c>
      <c r="O15" t="s">
        <v>131</v>
      </c>
      <c r="P15" t="s">
        <v>129</v>
      </c>
      <c r="Q15" t="s">
        <v>137</v>
      </c>
    </row>
    <row r="16" spans="1:52">
      <c r="G16" s="6" t="s">
        <v>239</v>
      </c>
      <c r="H16" t="s">
        <v>107</v>
      </c>
      <c r="I16" t="s">
        <v>78</v>
      </c>
      <c r="J16" s="6"/>
      <c r="L16" s="6" t="s">
        <v>224</v>
      </c>
      <c r="M16" s="6" t="s">
        <v>203</v>
      </c>
      <c r="N16" s="6" t="s">
        <v>224</v>
      </c>
      <c r="O16" t="s">
        <v>131</v>
      </c>
      <c r="P16" t="s">
        <v>129</v>
      </c>
      <c r="Q16" t="s">
        <v>137</v>
      </c>
    </row>
    <row r="17" spans="7:17">
      <c r="G17" s="6" t="s">
        <v>239</v>
      </c>
      <c r="H17" t="s">
        <v>107</v>
      </c>
      <c r="I17" s="6" t="s">
        <v>122</v>
      </c>
      <c r="J17" s="6"/>
      <c r="L17" s="6" t="s">
        <v>228</v>
      </c>
      <c r="M17" s="6" t="s">
        <v>203</v>
      </c>
      <c r="N17" s="6" t="s">
        <v>228</v>
      </c>
      <c r="O17" t="s">
        <v>131</v>
      </c>
      <c r="P17" t="s">
        <v>129</v>
      </c>
      <c r="Q17" t="s">
        <v>137</v>
      </c>
    </row>
    <row r="18" spans="7:17">
      <c r="G18" s="6" t="s">
        <v>252</v>
      </c>
      <c r="H18" t="s">
        <v>107</v>
      </c>
      <c r="I18" s="6" t="s">
        <v>252</v>
      </c>
      <c r="J18" s="6"/>
      <c r="L18" s="6" t="s">
        <v>230</v>
      </c>
      <c r="M18" s="6" t="s">
        <v>203</v>
      </c>
      <c r="N18" s="6" t="s">
        <v>230</v>
      </c>
      <c r="O18" t="s">
        <v>131</v>
      </c>
      <c r="P18" t="s">
        <v>129</v>
      </c>
      <c r="Q18" t="s">
        <v>137</v>
      </c>
    </row>
    <row r="19" spans="7:17">
      <c r="G19" s="6" t="s">
        <v>255</v>
      </c>
      <c r="H19" s="6" t="s">
        <v>107</v>
      </c>
      <c r="I19" s="6" t="s">
        <v>252</v>
      </c>
      <c r="J19" s="6"/>
      <c r="L19" s="6" t="s">
        <v>252</v>
      </c>
      <c r="M19" s="6" t="s">
        <v>252</v>
      </c>
      <c r="N19" s="6" t="s">
        <v>253</v>
      </c>
      <c r="O19" t="s">
        <v>131</v>
      </c>
      <c r="Q19" t="s">
        <v>121</v>
      </c>
    </row>
    <row r="20" spans="7:17">
      <c r="G20" s="6" t="s">
        <v>255</v>
      </c>
      <c r="H20" s="6" t="s">
        <v>107</v>
      </c>
      <c r="I20" t="s">
        <v>78</v>
      </c>
      <c r="J20" s="6"/>
      <c r="L20" s="6" t="s">
        <v>250</v>
      </c>
      <c r="M20" s="6" t="s">
        <v>203</v>
      </c>
      <c r="N20" s="6" t="s">
        <v>250</v>
      </c>
      <c r="O20" t="s">
        <v>131</v>
      </c>
      <c r="P20" t="s">
        <v>129</v>
      </c>
      <c r="Q20" t="s">
        <v>137</v>
      </c>
    </row>
    <row r="21" spans="7:17">
      <c r="G21" s="6" t="s">
        <v>255</v>
      </c>
      <c r="H21" s="6" t="s">
        <v>107</v>
      </c>
      <c r="I21" s="6" t="s">
        <v>122</v>
      </c>
      <c r="J21" s="6"/>
    </row>
  </sheetData>
  <dataConsolidate/>
  <mergeCells count="7">
    <mergeCell ref="AB1:AH1"/>
    <mergeCell ref="V1:Z1"/>
    <mergeCell ref="L1:Q1"/>
    <mergeCell ref="S1:T1"/>
    <mergeCell ref="A1:B1"/>
    <mergeCell ref="D1:E1"/>
    <mergeCell ref="G1:J1"/>
  </mergeCells>
  <dataValidations count="13">
    <dataValidation type="list" allowBlank="1" showInputMessage="1" showErrorMessage="1" sqref="AI3:AI6">
      <formula1>INDIRECT("ParamPurpose[Code]")</formula1>
    </dataValidation>
    <dataValidation type="list" allowBlank="1" showInputMessage="1" showErrorMessage="1" sqref="AD3:AD13">
      <formula1>INDIRECT("Direction[Code]")</formula1>
    </dataValidation>
    <dataValidation type="list" allowBlank="1" showInputMessage="1" showErrorMessage="1" sqref="B7 L11:L12 T4:T11 S3:S12">
      <formula1>INDIRECT("Reports[Code]")</formula1>
    </dataValidation>
    <dataValidation type="list" allowBlank="1" showInputMessage="1" showErrorMessage="1" sqref="W3:W8">
      <formula1>INDIRECT("ProgramTypes[Code]")</formula1>
    </dataValidation>
    <dataValidation type="list" allowBlank="1" showInputMessage="1" showErrorMessage="1" sqref="Y3:Y8">
      <formula1>INDIRECT("ReturnTypes[Code]")</formula1>
    </dataValidation>
    <dataValidation type="list" allowBlank="1" showInputMessage="1" showErrorMessage="1" sqref="AF3:AF13 AH3:AH13">
      <formula1>INDIRECT("YesNo[Code]")</formula1>
    </dataValidation>
    <dataValidation type="whole" allowBlank="1" showInputMessage="1" showErrorMessage="1" sqref="AG3:AG13">
      <formula1>1</formula1>
      <formula2>32767</formula2>
    </dataValidation>
    <dataValidation type="list" allowBlank="1" showInputMessage="1" showErrorMessage="1" sqref="O3:O20">
      <formula1>INDIRECT("CreateModes[Code]")</formula1>
    </dataValidation>
    <dataValidation type="list" allowBlank="1" showInputMessage="1" showErrorMessage="1" sqref="Q3:Q20">
      <formula1>INDIRECT("ReportTypes[Code]")</formula1>
    </dataValidation>
    <dataValidation type="list" allowBlank="1" showInputMessage="1" showErrorMessage="1" sqref="P3:P20">
      <formula1>INDIRECT("Programs[Code]")</formula1>
    </dataValidation>
    <dataValidation type="list" allowBlank="1" showInputMessage="1" showErrorMessage="1" sqref="E14:E15 E3:E6 E9:E11">
      <formula1>INDIRECT("Actions[Code]")</formula1>
    </dataValidation>
    <dataValidation type="list" allowBlank="1" showInputMessage="1" showErrorMessage="1" sqref="H3:H21">
      <formula1>INDIRECT("ActionTypes[Code]")</formula1>
    </dataValidation>
    <dataValidation type="list" allowBlank="1" showInputMessage="1" showErrorMessage="1" sqref="J3:J21">
      <formula1>INDIRECT("AfterAction")</formula1>
    </dataValidation>
  </dataValidations>
  <pageMargins left="0.7" right="0.7" top="0.75" bottom="0.75" header="0.3" footer="0.3"/>
  <pageSetup paperSize="9" orientation="portrait" r:id="rId1"/>
  <legacyDrawing r:id="rId2"/>
  <tableParts count="16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Reports"/>
  <dimension ref="A1:F24"/>
  <sheetViews>
    <sheetView showGridLines="0" showRowColHeaders="0" tabSelected="1" zoomScale="175" zoomScaleNormal="175" workbookViewId="0">
      <selection activeCell="B8" sqref="B8:D8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6">
      <c r="A1" s="32"/>
      <c r="B1" s="32"/>
      <c r="C1" s="32"/>
      <c r="D1" s="32"/>
      <c r="E1" s="32"/>
    </row>
    <row r="2" spans="1:6" ht="30.75" customHeight="1">
      <c r="A2" s="32"/>
      <c r="B2" s="31" t="s">
        <v>93</v>
      </c>
      <c r="C2" s="40" t="s">
        <v>35</v>
      </c>
      <c r="D2" s="32"/>
      <c r="E2" s="32"/>
    </row>
    <row r="3" spans="1:6" ht="28.5" customHeight="1">
      <c r="A3" s="32"/>
      <c r="B3" s="31"/>
      <c r="C3" s="43" t="s">
        <v>138</v>
      </c>
      <c r="D3" s="32"/>
      <c r="E3" s="32"/>
    </row>
    <row r="4" spans="1:6">
      <c r="A4" s="32"/>
      <c r="B4" s="31" t="s">
        <v>94</v>
      </c>
      <c r="C4" s="42">
        <v>42736</v>
      </c>
      <c r="D4" s="32"/>
      <c r="E4" s="32"/>
    </row>
    <row r="5" spans="1:6">
      <c r="A5" s="32"/>
      <c r="B5" s="31" t="s">
        <v>95</v>
      </c>
      <c r="C5" s="41">
        <v>42916</v>
      </c>
      <c r="D5" s="32"/>
      <c r="E5" s="32"/>
    </row>
    <row r="6" spans="1:6">
      <c r="A6" s="32"/>
      <c r="B6" s="32"/>
      <c r="C6" s="32"/>
      <c r="D6" s="32"/>
      <c r="E6" s="32"/>
    </row>
    <row r="7" spans="1:6" ht="1.5" customHeight="1">
      <c r="A7" s="137"/>
      <c r="B7" s="137"/>
      <c r="C7" s="137"/>
      <c r="D7" s="137"/>
      <c r="E7" s="137"/>
    </row>
    <row r="8" spans="1:6" ht="51" customHeight="1">
      <c r="A8" s="45"/>
      <c r="B8" s="138"/>
      <c r="C8" s="138"/>
      <c r="D8" s="138"/>
      <c r="E8" s="45"/>
    </row>
    <row r="9" spans="1:6" s="44" customFormat="1" ht="14.25" customHeight="1">
      <c r="A9" s="137"/>
      <c r="B9" s="137"/>
      <c r="C9" s="137"/>
      <c r="D9" s="137"/>
      <c r="E9" s="137"/>
    </row>
    <row r="10" spans="1:6" hidden="1">
      <c r="A10" s="134"/>
      <c r="B10" s="135"/>
      <c r="C10" s="135"/>
      <c r="D10" s="135"/>
      <c r="E10" s="136"/>
    </row>
    <row r="11" spans="1:6" hidden="1"/>
    <row r="12" spans="1:6" hidden="1"/>
    <row r="13" spans="1:6" hidden="1"/>
    <row r="14" spans="1:6" hidden="1">
      <c r="F14" s="26" t="s">
        <v>47</v>
      </c>
    </row>
    <row r="15" spans="1:6" hidden="1"/>
    <row r="16" spans="1:6" hidden="1"/>
    <row r="17" spans="5:5" hidden="1"/>
    <row r="18" spans="5:5" hidden="1"/>
    <row r="19" spans="5:5" hidden="1"/>
    <row r="20" spans="5:5" hidden="1"/>
    <row r="21" spans="5:5" hidden="1"/>
    <row r="22" spans="5:5" hidden="1"/>
    <row r="23" spans="5:5" hidden="1"/>
    <row r="24" spans="5:5" hidden="1">
      <c r="E24" s="26" t="s">
        <v>47</v>
      </c>
    </row>
  </sheetData>
  <dataConsolidate/>
  <mergeCells count="4">
    <mergeCell ref="A10:E10"/>
    <mergeCell ref="A7:E7"/>
    <mergeCell ref="A9:E9"/>
    <mergeCell ref="B8:D8"/>
  </mergeCells>
  <dataValidations count="1">
    <dataValidation type="list" allowBlank="1" showInputMessage="1" showErrorMessage="1" sqref="C2">
      <formula1>INDIRECT("Menu[Code]")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dimension ref="A1:D9"/>
  <sheetViews>
    <sheetView zoomScale="145" zoomScaleNormal="145" workbookViewId="0">
      <selection activeCell="B6" sqref="B6"/>
    </sheetView>
  </sheetViews>
  <sheetFormatPr defaultRowHeight="15"/>
  <cols>
    <col min="1" max="1" width="10.7109375" customWidth="1"/>
    <col min="2" max="2" width="16.140625" customWidth="1"/>
    <col min="3" max="3" width="19.5703125" customWidth="1"/>
    <col min="4" max="4" width="19.28515625" customWidth="1"/>
    <col min="5" max="5" width="10.42578125" bestFit="1" customWidth="1"/>
    <col min="6" max="6" width="12.42578125" bestFit="1" customWidth="1"/>
    <col min="7" max="7" width="10.28515625" bestFit="1" customWidth="1"/>
    <col min="8" max="8" width="11" customWidth="1"/>
  </cols>
  <sheetData>
    <row r="1" spans="1:4">
      <c r="B1" s="96"/>
      <c r="C1" s="65" t="s">
        <v>240</v>
      </c>
      <c r="D1" s="65" t="s">
        <v>241</v>
      </c>
    </row>
    <row r="2" spans="1:4">
      <c r="B2" s="97" t="s">
        <v>242</v>
      </c>
      <c r="C2" s="66">
        <f>SUM(Таблица26[130])</f>
        <v>0</v>
      </c>
      <c r="D2" s="66">
        <f>SUM(Таблица26[140])</f>
        <v>0</v>
      </c>
    </row>
    <row r="3" spans="1:4" ht="15.75" thickBot="1">
      <c r="B3" s="96"/>
      <c r="C3" s="96"/>
      <c r="D3" s="96"/>
    </row>
    <row r="4" spans="1:4" ht="43.15" customHeight="1">
      <c r="A4" s="98" t="s">
        <v>195</v>
      </c>
      <c r="B4" s="99" t="s">
        <v>243</v>
      </c>
      <c r="C4" s="100" t="s">
        <v>244</v>
      </c>
      <c r="D4" s="101" t="s">
        <v>244</v>
      </c>
    </row>
    <row r="5" spans="1:4" s="103" customFormat="1" ht="12" thickBot="1">
      <c r="A5" s="102" t="s">
        <v>196</v>
      </c>
      <c r="B5" s="106" t="s">
        <v>249</v>
      </c>
      <c r="C5" s="107" t="s">
        <v>245</v>
      </c>
      <c r="D5" s="108" t="s">
        <v>246</v>
      </c>
    </row>
    <row r="6" spans="1:4">
      <c r="A6" s="52"/>
      <c r="B6" s="104" t="s">
        <v>250</v>
      </c>
      <c r="C6" s="105"/>
      <c r="D6" s="105"/>
    </row>
    <row r="8" spans="1:4">
      <c r="B8" t="s">
        <v>247</v>
      </c>
    </row>
    <row r="9" spans="1:4">
      <c r="B9" t="s">
        <v>248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8"/>
  <dimension ref="A1:F13"/>
  <sheetViews>
    <sheetView zoomScale="130" zoomScaleNormal="130" workbookViewId="0">
      <selection activeCell="B10" sqref="B10"/>
    </sheetView>
  </sheetViews>
  <sheetFormatPr defaultRowHeight="15"/>
  <cols>
    <col min="1" max="1" width="11.5703125" customWidth="1"/>
    <col min="2" max="2" width="16.7109375" customWidth="1"/>
    <col min="3" max="3" width="18.28515625" customWidth="1"/>
    <col min="4" max="4" width="19.28515625" customWidth="1"/>
    <col min="5" max="5" width="16.5703125" customWidth="1"/>
  </cols>
  <sheetData>
    <row r="1" spans="1:6" ht="28.5" customHeight="1">
      <c r="A1" s="139" t="s">
        <v>193</v>
      </c>
      <c r="B1" s="139"/>
      <c r="C1" s="139"/>
      <c r="D1" s="139"/>
      <c r="E1" s="139"/>
    </row>
    <row r="2" spans="1:6" ht="19.5" customHeight="1">
      <c r="A2" s="140" t="s">
        <v>194</v>
      </c>
      <c r="B2" s="141"/>
      <c r="C2" s="141"/>
      <c r="D2" s="141"/>
      <c r="E2" s="142"/>
    </row>
    <row r="3" spans="1:6" ht="30">
      <c r="A3" s="78" t="s">
        <v>195</v>
      </c>
      <c r="B3" s="78" t="s">
        <v>69</v>
      </c>
      <c r="C3" s="78" t="s">
        <v>70</v>
      </c>
      <c r="D3" s="78" t="s">
        <v>71</v>
      </c>
      <c r="E3" s="78" t="s">
        <v>72</v>
      </c>
    </row>
    <row r="4" spans="1:6">
      <c r="A4" s="79" t="s">
        <v>196</v>
      </c>
      <c r="B4" s="77" t="s">
        <v>73</v>
      </c>
      <c r="C4" s="77" t="s">
        <v>74</v>
      </c>
      <c r="D4" s="77" t="s">
        <v>75</v>
      </c>
      <c r="E4" s="77" t="s">
        <v>76</v>
      </c>
    </row>
    <row r="5" spans="1:6">
      <c r="A5" s="80"/>
      <c r="B5" s="81" t="s">
        <v>140</v>
      </c>
      <c r="C5" s="82"/>
      <c r="D5" s="83"/>
      <c r="E5" s="84"/>
    </row>
    <row r="6" spans="1:6">
      <c r="D6" t="s">
        <v>204</v>
      </c>
    </row>
    <row r="7" spans="1:6">
      <c r="D7" t="s">
        <v>197</v>
      </c>
    </row>
    <row r="8" spans="1:6" ht="20.25" customHeight="1">
      <c r="D8" s="132" t="s">
        <v>198</v>
      </c>
      <c r="E8" s="132"/>
    </row>
    <row r="9" spans="1:6">
      <c r="C9" s="6"/>
      <c r="D9" s="6" t="s">
        <v>201</v>
      </c>
      <c r="E9" s="56"/>
      <c r="F9" s="6"/>
    </row>
    <row r="10" spans="1:6">
      <c r="C10" s="56"/>
      <c r="D10" s="57" t="s">
        <v>199</v>
      </c>
      <c r="E10" s="58">
        <f>SUBTOTAL(109,ndfl6_part1_general_recalc_curr[[#All],[Столбец2]])</f>
        <v>0</v>
      </c>
      <c r="F10" s="6"/>
    </row>
    <row r="11" spans="1:6" ht="19.5" customHeight="1">
      <c r="C11" s="54"/>
      <c r="D11" s="132" t="s">
        <v>200</v>
      </c>
      <c r="E11" s="132"/>
    </row>
    <row r="12" spans="1:6">
      <c r="D12" s="6" t="s">
        <v>202</v>
      </c>
      <c r="E12" s="54"/>
    </row>
    <row r="13" spans="1:6">
      <c r="D13" s="55" t="s">
        <v>199</v>
      </c>
      <c r="E13" s="58">
        <f>SUBTOTAL(109,ndfl6_recalc_prev_year[[#All],[Столбец2]])</f>
        <v>0</v>
      </c>
    </row>
  </sheetData>
  <mergeCells count="4">
    <mergeCell ref="A1:E1"/>
    <mergeCell ref="D8:E8"/>
    <mergeCell ref="D11:E11"/>
    <mergeCell ref="A2:E2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9"/>
  <dimension ref="A1:H25"/>
  <sheetViews>
    <sheetView topLeftCell="A8" zoomScale="115" zoomScaleNormal="115" workbookViewId="0">
      <selection activeCell="D15" sqref="D15"/>
    </sheetView>
  </sheetViews>
  <sheetFormatPr defaultRowHeight="15"/>
  <cols>
    <col min="1" max="1" width="13.7109375" customWidth="1"/>
    <col min="2" max="2" width="11.85546875" customWidth="1"/>
    <col min="3" max="3" width="18" customWidth="1"/>
    <col min="4" max="5" width="17.7109375" customWidth="1"/>
    <col min="6" max="6" width="15.5703125" customWidth="1"/>
    <col min="7" max="7" width="13" customWidth="1"/>
    <col min="8" max="8" width="11.85546875" customWidth="1"/>
  </cols>
  <sheetData>
    <row r="1" spans="1:8" ht="28.5" customHeight="1" thickBot="1">
      <c r="A1" s="143" t="s">
        <v>205</v>
      </c>
      <c r="B1" s="143"/>
      <c r="C1" s="143"/>
      <c r="D1" s="143"/>
      <c r="E1" s="143"/>
      <c r="F1" s="143"/>
      <c r="G1" s="143"/>
      <c r="H1" s="143"/>
    </row>
    <row r="2" spans="1:8" ht="30.75" thickBot="1">
      <c r="A2" s="75" t="s">
        <v>195</v>
      </c>
      <c r="B2" s="73" t="s">
        <v>80</v>
      </c>
      <c r="C2" s="73" t="s">
        <v>1</v>
      </c>
      <c r="D2" s="73" t="s">
        <v>81</v>
      </c>
      <c r="E2" s="73" t="s">
        <v>82</v>
      </c>
      <c r="F2" s="73" t="s">
        <v>83</v>
      </c>
      <c r="G2" s="73" t="s">
        <v>84</v>
      </c>
      <c r="H2" s="74" t="s">
        <v>85</v>
      </c>
    </row>
    <row r="3" spans="1:8">
      <c r="A3" s="76" t="s">
        <v>196</v>
      </c>
      <c r="B3" s="59" t="s">
        <v>86</v>
      </c>
      <c r="C3" s="59" t="s">
        <v>87</v>
      </c>
      <c r="D3" s="59" t="s">
        <v>88</v>
      </c>
      <c r="E3" s="59" t="s">
        <v>89</v>
      </c>
      <c r="F3" s="59" t="s">
        <v>90</v>
      </c>
      <c r="G3" s="59" t="s">
        <v>91</v>
      </c>
      <c r="H3" s="60" t="s">
        <v>92</v>
      </c>
    </row>
    <row r="4" spans="1:8">
      <c r="A4" s="69"/>
      <c r="B4" s="70" t="s">
        <v>141</v>
      </c>
      <c r="C4" s="71"/>
      <c r="D4" s="71"/>
      <c r="E4" s="71"/>
      <c r="F4" s="72"/>
      <c r="G4" s="72"/>
      <c r="H4" s="72"/>
    </row>
    <row r="5" spans="1:8">
      <c r="A5" s="92" t="s">
        <v>229</v>
      </c>
      <c r="B5" s="93"/>
      <c r="C5" s="94">
        <f>SUBTOTAL(109,[Столбец3])</f>
        <v>0</v>
      </c>
      <c r="D5" s="94">
        <f>SUBTOTAL(109,[Столбец4])</f>
        <v>0</v>
      </c>
      <c r="E5" s="94">
        <f>SUBTOTAL(109,[Столбец5])</f>
        <v>0</v>
      </c>
      <c r="F5" s="95">
        <f>SUBTOTAL(109,[Столбец6])</f>
        <v>0</v>
      </c>
      <c r="G5" s="95">
        <f>SUBTOTAL(109,[Столбец7])</f>
        <v>0</v>
      </c>
      <c r="H5" s="95">
        <f>SUBTOTAL(109,[Столбец8])</f>
        <v>0</v>
      </c>
    </row>
    <row r="6" spans="1:8">
      <c r="A6" t="s">
        <v>206</v>
      </c>
    </row>
    <row r="7" spans="1:8">
      <c r="A7" s="61" t="s">
        <v>207</v>
      </c>
      <c r="C7" s="54"/>
      <c r="D7" s="54"/>
      <c r="E7" s="144" t="s">
        <v>208</v>
      </c>
      <c r="F7" s="144"/>
      <c r="G7" s="144"/>
      <c r="H7" s="144"/>
    </row>
    <row r="8" spans="1:8">
      <c r="A8" s="85" t="s">
        <v>209</v>
      </c>
      <c r="B8" s="85" t="s">
        <v>210</v>
      </c>
      <c r="C8" s="85" t="s">
        <v>235</v>
      </c>
      <c r="D8" s="85" t="s">
        <v>211</v>
      </c>
      <c r="E8" s="85" t="s">
        <v>212</v>
      </c>
      <c r="F8" s="85" t="s">
        <v>213</v>
      </c>
      <c r="G8" s="85" t="s">
        <v>225</v>
      </c>
      <c r="H8" s="85" t="s">
        <v>226</v>
      </c>
    </row>
    <row r="9" spans="1:8">
      <c r="A9" s="6" t="s">
        <v>223</v>
      </c>
      <c r="C9" s="54"/>
      <c r="D9" s="54"/>
    </row>
    <row r="10" spans="1:8">
      <c r="A10" s="6"/>
      <c r="C10" s="54"/>
      <c r="D10" s="54"/>
    </row>
    <row r="11" spans="1:8" ht="15.75" thickBot="1">
      <c r="C11" s="54"/>
      <c r="E11" s="145" t="s">
        <v>214</v>
      </c>
      <c r="F11" s="145"/>
      <c r="G11" s="145"/>
      <c r="H11" s="145"/>
    </row>
    <row r="12" spans="1:8">
      <c r="C12" s="54"/>
      <c r="D12" s="86"/>
      <c r="E12" s="146" t="s">
        <v>215</v>
      </c>
      <c r="F12" s="147"/>
      <c r="G12" s="148"/>
      <c r="H12" s="149" t="s">
        <v>227</v>
      </c>
    </row>
    <row r="13" spans="1:8" ht="15.75" thickBot="1">
      <c r="C13" s="90" t="s">
        <v>235</v>
      </c>
      <c r="D13" s="86" t="s">
        <v>216</v>
      </c>
      <c r="E13" s="87" t="s">
        <v>217</v>
      </c>
      <c r="F13" s="88" t="s">
        <v>218</v>
      </c>
      <c r="G13" s="89" t="s">
        <v>219</v>
      </c>
      <c r="H13" s="149"/>
    </row>
    <row r="14" spans="1:8">
      <c r="A14" s="6" t="s">
        <v>224</v>
      </c>
      <c r="C14" s="54"/>
    </row>
    <row r="15" spans="1:8">
      <c r="C15" s="62">
        <f>SUM(Таблица30[Столбец1])+SUM(Таблица31[Столбец3])</f>
        <v>0</v>
      </c>
      <c r="D15" t="s">
        <v>220</v>
      </c>
      <c r="E15" s="54"/>
    </row>
    <row r="16" spans="1:8">
      <c r="A16" s="61" t="s">
        <v>221</v>
      </c>
      <c r="E16" s="54"/>
    </row>
    <row r="17" spans="1:8" ht="37.5" customHeight="1">
      <c r="A17" s="90" t="s">
        <v>209</v>
      </c>
      <c r="B17" s="90" t="s">
        <v>210</v>
      </c>
      <c r="C17" s="90" t="s">
        <v>235</v>
      </c>
      <c r="D17" s="90" t="s">
        <v>236</v>
      </c>
      <c r="E17" s="91" t="s">
        <v>237</v>
      </c>
    </row>
    <row r="18" spans="1:8">
      <c r="A18" t="s">
        <v>228</v>
      </c>
      <c r="F18" s="63"/>
    </row>
    <row r="19" spans="1:8" ht="15.75" thickBot="1">
      <c r="C19" s="64">
        <f>SUM(C18:C18)</f>
        <v>0</v>
      </c>
      <c r="D19" t="s">
        <v>222</v>
      </c>
      <c r="F19" s="63"/>
    </row>
    <row r="20" spans="1:8" ht="15.75" thickTop="1">
      <c r="C20" s="65">
        <f>tax_13+tax_30</f>
        <v>0</v>
      </c>
      <c r="D20" t="s">
        <v>234</v>
      </c>
    </row>
    <row r="21" spans="1:8">
      <c r="C21" s="66"/>
      <c r="H21" s="67"/>
    </row>
    <row r="22" spans="1:8">
      <c r="A22" s="150" t="s">
        <v>233</v>
      </c>
      <c r="B22" s="150"/>
      <c r="C22" s="150"/>
      <c r="D22" s="150"/>
      <c r="E22" s="150"/>
      <c r="F22" s="150"/>
      <c r="G22" s="67"/>
      <c r="H22" s="67"/>
    </row>
    <row r="23" spans="1:8">
      <c r="A23" s="68" t="s">
        <v>64</v>
      </c>
      <c r="B23" s="68" t="s">
        <v>65</v>
      </c>
      <c r="C23" s="68" t="s">
        <v>66</v>
      </c>
      <c r="D23" s="68" t="s">
        <v>83</v>
      </c>
      <c r="E23" s="68" t="s">
        <v>70</v>
      </c>
      <c r="F23" s="68" t="s">
        <v>231</v>
      </c>
      <c r="G23" s="67"/>
    </row>
    <row r="24" spans="1:8">
      <c r="A24" t="s">
        <v>230</v>
      </c>
      <c r="D24" s="54"/>
      <c r="E24" s="54"/>
      <c r="F24" s="54"/>
    </row>
    <row r="25" spans="1:8">
      <c r="A25" t="s">
        <v>232</v>
      </c>
      <c r="D25" s="54">
        <f>SUBTOTAL(109,[Налог исчисленный])</f>
        <v>0</v>
      </c>
      <c r="E25" s="54">
        <f>SUBTOTAL(109,[Налог удержанный])</f>
        <v>0</v>
      </c>
      <c r="F25" s="54">
        <f>SUBTOTAL(109,[Разница])</f>
        <v>0</v>
      </c>
      <c r="G25" s="54"/>
      <c r="H25" s="54"/>
    </row>
  </sheetData>
  <mergeCells count="6">
    <mergeCell ref="A1:H1"/>
    <mergeCell ref="H12:H13"/>
    <mergeCell ref="A22:F22"/>
    <mergeCell ref="E12:G12"/>
    <mergeCell ref="E7:H7"/>
    <mergeCell ref="E11:H11"/>
  </mergeCell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10"/>
  <dimension ref="A1:D2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41.42578125" customWidth="1"/>
    <col min="2" max="2" width="21.85546875" customWidth="1"/>
    <col min="3" max="3" width="27.140625" customWidth="1"/>
    <col min="4" max="4" width="28.42578125" customWidth="1"/>
  </cols>
  <sheetData>
    <row r="1" spans="1:4" ht="34.5" customHeight="1">
      <c r="A1" s="33" t="s">
        <v>100</v>
      </c>
      <c r="B1" s="34" t="s">
        <v>101</v>
      </c>
      <c r="C1" s="34" t="s">
        <v>102</v>
      </c>
      <c r="D1" s="34" t="s">
        <v>103</v>
      </c>
    </row>
    <row r="2" spans="1:4">
      <c r="B2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2"/>
  <dimension ref="A1:I2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5"/>
  <cols>
    <col min="1" max="3" width="21.42578125" customWidth="1"/>
    <col min="4" max="4" width="21.85546875" customWidth="1"/>
    <col min="5" max="5" width="28.42578125" customWidth="1"/>
    <col min="6" max="6" width="21.7109375" customWidth="1"/>
    <col min="7" max="7" width="19" customWidth="1"/>
    <col min="8" max="8" width="21.85546875" bestFit="1" customWidth="1"/>
    <col min="9" max="9" width="15.5703125" bestFit="1" customWidth="1"/>
  </cols>
  <sheetData>
    <row r="1" spans="1:9" ht="34.5" customHeight="1">
      <c r="A1" s="33" t="s">
        <v>64</v>
      </c>
      <c r="B1" s="48" t="s">
        <v>65</v>
      </c>
      <c r="C1" s="48" t="s">
        <v>66</v>
      </c>
      <c r="D1" s="48" t="s">
        <v>101</v>
      </c>
      <c r="E1" s="48" t="s">
        <v>103</v>
      </c>
      <c r="F1" s="52" t="s">
        <v>182</v>
      </c>
      <c r="G1" s="52" t="s">
        <v>1</v>
      </c>
      <c r="H1" s="52" t="s">
        <v>183</v>
      </c>
      <c r="I1" s="53" t="s">
        <v>184</v>
      </c>
    </row>
    <row r="2" spans="1:9">
      <c r="A2" t="s">
        <v>187</v>
      </c>
      <c r="B2" s="49"/>
      <c r="C2" s="49"/>
      <c r="D2" s="50"/>
      <c r="E2" s="49"/>
      <c r="F2" s="49"/>
      <c r="G2" s="49"/>
      <c r="H2" s="49"/>
      <c r="I2" s="5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6"/>
  <dimension ref="A1:A2"/>
  <sheetViews>
    <sheetView workbookViewId="0">
      <selection activeCell="B6" sqref="B6"/>
    </sheetView>
  </sheetViews>
  <sheetFormatPr defaultRowHeight="15"/>
  <sheetData>
    <row r="1" spans="1:1">
      <c r="A1" t="s">
        <v>122</v>
      </c>
    </row>
    <row r="2" spans="1:1">
      <c r="A2" t="s">
        <v>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12</vt:i4>
      </vt:variant>
      <vt:variant>
        <vt:lpstr>Именованные диапазоны</vt:lpstr>
      </vt:variant>
      <vt:variant>
        <vt:i4>15</vt:i4>
      </vt:variant>
    </vt:vector>
  </HeadingPairs>
  <TitlesOfParts>
    <vt:vector size="27" baseType="lpstr">
      <vt:lpstr>detail_report</vt:lpstr>
      <vt:lpstr>detail_report_2</vt:lpstr>
      <vt:lpstr>error_report</vt:lpstr>
      <vt:lpstr>correcting_report</vt:lpstr>
      <vt:lpstr>Settings</vt:lpstr>
      <vt:lpstr>Отчеты</vt:lpstr>
      <vt:lpstr>ndfl6_part2</vt:lpstr>
      <vt:lpstr>ndfl6_part1_general</vt:lpstr>
      <vt:lpstr>ndfl6_part1_rates</vt:lpstr>
      <vt:lpstr>funds_employees</vt:lpstr>
      <vt:lpstr>funds_employees_report</vt:lpstr>
      <vt:lpstr>ndfl6_part1</vt:lpstr>
      <vt:lpstr>data_source_name</vt:lpstr>
      <vt:lpstr>end_date</vt:lpstr>
      <vt:lpstr>EndDate</vt:lpstr>
      <vt:lpstr>menu_item_selected</vt:lpstr>
      <vt:lpstr>oracle_owner</vt:lpstr>
      <vt:lpstr>output</vt:lpstr>
      <vt:lpstr>report_code</vt:lpstr>
      <vt:lpstr>ReportSelected</vt:lpstr>
      <vt:lpstr>start_date</vt:lpstr>
      <vt:lpstr>start_sheet_name</vt:lpstr>
      <vt:lpstr>StartDate</vt:lpstr>
      <vt:lpstr>StartDateRow</vt:lpstr>
      <vt:lpstr>tax_13</vt:lpstr>
      <vt:lpstr>tax_13_amount</vt:lpstr>
      <vt:lpstr>tax_30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2017-06-23T10:15:42Z</cp:lastPrinted>
  <dcterms:created xsi:type="dcterms:W3CDTF">2017-06-22T11:11:41Z</dcterms:created>
  <dcterms:modified xsi:type="dcterms:W3CDTF">2017-08-09T13:25:32Z</dcterms:modified>
</cp:coreProperties>
</file>