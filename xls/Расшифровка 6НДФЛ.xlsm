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tables/table41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6" activeTab="6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Settings" sheetId="103" state="hidden" r:id="rId6"/>
    <sheet name="Отчеты" sheetId="6" r:id="rId7"/>
    <sheet name="synch_error_report" sheetId="283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  <sheet name="cmp_f2ndfl_pers" sheetId="284" state="hidden" r:id="rId17"/>
    <sheet name="cmp_f2ndfl_f6" sheetId="294" state="hidden" r:id="rId18"/>
  </sheets>
  <functionGroups/>
  <externalReferences>
    <externalReference r:id="rId19"/>
  </externalReferences>
  <definedNames>
    <definedName name="data_source_name">Settings!$B$3</definedName>
    <definedName name="end_date">Settings!$B$9</definedName>
    <definedName name="menu_item_selected">Settings!$B$6</definedName>
    <definedName name="oracle_owner">Settings!$B$4</definedName>
    <definedName name="output">Отчеты!$B$9</definedName>
    <definedName name="report_code">Settings!$B$7</definedName>
    <definedName name="report_date">Settings!$B$10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4">tax_retained_report!$B$44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</definedNames>
  <calcPr calcId="125725"/>
</workbook>
</file>

<file path=xl/calcChain.xml><?xml version="1.0" encoding="utf-8"?>
<calcChain xmlns="http://schemas.openxmlformats.org/spreadsheetml/2006/main">
  <c r="E23" i="294"/>
  <c r="D23" l="1"/>
  <c r="C23"/>
  <c r="E22"/>
  <c r="E21"/>
  <c r="K16" i="284" l="1"/>
  <c r="K8"/>
  <c r="K24"/>
  <c r="P3" i="282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3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<sst xmlns="http://schemas.openxmlformats.org/spreadsheetml/2006/main" count="1133" uniqueCount="399">
  <si>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</si>
  <si>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</si>
  <si>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</si>
  <si>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</si>
  <si>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</si>
  <si>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</si>
  <si>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</si>
  <si>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</si>
  <si>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</si>
  <si>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</si>
  <si>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</si>
  <si>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</si>
  <si>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</si>
  <si>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</si>
  <si>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</si>
  <si>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</si>
  <si>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</si>
  <si>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</si>
  <si>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</si>
  <si>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</si>
  <si>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</si>
  <si>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</si>
  <si>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</si>
  <si>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</si>
  <si>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</si>
  <si>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</si>
  <si>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</si>
  <si>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</si>
  <si>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</si>
  <si>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</si>
  <si>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</si>
  <si>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</si>
  <si>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</si>
  <si>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</si>
  <si>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</si>
  <si>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</si>
  <si>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</si>
  <si>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</si>
  <si>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</si>
  <si>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</si>
  <si>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</si>
  <si>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</si>
  <si>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</si>
  <si>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</si>
  <si>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</si>
  <si>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</si>
  <si>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</si>
  <si>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</si>
  <si>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</si>
  <si>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</si>
  <si>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</si>
  <si>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</si>
  <si>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</si>
  <si>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</si>
  <si>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</si>
  <si>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</si>
  <si>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</si>
  <si>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</si>
  <si>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</si>
  <si>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</si>
  <si>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</si>
  <si>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</si>
  <si>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</si>
  <si>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</si>
  <si>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</si>
  <si>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</si>
  <si>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</si>
  <si>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</si>
  <si>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</si>
  <si>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</si>
  <si>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</si>
  <si>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</si>
  <si>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</si>
  <si>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</si>
  <si>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</si>
  <si>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</si>
  <si>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</si>
  <si>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</si>
  <si>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</si>
  <si>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</si>
  <si>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</si>
  <si>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</si>
  <si>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</si>
  <si>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</si>
  <si>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</si>
  <si>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</si>
  <si>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</si>
  <si>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</si>
  <si>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</si>
  <si>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</si>
  <si>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</si>
  <si>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</si>
  <si>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</si>
  <si>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</si>
  <si>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</si>
  <si>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</si>
  <si>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</si>
  <si>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</si>
  <si>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</si>
  <si>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</si>
  <si>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</si>
  <si>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</si>
  <si>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</si>
  <si>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</si>
  <si>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</si>
  <si>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</si>
  <si>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</si>
  <si>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</si>
  <si>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</si>
  <si>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</si>
  <si>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</si>
  <si>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</si>
  <si>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</si>
  <si>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</si>
  <si>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</si>
  <si>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</si>
  <si>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</si>
  <si>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</si>
  <si>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</si>
  <si>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</si>
  <si>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</si>
  <si>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</si>
  <si>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</si>
  <si>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</si>
  <si>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</si>
  <si>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</si>
  <si>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</si>
  <si>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</si>
  <si>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</si>
  <si>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</si>
  <si>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</si>
  <si>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</si>
  <si>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</si>
  <si>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</si>
  <si>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</si>
  <si>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</si>
  <si>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</si>
  <si>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</si>
  <si>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</si>
  <si>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</si>
  <si>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</si>
  <si>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</si>
  <si>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</si>
  <si>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</si>
  <si>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</si>
  <si>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</si>
  <si>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</si>
  <si>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</si>
  <si>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</si>
  <si>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</si>
  <si>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</si>
  <si>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</si>
  <si>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</si>
  <si>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</si>
  <si>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</si>
  <si>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</si>
  <si>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</si>
  <si>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</si>
  <si>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</si>
  <si>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</si>
  <si>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</si>
  <si>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</si>
  <si>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</si>
  <si>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</si>
  <si>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</si>
  <si>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</si>
  <si>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</si>
  <si>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</si>
  <si>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</si>
  <si>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</si>
  <si>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</si>
  <si>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</si>
  <si>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</si>
  <si>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</si>
  <si>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</si>
  <si>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</si>
  <si>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</si>
  <si>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</si>
  <si>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</si>
  <si>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</si>
  <si>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</si>
  <si>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</si>
  <si>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</si>
  <si>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</si>
  <si>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</si>
  <si>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</si>
  <si>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</si>
  <si>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</si>
  <si>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</si>
  <si>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</si>
  <si>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</si>
  <si>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</si>
  <si>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</si>
  <si>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</si>
  <si>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</si>
  <si>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</si>
  <si>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</si>
  <si>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</si>
  <si>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</si>
  <si>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</si>
  <si>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</si>
  <si>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</si>
  <si>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</si>
  <si>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</si>
  <si>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</si>
  <si>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</si>
  <si>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</si>
  <si>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</si>
  <si>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</si>
  <si>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</si>
  <si>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</si>
  <si>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</si>
  <si>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</si>
  <si>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</si>
  <si>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</si>
  <si>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</si>
  <si>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</si>
  <si>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</si>
  <si>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</si>
  <si>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</si>
  <si>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</si>
  <si>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</si>
  <si>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</si>
  <si>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</si>
  <si>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</si>
  <si>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</si>
  <si>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</si>
  <si>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</si>
  <si>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</si>
  <si>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</si>
  <si>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</si>
  <si>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</si>
  <si>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</si>
  <si>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</si>
  <si>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</si>
  <si>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</si>
  <si>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</si>
  <si>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</si>
  <si>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</si>
  <si>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</si>
  <si>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</si>
  <si>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</si>
  <si>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</si>
  <si>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</si>
  <si>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</si>
  <si>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</si>
  <si>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</si>
  <si>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</si>
  <si>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</si>
  <si>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</si>
  <si>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</si>
  <si>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</si>
  <si>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</si>
  <si>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</si>
  <si>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</si>
  <si>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</si>
  <si>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</si>
  <si>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</si>
  <si>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</si>
  <si>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</si>
  <si>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</si>
  <si>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</si>
  <si>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</si>
  <si>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</si>
  <si>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</si>
  <si>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</si>
  <si>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</si>
  <si>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</si>
  <si>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</si>
  <si>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</si>
  <si>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</si>
  <si>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</si>
  <si>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</si>
  <si>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</si>
  <si>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</si>
  <si>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</si>
  <si>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</si>
  <si>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</si>
  <si>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</si>
  <si>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</si>
  <si>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</si>
  <si>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</si>
  <si>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</si>
  <si>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</si>
  <si>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</si>
  <si>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</si>
  <si>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</si>
  <si>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</si>
  <si>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</si>
  <si>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</si>
  <si>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</si>
  <si>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</si>
  <si>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</si>
  <si>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</si>
  <si>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</si>
  <si>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</si>
  <si>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</si>
  <si>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</si>
  <si>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</si>
  <si>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</si>
  <si>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</si>
  <si>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</si>
  <si>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</si>
  <si>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</si>
  <si>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</si>
  <si>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</si>
  <si>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</si>
  <si>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</si>
  <si>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</si>
  <si>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</si>
  <si>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</si>
  <si>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</si>
  <si>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</si>
  <si>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</si>
  <si>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</si>
  <si>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</si>
  <si>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</si>
  <si>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</si>
  <si>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</si>
  <si>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</si>
  <si>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</si>
  <si>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</si>
  <si>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</si>
  <si>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</si>
  <si>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</si>
  <si>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</si>
  <si>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</si>
  <si>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</si>
  <si>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</si>
  <si>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</si>
  <si>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</si>
  <si>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</si>
  <si>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</si>
  <si>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</si>
  <si>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</si>
  <si>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</si>
  <si>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</si>
  <si>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</si>
  <si>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</si>
  <si>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</si>
  <si>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</si>
  <si>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</si>
  <si>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</si>
  <si>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ReportMonth</t>
  </si>
  <si>
    <t>p_report_date</t>
  </si>
  <si>
    <t>ReportDate</t>
  </si>
  <si>
    <t>report_date</t>
  </si>
  <si>
    <t>REPORT_DATE</t>
  </si>
  <si>
    <t>Ок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</si>
  <si>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</si>
  <si>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</si>
  <si>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</si>
  <si>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</si>
  <si>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</si>
  <si>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</si>
  <si>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</si>
  <si>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</si>
  <si>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</si>
  <si>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</si>
  <si>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</si>
  <si>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</si>
  <si>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</si>
  <si>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diff</t>
  </si>
  <si>
    <t>2НФДЛ выверочный отчет по контрагентам</t>
  </si>
  <si>
    <t>cmp_f2ndfl_pers</t>
  </si>
  <si>
    <t>2НФДЛ Выверочный отчет (контр)</t>
  </si>
  <si>
    <t>01.01.2016</t>
  </si>
  <si>
    <t>31.12.2016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</si>
  <si>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</si>
  <si>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</si>
  <si>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</si>
  <si>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</si>
  <si>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</si>
  <si>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</si>
  <si>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</si>
  <si>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</si>
  <si>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</si>
  <si>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</si>
  <si>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</si>
  <si>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</si>
  <si>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</si>
  <si>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</si>
  <si>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</si>
  <si>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</si>
  <si>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</si>
  <si>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</si>
  <si>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</si>
  <si>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</si>
  <si>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</si>
  <si>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31.12.2017</t>
  </si>
  <si>
    <t>docs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</si>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</sst>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  <xf numFmtId="0" fontId="35" fillId="0" borderId="0"/>
  </cellStyleXfs>
  <cellXfs count="29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34" fillId="7" borderId="41" xfId="0" applyFont="1" applyFill="1" applyBorder="1" applyAlignment="1">
      <alignment horizontal="center" vertical="center" wrapText="1"/>
    </xf>
    <xf numFmtId="4" fontId="0" fillId="0" borderId="0" xfId="0" applyNumberFormat="1" applyAlignment="1">
      <alignment vertical="center"/>
    </xf>
    <xf numFmtId="0" fontId="34" fillId="7" borderId="41" xfId="0" applyFont="1" applyFill="1" applyBorder="1" applyAlignment="1">
      <alignment horizontal="center" vertical="center"/>
    </xf>
    <xf numFmtId="0" fontId="3" fillId="0" borderId="43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35" fillId="0" borderId="1" xfId="6" applyBorder="1" applyAlignment="1">
      <alignment vertical="center" wrapText="1"/>
    </xf>
    <xf numFmtId="0" fontId="35" fillId="0" borderId="1" xfId="6" applyBorder="1" applyAlignment="1">
      <alignment vertical="center"/>
    </xf>
    <xf numFmtId="4" fontId="35" fillId="0" borderId="1" xfId="6" applyNumberFormat="1" applyBorder="1" applyAlignment="1">
      <alignment vertical="center"/>
    </xf>
    <xf numFmtId="4" fontId="36" fillId="0" borderId="1" xfId="6" applyNumberFormat="1" applyFont="1" applyBorder="1" applyAlignment="1">
      <alignment vertical="center"/>
    </xf>
    <xf numFmtId="0" fontId="36" fillId="6" borderId="1" xfId="6" applyFont="1" applyFill="1" applyBorder="1" applyAlignment="1">
      <alignment vertical="center"/>
    </xf>
    <xf numFmtId="0" fontId="36" fillId="6" borderId="1" xfId="6" applyFont="1" applyFill="1" applyBorder="1" applyAlignment="1">
      <alignment horizontal="center" vertical="center"/>
    </xf>
    <xf numFmtId="4" fontId="35" fillId="9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4" fontId="36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center" vertical="center"/>
    </xf>
    <xf numFmtId="4" fontId="35" fillId="0" borderId="1" xfId="6" applyNumberFormat="1" applyFont="1" applyFill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4" fontId="13" fillId="0" borderId="1" xfId="6" applyNumberFormat="1" applyFont="1" applyBorder="1" applyAlignment="1">
      <alignment vertical="center"/>
    </xf>
    <xf numFmtId="4" fontId="13" fillId="6" borderId="1" xfId="6" applyNumberFormat="1" applyFont="1" applyFill="1" applyBorder="1" applyAlignment="1">
      <alignment vertical="center"/>
    </xf>
    <xf numFmtId="0" fontId="35" fillId="0" borderId="1" xfId="6" applyBorder="1" applyAlignment="1">
      <alignment horizontal="left" vertical="center"/>
    </xf>
    <xf numFmtId="0" fontId="35" fillId="0" borderId="0" xfId="6" applyAlignment="1">
      <alignment vertical="center"/>
    </xf>
    <xf numFmtId="4" fontId="35" fillId="0" borderId="0" xfId="6" applyNumberFormat="1" applyBorder="1" applyAlignment="1">
      <alignment vertical="center"/>
    </xf>
    <xf numFmtId="0" fontId="36" fillId="8" borderId="1" xfId="6" applyFont="1" applyFill="1" applyBorder="1" applyAlignment="1">
      <alignment horizontal="center"/>
    </xf>
    <xf numFmtId="0" fontId="36" fillId="8" borderId="1" xfId="6" applyFont="1" applyFill="1" applyBorder="1" applyAlignment="1">
      <alignment horizontal="center" vertical="center"/>
    </xf>
    <xf numFmtId="0" fontId="35" fillId="0" borderId="40" xfId="6" applyBorder="1" applyAlignment="1">
      <alignment vertical="center"/>
    </xf>
    <xf numFmtId="0" fontId="35" fillId="0" borderId="0" xfId="6" applyBorder="1" applyAlignment="1">
      <alignment vertical="center"/>
    </xf>
    <xf numFmtId="4" fontId="36" fillId="0" borderId="0" xfId="6" applyNumberFormat="1" applyFont="1" applyBorder="1" applyAlignment="1">
      <alignment vertical="center"/>
    </xf>
    <xf numFmtId="0" fontId="36" fillId="8" borderId="1" xfId="6" applyFont="1" applyFill="1" applyBorder="1" applyAlignment="1">
      <alignment vertical="center"/>
    </xf>
    <xf numFmtId="4" fontId="35" fillId="0" borderId="0" xfId="6" applyNumberForma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  <xf numFmtId="0" fontId="34" fillId="7" borderId="44" xfId="0" applyFont="1" applyFill="1" applyBorder="1" applyAlignment="1">
      <alignment horizontal="center" vertical="center" wrapText="1"/>
    </xf>
    <xf numFmtId="0" fontId="34" fillId="7" borderId="45" xfId="0" applyFont="1" applyFill="1" applyBorder="1" applyAlignment="1">
      <alignment horizontal="center" vertical="center" wrapText="1"/>
    </xf>
    <xf numFmtId="0" fontId="34" fillId="7" borderId="41" xfId="0" applyFont="1" applyFill="1" applyBorder="1" applyAlignment="1">
      <alignment horizontal="center" vertical="center" wrapText="1"/>
    </xf>
    <xf numFmtId="0" fontId="34" fillId="7" borderId="42" xfId="0" applyFont="1" applyFill="1" applyBorder="1" applyAlignment="1">
      <alignment horizontal="center" vertical="center" wrapText="1"/>
    </xf>
    <xf numFmtId="0" fontId="34" fillId="7" borderId="21" xfId="0" applyFont="1" applyFill="1" applyBorder="1" applyAlignment="1">
      <alignment horizontal="center" vertical="center" wrapText="1"/>
    </xf>
    <xf numFmtId="0" fontId="34" fillId="7" borderId="46" xfId="0" applyFont="1" applyFill="1" applyBorder="1" applyAlignment="1">
      <alignment horizontal="center" vertical="center" wrapText="1"/>
    </xf>
    <xf numFmtId="0" fontId="34" fillId="7" borderId="47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36" fillId="0" borderId="1" xfId="6" applyFont="1" applyBorder="1" applyAlignment="1">
      <alignment horizontal="center" vertical="center"/>
    </xf>
    <xf numFmtId="0" fontId="36" fillId="0" borderId="10" xfId="6" applyFont="1" applyBorder="1" applyAlignment="1">
      <alignment horizontal="center" vertical="center"/>
    </xf>
    <xf numFmtId="0" fontId="36" fillId="0" borderId="11" xfId="6" applyFont="1" applyBorder="1" applyAlignment="1">
      <alignment horizontal="center" vertical="center"/>
    </xf>
    <xf numFmtId="0" fontId="36" fillId="0" borderId="9" xfId="6" applyFont="1" applyBorder="1" applyAlignment="1">
      <alignment horizontal="center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351"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350" dataDxfId="348" headerRowBorderDxfId="349" tableBorderDxfId="347" totalsRowBorderDxfId="346">
  <autoFilter ref="A4:J5"/>
  <tableColumns count="10">
    <tableColumn id="1" name="1" dataDxfId="345"/>
    <tableColumn id="2" name="2" dataDxfId="344"/>
    <tableColumn id="5" name="3" dataDxfId="343"/>
    <tableColumn id="6" name="4" dataDxfId="342"/>
    <tableColumn id="7" name="5" dataDxfId="341"/>
    <tableColumn id="10" name="6" dataDxfId="340"/>
    <tableColumn id="11" name="7" dataDxfId="339"/>
    <tableColumn id="12" name="8" dataDxfId="338"/>
    <tableColumn id="13" name="9" dataDxfId="337"/>
    <tableColumn id="14" name="10" dataDxfId="3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335" dataDxfId="333" headerRowBorderDxfId="334" tableBorderDxfId="332" totalsRowBorderDxfId="331">
  <autoFilter ref="A5:P6"/>
  <tableColumns count="16">
    <tableColumn id="1" name="1" dataDxfId="330"/>
    <tableColumn id="2" name="2" dataDxfId="329"/>
    <tableColumn id="3" name="3" dataDxfId="328"/>
    <tableColumn id="4" name="4" dataDxfId="327"/>
    <tableColumn id="5" name="5" dataDxfId="326"/>
    <tableColumn id="6" name="6" dataDxfId="325"/>
    <tableColumn id="7" name="7" dataDxfId="324"/>
    <tableColumn id="8" name="8" dataDxfId="323"/>
    <tableColumn id="9" name="9" dataDxfId="322"/>
    <tableColumn id="10" name="10" dataDxfId="321"/>
    <tableColumn id="11" name="11" dataDxfId="320"/>
    <tableColumn id="12" name="12" dataDxfId="319"/>
    <tableColumn id="13" name="13" dataDxfId="318"/>
    <tableColumn id="14" name="14" dataDxfId="317"/>
    <tableColumn id="15" name="15" dataDxfId="316"/>
    <tableColumn id="16" name="16" dataDxfId="3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314" dataDxfId="312" headerRowBorderDxfId="313" tableBorderDxfId="311" totalsRowBorderDxfId="310">
  <autoFilter ref="A3:I4">
    <filterColumn colId="1"/>
  </autoFilter>
  <tableColumns count="9">
    <tableColumn id="1" name="1" dataDxfId="309"/>
    <tableColumn id="3" name="2" dataDxfId="308"/>
    <tableColumn id="2" name="3" dataDxfId="307"/>
    <tableColumn id="5" name="4" dataDxfId="306"/>
    <tableColumn id="6" name="5" dataDxfId="305"/>
    <tableColumn id="7" name="6" dataDxfId="304"/>
    <tableColumn id="10" name="7" dataDxfId="303"/>
    <tableColumn id="11" name="8" dataDxfId="302"/>
    <tableColumn id="12" name="9" dataDxfId="3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300" dataDxfId="298" headerRowBorderDxfId="299" tableBorderDxfId="297" totalsRowBorderDxfId="296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95"/>
    <tableColumn id="20" name="2" dataDxfId="294"/>
    <tableColumn id="19" name="3" dataDxfId="293"/>
    <tableColumn id="18" name="4" dataDxfId="292"/>
    <tableColumn id="17" name="5" dataDxfId="291"/>
    <tableColumn id="23" name="6" dataDxfId="290"/>
    <tableColumn id="22" name="7" dataDxfId="289"/>
    <tableColumn id="21" name="8" dataDxfId="288"/>
    <tableColumn id="28" name="9" dataDxfId="287"/>
    <tableColumn id="29" name="10" dataDxfId="286"/>
    <tableColumn id="27" name="11" dataDxfId="285"/>
    <tableColumn id="26" name="12" dataDxfId="284"/>
    <tableColumn id="25" name="13" dataDxfId="283"/>
    <tableColumn id="5" name="14" dataDxfId="282"/>
    <tableColumn id="4" name="15" dataDxfId="281"/>
    <tableColumn id="3" name="16" dataDxfId="280"/>
    <tableColumn id="2" name="17" dataDxfId="279"/>
    <tableColumn id="24" name="18" dataDxfId="2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276" totalsRowDxfId="275">
  <tableColumns count="3">
    <tableColumn id="1" name="ВИД ВЫПЛАТЫ" totalsRowLabel="Итого" dataDxfId="274" totalsRowDxfId="273" dataCellStyle="Обычный 5"/>
    <tableColumn id="2" name="13%" totalsRowFunction="sum" dataDxfId="272" totalsRowDxfId="271" dataCellStyle="Обычный 5"/>
    <tableColumn id="3" name="30%" totalsRowFunction="sum" dataDxfId="270" totalsRowDxfId="269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268" dataDxfId="266" headerRowBorderDxfId="267" headerRowCellStyle="Обычный 5" dataCellStyle="Обычный 5">
  <tableColumns count="4">
    <tableColumn id="1" name="Сумма по ставкам" totalsRowFunction="sum" dataDxfId="265" totalsRowDxfId="264" dataCellStyle="Обычный 5"/>
    <tableColumn id="2" name="13%" dataDxfId="263" totalsRowDxfId="262" dataCellStyle="Обычный 5">
      <calculatedColumnFormula>B31+#REF!-Таблица42[[#This Row],[13%]]</calculatedColumnFormula>
    </tableColumn>
    <tableColumn id="3" name="30%" dataDxfId="261" totalsRowDxfId="260" dataCellStyle="Обычный 5"/>
    <tableColumn id="4" name="Расхождение по ставкам" dataDxfId="259" totalsRowDxfId="258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257" totalsRowDxfId="255" headerRowBorderDxfId="256" headerRowCellStyle="Обычный 5">
  <tableColumns count="8">
    <tableColumn id="1" name="ВИД ВЫПЛАТЫ" totalsRowLabel="Итого по ставке" dataDxfId="254" totalsRowDxfId="253" dataCellStyle="Обычный 5"/>
    <tableColumn id="2" name="13%" totalsRowFunction="sum" dataDxfId="252" totalsRowDxfId="251" dataCellStyle="Обычный 5"/>
    <tableColumn id="3" name="30%" totalsRowFunction="sum" dataDxfId="250" totalsRowDxfId="249" dataCellStyle="Обычный 5"/>
    <tableColumn id="4" name="Столбец1" totalsRowDxfId="248" dataCellStyle="Обычный 5"/>
    <tableColumn id="5" name="без исправлений" dataDxfId="247" totalsRowDxfId="246" dataCellStyle="Обычный 5"/>
    <tableColumn id="6" name="с корректоровкой" dataDxfId="245" totalsRowDxfId="244" dataCellStyle="Обычный 5"/>
    <tableColumn id="7" name="без исправлений2" dataDxfId="243" totalsRowDxfId="242" dataCellStyle="Обычный 5"/>
    <tableColumn id="8" name="с корректоровкой3" dataDxfId="241" totalsRowDxfId="240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9" name="Menu" displayName="Menu" ref="D2:E25" totalsRowShown="0">
  <autoFilter ref="D2:E25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Actions" displayName="Actions" ref="G2:J42" totalsRowShown="0">
  <autoFilter ref="G2:J42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Programs" displayName="Programs" ref="W2:AA10" totalsRowShown="0">
  <autoFilter ref="W2:AA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Reports" displayName="Reports" ref="L2:R38" totalsRowShown="0">
  <autoFilter ref="L2:R38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3" name="SubReports" displayName="SubReports" ref="T2:U21" totalsRowShown="0">
  <autoFilter ref="T2:U21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4" name="GeneralOptions" displayName="GeneralOptions" ref="A2:B12" headerRowBorderDxfId="239" tableBorderDxfId="238" totalsRowBorderDxfId="237">
  <autoFilter ref="A2:B12"/>
  <tableColumns count="2">
    <tableColumn id="1" name="Key" totalsRowLabel="Итог" totalsRowDxfId="236"/>
    <tableColumn id="2" name="Value" totalsRowFunction="count" totalsRowDxfId="23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7" name="ActionTypes" displayName="ActionTypes" ref="AK2:AK4" totalsRowShown="0" tableBorderDxfId="234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2" name="Parameters" displayName="Parameters" ref="AC2:AI18" totalsRowShown="0">
  <autoFilter ref="AC2:AI18">
    <filterColumn colId="5"/>
    <filterColumn colId="6"/>
  </autoFilter>
  <tableColumns count="7">
    <tableColumn id="1" name="Program" dataDxfId="233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7" name="CommonTokens" displayName="CommonTokens" ref="BC2:BD5" totalsRowShown="0">
  <autoFilter ref="BC2:BD5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16" name="Таблица16" displayName="Таблица16" ref="C3:C6" totalsRowShown="0" headerRowDxfId="232" dataDxfId="231" tableBorderDxfId="230">
  <tableColumns count="1">
    <tableColumn id="1" name="Столбец1" dataDxfId="229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id="34" name="Таблица2435" displayName="Таблица2435" ref="A4:L5" totalsRowShown="0" headerRowDxfId="228" dataDxfId="226" headerRowBorderDxfId="227" tableBorderDxfId="225" totalsRowBorderDxfId="224">
  <autoFilter ref="A4:L5">
    <filterColumn colId="1"/>
    <filterColumn colId="8"/>
    <filterColumn colId="9"/>
    <filterColumn colId="10"/>
    <filterColumn colId="11"/>
  </autoFilter>
  <tableColumns count="12">
    <tableColumn id="5" name="1" dataDxfId="223"/>
    <tableColumn id="3" name="2" dataDxfId="222"/>
    <tableColumn id="2" name="3" dataDxfId="221"/>
    <tableColumn id="6" name="4" dataDxfId="220"/>
    <tableColumn id="7" name="5" dataDxfId="219"/>
    <tableColumn id="10" name="6" dataDxfId="218"/>
    <tableColumn id="11" name="7" dataDxfId="217"/>
    <tableColumn id="12" name="8" dataDxfId="216"/>
    <tableColumn id="1" name="9" dataDxfId="215"/>
    <tableColumn id="4" name="10" dataDxfId="214"/>
    <tableColumn id="9" name="12" dataDxfId="213"/>
    <tableColumn id="8" name="11" dataDxfId="212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211" headerRowBorderDxfId="210" tableBorderDxfId="209" headerRowCellStyle="Обычный 4">
  <autoFilter ref="B6:D7"/>
  <tableColumns count="3">
    <tableColumn id="1" name="100" dataDxfId="208" dataCellStyle="Обычный 4"/>
    <tableColumn id="2" name="130" dataDxfId="207" dataCellStyle="Обычный 4"/>
    <tableColumn id="3" name="140" dataDxfId="206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205" dataDxfId="204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203" dataDxfId="202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201" dataDxfId="200" tableBorderDxfId="199" totalsRowBorderDxfId="198">
  <tableColumns count="4">
    <tableColumn id="1" name="Столбец1" headerRowDxfId="197" dataDxfId="196" dataCellStyle="Обычный 4"/>
    <tableColumn id="2" name="Столбец2" headerRowDxfId="195" dataDxfId="194" headerRowCellStyle="Обычный 4" dataCellStyle="Обычный 4"/>
    <tableColumn id="3" name="Столбец3" headerRowDxfId="193" dataDxfId="192"/>
    <tableColumn id="4" name="Столбец4" headerRowDxfId="191" dataDxfId="190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89" dataDxfId="188">
  <tableColumns count="8">
    <tableColumn id="1" name="Столбец1" totalsRowLabel="Итого:" headerRowDxfId="187" dataDxfId="186" totalsRowDxfId="185"/>
    <tableColumn id="2" name="Столбец2" headerRowDxfId="184" dataDxfId="183" totalsRowDxfId="182"/>
    <tableColumn id="3" name="Столбец3" totalsRowFunction="sum" headerRowDxfId="181" dataDxfId="180" totalsRowDxfId="179"/>
    <tableColumn id="4" name="Столбец4" totalsRowFunction="sum" headerRowDxfId="178" dataDxfId="177" totalsRowDxfId="176"/>
    <tableColumn id="5" name="Столбец5" totalsRowFunction="sum" headerRowDxfId="175" dataDxfId="174" totalsRowDxfId="173"/>
    <tableColumn id="6" name="Столбец6" totalsRowFunction="sum" headerRowDxfId="172" dataDxfId="171" totalsRowDxfId="170"/>
    <tableColumn id="7" name="Столбец7" totalsRowFunction="sum" headerRowDxfId="169" dataDxfId="168" totalsRowDxfId="167"/>
    <tableColumn id="8" name="Столбец8" totalsRowFunction="sum" headerRowDxfId="166" dataDxfId="165" totalsRowDxfId="164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63" totalsRowDxfId="162"/>
    <tableColumn id="4" name="Столбец2" dataDxfId="161"/>
    <tableColumn id="5" name="итог" dataDxfId="160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59"/>
    <tableColumn id="2" name="Столбец2"/>
    <tableColumn id="3" name="Столбец3" totalsRowFunction="sum" headerRowDxfId="158" dataDxfId="157" totalsRowDxfId="156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155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54"/>
    <tableColumn id="5" name="Налог удержанный" totalsRowFunction="sum" dataDxfId="153"/>
    <tableColumn id="6" name="Разница" totalsRowFunction="sum" dataDxfId="15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151" headerRowBorderDxfId="150" tableBorderDxfId="149" totalsRowBorderDxfId="148">
  <autoFilter ref="A1:D2">
    <filterColumn colId="2"/>
    <filterColumn colId="3"/>
  </autoFilter>
  <tableColumns count="4">
    <tableColumn id="1" name="ФИО" dataDxfId="147"/>
    <tableColumn id="5" name="Дата рождения" dataDxfId="146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145" headerRowBorderDxfId="144" tableBorderDxfId="143" totalsRowBorderDxfId="142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141"/>
    <tableColumn id="6" name="Имя" dataDxfId="140"/>
    <tableColumn id="4" name="Отчество" dataDxfId="139"/>
    <tableColumn id="5" name="Дата рождения" dataDxfId="138"/>
    <tableColumn id="3" name="ИНН" dataDxfId="137"/>
    <tableColumn id="1" name="Участник/Не участник" dataDxfId="136"/>
    <tableColumn id="2" name="Доход" dataDxfId="135"/>
    <tableColumn id="8" name="Пенсионные схемы" dataDxfId="134"/>
    <tableColumn id="9" name="Типы дохода" dataDxfId="13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132">
  <autoFilter ref="A5:I6">
    <filterColumn colId="5"/>
  </autoFilter>
  <tableColumns count="9">
    <tableColumn id="1" name="Контрагент ID" totalsRowLabel="Итог" dataDxfId="131" totalsRowDxfId="130"/>
    <tableColumn id="2" name="Фамилия" dataDxfId="129" totalsRowDxfId="128"/>
    <tableColumn id="3" name="Имя" dataDxfId="127" totalsRowDxfId="126"/>
    <tableColumn id="4" name="Отчество" dataDxfId="125" totalsRowDxfId="124"/>
    <tableColumn id="5" name="Ставка" dataDxfId="123" totalsRowDxfId="122"/>
    <tableColumn id="9" name="Количество счетов" dataDxfId="121" totalsRowDxfId="120"/>
    <tableColumn id="6" name="Исчисленный налог" dataDxfId="119" totalsRowDxfId="118"/>
    <tableColumn id="7" name="Удержанный налог" dataDxfId="117" totalsRowDxfId="116"/>
    <tableColumn id="8" name="Недоплата" totalsRowFunction="sum" dataDxfId="115" totalsRowDxfId="114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113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112" totalsRowDxfId="111"/>
    <tableColumn id="2" name="Фамилия" dataDxfId="110" totalsRowDxfId="109"/>
    <tableColumn id="3" name="Имя" dataDxfId="108" totalsRowDxfId="107"/>
    <tableColumn id="4" name="Отчество" dataDxfId="106" totalsRowDxfId="105"/>
    <tableColumn id="9" name="SSYLKA" dataDxfId="104" totalsRowDxfId="103"/>
    <tableColumn id="10" name="Вкладчик" dataDxfId="102" totalsRowDxfId="101"/>
    <tableColumn id="11" name="ИПС" dataDxfId="100" totalsRowDxfId="99"/>
    <tableColumn id="12" name="Пенс.схема" dataDxfId="98" totalsRowDxfId="97"/>
    <tableColumn id="14" name="Счет дохода" dataDxfId="96" totalsRowDxfId="95"/>
    <tableColumn id="5" name="Счет налога" dataDxfId="94" totalsRowDxfId="93"/>
    <tableColumn id="16" name="Доход" dataDxfId="92" totalsRowDxfId="91"/>
    <tableColumn id="15" name="Вычет" dataDxfId="90" totalsRowDxfId="89"/>
    <tableColumn id="13" name="Налог" dataDxfId="88" totalsRowDxfId="87"/>
    <tableColumn id="18" name="Удержано налога" dataDxfId="86" totalsRowDxfId="85"/>
    <tableColumn id="17" name="Исчислено налога" dataDxfId="84" totalsRowDxfId="83"/>
    <tableColumn id="8" name="Недоплата2" totalsRowFunction="sum" dataDxfId="82" totalsRowDxfId="8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35" name="Таблица35" displayName="Таблица35" ref="A22:M24" totalsRowCount="1" headerRowDxfId="80" dataDxfId="79">
  <autoFilter ref="A22:M23">
    <filterColumn colId="9"/>
    <filterColumn colId="12"/>
  </autoFilter>
  <tableColumns count="13">
    <tableColumn id="1" name="1" totalsRowLabel="Итог" dataDxfId="78" totalsRowDxfId="77"/>
    <tableColumn id="3" name="2" dataDxfId="76" totalsRowDxfId="75"/>
    <tableColumn id="4" name="3" dataDxfId="74" totalsRowDxfId="73"/>
    <tableColumn id="5" name="4" dataDxfId="72" totalsRowDxfId="71"/>
    <tableColumn id="6" name="5" dataDxfId="70" totalsRowDxfId="69"/>
    <tableColumn id="8" name="6" dataDxfId="68" totalsRowDxfId="67"/>
    <tableColumn id="9" name="7" dataDxfId="66" totalsRowDxfId="65"/>
    <tableColumn id="10" name="8" dataDxfId="64" totalsRowDxfId="63"/>
    <tableColumn id="11" name="9" dataDxfId="62" totalsRowDxfId="61"/>
    <tableColumn id="14" name="10" dataDxfId="60" totalsRowDxfId="59"/>
    <tableColumn id="12" name="11" totalsRowFunction="sum" dataDxfId="58" totalsRowDxfId="57"/>
    <tableColumn id="13" name="12" dataDxfId="56" totalsRowDxfId="55"/>
    <tableColumn id="15" name="13" dataDxfId="5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1" name="Таблица3542" displayName="Таблица3542" ref="A6:M8" totalsRowCount="1" headerRowDxfId="53" dataDxfId="52">
  <autoFilter ref="A6:M7"/>
  <tableColumns count="13">
    <tableColumn id="1" name="1" totalsRowLabel="Итог" dataDxfId="51" totalsRowDxfId="50"/>
    <tableColumn id="3" name="2" dataDxfId="49" totalsRowDxfId="48"/>
    <tableColumn id="4" name="3" dataDxfId="47" totalsRowDxfId="46"/>
    <tableColumn id="5" name="4" dataDxfId="45" totalsRowDxfId="44"/>
    <tableColumn id="6" name="5" dataDxfId="43" totalsRowDxfId="42"/>
    <tableColumn id="8" name="6" dataDxfId="41" totalsRowDxfId="40"/>
    <tableColumn id="9" name="7" dataDxfId="39" totalsRowDxfId="38"/>
    <tableColumn id="10" name="8" dataDxfId="37" totalsRowDxfId="36"/>
    <tableColumn id="11" name="9" dataDxfId="35" totalsRowDxfId="34"/>
    <tableColumn id="14" name="10" dataDxfId="33" totalsRowDxfId="32"/>
    <tableColumn id="12" name="11" totalsRowFunction="sum" dataDxfId="31" totalsRowDxfId="30"/>
    <tableColumn id="13" name="12" dataDxfId="29" totalsRowDxfId="28"/>
    <tableColumn id="15" name="13" dataDxfId="27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48" name="Таблица3549" displayName="Таблица3549" ref="A14:M16" totalsRowCount="1" headerRowDxfId="26" dataDxfId="25">
  <autoFilter ref="A14:M15"/>
  <tableColumns count="13">
    <tableColumn id="1" name="1" totalsRowLabel="Итог" dataDxfId="24" totalsRowDxfId="23"/>
    <tableColumn id="3" name="2" dataDxfId="22" totalsRowDxfId="21"/>
    <tableColumn id="4" name="3" dataDxfId="20" totalsRowDxfId="19"/>
    <tableColumn id="5" name="4" dataDxfId="18" totalsRowDxfId="17"/>
    <tableColumn id="6" name="5" dataDxfId="16" totalsRowDxfId="15"/>
    <tableColumn id="8" name="6" dataDxfId="14" totalsRowDxfId="13"/>
    <tableColumn id="9" name="7" dataDxfId="12" totalsRowDxfId="11"/>
    <tableColumn id="10" name="8" dataDxfId="10" totalsRowDxfId="9"/>
    <tableColumn id="11" name="9" dataDxfId="8" totalsRowDxfId="7"/>
    <tableColumn id="14" name="10" dataDxfId="6" totalsRowDxfId="5"/>
    <tableColumn id="12" name="11" totalsRowFunction="sum" dataDxfId="4" totalsRowDxfId="3"/>
    <tableColumn id="13" name="12" dataDxfId="2" totalsRowDxfId="1"/>
    <tableColumn id="15" name="1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vmlDrawing" Target="../drawings/vmlDrawing2.vml"/><Relationship Id="rId16" Type="http://schemas.openxmlformats.org/officeDocument/2006/relationships/table" Target="../tables/table2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3.xml"/><Relationship Id="rId4" Type="http://schemas.openxmlformats.org/officeDocument/2006/relationships/table" Target="../tables/table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2.xml"/><Relationship Id="rId2" Type="http://schemas.openxmlformats.org/officeDocument/2006/relationships/table" Target="../tables/table41.xml"/><Relationship Id="rId1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214" t="s">
        <v>248</v>
      </c>
      <c r="B1" s="215"/>
      <c r="C1" s="215"/>
      <c r="D1" s="215"/>
      <c r="E1" s="215"/>
      <c r="F1" s="215"/>
      <c r="G1" s="215"/>
      <c r="H1" s="215"/>
      <c r="I1" s="215"/>
      <c r="J1" s="215"/>
    </row>
    <row r="2" spans="1:10" ht="31.5" customHeight="1">
      <c r="A2" s="212" t="s">
        <v>4</v>
      </c>
      <c r="B2" s="212"/>
      <c r="C2" s="212"/>
      <c r="D2" s="212"/>
      <c r="E2" s="212"/>
      <c r="F2" s="213" t="s">
        <v>23</v>
      </c>
      <c r="G2" s="213"/>
      <c r="H2" s="213"/>
      <c r="I2" s="213"/>
      <c r="J2" s="213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216" t="s">
        <v>248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</row>
    <row r="2" spans="1:16" ht="31.5" customHeight="1">
      <c r="A2" s="221" t="s">
        <v>4</v>
      </c>
      <c r="B2" s="222"/>
      <c r="C2" s="222"/>
      <c r="D2" s="222"/>
      <c r="E2" s="222"/>
      <c r="F2" s="222"/>
      <c r="G2" s="222"/>
      <c r="H2" s="222"/>
      <c r="I2" s="223"/>
      <c r="J2" s="224" t="s">
        <v>23</v>
      </c>
      <c r="K2" s="225"/>
      <c r="L2" s="225"/>
      <c r="M2" s="225"/>
      <c r="N2" s="225"/>
      <c r="O2" s="225"/>
      <c r="P2" s="226"/>
    </row>
    <row r="3" spans="1:16" ht="24" customHeight="1">
      <c r="A3" s="227" t="s">
        <v>0</v>
      </c>
      <c r="B3" s="229" t="s">
        <v>29</v>
      </c>
      <c r="C3" s="229" t="s">
        <v>3</v>
      </c>
      <c r="D3" s="229" t="s">
        <v>30</v>
      </c>
      <c r="E3" s="231" t="s">
        <v>5</v>
      </c>
      <c r="F3" s="232"/>
      <c r="G3" s="233"/>
      <c r="H3" s="231" t="s">
        <v>6</v>
      </c>
      <c r="I3" s="234"/>
      <c r="J3" s="235" t="s">
        <v>28</v>
      </c>
      <c r="K3" s="235" t="s">
        <v>32</v>
      </c>
      <c r="L3" s="217" t="s">
        <v>5</v>
      </c>
      <c r="M3" s="218"/>
      <c r="N3" s="219"/>
      <c r="O3" s="217" t="s">
        <v>6</v>
      </c>
      <c r="P3" s="220"/>
    </row>
    <row r="4" spans="1:16" ht="38.25" customHeight="1">
      <c r="A4" s="228"/>
      <c r="B4" s="230"/>
      <c r="C4" s="230"/>
      <c r="D4" s="230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36"/>
      <c r="K4" s="236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216" t="s">
        <v>249</v>
      </c>
      <c r="B1" s="216"/>
      <c r="C1" s="216"/>
      <c r="D1" s="216"/>
      <c r="E1" s="216"/>
      <c r="F1" s="216"/>
      <c r="G1" s="216"/>
      <c r="H1" s="216"/>
      <c r="I1" s="216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37" t="s">
        <v>250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  <c r="M1" s="237"/>
      <c r="N1" s="237"/>
      <c r="O1" s="237"/>
      <c r="P1" s="237"/>
      <c r="Q1" s="237"/>
      <c r="R1" s="237"/>
    </row>
    <row r="2" spans="1:18" ht="31.5" customHeight="1">
      <c r="A2" s="212" t="s">
        <v>59</v>
      </c>
      <c r="B2" s="212"/>
      <c r="C2" s="212"/>
      <c r="D2" s="212"/>
      <c r="E2" s="212" t="s">
        <v>58</v>
      </c>
      <c r="F2" s="212"/>
      <c r="G2" s="212"/>
      <c r="H2" s="212"/>
      <c r="I2" s="212"/>
      <c r="J2" s="212"/>
      <c r="K2" s="238" t="s">
        <v>52</v>
      </c>
      <c r="L2" s="238" t="s">
        <v>53</v>
      </c>
      <c r="M2" s="238" t="s">
        <v>38</v>
      </c>
      <c r="N2" s="238" t="s">
        <v>54</v>
      </c>
      <c r="O2" s="212" t="s">
        <v>60</v>
      </c>
      <c r="P2" s="212"/>
      <c r="Q2" s="212"/>
      <c r="R2" s="212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38"/>
      <c r="L3" s="238"/>
      <c r="M3" s="238"/>
      <c r="N3" s="238"/>
      <c r="O3" s="181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topLeftCell="A10" workbookViewId="0">
      <selection activeCell="A21" sqref="A2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41" t="s">
        <v>292</v>
      </c>
      <c r="B1" s="242"/>
      <c r="C1" s="242"/>
      <c r="D1" s="242"/>
      <c r="E1" s="242"/>
      <c r="F1" s="242"/>
      <c r="G1" s="242"/>
      <c r="H1" s="242"/>
    </row>
    <row r="2" spans="1:8" ht="15.75" customHeight="1">
      <c r="A2" s="246"/>
      <c r="B2" s="246"/>
      <c r="C2" s="246"/>
      <c r="D2" s="246"/>
      <c r="E2" s="246"/>
      <c r="F2" s="246"/>
      <c r="G2" s="246"/>
      <c r="H2" s="246"/>
    </row>
    <row r="3" spans="1:8" ht="27" customHeight="1">
      <c r="A3" s="243" t="s">
        <v>267</v>
      </c>
      <c r="B3" s="243"/>
      <c r="C3" s="243"/>
      <c r="D3" s="117"/>
      <c r="E3" s="243" t="s">
        <v>268</v>
      </c>
      <c r="F3" s="243"/>
      <c r="G3" s="243"/>
      <c r="H3" s="243"/>
    </row>
    <row r="4" spans="1:8">
      <c r="A4" s="155" t="s">
        <v>285</v>
      </c>
      <c r="B4" s="156" t="s">
        <v>269</v>
      </c>
      <c r="C4" s="156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7" t="s">
        <v>272</v>
      </c>
      <c r="B5" s="158"/>
      <c r="C5" s="158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7" t="s">
        <v>273</v>
      </c>
      <c r="B6" s="158"/>
      <c r="C6" s="158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7" t="s">
        <v>274</v>
      </c>
      <c r="B7" s="158"/>
      <c r="C7" s="158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7" t="s">
        <v>275</v>
      </c>
      <c r="B8" s="158"/>
      <c r="C8" s="159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7" t="s">
        <v>276</v>
      </c>
      <c r="B9" s="158"/>
      <c r="C9" s="159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7" t="s">
        <v>277</v>
      </c>
      <c r="B10" s="158"/>
      <c r="C10" s="158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7" t="s">
        <v>278</v>
      </c>
      <c r="B11" s="158"/>
      <c r="C11" s="160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7" t="s">
        <v>279</v>
      </c>
      <c r="B12" s="158"/>
      <c r="C12" s="160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7" t="s">
        <v>280</v>
      </c>
      <c r="B13" s="158"/>
      <c r="C13" s="160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42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244" t="s">
        <v>283</v>
      </c>
      <c r="B18" s="244"/>
      <c r="C18" s="244"/>
      <c r="D18" s="119"/>
      <c r="E18" s="244" t="s">
        <v>284</v>
      </c>
      <c r="F18" s="244"/>
      <c r="G18" s="244"/>
      <c r="H18" s="244"/>
    </row>
    <row r="19" spans="1:8" ht="14.25" customHeight="1">
      <c r="A19" s="244"/>
      <c r="B19" s="244"/>
      <c r="C19" s="244"/>
      <c r="D19" s="118"/>
      <c r="E19" s="245" t="s">
        <v>269</v>
      </c>
      <c r="F19" s="245"/>
      <c r="G19" s="245" t="s">
        <v>270</v>
      </c>
      <c r="H19" s="245"/>
    </row>
    <row r="20" spans="1:8">
      <c r="A20" s="125" t="s">
        <v>285</v>
      </c>
      <c r="B20" s="148" t="s">
        <v>269</v>
      </c>
      <c r="C20" s="125" t="s">
        <v>270</v>
      </c>
      <c r="D20" s="150" t="s">
        <v>135</v>
      </c>
      <c r="E20" s="151" t="s">
        <v>286</v>
      </c>
      <c r="F20" s="149" t="s">
        <v>287</v>
      </c>
      <c r="G20" s="147" t="s">
        <v>295</v>
      </c>
      <c r="H20" s="147" t="s">
        <v>296</v>
      </c>
    </row>
    <row r="21" spans="1:8" ht="18">
      <c r="A21" s="126" t="s">
        <v>266</v>
      </c>
      <c r="B21" s="123"/>
      <c r="C21" s="123"/>
      <c r="D21" s="146"/>
      <c r="E21" s="123"/>
      <c r="F21" s="123"/>
      <c r="G21" s="123"/>
      <c r="H21" s="123"/>
    </row>
    <row r="22" spans="1:8" ht="18">
      <c r="A22" s="154"/>
      <c r="B22" s="123"/>
      <c r="C22" s="123"/>
      <c r="D22" s="146"/>
      <c r="E22" s="123"/>
      <c r="F22" s="123"/>
      <c r="G22" s="123"/>
      <c r="H22" s="123"/>
    </row>
    <row r="23" spans="1:8" ht="18">
      <c r="A23" s="154"/>
      <c r="B23" s="123"/>
      <c r="C23" s="123"/>
      <c r="D23" s="146"/>
      <c r="E23" s="123"/>
      <c r="F23" s="123"/>
      <c r="G23" s="123"/>
      <c r="H23" s="123"/>
    </row>
    <row r="24" spans="1:8" ht="18">
      <c r="A24" s="154"/>
      <c r="B24" s="123"/>
      <c r="C24" s="123"/>
      <c r="D24" s="146"/>
      <c r="E24" s="123"/>
      <c r="F24" s="123"/>
      <c r="G24" s="123"/>
      <c r="H24" s="123"/>
    </row>
    <row r="25" spans="1:8" ht="18">
      <c r="A25" s="154"/>
      <c r="B25" s="123"/>
      <c r="C25" s="123"/>
      <c r="D25" s="146"/>
      <c r="E25" s="123"/>
      <c r="F25" s="123"/>
      <c r="G25" s="123"/>
      <c r="H25" s="123"/>
    </row>
    <row r="26" spans="1:8" ht="18">
      <c r="A26" s="154"/>
      <c r="B26" s="123"/>
      <c r="C26" s="123"/>
      <c r="D26" s="146"/>
      <c r="E26" s="123"/>
      <c r="F26" s="123"/>
      <c r="G26" s="123"/>
      <c r="H26" s="123"/>
    </row>
    <row r="27" spans="1:8" ht="18">
      <c r="A27" s="154"/>
      <c r="B27" s="123"/>
      <c r="C27" s="123"/>
      <c r="D27" s="146"/>
      <c r="E27" s="123"/>
      <c r="F27" s="123"/>
      <c r="G27" s="123"/>
      <c r="H27" s="123"/>
    </row>
    <row r="28" spans="1:8" ht="18">
      <c r="A28" s="154"/>
      <c r="B28" s="123"/>
      <c r="C28" s="123"/>
      <c r="D28" s="146"/>
      <c r="E28" s="123"/>
      <c r="F28" s="123"/>
      <c r="G28" s="123"/>
      <c r="H28" s="123"/>
    </row>
    <row r="29" spans="1:8" ht="18">
      <c r="A29" s="154"/>
      <c r="B29" s="123"/>
      <c r="C29" s="123"/>
      <c r="D29" s="146"/>
      <c r="E29" s="123"/>
      <c r="F29" s="123"/>
      <c r="G29" s="123"/>
      <c r="H29" s="123"/>
    </row>
    <row r="30" spans="1:8" ht="18">
      <c r="A30" s="154"/>
      <c r="B30" s="123"/>
      <c r="C30" s="123"/>
      <c r="D30" s="146"/>
      <c r="E30" s="123"/>
      <c r="F30" s="123"/>
      <c r="G30" s="123"/>
      <c r="H30" s="123"/>
    </row>
    <row r="31" spans="1:8" ht="18">
      <c r="A31" s="126"/>
      <c r="B31" s="141"/>
      <c r="C31" s="123"/>
      <c r="D31" s="117"/>
      <c r="E31" s="123"/>
      <c r="F31" s="123"/>
      <c r="G31" s="123"/>
      <c r="H31" s="123"/>
    </row>
    <row r="32" spans="1:8" ht="18">
      <c r="A32" s="144" t="s">
        <v>281</v>
      </c>
      <c r="B32" s="131">
        <f>SUBTOTAL(109,[13%])</f>
        <v>0</v>
      </c>
      <c r="C32" s="131">
        <f>SUBTOTAL(109,[30%])</f>
        <v>0</v>
      </c>
      <c r="D32" s="152"/>
      <c r="E32" s="153"/>
      <c r="F32" s="153"/>
      <c r="G32" s="153"/>
      <c r="H32" s="153"/>
    </row>
    <row r="33" spans="1:8" ht="18">
      <c r="A33" s="143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7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136" t="s">
        <v>288</v>
      </c>
      <c r="B36" s="140"/>
      <c r="C36" s="117"/>
      <c r="D36" s="117"/>
      <c r="F36" s="117"/>
      <c r="G36" s="117"/>
      <c r="H36" s="117"/>
    </row>
    <row r="37" spans="1:8" ht="18">
      <c r="A37" s="126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126" t="s">
        <v>298</v>
      </c>
      <c r="B38" s="141"/>
      <c r="C38" s="135"/>
      <c r="D38" s="117"/>
      <c r="F38" s="117"/>
      <c r="G38" s="117"/>
      <c r="H38" s="117"/>
    </row>
    <row r="39" spans="1:8" ht="18">
      <c r="A39" s="126" t="s">
        <v>290</v>
      </c>
      <c r="B39" s="123">
        <f>B37-B38</f>
        <v>0</v>
      </c>
      <c r="C39" s="117"/>
      <c r="D39" s="117"/>
    </row>
    <row r="40" spans="1:8">
      <c r="D40" s="117"/>
    </row>
    <row r="41" spans="1:8">
      <c r="A41" s="239" t="s">
        <v>299</v>
      </c>
      <c r="B41" s="240"/>
      <c r="D41" s="117"/>
    </row>
    <row r="42" spans="1:8">
      <c r="A42" s="239"/>
      <c r="B42" s="240"/>
      <c r="C42" s="117"/>
      <c r="D42" s="117"/>
    </row>
    <row r="43" spans="1:8" ht="18">
      <c r="A43" s="138"/>
      <c r="B43" s="139"/>
      <c r="C43" s="122"/>
      <c r="D43" s="117"/>
    </row>
    <row r="44" spans="1:8" ht="18">
      <c r="A44" s="136" t="s">
        <v>291</v>
      </c>
      <c r="B44" s="141"/>
      <c r="C44" s="117"/>
      <c r="D44" s="117"/>
    </row>
    <row r="45" spans="1:8">
      <c r="D45" s="117"/>
    </row>
    <row r="46" spans="1:8" ht="51.75" customHeight="1">
      <c r="A46" s="161" t="s">
        <v>300</v>
      </c>
      <c r="B46" s="162"/>
      <c r="D46" s="117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277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ettings"/>
  <dimension ref="A1:BF42"/>
  <sheetViews>
    <sheetView workbookViewId="0">
      <selection activeCell="D25" sqref="D23:D2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6.7109375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247" t="s">
        <v>115</v>
      </c>
      <c r="B1" s="247"/>
      <c r="D1" s="248" t="s">
        <v>116</v>
      </c>
      <c r="E1" s="248"/>
      <c r="G1" s="248" t="s">
        <v>111</v>
      </c>
      <c r="H1" s="248"/>
      <c r="I1" s="248"/>
      <c r="J1" s="248"/>
      <c r="L1" s="248" t="s">
        <v>106</v>
      </c>
      <c r="M1" s="248"/>
      <c r="N1" s="248"/>
      <c r="O1" s="248"/>
      <c r="P1" s="248"/>
      <c r="Q1" s="248"/>
      <c r="R1" s="248"/>
      <c r="T1" s="248" t="s">
        <v>112</v>
      </c>
      <c r="U1" s="248"/>
      <c r="W1" s="248" t="s">
        <v>103</v>
      </c>
      <c r="X1" s="248"/>
      <c r="Y1" s="248"/>
      <c r="Z1" s="248"/>
      <c r="AA1" s="248"/>
      <c r="AC1" s="248" t="s">
        <v>143</v>
      </c>
      <c r="AD1" s="248"/>
      <c r="AE1" s="248"/>
      <c r="AF1" s="248"/>
      <c r="AG1" s="248"/>
      <c r="AH1" s="248"/>
      <c r="AI1" s="248"/>
      <c r="AK1" s="38" t="s">
        <v>129</v>
      </c>
      <c r="AM1" s="38" t="s">
        <v>131</v>
      </c>
      <c r="AO1" s="38" t="s">
        <v>133</v>
      </c>
      <c r="AQ1" s="38" t="s">
        <v>142</v>
      </c>
      <c r="AS1" s="38" t="s">
        <v>151</v>
      </c>
      <c r="AU1" s="38" t="s">
        <v>152</v>
      </c>
      <c r="AW1" s="38" t="s">
        <v>144</v>
      </c>
      <c r="AY1" s="38" t="s">
        <v>157</v>
      </c>
      <c r="BA1" s="38" t="s">
        <v>164</v>
      </c>
      <c r="BC1" s="249" t="s">
        <v>245</v>
      </c>
      <c r="BD1" s="249"/>
    </row>
    <row r="2" spans="1:58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L2" t="s">
        <v>107</v>
      </c>
      <c r="M2" t="s">
        <v>31</v>
      </c>
      <c r="N2" t="s">
        <v>95</v>
      </c>
      <c r="O2" t="s">
        <v>130</v>
      </c>
      <c r="P2" t="s">
        <v>384</v>
      </c>
      <c r="Q2" t="s">
        <v>125</v>
      </c>
      <c r="R2" t="s">
        <v>117</v>
      </c>
      <c r="T2" t="s">
        <v>107</v>
      </c>
      <c r="U2" t="s">
        <v>113</v>
      </c>
      <c r="W2" t="s">
        <v>107</v>
      </c>
      <c r="X2" t="s">
        <v>123</v>
      </c>
      <c r="Y2" t="s">
        <v>139</v>
      </c>
      <c r="Z2" t="s">
        <v>145</v>
      </c>
      <c r="AA2" t="s">
        <v>127</v>
      </c>
      <c r="AC2" t="s">
        <v>125</v>
      </c>
      <c r="AD2" t="s">
        <v>153</v>
      </c>
      <c r="AE2" t="s">
        <v>144</v>
      </c>
      <c r="AF2" t="s">
        <v>154</v>
      </c>
      <c r="AG2" t="s">
        <v>155</v>
      </c>
      <c r="AH2" t="s">
        <v>160</v>
      </c>
      <c r="AI2" t="s">
        <v>163</v>
      </c>
      <c r="AK2" t="s">
        <v>107</v>
      </c>
      <c r="AM2" t="s">
        <v>107</v>
      </c>
      <c r="AO2" t="s">
        <v>107</v>
      </c>
      <c r="AQ2" t="s">
        <v>107</v>
      </c>
      <c r="AS2" t="s">
        <v>107</v>
      </c>
      <c r="AU2" t="s">
        <v>107</v>
      </c>
      <c r="AW2" t="s">
        <v>107</v>
      </c>
      <c r="AY2" t="s">
        <v>107</v>
      </c>
      <c r="BA2" t="s">
        <v>107</v>
      </c>
      <c r="BC2" t="s">
        <v>136</v>
      </c>
      <c r="BD2" t="s">
        <v>114</v>
      </c>
    </row>
    <row r="3" spans="1:58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L3" t="s">
        <v>27</v>
      </c>
      <c r="M3" t="s">
        <v>27</v>
      </c>
      <c r="N3" t="s">
        <v>25</v>
      </c>
      <c r="O3" t="s">
        <v>128</v>
      </c>
      <c r="P3" t="s">
        <v>385</v>
      </c>
      <c r="Q3" t="s">
        <v>126</v>
      </c>
      <c r="R3" t="s">
        <v>134</v>
      </c>
      <c r="T3" t="s">
        <v>119</v>
      </c>
      <c r="U3" t="s">
        <v>137</v>
      </c>
      <c r="W3" s="6" t="s">
        <v>170</v>
      </c>
      <c r="X3" t="s">
        <v>124</v>
      </c>
      <c r="Y3" t="s">
        <v>141</v>
      </c>
      <c r="AA3" t="s">
        <v>172</v>
      </c>
      <c r="AC3" s="6" t="s">
        <v>126</v>
      </c>
      <c r="AD3" t="s">
        <v>162</v>
      </c>
      <c r="AE3" t="s">
        <v>147</v>
      </c>
      <c r="AH3">
        <v>2000</v>
      </c>
      <c r="AI3" t="s">
        <v>141</v>
      </c>
      <c r="AK3" s="36" t="s">
        <v>104</v>
      </c>
      <c r="AM3" t="s">
        <v>128</v>
      </c>
      <c r="AO3" t="s">
        <v>134</v>
      </c>
      <c r="AQ3" t="s">
        <v>124</v>
      </c>
      <c r="AS3" t="s">
        <v>150</v>
      </c>
      <c r="AU3" t="s">
        <v>146</v>
      </c>
      <c r="AW3" t="s">
        <v>148</v>
      </c>
      <c r="AY3" t="s">
        <v>141</v>
      </c>
      <c r="BA3" t="s">
        <v>165</v>
      </c>
      <c r="BC3" t="s">
        <v>246</v>
      </c>
      <c r="BD3" t="s">
        <v>158</v>
      </c>
    </row>
    <row r="4" spans="1:58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L4" t="s">
        <v>33</v>
      </c>
      <c r="M4" t="s">
        <v>33</v>
      </c>
      <c r="N4" t="s">
        <v>34</v>
      </c>
      <c r="O4" t="s">
        <v>128</v>
      </c>
      <c r="P4" t="s">
        <v>385</v>
      </c>
      <c r="Q4" t="s">
        <v>126</v>
      </c>
      <c r="R4" t="s">
        <v>134</v>
      </c>
      <c r="T4" t="s">
        <v>119</v>
      </c>
      <c r="U4" s="6" t="s">
        <v>188</v>
      </c>
      <c r="W4" s="6" t="s">
        <v>126</v>
      </c>
      <c r="X4" t="s">
        <v>161</v>
      </c>
      <c r="Y4" t="s">
        <v>141</v>
      </c>
      <c r="Z4" t="s">
        <v>146</v>
      </c>
      <c r="AA4" s="6" t="s">
        <v>242</v>
      </c>
      <c r="AB4" s="6"/>
      <c r="AC4" s="45" t="s">
        <v>126</v>
      </c>
      <c r="AD4" s="6" t="s">
        <v>156</v>
      </c>
      <c r="AE4" s="6" t="s">
        <v>148</v>
      </c>
      <c r="AF4" s="6" t="s">
        <v>149</v>
      </c>
      <c r="AG4" s="6" t="s">
        <v>141</v>
      </c>
      <c r="AH4" s="6">
        <v>40</v>
      </c>
      <c r="AI4" s="6" t="s">
        <v>140</v>
      </c>
      <c r="AK4" s="37" t="s">
        <v>105</v>
      </c>
      <c r="AM4" t="s">
        <v>132</v>
      </c>
      <c r="AO4" t="s">
        <v>118</v>
      </c>
      <c r="AQ4" t="s">
        <v>161</v>
      </c>
      <c r="AW4" t="s">
        <v>147</v>
      </c>
      <c r="AY4" t="s">
        <v>140</v>
      </c>
      <c r="BC4" t="s">
        <v>247</v>
      </c>
      <c r="BD4" t="s">
        <v>159</v>
      </c>
    </row>
    <row r="5" spans="1:58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L5" t="s">
        <v>43</v>
      </c>
      <c r="M5" t="s">
        <v>43</v>
      </c>
      <c r="N5" t="s">
        <v>44</v>
      </c>
      <c r="O5" t="s">
        <v>128</v>
      </c>
      <c r="P5" t="s">
        <v>385</v>
      </c>
      <c r="Q5" t="s">
        <v>126</v>
      </c>
      <c r="R5" t="s">
        <v>134</v>
      </c>
      <c r="T5" t="s">
        <v>119</v>
      </c>
      <c r="U5" s="6" t="s">
        <v>189</v>
      </c>
      <c r="W5" s="6" t="s">
        <v>166</v>
      </c>
      <c r="X5" t="s">
        <v>124</v>
      </c>
      <c r="Y5" t="s">
        <v>140</v>
      </c>
      <c r="Z5" s="6"/>
      <c r="AA5" t="s">
        <v>167</v>
      </c>
      <c r="AC5" s="45" t="s">
        <v>126</v>
      </c>
      <c r="AD5" s="177" t="s">
        <v>340</v>
      </c>
      <c r="AE5" s="6" t="s">
        <v>148</v>
      </c>
      <c r="AF5" s="177" t="s">
        <v>341</v>
      </c>
      <c r="AG5" s="6" t="s">
        <v>141</v>
      </c>
      <c r="AH5" s="6">
        <v>4</v>
      </c>
      <c r="AI5" s="6" t="s">
        <v>140</v>
      </c>
      <c r="AO5" s="6" t="s">
        <v>304</v>
      </c>
      <c r="BC5" s="177" t="s">
        <v>347</v>
      </c>
      <c r="BD5" s="177" t="s">
        <v>346</v>
      </c>
    </row>
    <row r="6" spans="1:58">
      <c r="A6" s="6" t="s">
        <v>122</v>
      </c>
      <c r="B6" s="6" t="str">
        <f>VLOOKUP(ReportSelected,Menu[],2,FALSE)</f>
        <v>error_report</v>
      </c>
      <c r="D6" t="s">
        <v>25</v>
      </c>
      <c r="E6" t="s">
        <v>27</v>
      </c>
      <c r="G6" t="s">
        <v>43</v>
      </c>
      <c r="H6" t="s">
        <v>104</v>
      </c>
      <c r="I6" t="s">
        <v>43</v>
      </c>
      <c r="L6" t="s">
        <v>66</v>
      </c>
      <c r="M6" t="s">
        <v>66</v>
      </c>
      <c r="N6" t="s">
        <v>67</v>
      </c>
      <c r="O6" t="s">
        <v>128</v>
      </c>
      <c r="P6" t="s">
        <v>385</v>
      </c>
      <c r="Q6" t="s">
        <v>126</v>
      </c>
      <c r="R6" t="s">
        <v>134</v>
      </c>
      <c r="T6" s="6" t="s">
        <v>77</v>
      </c>
      <c r="U6" s="6" t="s">
        <v>138</v>
      </c>
      <c r="W6" s="6" t="s">
        <v>171</v>
      </c>
      <c r="X6" t="s">
        <v>161</v>
      </c>
      <c r="Y6" t="s">
        <v>141</v>
      </c>
      <c r="Z6" s="6"/>
      <c r="AA6" s="6" t="s">
        <v>243</v>
      </c>
      <c r="AC6" s="45" t="s">
        <v>126</v>
      </c>
      <c r="AD6" s="177" t="s">
        <v>342</v>
      </c>
      <c r="AE6" s="6" t="s">
        <v>148</v>
      </c>
      <c r="AF6" s="177" t="s">
        <v>343</v>
      </c>
      <c r="AG6" s="6" t="s">
        <v>141</v>
      </c>
      <c r="AH6" s="6">
        <v>2</v>
      </c>
      <c r="AI6" s="6" t="s">
        <v>140</v>
      </c>
    </row>
    <row r="7" spans="1:58">
      <c r="A7" s="39" t="s">
        <v>149</v>
      </c>
      <c r="B7" s="177" t="s">
        <v>382</v>
      </c>
      <c r="D7" t="s">
        <v>34</v>
      </c>
      <c r="E7" t="s">
        <v>33</v>
      </c>
      <c r="G7" t="s">
        <v>66</v>
      </c>
      <c r="H7" t="s">
        <v>104</v>
      </c>
      <c r="I7" t="s">
        <v>66</v>
      </c>
      <c r="L7" t="s">
        <v>119</v>
      </c>
      <c r="M7" t="s">
        <v>119</v>
      </c>
      <c r="N7" t="s">
        <v>76</v>
      </c>
      <c r="O7" t="s">
        <v>128</v>
      </c>
      <c r="P7" t="s">
        <v>385</v>
      </c>
      <c r="R7" t="s">
        <v>118</v>
      </c>
      <c r="T7" s="6" t="s">
        <v>77</v>
      </c>
      <c r="U7" s="6" t="s">
        <v>209</v>
      </c>
      <c r="W7" s="6" t="s">
        <v>180</v>
      </c>
      <c r="X7" t="s">
        <v>161</v>
      </c>
      <c r="Y7" t="s">
        <v>141</v>
      </c>
      <c r="Z7" s="6"/>
      <c r="AA7" s="6" t="s">
        <v>244</v>
      </c>
      <c r="AC7" s="45" t="s">
        <v>126</v>
      </c>
      <c r="AD7" s="177" t="s">
        <v>344</v>
      </c>
      <c r="AE7" s="177" t="s">
        <v>148</v>
      </c>
      <c r="AF7" s="177" t="s">
        <v>345</v>
      </c>
      <c r="AG7" s="177" t="s">
        <v>141</v>
      </c>
      <c r="AH7" s="177">
        <v>10</v>
      </c>
      <c r="AI7" s="177" t="s">
        <v>140</v>
      </c>
    </row>
    <row r="8" spans="1:58">
      <c r="A8" s="177" t="s">
        <v>158</v>
      </c>
      <c r="B8" s="180" t="s">
        <v>366</v>
      </c>
      <c r="D8" t="s">
        <v>67</v>
      </c>
      <c r="E8" t="s">
        <v>66</v>
      </c>
      <c r="G8" t="s">
        <v>119</v>
      </c>
      <c r="H8" t="s">
        <v>104</v>
      </c>
      <c r="I8" t="s">
        <v>119</v>
      </c>
      <c r="L8" t="s">
        <v>77</v>
      </c>
      <c r="M8" t="s">
        <v>77</v>
      </c>
      <c r="N8" t="s">
        <v>78</v>
      </c>
      <c r="O8" t="s">
        <v>128</v>
      </c>
      <c r="P8" t="s">
        <v>385</v>
      </c>
      <c r="R8" t="s">
        <v>118</v>
      </c>
      <c r="T8" s="6" t="s">
        <v>77</v>
      </c>
      <c r="U8" s="6" t="s">
        <v>210</v>
      </c>
      <c r="W8" s="6" t="s">
        <v>301</v>
      </c>
      <c r="X8" s="6" t="s">
        <v>124</v>
      </c>
      <c r="Y8" s="6" t="s">
        <v>141</v>
      </c>
      <c r="Z8" s="6"/>
      <c r="AA8" s="6" t="s">
        <v>302</v>
      </c>
      <c r="AC8" s="6" t="s">
        <v>171</v>
      </c>
      <c r="AD8" t="s">
        <v>162</v>
      </c>
      <c r="AE8" t="s">
        <v>147</v>
      </c>
      <c r="AH8">
        <v>2000</v>
      </c>
      <c r="AI8" t="s">
        <v>141</v>
      </c>
      <c r="BF8" s="108"/>
    </row>
    <row r="9" spans="1:58">
      <c r="A9" s="177" t="s">
        <v>159</v>
      </c>
      <c r="B9" s="177" t="s">
        <v>367</v>
      </c>
      <c r="D9" t="s">
        <v>256</v>
      </c>
      <c r="E9" s="6" t="s">
        <v>257</v>
      </c>
      <c r="G9" t="s">
        <v>77</v>
      </c>
      <c r="H9" t="s">
        <v>104</v>
      </c>
      <c r="I9" t="s">
        <v>77</v>
      </c>
      <c r="L9" t="s">
        <v>178</v>
      </c>
      <c r="M9" t="s">
        <v>176</v>
      </c>
      <c r="N9" t="s">
        <v>96</v>
      </c>
      <c r="O9" t="s">
        <v>128</v>
      </c>
      <c r="P9" t="s">
        <v>385</v>
      </c>
      <c r="Q9" t="s">
        <v>126</v>
      </c>
      <c r="R9" t="s">
        <v>134</v>
      </c>
      <c r="T9" s="6" t="s">
        <v>77</v>
      </c>
      <c r="U9" s="6" t="s">
        <v>214</v>
      </c>
      <c r="W9" s="6" t="s">
        <v>332</v>
      </c>
      <c r="X9" s="6" t="s">
        <v>161</v>
      </c>
      <c r="Y9" s="6" t="s">
        <v>141</v>
      </c>
      <c r="Z9" s="6"/>
      <c r="AA9" s="6" t="s">
        <v>333</v>
      </c>
      <c r="AC9" s="6" t="s">
        <v>171</v>
      </c>
      <c r="AD9" s="6" t="s">
        <v>169</v>
      </c>
      <c r="AE9" s="6" t="s">
        <v>148</v>
      </c>
      <c r="AF9" s="177" t="s">
        <v>345</v>
      </c>
      <c r="AG9" s="6" t="s">
        <v>141</v>
      </c>
      <c r="AH9" s="6">
        <v>10</v>
      </c>
      <c r="AI9" s="6" t="s">
        <v>140</v>
      </c>
    </row>
    <row r="10" spans="1:58">
      <c r="A10" s="177" t="s">
        <v>346</v>
      </c>
      <c r="B10" s="177" t="s">
        <v>389</v>
      </c>
      <c r="D10" t="s">
        <v>265</v>
      </c>
      <c r="E10" s="6" t="s">
        <v>301</v>
      </c>
      <c r="G10" t="s">
        <v>108</v>
      </c>
      <c r="H10" t="s">
        <v>104</v>
      </c>
      <c r="I10" t="s">
        <v>177</v>
      </c>
      <c r="J10" t="s">
        <v>165</v>
      </c>
      <c r="L10" t="s">
        <v>177</v>
      </c>
      <c r="M10" t="s">
        <v>94</v>
      </c>
      <c r="N10" t="s">
        <v>96</v>
      </c>
      <c r="O10" t="s">
        <v>128</v>
      </c>
      <c r="P10" t="s">
        <v>385</v>
      </c>
      <c r="Q10" s="6"/>
      <c r="R10" t="s">
        <v>134</v>
      </c>
      <c r="T10" s="6" t="s">
        <v>77</v>
      </c>
      <c r="U10" s="6" t="s">
        <v>216</v>
      </c>
      <c r="W10" s="6" t="s">
        <v>337</v>
      </c>
      <c r="X10" t="s">
        <v>161</v>
      </c>
      <c r="Y10" t="s">
        <v>141</v>
      </c>
      <c r="Z10" s="6"/>
      <c r="AA10" s="6" t="s">
        <v>338</v>
      </c>
      <c r="AC10" s="46" t="s">
        <v>180</v>
      </c>
      <c r="AD10" t="s">
        <v>162</v>
      </c>
      <c r="AE10" t="s">
        <v>147</v>
      </c>
      <c r="AH10">
        <v>2000</v>
      </c>
      <c r="AI10" t="s">
        <v>141</v>
      </c>
    </row>
    <row r="11" spans="1:58">
      <c r="A11" s="6"/>
      <c r="B11" s="6"/>
      <c r="D11" s="6" t="s">
        <v>240</v>
      </c>
      <c r="E11" s="6" t="s">
        <v>241</v>
      </c>
      <c r="G11" t="s">
        <v>108</v>
      </c>
      <c r="H11" t="s">
        <v>105</v>
      </c>
      <c r="I11" t="s">
        <v>166</v>
      </c>
      <c r="L11" s="6" t="s">
        <v>188</v>
      </c>
      <c r="M11" s="6" t="s">
        <v>190</v>
      </c>
      <c r="N11" s="6" t="s">
        <v>188</v>
      </c>
      <c r="O11" t="s">
        <v>128</v>
      </c>
      <c r="P11" t="s">
        <v>385</v>
      </c>
      <c r="Q11" t="s">
        <v>126</v>
      </c>
      <c r="R11" t="s">
        <v>134</v>
      </c>
      <c r="T11" s="6" t="s">
        <v>238</v>
      </c>
      <c r="U11" s="6" t="s">
        <v>236</v>
      </c>
      <c r="AC11" s="46" t="s">
        <v>180</v>
      </c>
      <c r="AD11" s="177" t="s">
        <v>340</v>
      </c>
      <c r="AE11" s="6" t="s">
        <v>148</v>
      </c>
      <c r="AF11" s="177" t="s">
        <v>341</v>
      </c>
      <c r="AG11" s="6" t="s">
        <v>141</v>
      </c>
      <c r="AH11" s="6">
        <v>4</v>
      </c>
      <c r="AI11" s="6" t="s">
        <v>140</v>
      </c>
    </row>
    <row r="12" spans="1:58">
      <c r="A12" s="177"/>
      <c r="B12" s="177"/>
      <c r="D12" s="6" t="s">
        <v>224</v>
      </c>
      <c r="E12" t="s">
        <v>225</v>
      </c>
      <c r="G12" t="s">
        <v>168</v>
      </c>
      <c r="H12" t="s">
        <v>105</v>
      </c>
      <c r="I12" t="s">
        <v>170</v>
      </c>
      <c r="L12" s="6" t="s">
        <v>189</v>
      </c>
      <c r="M12" s="6" t="s">
        <v>190</v>
      </c>
      <c r="N12" s="6" t="s">
        <v>189</v>
      </c>
      <c r="O12" t="s">
        <v>128</v>
      </c>
      <c r="P12" t="s">
        <v>385</v>
      </c>
      <c r="Q12" t="s">
        <v>126</v>
      </c>
      <c r="R12" t="s">
        <v>134</v>
      </c>
      <c r="T12" s="6" t="s">
        <v>266</v>
      </c>
      <c r="U12" s="6" t="s">
        <v>303</v>
      </c>
      <c r="AC12" s="145" t="s">
        <v>301</v>
      </c>
      <c r="AD12" t="s">
        <v>162</v>
      </c>
      <c r="AE12" s="6" t="s">
        <v>147</v>
      </c>
      <c r="AF12" s="6"/>
      <c r="AG12" s="6"/>
      <c r="AH12">
        <v>2000</v>
      </c>
      <c r="AI12" t="s">
        <v>141</v>
      </c>
    </row>
    <row r="13" spans="1:58">
      <c r="D13" t="s">
        <v>76</v>
      </c>
      <c r="E13" t="s">
        <v>119</v>
      </c>
      <c r="G13" t="s">
        <v>168</v>
      </c>
      <c r="H13" t="s">
        <v>105</v>
      </c>
      <c r="I13" t="s">
        <v>171</v>
      </c>
      <c r="L13" t="s">
        <v>137</v>
      </c>
      <c r="M13" s="6" t="s">
        <v>190</v>
      </c>
      <c r="N13" t="s">
        <v>137</v>
      </c>
      <c r="O13" t="s">
        <v>128</v>
      </c>
      <c r="P13" t="s">
        <v>385</v>
      </c>
      <c r="Q13" t="s">
        <v>126</v>
      </c>
      <c r="R13" t="s">
        <v>134</v>
      </c>
      <c r="T13" s="177" t="s">
        <v>364</v>
      </c>
      <c r="U13" s="177" t="s">
        <v>357</v>
      </c>
      <c r="AC13" s="145" t="s">
        <v>301</v>
      </c>
      <c r="AD13" s="6" t="s">
        <v>156</v>
      </c>
      <c r="AE13" s="6" t="s">
        <v>148</v>
      </c>
      <c r="AF13" s="6" t="s">
        <v>149</v>
      </c>
      <c r="AG13" s="6" t="s">
        <v>141</v>
      </c>
      <c r="AH13" s="6">
        <v>40</v>
      </c>
      <c r="AI13" s="6" t="s">
        <v>140</v>
      </c>
    </row>
    <row r="14" spans="1:58">
      <c r="D14" t="s">
        <v>78</v>
      </c>
      <c r="E14" t="s">
        <v>77</v>
      </c>
      <c r="G14" t="s">
        <v>168</v>
      </c>
      <c r="H14" t="s">
        <v>104</v>
      </c>
      <c r="I14" t="s">
        <v>178</v>
      </c>
      <c r="L14" t="s">
        <v>138</v>
      </c>
      <c r="M14" s="6" t="s">
        <v>190</v>
      </c>
      <c r="N14" s="6" t="s">
        <v>138</v>
      </c>
      <c r="O14" t="s">
        <v>128</v>
      </c>
      <c r="P14" t="s">
        <v>385</v>
      </c>
      <c r="Q14" t="s">
        <v>126</v>
      </c>
      <c r="R14" t="s">
        <v>134</v>
      </c>
      <c r="T14" s="177" t="s">
        <v>364</v>
      </c>
      <c r="U14" s="177" t="s">
        <v>360</v>
      </c>
      <c r="AC14" s="176" t="s">
        <v>332</v>
      </c>
      <c r="AD14" t="s">
        <v>162</v>
      </c>
      <c r="AE14" t="s">
        <v>147</v>
      </c>
      <c r="AH14">
        <v>2000</v>
      </c>
      <c r="AI14" t="s">
        <v>141</v>
      </c>
    </row>
    <row r="15" spans="1:58">
      <c r="D15" s="6" t="s">
        <v>237</v>
      </c>
      <c r="E15" s="6" t="s">
        <v>238</v>
      </c>
      <c r="G15" t="s">
        <v>109</v>
      </c>
      <c r="H15" t="s">
        <v>104</v>
      </c>
      <c r="I15" t="s">
        <v>178</v>
      </c>
      <c r="L15" s="6" t="s">
        <v>209</v>
      </c>
      <c r="M15" s="6" t="s">
        <v>190</v>
      </c>
      <c r="N15" s="6" t="s">
        <v>209</v>
      </c>
      <c r="O15" t="s">
        <v>128</v>
      </c>
      <c r="P15" t="s">
        <v>385</v>
      </c>
      <c r="Q15" t="s">
        <v>126</v>
      </c>
      <c r="R15" t="s">
        <v>134</v>
      </c>
      <c r="T15" s="177" t="s">
        <v>364</v>
      </c>
      <c r="U15" s="177" t="s">
        <v>368</v>
      </c>
      <c r="AC15" s="176" t="s">
        <v>332</v>
      </c>
      <c r="AD15" s="177" t="s">
        <v>340</v>
      </c>
      <c r="AE15" s="177" t="s">
        <v>148</v>
      </c>
      <c r="AF15" s="177" t="s">
        <v>341</v>
      </c>
      <c r="AG15" s="177" t="s">
        <v>141</v>
      </c>
      <c r="AH15" s="177">
        <v>4</v>
      </c>
      <c r="AI15" s="177" t="s">
        <v>140</v>
      </c>
    </row>
    <row r="16" spans="1:58">
      <c r="D16" t="s">
        <v>120</v>
      </c>
      <c r="E16" t="s">
        <v>108</v>
      </c>
      <c r="G16" s="6" t="s">
        <v>180</v>
      </c>
      <c r="H16" t="s">
        <v>105</v>
      </c>
      <c r="I16" s="6" t="s">
        <v>180</v>
      </c>
      <c r="J16" s="6"/>
      <c r="L16" s="6" t="s">
        <v>210</v>
      </c>
      <c r="M16" s="6" t="s">
        <v>190</v>
      </c>
      <c r="N16" s="6" t="s">
        <v>210</v>
      </c>
      <c r="O16" t="s">
        <v>128</v>
      </c>
      <c r="P16" t="s">
        <v>385</v>
      </c>
      <c r="Q16" t="s">
        <v>126</v>
      </c>
      <c r="R16" t="s">
        <v>134</v>
      </c>
      <c r="T16" s="177" t="s">
        <v>379</v>
      </c>
      <c r="U16" s="177" t="s">
        <v>381</v>
      </c>
      <c r="AC16" s="176" t="s">
        <v>332</v>
      </c>
      <c r="AD16" s="177" t="s">
        <v>342</v>
      </c>
      <c r="AE16" s="177" t="s">
        <v>148</v>
      </c>
      <c r="AF16" s="177" t="s">
        <v>343</v>
      </c>
      <c r="AG16" s="177" t="s">
        <v>141</v>
      </c>
      <c r="AH16" s="177">
        <v>2</v>
      </c>
      <c r="AI16" s="177" t="s">
        <v>140</v>
      </c>
    </row>
    <row r="17" spans="4:35">
      <c r="D17" t="s">
        <v>93</v>
      </c>
      <c r="E17" t="s">
        <v>109</v>
      </c>
      <c r="G17" s="6" t="s">
        <v>180</v>
      </c>
      <c r="H17" s="6" t="s">
        <v>104</v>
      </c>
      <c r="I17" s="6" t="s">
        <v>324</v>
      </c>
      <c r="J17" s="6"/>
      <c r="L17" s="6" t="s">
        <v>214</v>
      </c>
      <c r="M17" s="6" t="s">
        <v>190</v>
      </c>
      <c r="N17" s="6" t="s">
        <v>214</v>
      </c>
      <c r="O17" t="s">
        <v>128</v>
      </c>
      <c r="P17" t="s">
        <v>385</v>
      </c>
      <c r="Q17" t="s">
        <v>126</v>
      </c>
      <c r="R17" t="s">
        <v>134</v>
      </c>
      <c r="T17" s="177" t="s">
        <v>379</v>
      </c>
      <c r="U17" s="177" t="s">
        <v>380</v>
      </c>
      <c r="AC17" s="45" t="s">
        <v>337</v>
      </c>
      <c r="AD17" t="s">
        <v>162</v>
      </c>
      <c r="AE17" t="s">
        <v>147</v>
      </c>
      <c r="AH17">
        <v>2000</v>
      </c>
      <c r="AI17" t="s">
        <v>141</v>
      </c>
    </row>
    <row r="18" spans="4:35">
      <c r="D18" s="6" t="s">
        <v>315</v>
      </c>
      <c r="E18" s="6" t="s">
        <v>312</v>
      </c>
      <c r="G18" s="6" t="s">
        <v>225</v>
      </c>
      <c r="H18" t="s">
        <v>104</v>
      </c>
      <c r="I18" t="s">
        <v>77</v>
      </c>
      <c r="J18" s="6"/>
      <c r="L18" s="6" t="s">
        <v>216</v>
      </c>
      <c r="M18" s="6" t="s">
        <v>190</v>
      </c>
      <c r="N18" s="6" t="s">
        <v>216</v>
      </c>
      <c r="O18" t="s">
        <v>128</v>
      </c>
      <c r="P18" t="s">
        <v>385</v>
      </c>
      <c r="Q18" t="s">
        <v>126</v>
      </c>
      <c r="R18" t="s">
        <v>134</v>
      </c>
      <c r="T18" s="177" t="s">
        <v>379</v>
      </c>
      <c r="U18" s="177" t="s">
        <v>382</v>
      </c>
      <c r="AC18" s="45" t="s">
        <v>337</v>
      </c>
      <c r="AD18" s="177" t="s">
        <v>340</v>
      </c>
      <c r="AE18" s="177" t="s">
        <v>148</v>
      </c>
      <c r="AF18" s="177" t="s">
        <v>341</v>
      </c>
      <c r="AG18" s="177" t="s">
        <v>141</v>
      </c>
      <c r="AH18" s="177">
        <v>4</v>
      </c>
      <c r="AI18" s="177" t="s">
        <v>140</v>
      </c>
    </row>
    <row r="19" spans="4:35">
      <c r="D19" s="6" t="s">
        <v>313</v>
      </c>
      <c r="E19" s="6" t="s">
        <v>316</v>
      </c>
      <c r="G19" s="6" t="s">
        <v>225</v>
      </c>
      <c r="H19" t="s">
        <v>104</v>
      </c>
      <c r="I19" s="6" t="s">
        <v>119</v>
      </c>
      <c r="J19" s="6"/>
      <c r="L19" s="6" t="s">
        <v>238</v>
      </c>
      <c r="M19" s="6" t="s">
        <v>238</v>
      </c>
      <c r="N19" s="6" t="s">
        <v>239</v>
      </c>
      <c r="O19" t="s">
        <v>128</v>
      </c>
      <c r="P19" t="s">
        <v>385</v>
      </c>
      <c r="R19" t="s">
        <v>118</v>
      </c>
      <c r="T19" s="177" t="s">
        <v>391</v>
      </c>
      <c r="U19" s="177" t="s">
        <v>392</v>
      </c>
    </row>
    <row r="20" spans="4:35">
      <c r="D20" s="6" t="s">
        <v>331</v>
      </c>
      <c r="E20" s="6" t="s">
        <v>332</v>
      </c>
      <c r="G20" s="6" t="s">
        <v>238</v>
      </c>
      <c r="H20" t="s">
        <v>104</v>
      </c>
      <c r="I20" s="6" t="s">
        <v>238</v>
      </c>
      <c r="J20" s="6"/>
      <c r="L20" s="6" t="s">
        <v>236</v>
      </c>
      <c r="M20" s="6" t="s">
        <v>190</v>
      </c>
      <c r="N20" s="6" t="s">
        <v>236</v>
      </c>
      <c r="O20" t="s">
        <v>128</v>
      </c>
      <c r="P20" t="s">
        <v>385</v>
      </c>
      <c r="Q20" t="s">
        <v>126</v>
      </c>
      <c r="R20" t="s">
        <v>134</v>
      </c>
      <c r="T20" s="177" t="s">
        <v>391</v>
      </c>
      <c r="U20" s="177" t="s">
        <v>393</v>
      </c>
    </row>
    <row r="21" spans="4:35">
      <c r="D21" s="6" t="s">
        <v>323</v>
      </c>
      <c r="E21" s="6" t="s">
        <v>324</v>
      </c>
      <c r="G21" s="6" t="s">
        <v>241</v>
      </c>
      <c r="H21" s="6" t="s">
        <v>104</v>
      </c>
      <c r="I21" s="6" t="s">
        <v>238</v>
      </c>
      <c r="J21" s="6"/>
      <c r="L21" s="6" t="s">
        <v>257</v>
      </c>
      <c r="M21" t="s">
        <v>257</v>
      </c>
      <c r="N21" s="6" t="s">
        <v>255</v>
      </c>
      <c r="O21" t="s">
        <v>128</v>
      </c>
      <c r="P21" t="s">
        <v>385</v>
      </c>
      <c r="Q21" t="s">
        <v>126</v>
      </c>
      <c r="R21" t="s">
        <v>134</v>
      </c>
      <c r="T21" s="177" t="s">
        <v>391</v>
      </c>
      <c r="U21" s="177" t="s">
        <v>382</v>
      </c>
    </row>
    <row r="22" spans="4:35">
      <c r="D22" s="6" t="s">
        <v>336</v>
      </c>
      <c r="E22" s="6" t="s">
        <v>337</v>
      </c>
      <c r="G22" s="6" t="s">
        <v>241</v>
      </c>
      <c r="H22" s="6" t="s">
        <v>104</v>
      </c>
      <c r="I22" t="s">
        <v>77</v>
      </c>
      <c r="J22" s="6"/>
      <c r="L22" s="6" t="s">
        <v>266</v>
      </c>
      <c r="M22" s="6" t="s">
        <v>266</v>
      </c>
      <c r="N22" s="6" t="s">
        <v>265</v>
      </c>
      <c r="O22" t="s">
        <v>128</v>
      </c>
      <c r="P22" t="s">
        <v>385</v>
      </c>
      <c r="Q22" t="s">
        <v>126</v>
      </c>
      <c r="R22" t="s">
        <v>118</v>
      </c>
    </row>
    <row r="23" spans="4:35">
      <c r="D23" s="177" t="s">
        <v>363</v>
      </c>
      <c r="E23" s="177" t="s">
        <v>364</v>
      </c>
      <c r="G23" s="6" t="s">
        <v>241</v>
      </c>
      <c r="H23" s="6" t="s">
        <v>104</v>
      </c>
      <c r="I23" s="6" t="s">
        <v>119</v>
      </c>
      <c r="J23" s="6"/>
      <c r="L23" s="6" t="s">
        <v>303</v>
      </c>
      <c r="M23" s="6"/>
      <c r="N23" s="6"/>
      <c r="P23" t="s">
        <v>385</v>
      </c>
      <c r="Q23" t="s">
        <v>126</v>
      </c>
      <c r="R23" s="6" t="s">
        <v>304</v>
      </c>
    </row>
    <row r="24" spans="4:35">
      <c r="D24" s="177" t="s">
        <v>397</v>
      </c>
      <c r="E24" s="177" t="s">
        <v>379</v>
      </c>
      <c r="G24" s="6" t="s">
        <v>257</v>
      </c>
      <c r="H24" s="6" t="s">
        <v>104</v>
      </c>
      <c r="I24" s="6" t="s">
        <v>257</v>
      </c>
      <c r="J24" s="6"/>
      <c r="L24" s="6" t="s">
        <v>312</v>
      </c>
      <c r="M24" t="s">
        <v>312</v>
      </c>
      <c r="N24" s="6" t="s">
        <v>314</v>
      </c>
      <c r="O24" t="s">
        <v>128</v>
      </c>
      <c r="P24" t="s">
        <v>385</v>
      </c>
      <c r="Q24" t="s">
        <v>126</v>
      </c>
      <c r="R24" t="s">
        <v>134</v>
      </c>
    </row>
    <row r="25" spans="4:35">
      <c r="D25" s="177" t="s">
        <v>398</v>
      </c>
      <c r="E25" s="177" t="s">
        <v>391</v>
      </c>
      <c r="G25" s="6" t="s">
        <v>301</v>
      </c>
      <c r="H25" s="6" t="s">
        <v>104</v>
      </c>
      <c r="I25" s="6" t="s">
        <v>266</v>
      </c>
      <c r="L25" s="6" t="s">
        <v>316</v>
      </c>
      <c r="M25" s="6" t="s">
        <v>312</v>
      </c>
      <c r="N25" s="6" t="s">
        <v>314</v>
      </c>
      <c r="O25" s="6" t="s">
        <v>128</v>
      </c>
      <c r="P25" s="177" t="s">
        <v>385</v>
      </c>
      <c r="Q25" s="6" t="s">
        <v>126</v>
      </c>
      <c r="R25" s="6" t="s">
        <v>134</v>
      </c>
    </row>
    <row r="26" spans="4:35">
      <c r="G26" s="6" t="s">
        <v>307</v>
      </c>
      <c r="H26" t="s">
        <v>104</v>
      </c>
      <c r="I26" t="s">
        <v>33</v>
      </c>
      <c r="J26" s="6"/>
      <c r="L26" s="6" t="s">
        <v>324</v>
      </c>
      <c r="M26" s="6" t="s">
        <v>324</v>
      </c>
      <c r="N26" s="6" t="s">
        <v>323</v>
      </c>
      <c r="O26" s="6" t="s">
        <v>128</v>
      </c>
      <c r="P26" s="177" t="s">
        <v>385</v>
      </c>
      <c r="Q26" s="6" t="s">
        <v>126</v>
      </c>
      <c r="R26" s="6" t="s">
        <v>134</v>
      </c>
    </row>
    <row r="27" spans="4:35">
      <c r="G27" s="6" t="s">
        <v>307</v>
      </c>
      <c r="H27" t="s">
        <v>104</v>
      </c>
      <c r="I27" t="s">
        <v>27</v>
      </c>
      <c r="L27" s="6" t="s">
        <v>334</v>
      </c>
      <c r="M27" s="6" t="s">
        <v>312</v>
      </c>
      <c r="N27" s="6" t="s">
        <v>314</v>
      </c>
      <c r="O27" s="6" t="s">
        <v>128</v>
      </c>
      <c r="P27" s="177" t="s">
        <v>385</v>
      </c>
      <c r="Q27" s="6" t="s">
        <v>126</v>
      </c>
      <c r="R27" s="6" t="s">
        <v>134</v>
      </c>
    </row>
    <row r="28" spans="4:35">
      <c r="G28" s="6" t="s">
        <v>307</v>
      </c>
      <c r="H28" t="s">
        <v>104</v>
      </c>
      <c r="I28" t="s">
        <v>66</v>
      </c>
      <c r="L28" s="177" t="s">
        <v>364</v>
      </c>
      <c r="M28" s="177" t="s">
        <v>364</v>
      </c>
      <c r="N28" s="177" t="s">
        <v>365</v>
      </c>
      <c r="O28" s="177" t="s">
        <v>128</v>
      </c>
      <c r="P28" s="177" t="s">
        <v>385</v>
      </c>
      <c r="Q28" s="177"/>
      <c r="R28" t="s">
        <v>118</v>
      </c>
    </row>
    <row r="29" spans="4:35">
      <c r="G29" s="6" t="s">
        <v>307</v>
      </c>
      <c r="H29" s="6" t="s">
        <v>104</v>
      </c>
      <c r="I29" s="6" t="s">
        <v>257</v>
      </c>
      <c r="L29" s="177" t="s">
        <v>357</v>
      </c>
      <c r="M29" s="177" t="s">
        <v>190</v>
      </c>
      <c r="N29" s="177" t="s">
        <v>357</v>
      </c>
      <c r="O29" s="177" t="s">
        <v>128</v>
      </c>
      <c r="P29" s="177" t="s">
        <v>385</v>
      </c>
      <c r="Q29" s="177" t="s">
        <v>126</v>
      </c>
      <c r="R29" s="177" t="s">
        <v>134</v>
      </c>
    </row>
    <row r="30" spans="4:35">
      <c r="G30" s="6" t="s">
        <v>307</v>
      </c>
      <c r="H30" s="6" t="s">
        <v>104</v>
      </c>
      <c r="I30" s="6" t="s">
        <v>266</v>
      </c>
      <c r="L30" s="177" t="s">
        <v>360</v>
      </c>
      <c r="M30" s="177" t="s">
        <v>190</v>
      </c>
      <c r="N30" s="177" t="s">
        <v>360</v>
      </c>
      <c r="O30" s="177" t="s">
        <v>128</v>
      </c>
      <c r="P30" s="177" t="s">
        <v>385</v>
      </c>
      <c r="Q30" s="177" t="s">
        <v>126</v>
      </c>
      <c r="R30" s="177" t="s">
        <v>134</v>
      </c>
    </row>
    <row r="31" spans="4:35">
      <c r="G31" s="6" t="s">
        <v>307</v>
      </c>
      <c r="H31" s="6" t="s">
        <v>104</v>
      </c>
      <c r="I31" s="6" t="s">
        <v>238</v>
      </c>
      <c r="L31" s="177" t="s">
        <v>368</v>
      </c>
      <c r="M31" s="177" t="s">
        <v>190</v>
      </c>
      <c r="N31" s="177" t="s">
        <v>368</v>
      </c>
      <c r="O31" s="177" t="s">
        <v>128</v>
      </c>
      <c r="P31" s="177" t="s">
        <v>385</v>
      </c>
      <c r="Q31" s="177" t="s">
        <v>126</v>
      </c>
      <c r="R31" s="177" t="s">
        <v>134</v>
      </c>
    </row>
    <row r="32" spans="4:35">
      <c r="G32" s="6" t="s">
        <v>307</v>
      </c>
      <c r="H32" s="6" t="s">
        <v>104</v>
      </c>
      <c r="I32" t="s">
        <v>77</v>
      </c>
      <c r="L32" s="177" t="s">
        <v>379</v>
      </c>
      <c r="M32" s="177" t="s">
        <v>379</v>
      </c>
      <c r="N32" s="177" t="s">
        <v>383</v>
      </c>
      <c r="O32" s="177" t="s">
        <v>128</v>
      </c>
      <c r="P32" s="177" t="s">
        <v>385</v>
      </c>
      <c r="Q32" s="177"/>
      <c r="R32" t="s">
        <v>118</v>
      </c>
    </row>
    <row r="33" spans="7:18">
      <c r="G33" s="6" t="s">
        <v>307</v>
      </c>
      <c r="H33" s="6" t="s">
        <v>104</v>
      </c>
      <c r="I33" s="6" t="s">
        <v>119</v>
      </c>
      <c r="L33" s="177" t="s">
        <v>381</v>
      </c>
      <c r="M33" s="177" t="s">
        <v>190</v>
      </c>
      <c r="N33" s="177" t="s">
        <v>381</v>
      </c>
      <c r="O33" s="177" t="s">
        <v>128</v>
      </c>
      <c r="P33" s="177" t="s">
        <v>386</v>
      </c>
      <c r="Q33" s="177" t="s">
        <v>126</v>
      </c>
      <c r="R33" s="177" t="s">
        <v>134</v>
      </c>
    </row>
    <row r="34" spans="7:18">
      <c r="G34" s="6" t="s">
        <v>312</v>
      </c>
      <c r="H34" s="6" t="s">
        <v>104</v>
      </c>
      <c r="I34" t="s">
        <v>312</v>
      </c>
      <c r="L34" s="177" t="s">
        <v>380</v>
      </c>
      <c r="M34" s="177" t="s">
        <v>190</v>
      </c>
      <c r="N34" s="177" t="s">
        <v>380</v>
      </c>
      <c r="O34" s="177" t="s">
        <v>128</v>
      </c>
      <c r="P34" s="177" t="s">
        <v>386</v>
      </c>
      <c r="Q34" s="177" t="s">
        <v>126</v>
      </c>
      <c r="R34" s="177" t="s">
        <v>134</v>
      </c>
    </row>
    <row r="35" spans="7:18">
      <c r="G35" s="6" t="s">
        <v>316</v>
      </c>
      <c r="H35" s="6" t="s">
        <v>104</v>
      </c>
      <c r="I35" s="6" t="s">
        <v>316</v>
      </c>
      <c r="J35" s="6"/>
      <c r="L35" s="177" t="s">
        <v>382</v>
      </c>
      <c r="M35" s="177" t="s">
        <v>190</v>
      </c>
      <c r="N35" s="177" t="s">
        <v>382</v>
      </c>
      <c r="O35" s="177" t="s">
        <v>128</v>
      </c>
      <c r="P35" s="177" t="s">
        <v>386</v>
      </c>
      <c r="Q35" s="177" t="s">
        <v>126</v>
      </c>
      <c r="R35" s="177" t="s">
        <v>134</v>
      </c>
    </row>
    <row r="36" spans="7:18">
      <c r="G36" s="6" t="s">
        <v>324</v>
      </c>
      <c r="H36" s="6" t="s">
        <v>104</v>
      </c>
      <c r="I36" s="6" t="s">
        <v>324</v>
      </c>
      <c r="J36" s="6"/>
      <c r="L36" s="177" t="s">
        <v>391</v>
      </c>
      <c r="M36" s="177" t="s">
        <v>379</v>
      </c>
      <c r="N36" s="177" t="s">
        <v>394</v>
      </c>
      <c r="O36" s="177" t="s">
        <v>128</v>
      </c>
      <c r="P36" s="177" t="s">
        <v>385</v>
      </c>
      <c r="Q36" s="177"/>
      <c r="R36" t="s">
        <v>118</v>
      </c>
    </row>
    <row r="37" spans="7:18">
      <c r="G37" s="6" t="s">
        <v>332</v>
      </c>
      <c r="H37" s="6" t="s">
        <v>105</v>
      </c>
      <c r="I37" s="6" t="s">
        <v>332</v>
      </c>
      <c r="J37" s="6"/>
      <c r="L37" s="177" t="s">
        <v>392</v>
      </c>
      <c r="M37" s="177" t="s">
        <v>190</v>
      </c>
      <c r="N37" s="177" t="s">
        <v>392</v>
      </c>
      <c r="O37" s="177" t="s">
        <v>128</v>
      </c>
      <c r="P37" s="177" t="s">
        <v>386</v>
      </c>
      <c r="Q37" s="177" t="s">
        <v>126</v>
      </c>
      <c r="R37" s="177" t="s">
        <v>134</v>
      </c>
    </row>
    <row r="38" spans="7:18">
      <c r="G38" s="6" t="s">
        <v>332</v>
      </c>
      <c r="H38" s="6" t="s">
        <v>104</v>
      </c>
      <c r="I38" s="6" t="s">
        <v>334</v>
      </c>
      <c r="J38" s="6"/>
      <c r="L38" s="177" t="s">
        <v>393</v>
      </c>
      <c r="M38" s="177" t="s">
        <v>190</v>
      </c>
      <c r="N38" s="177" t="s">
        <v>393</v>
      </c>
      <c r="O38" s="177" t="s">
        <v>128</v>
      </c>
      <c r="P38" s="177" t="s">
        <v>386</v>
      </c>
      <c r="Q38" s="177" t="s">
        <v>126</v>
      </c>
      <c r="R38" s="177" t="s">
        <v>134</v>
      </c>
    </row>
    <row r="39" spans="7:18">
      <c r="G39" s="6" t="s">
        <v>337</v>
      </c>
      <c r="H39" s="6" t="s">
        <v>105</v>
      </c>
      <c r="I39" s="6" t="s">
        <v>337</v>
      </c>
      <c r="J39" s="6"/>
    </row>
    <row r="40" spans="7:18">
      <c r="G40" s="177" t="s">
        <v>364</v>
      </c>
      <c r="H40" s="177" t="s">
        <v>104</v>
      </c>
      <c r="I40" s="177" t="s">
        <v>364</v>
      </c>
      <c r="J40" s="177"/>
    </row>
    <row r="41" spans="7:18">
      <c r="G41" s="177" t="s">
        <v>379</v>
      </c>
      <c r="H41" s="177" t="s">
        <v>104</v>
      </c>
      <c r="I41" s="177" t="s">
        <v>379</v>
      </c>
      <c r="J41" s="177"/>
    </row>
    <row r="42" spans="7:18">
      <c r="G42" s="177" t="s">
        <v>391</v>
      </c>
      <c r="H42" s="177" t="s">
        <v>104</v>
      </c>
      <c r="I42" s="177" t="s">
        <v>391</v>
      </c>
      <c r="J42" s="177"/>
    </row>
  </sheetData>
  <dataConsolidate/>
  <mergeCells count="8">
    <mergeCell ref="A1:B1"/>
    <mergeCell ref="D1:E1"/>
    <mergeCell ref="G1:J1"/>
    <mergeCell ref="BC1:BD1"/>
    <mergeCell ref="AC1:AI1"/>
    <mergeCell ref="W1:AA1"/>
    <mergeCell ref="L1:R1"/>
    <mergeCell ref="T1:U1"/>
  </mergeCells>
  <dataValidations disablePrompts="1" count="13">
    <dataValidation type="list" allowBlank="1" showInputMessage="1" showErrorMessage="1" sqref="E6:E8 E17 E3 E12:E14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L11:L12 T3:T21 U4:U11">
      <formula1>INDIRECT("Reports[Code]")</formula1>
    </dataValidation>
    <dataValidation type="list" allowBlank="1" showInputMessage="1" showErrorMessage="1" sqref="X3:X10">
      <formula1>INDIRECT("ProgramTypes[Code]")</formula1>
    </dataValidation>
    <dataValidation type="list" allowBlank="1" showInputMessage="1" showErrorMessage="1" sqref="Z3:Z10">
      <formula1>INDIRECT("ReturnTypes[Code]")</formula1>
    </dataValidation>
    <dataValidation type="list" allowBlank="1" showInputMessage="1" showErrorMessage="1" sqref="O3:O38">
      <formula1>INDIRECT("CreateModes[Code]")</formula1>
    </dataValidation>
    <dataValidation type="list" allowBlank="1" showInputMessage="1" showErrorMessage="1" sqref="R3:R38">
      <formula1>INDIRECT("ReportTypes[Code]")</formula1>
    </dataValidation>
    <dataValidation type="list" allowBlank="1" showInputMessage="1" showErrorMessage="1" sqref="Q3:Q38">
      <formula1>INDIRECT("Programs[Code]")</formula1>
    </dataValidation>
    <dataValidation type="list" allowBlank="1" showInputMessage="1" showErrorMessage="1" sqref="H3:H42">
      <formula1>INDIRECT("ActionTypes[Code]")</formula1>
    </dataValidation>
    <dataValidation type="list" allowBlank="1" showInputMessage="1" showErrorMessage="1" sqref="J3:J42">
      <formula1>INDIRECT("AfterAction")</formula1>
    </dataValidation>
    <dataValidation type="list" allowBlank="1" showInputMessage="1" showErrorMessage="1" sqref="AE3:AE18">
      <formula1>INDIRECT("Direction[Code]")</formula1>
    </dataValidation>
    <dataValidation type="list" allowBlank="1" showInputMessage="1" showErrorMessage="1" sqref="AG3:AG18 AI3:AI18">
      <formula1>INDIRECT("YesNo[Code]")</formula1>
    </dataValidation>
    <dataValidation type="whole" allowBlank="1" showInputMessage="1" showErrorMessage="1" sqref="AH3:AH18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8">
        <v>2017</v>
      </c>
      <c r="D4" s="32"/>
      <c r="E4" s="32"/>
    </row>
    <row r="5" spans="1:6">
      <c r="A5" s="32"/>
      <c r="B5" s="31" t="s">
        <v>57</v>
      </c>
      <c r="C5" s="179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253"/>
      <c r="B8" s="253"/>
      <c r="C8" s="253"/>
      <c r="D8" s="253"/>
      <c r="E8" s="253"/>
    </row>
    <row r="9" spans="1:6" ht="97.5" customHeight="1">
      <c r="A9" s="44"/>
      <c r="B9" s="254" t="s">
        <v>348</v>
      </c>
      <c r="C9" s="255"/>
      <c r="D9" s="255"/>
      <c r="E9" s="44"/>
    </row>
    <row r="10" spans="1:6" s="43" customFormat="1" ht="14.25" customHeight="1">
      <c r="A10" s="253"/>
      <c r="B10" s="253"/>
      <c r="C10" s="253"/>
      <c r="D10" s="253"/>
      <c r="E10" s="253"/>
    </row>
    <row r="11" spans="1:6" hidden="1">
      <c r="A11" s="250"/>
      <c r="B11" s="251"/>
      <c r="C11" s="251"/>
      <c r="D11" s="251"/>
      <c r="E11" s="252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37" t="s">
        <v>249</v>
      </c>
      <c r="B1" s="237"/>
      <c r="C1" s="237"/>
      <c r="D1" s="237"/>
      <c r="E1" s="237"/>
      <c r="F1" s="237"/>
      <c r="G1" s="237"/>
      <c r="H1" s="237"/>
      <c r="I1" s="237"/>
      <c r="J1" s="237"/>
      <c r="K1" s="237"/>
      <c r="L1" s="237"/>
    </row>
    <row r="2" spans="1:12" ht="44.25" customHeight="1">
      <c r="A2" s="256" t="s">
        <v>327</v>
      </c>
      <c r="B2" s="256"/>
      <c r="C2" s="256"/>
      <c r="D2" s="256" t="s">
        <v>58</v>
      </c>
      <c r="E2" s="256"/>
      <c r="F2" s="256" t="s">
        <v>62</v>
      </c>
      <c r="G2" s="256" t="s">
        <v>52</v>
      </c>
      <c r="H2" s="256" t="s">
        <v>328</v>
      </c>
      <c r="I2" s="256" t="s">
        <v>329</v>
      </c>
      <c r="J2" s="256" t="s">
        <v>3</v>
      </c>
      <c r="K2" s="256" t="s">
        <v>325</v>
      </c>
      <c r="L2" s="256" t="s">
        <v>330</v>
      </c>
    </row>
    <row r="3" spans="1:12" ht="31.5">
      <c r="A3" s="170" t="s">
        <v>326</v>
      </c>
      <c r="B3" s="171" t="s">
        <v>47</v>
      </c>
      <c r="C3" s="171" t="s">
        <v>61</v>
      </c>
      <c r="D3" s="171" t="s">
        <v>47</v>
      </c>
      <c r="E3" s="171" t="s">
        <v>61</v>
      </c>
      <c r="F3" s="256"/>
      <c r="G3" s="256" t="s">
        <v>41</v>
      </c>
      <c r="H3" s="256" t="s">
        <v>325</v>
      </c>
      <c r="I3" s="256"/>
      <c r="J3" s="256"/>
      <c r="K3" s="256"/>
      <c r="L3" s="256"/>
    </row>
    <row r="4" spans="1:12">
      <c r="A4" s="173" t="s">
        <v>7</v>
      </c>
      <c r="B4" s="173" t="s">
        <v>8</v>
      </c>
      <c r="C4" s="173" t="s">
        <v>9</v>
      </c>
      <c r="D4" s="173" t="s">
        <v>10</v>
      </c>
      <c r="E4" s="173" t="s">
        <v>11</v>
      </c>
      <c r="F4" s="174" t="s">
        <v>12</v>
      </c>
      <c r="G4" s="174" t="s">
        <v>13</v>
      </c>
      <c r="H4" s="173" t="s">
        <v>14</v>
      </c>
      <c r="I4" s="175" t="s">
        <v>15</v>
      </c>
      <c r="J4" s="175" t="s">
        <v>16</v>
      </c>
      <c r="K4" s="175" t="s">
        <v>18</v>
      </c>
      <c r="L4" s="175" t="s">
        <v>17</v>
      </c>
    </row>
    <row r="5" spans="1:12">
      <c r="A5" s="29" t="s">
        <v>324</v>
      </c>
      <c r="B5" s="29"/>
      <c r="C5" s="28"/>
      <c r="D5" s="172"/>
      <c r="E5" s="28"/>
      <c r="F5" s="29"/>
      <c r="G5" s="172"/>
      <c r="H5" s="172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214" t="s">
        <v>251</v>
      </c>
      <c r="B1" s="214"/>
      <c r="C1" s="214"/>
      <c r="D1" s="214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57" t="s">
        <v>252</v>
      </c>
      <c r="B1" s="258"/>
      <c r="C1" s="258"/>
      <c r="D1" s="258"/>
      <c r="E1" s="258"/>
    </row>
    <row r="2" spans="1:6" ht="19.5" customHeight="1">
      <c r="A2" s="259" t="s">
        <v>181</v>
      </c>
      <c r="B2" s="260"/>
      <c r="C2" s="260"/>
      <c r="D2" s="260"/>
      <c r="E2" s="261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248" t="s">
        <v>185</v>
      </c>
      <c r="E8" s="248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248" t="s">
        <v>187</v>
      </c>
      <c r="E11" s="248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62" t="s">
        <v>253</v>
      </c>
      <c r="B1" s="263"/>
      <c r="C1" s="263"/>
      <c r="D1" s="263"/>
      <c r="E1" s="263"/>
      <c r="F1" s="263"/>
      <c r="G1" s="263"/>
      <c r="H1" s="263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269" t="s">
        <v>194</v>
      </c>
      <c r="F7" s="269"/>
      <c r="G7" s="269"/>
      <c r="H7" s="269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270" t="s">
        <v>200</v>
      </c>
      <c r="F11" s="270"/>
      <c r="G11" s="270"/>
      <c r="H11" s="270"/>
    </row>
    <row r="12" spans="1:8">
      <c r="C12" s="53"/>
      <c r="D12" s="85"/>
      <c r="E12" s="266" t="s">
        <v>201</v>
      </c>
      <c r="F12" s="267"/>
      <c r="G12" s="268"/>
      <c r="H12" s="264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264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265" t="s">
        <v>219</v>
      </c>
      <c r="B22" s="265"/>
      <c r="C22" s="265"/>
      <c r="D22" s="265"/>
      <c r="E22" s="265"/>
      <c r="F22" s="265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71" t="s">
        <v>254</v>
      </c>
      <c r="B1" s="271"/>
      <c r="C1" s="271"/>
      <c r="D1" s="271"/>
      <c r="E1" s="271"/>
      <c r="F1" s="271"/>
      <c r="G1" s="271"/>
      <c r="H1" s="271"/>
      <c r="I1" s="271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C14" sqref="C14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73" t="s">
        <v>263</v>
      </c>
      <c r="B1" s="274"/>
      <c r="C1" s="274"/>
      <c r="D1" s="274"/>
      <c r="E1" s="274"/>
      <c r="F1" s="274"/>
      <c r="G1" s="274"/>
      <c r="H1" s="274"/>
      <c r="I1" s="274"/>
    </row>
    <row r="2" spans="1:9" ht="15.75">
      <c r="A2" s="112"/>
    </row>
    <row r="3" spans="1:9" ht="31.5" customHeight="1">
      <c r="A3" s="272" t="s">
        <v>262</v>
      </c>
      <c r="B3" s="272"/>
      <c r="C3" s="272"/>
      <c r="D3" s="272"/>
      <c r="E3" s="272"/>
      <c r="F3" s="272"/>
      <c r="G3" s="272"/>
      <c r="H3" s="272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73" t="s">
        <v>263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</row>
    <row r="2" spans="1:16" ht="15.75">
      <c r="A2" s="112"/>
      <c r="F2" s="112"/>
      <c r="G2" s="112"/>
      <c r="H2" s="112"/>
      <c r="I2" s="112"/>
    </row>
    <row r="3" spans="1:16" ht="31.5" customHeight="1">
      <c r="A3" s="275" t="s">
        <v>262</v>
      </c>
      <c r="B3" s="275"/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6"/>
      <c r="P3" s="164">
        <f>SUBTOTAL(109,Таблица5229[Недоплата2])</f>
        <v>0</v>
      </c>
    </row>
    <row r="4" spans="1:16" ht="37.5" customHeight="1">
      <c r="A4" s="167"/>
      <c r="B4" s="168"/>
      <c r="C4" s="168"/>
      <c r="D4" s="168"/>
      <c r="E4" s="168"/>
      <c r="F4" s="168"/>
      <c r="G4" s="168"/>
      <c r="H4" s="168"/>
      <c r="I4" s="168"/>
      <c r="J4" s="169"/>
      <c r="K4" s="277" t="s">
        <v>310</v>
      </c>
      <c r="L4" s="277"/>
      <c r="M4" s="277"/>
      <c r="N4" s="278" t="s">
        <v>311</v>
      </c>
      <c r="O4" s="279"/>
      <c r="P4" s="280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63"/>
      <c r="G6" s="163"/>
      <c r="H6" s="165"/>
      <c r="I6" s="165"/>
      <c r="J6" s="165"/>
      <c r="K6" s="166"/>
      <c r="L6" s="166"/>
      <c r="M6" s="166"/>
      <c r="N6" s="166"/>
      <c r="O6" s="166"/>
      <c r="P6" s="166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3"/>
  <dimension ref="A1:N25"/>
  <sheetViews>
    <sheetView workbookViewId="0">
      <selection activeCell="I6" sqref="I6"/>
    </sheetView>
  </sheetViews>
  <sheetFormatPr defaultRowHeight="15"/>
  <cols>
    <col min="2" max="3" width="6.5703125" bestFit="1" customWidth="1"/>
    <col min="4" max="4" width="12.140625" customWidth="1"/>
    <col min="5" max="5" width="38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1" t="s">
        <v>349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187"/>
    </row>
    <row r="3" spans="1:14">
      <c r="A3" s="288" t="s">
        <v>358</v>
      </c>
      <c r="B3" s="288"/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</row>
    <row r="4" spans="1:14" ht="37.5" customHeight="1">
      <c r="A4" s="281" t="s">
        <v>350</v>
      </c>
      <c r="B4" s="283" t="s">
        <v>353</v>
      </c>
      <c r="C4" s="284"/>
      <c r="D4" s="281" t="s">
        <v>329</v>
      </c>
      <c r="E4" s="281" t="s">
        <v>97</v>
      </c>
      <c r="F4" s="183" t="s">
        <v>1</v>
      </c>
      <c r="G4" s="183" t="s">
        <v>2</v>
      </c>
      <c r="H4" s="183" t="s">
        <v>82</v>
      </c>
      <c r="I4" s="283" t="s">
        <v>69</v>
      </c>
      <c r="J4" s="285"/>
      <c r="K4" s="284"/>
      <c r="L4" s="281" t="s">
        <v>354</v>
      </c>
      <c r="M4" s="286" t="s">
        <v>355</v>
      </c>
      <c r="N4" s="186"/>
    </row>
    <row r="5" spans="1:14" ht="33.75" customHeight="1">
      <c r="A5" s="282"/>
      <c r="B5" s="185" t="s">
        <v>351</v>
      </c>
      <c r="C5" s="185" t="s">
        <v>352</v>
      </c>
      <c r="D5" s="282"/>
      <c r="E5" s="282"/>
      <c r="F5" s="185"/>
      <c r="G5" s="185"/>
      <c r="H5" s="185"/>
      <c r="I5" s="185" t="s">
        <v>351</v>
      </c>
      <c r="J5" s="185" t="s">
        <v>352</v>
      </c>
      <c r="K5" s="185" t="s">
        <v>362</v>
      </c>
      <c r="L5" s="282"/>
      <c r="M5" s="287"/>
    </row>
    <row r="6" spans="1:14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11</v>
      </c>
      <c r="F6" s="109" t="s">
        <v>12</v>
      </c>
      <c r="G6" s="109" t="s">
        <v>13</v>
      </c>
      <c r="H6" s="109" t="s">
        <v>14</v>
      </c>
      <c r="I6" s="109" t="s">
        <v>15</v>
      </c>
      <c r="J6" s="109" t="s">
        <v>16</v>
      </c>
      <c r="K6" s="109" t="s">
        <v>17</v>
      </c>
      <c r="L6" s="109" t="s">
        <v>18</v>
      </c>
      <c r="M6" s="109" t="s">
        <v>19</v>
      </c>
    </row>
    <row r="7" spans="1:14">
      <c r="A7" s="109" t="s">
        <v>357</v>
      </c>
      <c r="B7" s="109"/>
      <c r="C7" s="109"/>
      <c r="D7" s="182"/>
      <c r="E7" s="182"/>
      <c r="F7" s="184"/>
      <c r="G7" s="184"/>
      <c r="H7" s="184"/>
      <c r="I7" s="184"/>
      <c r="J7" s="184"/>
      <c r="K7" s="109"/>
      <c r="L7" s="109"/>
      <c r="M7" s="184"/>
    </row>
    <row r="8" spans="1:14">
      <c r="A8" s="109" t="s">
        <v>218</v>
      </c>
      <c r="B8" s="109"/>
      <c r="C8" s="109"/>
      <c r="D8" s="182"/>
      <c r="E8" s="182"/>
      <c r="F8" s="182"/>
      <c r="G8" s="182"/>
      <c r="H8" s="182"/>
      <c r="I8" s="182"/>
      <c r="J8" s="184"/>
      <c r="K8" s="109">
        <f>SUBTOTAL(109,[11])</f>
        <v>0</v>
      </c>
      <c r="L8" s="109"/>
    </row>
    <row r="11" spans="1:14">
      <c r="A11" s="288" t="s">
        <v>359</v>
      </c>
      <c r="B11" s="288"/>
      <c r="C11" s="288"/>
      <c r="D11" s="288"/>
      <c r="E11" s="288"/>
      <c r="F11" s="288"/>
      <c r="G11" s="288"/>
      <c r="H11" s="288"/>
      <c r="I11" s="288"/>
      <c r="J11" s="288"/>
      <c r="K11" s="288"/>
      <c r="L11" s="288"/>
      <c r="M11" s="288"/>
    </row>
    <row r="12" spans="1:14" ht="37.5" customHeight="1">
      <c r="A12" s="281" t="s">
        <v>350</v>
      </c>
      <c r="B12" s="283" t="s">
        <v>353</v>
      </c>
      <c r="C12" s="284"/>
      <c r="D12" s="281" t="s">
        <v>329</v>
      </c>
      <c r="E12" s="281" t="s">
        <v>97</v>
      </c>
      <c r="F12" s="183" t="s">
        <v>1</v>
      </c>
      <c r="G12" s="183" t="s">
        <v>2</v>
      </c>
      <c r="H12" s="183" t="s">
        <v>82</v>
      </c>
      <c r="I12" s="283" t="s">
        <v>69</v>
      </c>
      <c r="J12" s="285"/>
      <c r="K12" s="284"/>
      <c r="L12" s="281" t="s">
        <v>354</v>
      </c>
      <c r="M12" s="286" t="s">
        <v>355</v>
      </c>
      <c r="N12" s="186"/>
    </row>
    <row r="13" spans="1:14" ht="33.75" customHeight="1">
      <c r="A13" s="282"/>
      <c r="B13" s="185" t="s">
        <v>351</v>
      </c>
      <c r="C13" s="185"/>
      <c r="D13" s="282"/>
      <c r="E13" s="282"/>
      <c r="F13" s="185"/>
      <c r="G13" s="185"/>
      <c r="H13" s="185"/>
      <c r="I13" s="185" t="s">
        <v>351</v>
      </c>
      <c r="J13" s="185" t="s">
        <v>390</v>
      </c>
      <c r="K13" s="185" t="s">
        <v>362</v>
      </c>
      <c r="L13" s="282"/>
      <c r="M13" s="287"/>
    </row>
    <row r="14" spans="1:14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11</v>
      </c>
      <c r="F14" s="109" t="s">
        <v>12</v>
      </c>
      <c r="G14" s="109" t="s">
        <v>13</v>
      </c>
      <c r="H14" s="109" t="s">
        <v>14</v>
      </c>
      <c r="I14" s="109" t="s">
        <v>15</v>
      </c>
      <c r="J14" s="109" t="s">
        <v>16</v>
      </c>
      <c r="K14" s="109" t="s">
        <v>17</v>
      </c>
      <c r="L14" s="109" t="s">
        <v>18</v>
      </c>
      <c r="M14" s="109" t="s">
        <v>19</v>
      </c>
    </row>
    <row r="15" spans="1:14">
      <c r="A15" s="109" t="s">
        <v>360</v>
      </c>
      <c r="B15" s="109"/>
      <c r="C15" s="109"/>
      <c r="D15" s="182"/>
      <c r="E15" s="182"/>
      <c r="F15" s="184"/>
      <c r="G15" s="184"/>
      <c r="H15" s="184"/>
      <c r="I15" s="184"/>
      <c r="J15" s="184"/>
      <c r="K15" s="109"/>
      <c r="L15" s="109"/>
      <c r="M15" s="184"/>
    </row>
    <row r="16" spans="1:14">
      <c r="A16" s="109" t="s">
        <v>218</v>
      </c>
      <c r="B16" s="109"/>
      <c r="C16" s="109"/>
      <c r="D16" s="182"/>
      <c r="E16" s="182"/>
      <c r="F16" s="182"/>
      <c r="G16" s="182"/>
      <c r="H16" s="182"/>
      <c r="I16" s="182"/>
      <c r="J16" s="184"/>
      <c r="K16" s="109">
        <f>SUBTOTAL(109,[11])</f>
        <v>0</v>
      </c>
      <c r="L16" s="109"/>
    </row>
    <row r="19" spans="1:14">
      <c r="A19" s="288" t="s">
        <v>361</v>
      </c>
      <c r="B19" s="288"/>
      <c r="C19" s="288"/>
      <c r="D19" s="288"/>
      <c r="E19" s="288"/>
      <c r="F19" s="288"/>
      <c r="G19" s="288"/>
      <c r="H19" s="288"/>
      <c r="I19" s="288"/>
      <c r="J19" s="288"/>
      <c r="K19" s="288"/>
      <c r="L19" s="288"/>
      <c r="M19" s="288"/>
    </row>
    <row r="20" spans="1:14" ht="37.5" customHeight="1">
      <c r="A20" s="281" t="s">
        <v>350</v>
      </c>
      <c r="B20" s="283" t="s">
        <v>353</v>
      </c>
      <c r="C20" s="284"/>
      <c r="D20" s="281" t="s">
        <v>329</v>
      </c>
      <c r="E20" s="281" t="s">
        <v>97</v>
      </c>
      <c r="F20" s="183" t="s">
        <v>1</v>
      </c>
      <c r="G20" s="183" t="s">
        <v>2</v>
      </c>
      <c r="H20" s="183" t="s">
        <v>82</v>
      </c>
      <c r="I20" s="283" t="s">
        <v>69</v>
      </c>
      <c r="J20" s="285"/>
      <c r="K20" s="284"/>
      <c r="L20" s="281" t="s">
        <v>354</v>
      </c>
      <c r="M20" s="286" t="s">
        <v>355</v>
      </c>
      <c r="N20" s="186"/>
    </row>
    <row r="21" spans="1:14" ht="33.75" customHeight="1">
      <c r="A21" s="282"/>
      <c r="B21" s="185" t="s">
        <v>351</v>
      </c>
      <c r="C21" s="185"/>
      <c r="D21" s="282"/>
      <c r="E21" s="282"/>
      <c r="F21" s="185"/>
      <c r="G21" s="185"/>
      <c r="H21" s="185"/>
      <c r="I21" s="185" t="s">
        <v>352</v>
      </c>
      <c r="J21" s="185" t="s">
        <v>390</v>
      </c>
      <c r="K21" s="185" t="s">
        <v>362</v>
      </c>
      <c r="L21" s="282"/>
      <c r="M21" s="287"/>
    </row>
    <row r="22" spans="1:14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11</v>
      </c>
      <c r="F22" s="109" t="s">
        <v>12</v>
      </c>
      <c r="G22" s="109" t="s">
        <v>13</v>
      </c>
      <c r="H22" s="109" t="s">
        <v>14</v>
      </c>
      <c r="I22" s="109" t="s">
        <v>15</v>
      </c>
      <c r="J22" s="109" t="s">
        <v>16</v>
      </c>
      <c r="K22" s="109" t="s">
        <v>17</v>
      </c>
      <c r="L22" s="109" t="s">
        <v>18</v>
      </c>
      <c r="M22" s="109" t="s">
        <v>19</v>
      </c>
    </row>
    <row r="23" spans="1:14">
      <c r="A23" s="109" t="s">
        <v>368</v>
      </c>
      <c r="B23" s="109"/>
      <c r="C23" s="109"/>
      <c r="D23" s="182"/>
      <c r="E23" s="182"/>
      <c r="F23" s="184"/>
      <c r="G23" s="184"/>
      <c r="H23" s="184"/>
      <c r="I23" s="184"/>
      <c r="J23" s="184"/>
      <c r="K23" s="109"/>
      <c r="L23" s="109"/>
      <c r="M23" s="184"/>
    </row>
    <row r="24" spans="1:14">
      <c r="A24" s="109" t="s">
        <v>218</v>
      </c>
      <c r="B24" s="109"/>
      <c r="C24" s="109"/>
      <c r="D24" s="182"/>
      <c r="E24" s="182"/>
      <c r="F24" s="182"/>
      <c r="G24" s="182"/>
      <c r="H24" s="182"/>
      <c r="I24" s="182"/>
      <c r="J24" s="184"/>
      <c r="K24" s="109">
        <f>SUBTOTAL(109,[11])</f>
        <v>0</v>
      </c>
      <c r="L24" s="109"/>
    </row>
    <row r="25" spans="1:14">
      <c r="A25" s="109"/>
      <c r="B25" s="109"/>
      <c r="C25" s="109"/>
      <c r="D25" s="182"/>
      <c r="E25" s="182"/>
      <c r="F25" s="182"/>
      <c r="G25" s="182"/>
      <c r="H25" s="182"/>
      <c r="I25" s="182"/>
      <c r="J25" s="184"/>
      <c r="K25" s="109"/>
      <c r="L25" s="109"/>
    </row>
  </sheetData>
  <mergeCells count="25">
    <mergeCell ref="A1:M1"/>
    <mergeCell ref="L20:L21"/>
    <mergeCell ref="M20:M21"/>
    <mergeCell ref="L4:L5"/>
    <mergeCell ref="D20:D21"/>
    <mergeCell ref="E20:E21"/>
    <mergeCell ref="M4:M5"/>
    <mergeCell ref="B20:C20"/>
    <mergeCell ref="I20:K20"/>
    <mergeCell ref="A4:A5"/>
    <mergeCell ref="B4:C4"/>
    <mergeCell ref="D4:D5"/>
    <mergeCell ref="E4:E5"/>
    <mergeCell ref="I4:K4"/>
    <mergeCell ref="L12:L13"/>
    <mergeCell ref="M12:M13"/>
    <mergeCell ref="A11:M11"/>
    <mergeCell ref="A20:A21"/>
    <mergeCell ref="A3:M3"/>
    <mergeCell ref="A19:M19"/>
    <mergeCell ref="A12:A13"/>
    <mergeCell ref="B12:C12"/>
    <mergeCell ref="D12:D13"/>
    <mergeCell ref="E12:E13"/>
    <mergeCell ref="I12:K12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topLeftCell="B1" zoomScale="145" zoomScaleNormal="145" workbookViewId="0">
      <selection activeCell="C11" sqref="C11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271" t="s">
        <v>369</v>
      </c>
      <c r="B1" s="271"/>
      <c r="C1" s="271"/>
      <c r="D1" s="271"/>
      <c r="E1" s="271"/>
      <c r="F1" s="187"/>
      <c r="G1" s="187"/>
      <c r="H1" s="187"/>
      <c r="I1" s="187"/>
      <c r="J1" s="187"/>
      <c r="K1" s="187"/>
      <c r="L1" s="187"/>
      <c r="M1" s="187"/>
      <c r="N1" s="187"/>
    </row>
    <row r="3" spans="1:14">
      <c r="A3" s="205" t="s">
        <v>370</v>
      </c>
      <c r="B3" s="205"/>
      <c r="C3" s="205" t="s">
        <v>371</v>
      </c>
      <c r="D3" s="205" t="s">
        <v>372</v>
      </c>
      <c r="E3" s="205" t="s">
        <v>356</v>
      </c>
    </row>
    <row r="4" spans="1:14" ht="30" customHeight="1">
      <c r="A4" s="188" t="s">
        <v>373</v>
      </c>
      <c r="B4" s="188"/>
      <c r="C4" s="190" t="s">
        <v>395</v>
      </c>
      <c r="D4" s="190"/>
      <c r="E4" s="190"/>
    </row>
    <row r="5" spans="1:14">
      <c r="A5" s="189" t="s">
        <v>374</v>
      </c>
      <c r="B5" s="189"/>
      <c r="C5" s="190"/>
      <c r="D5" s="190"/>
      <c r="E5" s="190"/>
    </row>
    <row r="6" spans="1:14">
      <c r="A6" s="189" t="s">
        <v>375</v>
      </c>
      <c r="B6" s="189"/>
      <c r="C6" s="190"/>
      <c r="D6" s="191"/>
      <c r="E6" s="190"/>
    </row>
    <row r="7" spans="1:14">
      <c r="A7" s="207"/>
      <c r="B7" s="208"/>
      <c r="C7" s="204"/>
      <c r="D7" s="204"/>
      <c r="E7" s="204"/>
    </row>
    <row r="8" spans="1:14">
      <c r="A8" s="289" t="s">
        <v>376</v>
      </c>
      <c r="B8" s="289"/>
      <c r="C8" s="289"/>
      <c r="D8" s="289"/>
      <c r="E8" s="289"/>
    </row>
    <row r="9" spans="1:14">
      <c r="A9" s="206" t="s">
        <v>370</v>
      </c>
      <c r="B9" s="206" t="s">
        <v>79</v>
      </c>
      <c r="C9" s="206" t="s">
        <v>371</v>
      </c>
      <c r="D9" s="206" t="s">
        <v>372</v>
      </c>
      <c r="E9" s="206" t="s">
        <v>356</v>
      </c>
    </row>
    <row r="10" spans="1:14">
      <c r="A10" s="192" t="s">
        <v>1</v>
      </c>
      <c r="B10" s="193">
        <v>13</v>
      </c>
      <c r="C10" s="194" t="s">
        <v>396</v>
      </c>
      <c r="D10" s="195"/>
      <c r="E10" s="196"/>
    </row>
    <row r="11" spans="1:14">
      <c r="A11" s="189" t="s">
        <v>81</v>
      </c>
      <c r="B11" s="197">
        <v>13</v>
      </c>
      <c r="C11" s="198"/>
      <c r="D11" s="199"/>
      <c r="E11" s="200"/>
    </row>
    <row r="12" spans="1:14">
      <c r="A12" s="189" t="s">
        <v>82</v>
      </c>
      <c r="B12" s="197">
        <v>13</v>
      </c>
      <c r="C12" s="198"/>
      <c r="D12" s="199"/>
      <c r="E12" s="200"/>
    </row>
    <row r="13" spans="1:14">
      <c r="A13" s="189" t="s">
        <v>69</v>
      </c>
      <c r="B13" s="197">
        <v>13</v>
      </c>
      <c r="C13" s="198"/>
      <c r="D13" s="190"/>
      <c r="E13" s="200"/>
    </row>
    <row r="14" spans="1:14">
      <c r="A14" s="192" t="s">
        <v>1</v>
      </c>
      <c r="B14" s="193">
        <v>30</v>
      </c>
      <c r="C14" s="194"/>
      <c r="D14" s="195"/>
      <c r="E14" s="201"/>
    </row>
    <row r="15" spans="1:14">
      <c r="A15" s="189" t="s">
        <v>81</v>
      </c>
      <c r="B15" s="197">
        <v>30</v>
      </c>
      <c r="C15" s="198"/>
      <c r="D15" s="199"/>
      <c r="E15" s="200"/>
    </row>
    <row r="16" spans="1:14">
      <c r="A16" s="189" t="s">
        <v>82</v>
      </c>
      <c r="B16" s="197">
        <v>30</v>
      </c>
      <c r="C16" s="198"/>
      <c r="D16" s="199"/>
      <c r="E16" s="200"/>
    </row>
    <row r="17" spans="1:5">
      <c r="A17" s="189" t="s">
        <v>69</v>
      </c>
      <c r="B17" s="197">
        <v>30</v>
      </c>
      <c r="C17" s="198"/>
      <c r="D17" s="190"/>
      <c r="E17" s="200"/>
    </row>
    <row r="18" spans="1:5">
      <c r="A18" s="182"/>
      <c r="B18" s="182"/>
      <c r="C18" s="182"/>
      <c r="D18" s="182"/>
      <c r="E18" s="182"/>
    </row>
    <row r="19" spans="1:5">
      <c r="A19" s="290" t="s">
        <v>387</v>
      </c>
      <c r="B19" s="291"/>
      <c r="C19" s="291"/>
      <c r="D19" s="291"/>
      <c r="E19" s="292"/>
    </row>
    <row r="20" spans="1:5">
      <c r="A20" s="206"/>
      <c r="B20" s="210"/>
      <c r="C20" s="210" t="s">
        <v>377</v>
      </c>
      <c r="D20" s="206" t="s">
        <v>378</v>
      </c>
      <c r="E20" s="206" t="s">
        <v>293</v>
      </c>
    </row>
    <row r="21" spans="1:5">
      <c r="A21" s="189" t="s">
        <v>388</v>
      </c>
      <c r="B21" s="190"/>
      <c r="C21" s="190" t="s">
        <v>382</v>
      </c>
      <c r="D21" s="190"/>
      <c r="E21" s="190" t="e">
        <f>C21+D21</f>
        <v>#VALUE!</v>
      </c>
    </row>
    <row r="22" spans="1:5">
      <c r="A22" s="202">
        <v>83</v>
      </c>
      <c r="B22" s="190"/>
      <c r="C22" s="190"/>
      <c r="D22" s="199"/>
      <c r="E22" s="190">
        <f>C22+D22</f>
        <v>0</v>
      </c>
    </row>
    <row r="23" spans="1:5">
      <c r="A23" s="203"/>
      <c r="B23" s="203"/>
      <c r="C23" s="211" t="e">
        <f>C21+C22</f>
        <v>#VALUE!</v>
      </c>
      <c r="D23" s="211">
        <f>D21+D22</f>
        <v>0</v>
      </c>
      <c r="E23" s="209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20</vt:i4>
      </vt:variant>
    </vt:vector>
  </HeadingPairs>
  <TitlesOfParts>
    <vt:vector size="38" baseType="lpstr">
      <vt:lpstr>detail_report</vt:lpstr>
      <vt:lpstr>detail_report_2</vt:lpstr>
      <vt:lpstr>error_report</vt:lpstr>
      <vt:lpstr>correcting_report</vt:lpstr>
      <vt:lpstr>tax_retained_report</vt:lpstr>
      <vt:lpstr>Settings</vt:lpstr>
      <vt:lpstr>Отчеты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cmp_f2ndfl_pers</vt:lpstr>
      <vt:lpstr>cmp_f2ndfl_f6</vt:lpstr>
      <vt:lpstr>data_source_name</vt:lpstr>
      <vt:lpstr>end_date</vt:lpstr>
      <vt:lpstr>menu_item_selected</vt:lpstr>
      <vt:lpstr>oracle_owner</vt:lpstr>
      <vt:lpstr>output</vt:lpstr>
      <vt:lpstr>report_code</vt:lpstr>
      <vt:lpstr>report_date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2018-01-22T08:49:26Z</dcterms:modified>
</cp:coreProperties>
</file>