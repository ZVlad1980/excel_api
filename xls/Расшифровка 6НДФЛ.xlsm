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tax_retained_report" sheetId="281" state="hidden" r:id="rId7"/>
    <sheet name="ndfl6_part2" sheetId="249" state="hidden" r:id="rId8"/>
    <sheet name="ndfl6_part1_general" sheetId="71" state="hidden" r:id="rId9"/>
    <sheet name="ndfl6_part1_rates" sheetId="69" state="hidden" r:id="rId10"/>
    <sheet name="funds_employees" sheetId="73" state="hidden" r:id="rId11"/>
    <sheet name="funds_employees_report" sheetId="123" state="hidden" r:id="rId12"/>
    <sheet name="ndfl6_part1" sheetId="248" state="hidden" r:id="rId13"/>
    <sheet name="tax_diff_report" sheetId="271" state="hidden" r:id="rId14"/>
  </sheets>
  <functionGroups/>
  <externalReferences>
    <externalReference r:id="rId15"/>
  </externalReferences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6">tax_retained_report!$B$44</definedName>
    <definedName name="TAX_RETAINED_DATE" localSheetId="6">tax_retained_report!$B$38</definedName>
    <definedName name="TAX_RETURN" localSheetId="6">tax_retained_report!$B$41</definedName>
    <definedName name="TAX_RETURN_83" localSheetId="6">tax_retained_report!$B$46</definedName>
  </definedNames>
  <calcPr calcId="125725" calcOnSave="0"/>
</workbook>
</file>

<file path=xl/calcChain.xml><?xml version="1.0" encoding="utf-8"?>
<calcChain xmlns="http://schemas.openxmlformats.org/spreadsheetml/2006/main">
  <c r="G5" i="281"/>
  <c r="F5"/>
  <c r="G13"/>
  <c r="G12"/>
  <c r="G11"/>
  <c r="F13"/>
  <c r="F12"/>
  <c r="F11"/>
  <c r="G7"/>
  <c r="G10"/>
  <c r="G9"/>
  <c r="G8"/>
  <c r="H8" s="1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7" i="281" l="1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<sst xmlns="http://schemas.openxmlformats.org/spreadsheetml/2006/main" count="729" uniqueCount="316">
  <si>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</si>
  <si>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</si>
  <si>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</si>
  <si>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</si>
  <si>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</si>
  <si>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</si>
  <si>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</si>
  <si>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</si>
  <si>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</si>
  <si>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</si>
  <si>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</si>
  <si>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</si>
  <si>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</si>
  <si>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</si>
  <si>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</si>
  <si>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</si>
  <si>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</si>
  <si>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</si>
  <si>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</si>
  <si>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</si>
  <si>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</si>
  <si>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</si>
  <si>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</si>
  <si>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</si>
  <si>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</si>
  <si>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</si>
  <si>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</si>
  <si>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</si>
  <si>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</si>
  <si>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</si>
  <si>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</si>
  <si>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</si>
  <si>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</si>
  <si>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</si>
  <si>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</si>
  <si>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</si>
  <si>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</si>
  <si>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</si>
  <si>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</si>
  <si>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</si>
  <si>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</si>
  <si>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</si>
  <si>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</si>
  <si>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</si>
  <si>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</si>
  <si>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</si>
  <si>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</si>
  <si>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</si>
  <si>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</si>
  <si>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</si>
  <si>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</si>
  <si>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</si>
  <si>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</si>
  <si>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</si>
  <si>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</si>
  <si>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</si>
  <si>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</si>
  <si>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</si>
  <si>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</si>
  <si>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</si>
  <si>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</si>
  <si>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</si>
  <si>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</si>
  <si>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</si>
  <si>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</si>
  <si>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</si>
  <si>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</si>
  <si>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</si>
  <si>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</si>
  <si>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</si>
  <si>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</si>
  <si>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</si>
  <si>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</si>
  <si>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</si>
  <si>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</si>
  <si>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</si>
  <si>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</si>
  <si>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</si>
  <si>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</si>
  <si>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</si>
  <si>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</si>
  <si>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</si>
  <si>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</si>
  <si>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</si>
  <si>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</si>
  <si>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</si>
  <si>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</si>
  <si>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</si>
  <si>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</si>
  <si>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</si>
  <si>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</si>
  <si>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</si>
  <si>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</si>
  <si>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</si>
  <si>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</si>
  <si>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</si>
  <si>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</si>
  <si>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</si>
  <si>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</si>
  <si>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</si>
  <si>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</si>
  <si>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</si>
  <si>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</si>
  <si>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</si>
  <si>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</si>
  <si>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</si>
  <si>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</si>
  <si>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</si>
  <si>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</si>
  <si>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</si>
  <si>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</si>
  <si>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</si>
  <si>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</si>
  <si>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</si>
  <si>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</si>
  <si>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</si>
  <si>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</si>
  <si>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</si>
  <si>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</si>
  <si>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</si>
  <si>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</si>
  <si>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</si>
  <si>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</si>
  <si>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</si>
  <si>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</si>
  <si>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</si>
  <si>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</si>
  <si>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</si>
  <si>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</si>
  <si>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</si>
  <si>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</si>
  <si>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</si>
  <si>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</si>
  <si>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</si>
  <si>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</si>
  <si>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</si>
  <si>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</si>
  <si>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</si>
  <si>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</si>
  <si>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</si>
  <si>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</si>
  <si>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</si>
  <si>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</si>
  <si>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</si>
  <si>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</si>
  <si>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</si>
  <si>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</si>
  <si>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</si>
  <si>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</si>
  <si>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</si>
  <si>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</si>
  <si>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</si>
  <si>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</si>
  <si>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</si>
  <si>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</si>
  <si>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</si>
  <si>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</si>
  <si>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</si>
  <si>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</si>
  <si>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</si>
  <si>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</si>
  <si>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</si>
  <si>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</si>
  <si>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</si>
  <si>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</si>
  <si>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p_from_date</t>
  </si>
  <si>
    <t>p_end_date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</si>
  <si>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</si>
  <si>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</si>
  <si>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</si>
  <si>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</si>
  <si>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</si>
  <si>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</si>
  <si>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</si>
  <si>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</si>
  <si>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</si>
  <si>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</si>
  <si>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</si>
  <si>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</si>
  <si>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</si>
  <si>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</si>
  <si>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</si>
  <si>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</si>
  <si>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</si>
  <si>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FONDDB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</si>
  <si>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</si>
  <si>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</si>
  <si>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</si>
  <si>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</si>
  <si>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</si>
  <si>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</si>
  <si>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</si>
  <si>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</si>
  <si>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</si>
  <si>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</si>
  <si>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</si>
  <si>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</si>
  <si>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</si>
  <si>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</si>
  <si>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</si>
  <si>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</si>
  <si>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</si>
  <si>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</si>
  <si>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</si>
  <si>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</si>
  <si>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</si>
  <si>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</si>
  <si>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</si>
  <si>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</si>
  <si>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</si>
  <si>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</si>
  <si>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</si>
  <si>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</si>
  <si>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</si>
  <si>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</si>
  <si>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</si>
  <si>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</si>
  <si>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</si>
  <si>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</si>
  <si>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</si>
  <si>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</si>
  <si>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</si>
  <si>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</si>
  <si>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</si>
  <si>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</si>
  <si>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</si>
  <si>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</si>
  <si>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</si>
  <si>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</si>
  <si>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</si>
  <si>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</si>
  <si>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</si>
  <si>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</si>
  <si>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</si>
  <si>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</si>
  <si>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</si>
  <si>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</si>
  <si>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</si>
  <si>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</si>
  <si>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</si>
  <si>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</si>
  <si>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</si>
  <si>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</si>
  <si>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</si>
  <si>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</si>
  <si>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</si>
  <si>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</si>
  <si>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</si>
  <si>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</si>
  <si>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</si>
  <si>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</si>
  <si>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</si>
  <si>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</si>
  <si>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</si>
  <si>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</si>
  <si>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</si>
  <si>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</si>
  <si>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</si>
  <si>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</si>
  <si>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</si>
  <si>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</si>
  <si>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</si>
  <si>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</si>
  <si>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</si>
  <si>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</si>
  <si>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</si>
  <si>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</si>
  <si>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>tax_diff_report_data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</si>
  <si>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</si>
  <si>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</si>
  <si>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</si>
  <si>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</si>
  <si>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</si>
  <si>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</si>
  <si>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</si>
  <si>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</si>
  <si>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</si>
  <si>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</si>
  <si>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</si>
  <si>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</si>
  <si>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</si>
  <si>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</si>
  <si>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</si>
  <si>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</si>
  <si>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</si>
  <si>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</si>
  <si>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</si>
  <si>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</si>
  <si>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</si>
  <si>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</si>
  <si>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</si>
  <si>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</si>
  <si>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</si>
  <si>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</si>
  <si>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</si>
  <si>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</si>
  <si>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</si>
  <si>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</si>
  <si>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</si>
  <si>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</si>
  <si>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</si>
  <si>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</si>
  <si>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</si>
  <si>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</si>
  <si>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</si>
  <si>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</si>
  <si>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</si>
  <si>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</si>
  <si>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</si>
  <si>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</si>
  <si>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01.01.2017</t>
  </si>
  <si>
    <t>points</t>
  </si>
  <si>
    <t>FND</t>
  </si>
  <si>
    <t>НДФЛ6 Комплект отчетов</t>
  </si>
  <si>
    <t>ndfl_reports_all</t>
  </si>
  <si>
    <t>Ок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</si>
</sst>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2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</cellStyleXfs>
  <cellXfs count="22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220"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219" dataDxfId="217" headerRowBorderDxfId="218" tableBorderDxfId="216" totalsRowBorderDxfId="215">
  <autoFilter ref="A4:J5"/>
  <tableColumns count="10">
    <tableColumn id="1" name="1" dataDxfId="214"/>
    <tableColumn id="2" name="2" dataDxfId="213"/>
    <tableColumn id="5" name="3" dataDxfId="212"/>
    <tableColumn id="6" name="4" dataDxfId="211"/>
    <tableColumn id="7" name="5" dataDxfId="210"/>
    <tableColumn id="10" name="6" dataDxfId="209"/>
    <tableColumn id="11" name="7" dataDxfId="208"/>
    <tableColumn id="12" name="8" dataDxfId="207"/>
    <tableColumn id="13" name="9" dataDxfId="206"/>
    <tableColumn id="14" name="10" dataDxfId="20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204" dataDxfId="202" headerRowBorderDxfId="203" tableBorderDxfId="201" totalsRowBorderDxfId="200">
  <autoFilter ref="A5:P6"/>
  <tableColumns count="16">
    <tableColumn id="1" name="1" dataDxfId="199"/>
    <tableColumn id="2" name="2" dataDxfId="198"/>
    <tableColumn id="3" name="3" dataDxfId="197"/>
    <tableColumn id="4" name="4" dataDxfId="196"/>
    <tableColumn id="5" name="5" dataDxfId="195"/>
    <tableColumn id="6" name="6" dataDxfId="194"/>
    <tableColumn id="7" name="7" dataDxfId="193"/>
    <tableColumn id="8" name="8" dataDxfId="192"/>
    <tableColumn id="9" name="9" dataDxfId="191"/>
    <tableColumn id="10" name="10" dataDxfId="190"/>
    <tableColumn id="11" name="11" dataDxfId="189"/>
    <tableColumn id="12" name="12" dataDxfId="188"/>
    <tableColumn id="13" name="13" dataDxfId="187"/>
    <tableColumn id="14" name="14" dataDxfId="186"/>
    <tableColumn id="15" name="15" dataDxfId="185"/>
    <tableColumn id="16" name="16" dataDxfId="18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183" dataDxfId="181" headerRowBorderDxfId="182" tableBorderDxfId="180" totalsRowBorderDxfId="179">
  <autoFilter ref="A3:I4">
    <filterColumn colId="1"/>
  </autoFilter>
  <tableColumns count="9">
    <tableColumn id="1" name="1" dataDxfId="178"/>
    <tableColumn id="3" name="2" dataDxfId="177"/>
    <tableColumn id="2" name="3" dataDxfId="176"/>
    <tableColumn id="5" name="4" dataDxfId="175"/>
    <tableColumn id="6" name="5" dataDxfId="174"/>
    <tableColumn id="7" name="6" dataDxfId="173"/>
    <tableColumn id="10" name="7" dataDxfId="172"/>
    <tableColumn id="11" name="8" dataDxfId="171"/>
    <tableColumn id="12" name="9" dataDxfId="1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169" dataDxfId="167" headerRowBorderDxfId="168" tableBorderDxfId="166" totalsRowBorderDxfId="16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164"/>
    <tableColumn id="20" name="2" dataDxfId="163"/>
    <tableColumn id="19" name="3" dataDxfId="162"/>
    <tableColumn id="18" name="4" dataDxfId="161"/>
    <tableColumn id="17" name="5" dataDxfId="160"/>
    <tableColumn id="23" name="6" dataDxfId="159"/>
    <tableColumn id="22" name="7" dataDxfId="158"/>
    <tableColumn id="21" name="8" dataDxfId="157"/>
    <tableColumn id="28" name="9" dataDxfId="156"/>
    <tableColumn id="29" name="10" dataDxfId="155"/>
    <tableColumn id="27" name="11" dataDxfId="154"/>
    <tableColumn id="26" name="12" dataDxfId="153"/>
    <tableColumn id="25" name="13" dataDxfId="152"/>
    <tableColumn id="5" name="14" dataDxfId="151"/>
    <tableColumn id="4" name="15" dataDxfId="150"/>
    <tableColumn id="3" name="16" dataDxfId="149"/>
    <tableColumn id="2" name="17" dataDxfId="148"/>
    <tableColumn id="24" name="18" dataDxfId="14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17" totalsRowShown="0">
  <autoFilter ref="D2:E17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37" totalsRowShown="0">
  <autoFilter ref="G2:J37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8" totalsRowShown="0">
  <autoFilter ref="V2:Z8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4" totalsRowShown="0">
  <autoFilter ref="L2:Q24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3" totalsRowShown="0">
  <autoFilter ref="S2:T13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146" tableBorderDxfId="145" totalsRowBorderDxfId="144">
  <autoFilter ref="A2:B8"/>
  <tableColumns count="2">
    <tableColumn id="1" name="Key" totalsRowLabel="Итог" totalsRowDxfId="143"/>
    <tableColumn id="2" name="Value" totalsRowFunction="count" totalsRowDxfId="14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141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2" totalsRowShown="0">
  <autoFilter ref="AB2:AH12">
    <filterColumn colId="5"/>
    <filterColumn colId="6"/>
  </autoFilter>
  <tableColumns count="7">
    <tableColumn id="1" name="Program" dataDxfId="140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7" name="CommonTokens" displayName="CommonTokens" ref="BB2:BC4" totalsRowShown="0">
  <autoFilter ref="BB2:BC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6" name="Таблица16" displayName="Таблица16" ref="C3:C5" totalsRowShown="0" headerRowDxfId="139" dataDxfId="138" tableBorderDxfId="137">
  <tableColumns count="1">
    <tableColumn id="1" name="Столбец1" dataDxfId="136"/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id="42" name="Таблица42" displayName="Таблица42" ref="A4:C14" totalsRowCount="1" headerRowDxfId="134" totalsRowDxfId="133">
  <tableColumns count="3">
    <tableColumn id="1" name="ВИД ВЫПЛАТЫ" totalsRowLabel="Итого" dataDxfId="132" totalsRowDxfId="131" dataCellStyle="Обычный 5"/>
    <tableColumn id="2" name="13%" totalsRowFunction="sum" dataDxfId="130" totalsRowDxfId="129" dataCellStyle="Обычный 5"/>
    <tableColumn id="3" name="30%" totalsRowFunction="sum" dataDxfId="128" totalsRowDxfId="127" dataCellStyle="Обычный 5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id="43" name="Таблица43" displayName="Таблица43" ref="E4:H14" totalsRowCount="1" headerRowDxfId="126" dataDxfId="124" headerRowBorderDxfId="125" headerRowCellStyle="Обычный 5" dataCellStyle="Обычный 5">
  <tableColumns count="4">
    <tableColumn id="1" name="Сумма по ставкам" totalsRowFunction="sum" dataDxfId="123" totalsRowDxfId="122" dataCellStyle="Обычный 5"/>
    <tableColumn id="2" name="13%" dataDxfId="121" totalsRowDxfId="120" dataCellStyle="Обычный 5">
      <calculatedColumnFormula>B31+#REF!-Таблица42[[#This Row],[13%]]</calculatedColumnFormula>
    </tableColumn>
    <tableColumn id="3" name="30%" dataDxfId="119" totalsRowDxfId="118" dataCellStyle="Обычный 5"/>
    <tableColumn id="4" name="Расхождение по ставкам" dataDxfId="117" totalsRowDxfId="116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id="44" name="Таблица44" displayName="Таблица44" ref="A20:H32" totalsRowCount="1" headerRowDxfId="115" totalsRowDxfId="113" headerRowBorderDxfId="114" headerRowCellStyle="Обычный 5">
  <tableColumns count="8">
    <tableColumn id="1" name="ВИД ВЫПЛАТЫ" totalsRowLabel="Итого по ставке" dataDxfId="112" totalsRowDxfId="111" dataCellStyle="Обычный 5"/>
    <tableColumn id="2" name="13%" totalsRowFunction="sum" dataDxfId="110" totalsRowDxfId="109" dataCellStyle="Обычный 5"/>
    <tableColumn id="3" name="30%" totalsRowFunction="sum" dataDxfId="108" totalsRowDxfId="107" dataCellStyle="Обычный 5"/>
    <tableColumn id="4" name="Столбец1" totalsRowDxfId="106" dataCellStyle="Обычный 5"/>
    <tableColumn id="5" name="без исправлений" dataDxfId="105" totalsRowDxfId="104" dataCellStyle="Обычный 5"/>
    <tableColumn id="6" name="с корректоровкой" dataDxfId="103" totalsRowDxfId="102" dataCellStyle="Обычный 5"/>
    <tableColumn id="7" name="без исправлений2" dataDxfId="101" totalsRowDxfId="100" dataCellStyle="Обычный 5"/>
    <tableColumn id="8" name="с корректоровкой3" dataDxfId="99" totalsRowDxfId="98" dataCellStyle="Обычный 5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id="26" name="Таблица26" displayName="Таблица26" ref="B6:D7" totalsRowShown="0" headerRowDxfId="97" headerRowBorderDxfId="96" tableBorderDxfId="95" headerRowCellStyle="Обычный 4">
  <autoFilter ref="B6:D7"/>
  <tableColumns count="3">
    <tableColumn id="1" name="100" dataDxfId="94" dataCellStyle="Обычный 4"/>
    <tableColumn id="2" name="130" dataDxfId="93" dataCellStyle="Обычный 4"/>
    <tableColumn id="3" name="140" dataDxfId="92" dataCellStyle="Обычный 4"/>
  </tableColumns>
  <tableStyleInfo name="TableStyleLight1" showFirstColumn="0" showLastColumn="0" showRowStripes="0" showColumnStripes="0"/>
</table>
</file>

<file path=xl/tables/table27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91" dataDxfId="90"/>
  </tableColumns>
  <tableStyleInfo showFirstColumn="0" showLastColumn="0" showRowStripes="0" showColumnStripes="0"/>
</table>
</file>

<file path=xl/tables/table28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89" dataDxfId="88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4" name="Таблица4" displayName="Таблица4" ref="B5:E5" headerRowCount="0" totalsRowShown="0" headerRowDxfId="87" dataDxfId="86" tableBorderDxfId="85" totalsRowBorderDxfId="84">
  <tableColumns count="4">
    <tableColumn id="1" name="Столбец1" headerRowDxfId="83" dataDxfId="82" dataCellStyle="Обычный 4"/>
    <tableColumn id="2" name="Столбец2" headerRowDxfId="81" dataDxfId="80" headerRowCellStyle="Обычный 4" dataCellStyle="Обычный 4"/>
    <tableColumn id="3" name="Столбец3" headerRowDxfId="79" dataDxfId="78"/>
    <tableColumn id="4" name="Столбец4" headerRowDxfId="77" dataDxfId="76" headerRowCellStyle="Обычный 4" dataCellStyle="Обычный 4"/>
  </tableColumns>
  <tableStyleInfo name="TableStyleLight1" showFirstColumn="0" showLastColumn="0" showRowStripes="0" showColumnStripes="0"/>
</table>
</file>

<file path=xl/tables/table30.xml><?xml version="1.0" encoding="utf-8"?>
<table xmlns="http://schemas.openxmlformats.org/spreadsheetml/2006/main" id="29" name="Таблица29" displayName="Таблица29" ref="A4:H5" headerRowCount="0" totalsRowCount="1" headerRowDxfId="75" dataDxfId="74">
  <tableColumns count="8">
    <tableColumn id="1" name="Столбец1" totalsRowLabel="Итого:" headerRowDxfId="73" dataDxfId="72" totalsRowDxfId="71"/>
    <tableColumn id="2" name="Столбец2" headerRowDxfId="70" dataDxfId="69" totalsRowDxfId="68"/>
    <tableColumn id="3" name="Столбец3" totalsRowFunction="sum" headerRowDxfId="67" dataDxfId="66" totalsRowDxfId="65"/>
    <tableColumn id="4" name="Столбец4" totalsRowFunction="sum" headerRowDxfId="64" dataDxfId="63" totalsRowDxfId="62"/>
    <tableColumn id="5" name="Столбец5" totalsRowFunction="sum" headerRowDxfId="61" dataDxfId="60" totalsRowDxfId="59"/>
    <tableColumn id="6" name="Столбец6" totalsRowFunction="sum" headerRowDxfId="58" dataDxfId="57" totalsRowDxfId="56"/>
    <tableColumn id="7" name="Столбец7" totalsRowFunction="sum" headerRowDxfId="55" dataDxfId="54" totalsRowDxfId="53"/>
    <tableColumn id="8" name="Столбец8" totalsRowFunction="sum" headerRowDxfId="52" dataDxfId="51" totalsRowDxfId="50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49" totalsRowDxfId="48"/>
    <tableColumn id="4" name="Столбец2" dataDxfId="47"/>
    <tableColumn id="5" name="итог" dataDxfId="46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45"/>
    <tableColumn id="2" name="Столбец2"/>
    <tableColumn id="3" name="Столбец3" totalsRowFunction="sum" headerRowDxfId="44" dataDxfId="43" totalsRowDxfId="42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47" name="Таблица47" displayName="Таблица47" ref="A23:F25" totalsRowCount="1" headerRowDxfId="41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40"/>
    <tableColumn id="5" name="Налог удержанный" totalsRowFunction="sum" dataDxfId="39"/>
    <tableColumn id="6" name="Разница" totalsRowFunction="sum" dataDxfId="38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8" name="Таблица8" displayName="Таблица8" ref="A1:D2" insertRow="1" totalsRowShown="0" headerRowDxfId="37" headerRowBorderDxfId="36" tableBorderDxfId="35" totalsRowBorderDxfId="34">
  <autoFilter ref="A1:D2">
    <filterColumn colId="2"/>
    <filterColumn colId="3"/>
  </autoFilter>
  <tableColumns count="4">
    <tableColumn id="1" name="ФИО" dataDxfId="33"/>
    <tableColumn id="5" name="Дата рождения" dataDxfId="32"/>
    <tableColumn id="2" name="Снилс"/>
    <tableColumn id="3" name="ИНН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5" name="Таблица8526" displayName="Таблица8526" ref="A2:I3" totalsRowShown="0" headerRowDxfId="31" headerRowBorderDxfId="30" tableBorderDxfId="29" totalsRowBorderDxfId="28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27"/>
    <tableColumn id="6" name="Имя" dataDxfId="26"/>
    <tableColumn id="4" name="Отчество" dataDxfId="25"/>
    <tableColumn id="5" name="Дата рождения" dataDxfId="24"/>
    <tableColumn id="3" name="ИНН" dataDxfId="23"/>
    <tableColumn id="1" name="Участник/Не участник" dataDxfId="22"/>
    <tableColumn id="2" name="Доход" dataDxfId="21"/>
    <tableColumn id="8" name="Пенсионные схемы" dataDxfId="20"/>
    <tableColumn id="9" name="Типы дохода" dataDxfId="19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52" name="Таблица52" displayName="Таблица52" ref="A5:I6" headerRowDxfId="18">
  <autoFilter ref="A5:I6">
    <filterColumn colId="5"/>
  </autoFilter>
  <tableColumns count="9">
    <tableColumn id="1" name="Контрагент ID" totalsRowLabel="Итог" dataDxfId="17" totalsRowDxfId="16"/>
    <tableColumn id="2" name="Фамилия" dataDxfId="15" totalsRowDxfId="14"/>
    <tableColumn id="3" name="Имя" dataDxfId="13" totalsRowDxfId="12"/>
    <tableColumn id="4" name="Отчество" dataDxfId="11" totalsRowDxfId="10"/>
    <tableColumn id="5" name="Ставка" dataDxfId="9" totalsRowDxfId="8"/>
    <tableColumn id="9" name="Количество счетов" dataDxfId="7" totalsRowDxfId="6"/>
    <tableColumn id="6" name="Исчисленный налог" dataDxfId="5" totalsRowDxfId="4"/>
    <tableColumn id="7" name="Удержанный налог" dataDxfId="3" totalsRowDxfId="2"/>
    <tableColumn id="8" name="Недоплата" totalsRowFunction="sum" dataDxfId="1" totalsRowDxfId="0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166" t="s">
        <v>253</v>
      </c>
      <c r="B1" s="167"/>
      <c r="C1" s="167"/>
      <c r="D1" s="167"/>
      <c r="E1" s="167"/>
      <c r="F1" s="167"/>
      <c r="G1" s="167"/>
      <c r="H1" s="167"/>
      <c r="I1" s="167"/>
      <c r="J1" s="167"/>
    </row>
    <row r="2" spans="1:10" ht="31.5" customHeight="1">
      <c r="A2" s="164" t="s">
        <v>4</v>
      </c>
      <c r="B2" s="164"/>
      <c r="C2" s="164"/>
      <c r="D2" s="164"/>
      <c r="E2" s="164"/>
      <c r="F2" s="165" t="s">
        <v>23</v>
      </c>
      <c r="G2" s="165"/>
      <c r="H2" s="165"/>
      <c r="I2" s="165"/>
      <c r="J2" s="165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168" t="s">
        <v>253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</row>
    <row r="2" spans="1:16" ht="31.5" customHeight="1">
      <c r="A2" s="173" t="s">
        <v>4</v>
      </c>
      <c r="B2" s="174"/>
      <c r="C2" s="174"/>
      <c r="D2" s="174"/>
      <c r="E2" s="174"/>
      <c r="F2" s="174"/>
      <c r="G2" s="174"/>
      <c r="H2" s="174"/>
      <c r="I2" s="175"/>
      <c r="J2" s="176" t="s">
        <v>23</v>
      </c>
      <c r="K2" s="177"/>
      <c r="L2" s="177"/>
      <c r="M2" s="177"/>
      <c r="N2" s="177"/>
      <c r="O2" s="177"/>
      <c r="P2" s="178"/>
    </row>
    <row r="3" spans="1:16" ht="24" customHeight="1">
      <c r="A3" s="179" t="s">
        <v>0</v>
      </c>
      <c r="B3" s="181" t="s">
        <v>29</v>
      </c>
      <c r="C3" s="181" t="s">
        <v>3</v>
      </c>
      <c r="D3" s="181" t="s">
        <v>30</v>
      </c>
      <c r="E3" s="183" t="s">
        <v>5</v>
      </c>
      <c r="F3" s="184"/>
      <c r="G3" s="185"/>
      <c r="H3" s="183" t="s">
        <v>6</v>
      </c>
      <c r="I3" s="186"/>
      <c r="J3" s="187" t="s">
        <v>28</v>
      </c>
      <c r="K3" s="187" t="s">
        <v>32</v>
      </c>
      <c r="L3" s="169" t="s">
        <v>5</v>
      </c>
      <c r="M3" s="170"/>
      <c r="N3" s="171"/>
      <c r="O3" s="169" t="s">
        <v>6</v>
      </c>
      <c r="P3" s="172"/>
    </row>
    <row r="4" spans="1:16" ht="38.25" customHeight="1">
      <c r="A4" s="180"/>
      <c r="B4" s="182"/>
      <c r="C4" s="182"/>
      <c r="D4" s="182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188"/>
      <c r="K4" s="188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sqref="A1:I1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168" t="s">
        <v>254</v>
      </c>
      <c r="B1" s="168"/>
      <c r="C1" s="168"/>
      <c r="D1" s="168"/>
      <c r="E1" s="168"/>
      <c r="F1" s="168"/>
      <c r="G1" s="168"/>
      <c r="H1" s="168"/>
      <c r="I1" s="168"/>
      <c r="J1" s="111"/>
      <c r="K1" s="111"/>
      <c r="L1" s="111"/>
      <c r="M1" s="111"/>
      <c r="N1" s="111"/>
      <c r="O1" s="111"/>
      <c r="P1" s="111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A2" sqref="A2:D2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189" t="s">
        <v>255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</row>
    <row r="2" spans="1:18" ht="31.5" customHeight="1">
      <c r="A2" s="164" t="s">
        <v>59</v>
      </c>
      <c r="B2" s="164"/>
      <c r="C2" s="164"/>
      <c r="D2" s="164"/>
      <c r="E2" s="164" t="s">
        <v>58</v>
      </c>
      <c r="F2" s="164"/>
      <c r="G2" s="164"/>
      <c r="H2" s="164"/>
      <c r="I2" s="164"/>
      <c r="J2" s="164"/>
      <c r="K2" s="190" t="s">
        <v>52</v>
      </c>
      <c r="L2" s="190" t="s">
        <v>53</v>
      </c>
      <c r="M2" s="190" t="s">
        <v>38</v>
      </c>
      <c r="N2" s="190" t="s">
        <v>54</v>
      </c>
      <c r="O2" s="164" t="s">
        <v>60</v>
      </c>
      <c r="P2" s="164"/>
      <c r="Q2" s="164"/>
      <c r="R2" s="164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190"/>
      <c r="L3" s="190"/>
      <c r="M3" s="190"/>
      <c r="N3" s="190"/>
      <c r="O3" s="19" t="s">
        <v>62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BE37"/>
  <sheetViews>
    <sheetView workbookViewId="0">
      <selection activeCell="I10" sqref="I10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191" t="s">
        <v>117</v>
      </c>
      <c r="B1" s="191"/>
      <c r="D1" s="192" t="s">
        <v>118</v>
      </c>
      <c r="E1" s="192"/>
      <c r="G1" s="192" t="s">
        <v>113</v>
      </c>
      <c r="H1" s="192"/>
      <c r="I1" s="192"/>
      <c r="J1" s="192"/>
      <c r="L1" s="192" t="s">
        <v>108</v>
      </c>
      <c r="M1" s="192"/>
      <c r="N1" s="192"/>
      <c r="O1" s="192"/>
      <c r="P1" s="192"/>
      <c r="Q1" s="192"/>
      <c r="S1" s="192" t="s">
        <v>114</v>
      </c>
      <c r="T1" s="192"/>
      <c r="V1" s="192" t="s">
        <v>105</v>
      </c>
      <c r="W1" s="192"/>
      <c r="X1" s="192"/>
      <c r="Y1" s="192"/>
      <c r="Z1" s="192"/>
      <c r="AB1" s="192" t="s">
        <v>145</v>
      </c>
      <c r="AC1" s="192"/>
      <c r="AD1" s="192"/>
      <c r="AE1" s="192"/>
      <c r="AF1" s="192"/>
      <c r="AG1" s="192"/>
      <c r="AH1" s="192"/>
      <c r="AJ1" s="38" t="s">
        <v>131</v>
      </c>
      <c r="AL1" s="38" t="s">
        <v>133</v>
      </c>
      <c r="AN1" s="38" t="s">
        <v>135</v>
      </c>
      <c r="AP1" s="38" t="s">
        <v>144</v>
      </c>
      <c r="AR1" s="38" t="s">
        <v>153</v>
      </c>
      <c r="AT1" s="38" t="s">
        <v>154</v>
      </c>
      <c r="AV1" s="38" t="s">
        <v>146</v>
      </c>
      <c r="AX1" s="38" t="s">
        <v>159</v>
      </c>
      <c r="AZ1" s="38" t="s">
        <v>168</v>
      </c>
      <c r="BB1" s="193" t="s">
        <v>250</v>
      </c>
      <c r="BC1" s="193"/>
    </row>
    <row r="2" spans="1:57">
      <c r="A2" s="6" t="s">
        <v>138</v>
      </c>
      <c r="B2" s="6" t="s">
        <v>116</v>
      </c>
      <c r="D2" t="s">
        <v>109</v>
      </c>
      <c r="E2" t="s">
        <v>123</v>
      </c>
      <c r="G2" t="s">
        <v>109</v>
      </c>
      <c r="H2" t="s">
        <v>125</v>
      </c>
      <c r="I2" t="s">
        <v>112</v>
      </c>
      <c r="J2" t="s">
        <v>168</v>
      </c>
      <c r="L2" t="s">
        <v>109</v>
      </c>
      <c r="M2" t="s">
        <v>31</v>
      </c>
      <c r="N2" t="s">
        <v>97</v>
      </c>
      <c r="O2" t="s">
        <v>132</v>
      </c>
      <c r="P2" t="s">
        <v>127</v>
      </c>
      <c r="Q2" t="s">
        <v>119</v>
      </c>
      <c r="S2" t="s">
        <v>109</v>
      </c>
      <c r="T2" t="s">
        <v>115</v>
      </c>
      <c r="V2" t="s">
        <v>109</v>
      </c>
      <c r="W2" t="s">
        <v>125</v>
      </c>
      <c r="X2" t="s">
        <v>141</v>
      </c>
      <c r="Y2" t="s">
        <v>147</v>
      </c>
      <c r="Z2" t="s">
        <v>129</v>
      </c>
      <c r="AB2" t="s">
        <v>127</v>
      </c>
      <c r="AC2" t="s">
        <v>155</v>
      </c>
      <c r="AD2" t="s">
        <v>146</v>
      </c>
      <c r="AE2" t="s">
        <v>156</v>
      </c>
      <c r="AF2" t="s">
        <v>157</v>
      </c>
      <c r="AG2" t="s">
        <v>162</v>
      </c>
      <c r="AH2" t="s">
        <v>167</v>
      </c>
      <c r="AJ2" t="s">
        <v>109</v>
      </c>
      <c r="AL2" t="s">
        <v>109</v>
      </c>
      <c r="AN2" t="s">
        <v>109</v>
      </c>
      <c r="AP2" t="s">
        <v>109</v>
      </c>
      <c r="AR2" t="s">
        <v>109</v>
      </c>
      <c r="AT2" t="s">
        <v>109</v>
      </c>
      <c r="AV2" t="s">
        <v>109</v>
      </c>
      <c r="AX2" t="s">
        <v>109</v>
      </c>
      <c r="AZ2" t="s">
        <v>109</v>
      </c>
      <c r="BB2" t="s">
        <v>138</v>
      </c>
      <c r="BC2" t="s">
        <v>116</v>
      </c>
    </row>
    <row r="3" spans="1:57">
      <c r="A3" s="6" t="s">
        <v>183</v>
      </c>
      <c r="B3" s="6" t="s">
        <v>184</v>
      </c>
      <c r="D3" t="s">
        <v>44</v>
      </c>
      <c r="E3" t="s">
        <v>43</v>
      </c>
      <c r="G3" t="s">
        <v>27</v>
      </c>
      <c r="H3" t="s">
        <v>106</v>
      </c>
      <c r="I3" t="s">
        <v>27</v>
      </c>
      <c r="L3" t="s">
        <v>27</v>
      </c>
      <c r="M3" t="s">
        <v>27</v>
      </c>
      <c r="N3" t="s">
        <v>25</v>
      </c>
      <c r="O3" t="s">
        <v>130</v>
      </c>
      <c r="P3" t="s">
        <v>128</v>
      </c>
      <c r="Q3" t="s">
        <v>136</v>
      </c>
      <c r="S3" t="s">
        <v>121</v>
      </c>
      <c r="T3" t="s">
        <v>139</v>
      </c>
      <c r="V3" s="6" t="s">
        <v>174</v>
      </c>
      <c r="W3" t="s">
        <v>126</v>
      </c>
      <c r="X3" t="s">
        <v>143</v>
      </c>
      <c r="Z3" t="s">
        <v>176</v>
      </c>
      <c r="AB3" s="6" t="s">
        <v>128</v>
      </c>
      <c r="AC3" t="s">
        <v>164</v>
      </c>
      <c r="AD3" t="s">
        <v>149</v>
      </c>
      <c r="AG3">
        <v>2000</v>
      </c>
      <c r="AH3" t="s">
        <v>143</v>
      </c>
      <c r="AJ3" s="36" t="s">
        <v>106</v>
      </c>
      <c r="AL3" t="s">
        <v>130</v>
      </c>
      <c r="AN3" t="s">
        <v>136</v>
      </c>
      <c r="AP3" t="s">
        <v>126</v>
      </c>
      <c r="AR3" t="s">
        <v>152</v>
      </c>
      <c r="AT3" t="s">
        <v>148</v>
      </c>
      <c r="AV3" t="s">
        <v>150</v>
      </c>
      <c r="AX3" t="s">
        <v>143</v>
      </c>
      <c r="AZ3" t="s">
        <v>169</v>
      </c>
      <c r="BB3" t="s">
        <v>251</v>
      </c>
      <c r="BC3" t="s">
        <v>160</v>
      </c>
    </row>
    <row r="4" spans="1:57">
      <c r="A4" s="7" t="s">
        <v>103</v>
      </c>
      <c r="B4" s="7" t="s">
        <v>312</v>
      </c>
      <c r="D4" t="s">
        <v>270</v>
      </c>
      <c r="E4" s="6" t="s">
        <v>185</v>
      </c>
      <c r="G4" t="s">
        <v>33</v>
      </c>
      <c r="H4" t="s">
        <v>106</v>
      </c>
      <c r="I4" t="s">
        <v>33</v>
      </c>
      <c r="L4" t="s">
        <v>33</v>
      </c>
      <c r="M4" t="s">
        <v>33</v>
      </c>
      <c r="N4" t="s">
        <v>34</v>
      </c>
      <c r="O4" t="s">
        <v>130</v>
      </c>
      <c r="P4" t="s">
        <v>128</v>
      </c>
      <c r="Q4" t="s">
        <v>136</v>
      </c>
      <c r="S4" t="s">
        <v>121</v>
      </c>
      <c r="T4" s="6" t="s">
        <v>193</v>
      </c>
      <c r="V4" s="6" t="s">
        <v>128</v>
      </c>
      <c r="W4" t="s">
        <v>163</v>
      </c>
      <c r="X4" t="s">
        <v>143</v>
      </c>
      <c r="Y4" t="s">
        <v>148</v>
      </c>
      <c r="Z4" s="6" t="s">
        <v>247</v>
      </c>
      <c r="AA4" s="6"/>
      <c r="AB4" s="46" t="s">
        <v>128</v>
      </c>
      <c r="AC4" s="6" t="s">
        <v>158</v>
      </c>
      <c r="AD4" s="6" t="s">
        <v>150</v>
      </c>
      <c r="AE4" s="6" t="s">
        <v>151</v>
      </c>
      <c r="AF4" s="6" t="s">
        <v>143</v>
      </c>
      <c r="AG4" s="6">
        <v>40</v>
      </c>
      <c r="AH4" s="6" t="s">
        <v>142</v>
      </c>
      <c r="AJ4" s="37" t="s">
        <v>107</v>
      </c>
      <c r="AL4" t="s">
        <v>134</v>
      </c>
      <c r="AN4" t="s">
        <v>120</v>
      </c>
      <c r="AP4" t="s">
        <v>163</v>
      </c>
      <c r="AV4" t="s">
        <v>149</v>
      </c>
      <c r="AX4" t="s">
        <v>142</v>
      </c>
      <c r="BB4" t="s">
        <v>252</v>
      </c>
      <c r="BC4" t="s">
        <v>161</v>
      </c>
    </row>
    <row r="5" spans="1:57">
      <c r="A5" s="7" t="s">
        <v>104</v>
      </c>
      <c r="B5" s="7" t="s">
        <v>26</v>
      </c>
      <c r="D5" t="s">
        <v>313</v>
      </c>
      <c r="E5" s="6" t="s">
        <v>314</v>
      </c>
      <c r="G5" t="s">
        <v>43</v>
      </c>
      <c r="H5" t="s">
        <v>106</v>
      </c>
      <c r="I5" t="s">
        <v>43</v>
      </c>
      <c r="L5" t="s">
        <v>43</v>
      </c>
      <c r="M5" t="s">
        <v>43</v>
      </c>
      <c r="N5" t="s">
        <v>44</v>
      </c>
      <c r="O5" t="s">
        <v>130</v>
      </c>
      <c r="P5" t="s">
        <v>128</v>
      </c>
      <c r="Q5" t="s">
        <v>136</v>
      </c>
      <c r="S5" t="s">
        <v>121</v>
      </c>
      <c r="T5" s="6" t="s">
        <v>194</v>
      </c>
      <c r="V5" s="6" t="s">
        <v>170</v>
      </c>
      <c r="W5" t="s">
        <v>126</v>
      </c>
      <c r="X5" t="s">
        <v>142</v>
      </c>
      <c r="Y5" s="6"/>
      <c r="Z5" t="s">
        <v>171</v>
      </c>
      <c r="AB5" s="46" t="s">
        <v>128</v>
      </c>
      <c r="AC5" s="6" t="s">
        <v>165</v>
      </c>
      <c r="AD5" s="6" t="s">
        <v>150</v>
      </c>
      <c r="AE5" s="6" t="s">
        <v>160</v>
      </c>
      <c r="AF5" s="6" t="s">
        <v>143</v>
      </c>
      <c r="AG5" s="6">
        <v>20</v>
      </c>
      <c r="AH5" s="6" t="s">
        <v>142</v>
      </c>
      <c r="AN5" s="6" t="s">
        <v>311</v>
      </c>
    </row>
    <row r="6" spans="1:57">
      <c r="A6" s="6" t="s">
        <v>124</v>
      </c>
      <c r="B6" s="6" t="str">
        <f>VLOOKUP(ReportSelected,Menu[],2,FALSE)</f>
        <v>error_report</v>
      </c>
      <c r="D6" t="s">
        <v>25</v>
      </c>
      <c r="E6" t="s">
        <v>27</v>
      </c>
      <c r="G6" t="s">
        <v>66</v>
      </c>
      <c r="H6" t="s">
        <v>106</v>
      </c>
      <c r="I6" t="s">
        <v>66</v>
      </c>
      <c r="L6" t="s">
        <v>66</v>
      </c>
      <c r="M6" t="s">
        <v>66</v>
      </c>
      <c r="N6" t="s">
        <v>67</v>
      </c>
      <c r="O6" t="s">
        <v>130</v>
      </c>
      <c r="P6" t="s">
        <v>128</v>
      </c>
      <c r="Q6" t="s">
        <v>136</v>
      </c>
      <c r="S6" s="6" t="s">
        <v>77</v>
      </c>
      <c r="T6" s="6" t="s">
        <v>140</v>
      </c>
      <c r="V6" s="6" t="s">
        <v>175</v>
      </c>
      <c r="W6" t="s">
        <v>163</v>
      </c>
      <c r="X6" t="s">
        <v>143</v>
      </c>
      <c r="Y6" s="6"/>
      <c r="Z6" s="6" t="s">
        <v>248</v>
      </c>
      <c r="AB6" s="46" t="s">
        <v>128</v>
      </c>
      <c r="AC6" s="6" t="s">
        <v>166</v>
      </c>
      <c r="AD6" s="6" t="s">
        <v>150</v>
      </c>
      <c r="AE6" s="6" t="s">
        <v>161</v>
      </c>
      <c r="AF6" s="6" t="s">
        <v>143</v>
      </c>
      <c r="AG6" s="6">
        <v>20</v>
      </c>
      <c r="AH6" s="6" t="s">
        <v>142</v>
      </c>
    </row>
    <row r="7" spans="1:57">
      <c r="A7" s="39" t="s">
        <v>151</v>
      </c>
      <c r="B7" s="6" t="s">
        <v>194</v>
      </c>
      <c r="D7" t="s">
        <v>34</v>
      </c>
      <c r="E7" t="s">
        <v>33</v>
      </c>
      <c r="G7" t="s">
        <v>121</v>
      </c>
      <c r="H7" t="s">
        <v>106</v>
      </c>
      <c r="I7" t="s">
        <v>121</v>
      </c>
      <c r="L7" t="s">
        <v>121</v>
      </c>
      <c r="M7" t="s">
        <v>121</v>
      </c>
      <c r="N7" t="s">
        <v>76</v>
      </c>
      <c r="O7" t="s">
        <v>130</v>
      </c>
      <c r="Q7" t="s">
        <v>120</v>
      </c>
      <c r="S7" s="6" t="s">
        <v>77</v>
      </c>
      <c r="T7" s="6" t="s">
        <v>214</v>
      </c>
      <c r="V7" s="6" t="s">
        <v>185</v>
      </c>
      <c r="W7" t="s">
        <v>163</v>
      </c>
      <c r="X7" t="s">
        <v>143</v>
      </c>
      <c r="Y7" s="6"/>
      <c r="Z7" s="6" t="s">
        <v>249</v>
      </c>
      <c r="AB7" s="6" t="s">
        <v>175</v>
      </c>
      <c r="AC7" t="s">
        <v>164</v>
      </c>
      <c r="AD7" t="s">
        <v>149</v>
      </c>
      <c r="AG7">
        <v>2000</v>
      </c>
      <c r="AH7" t="s">
        <v>143</v>
      </c>
    </row>
    <row r="8" spans="1:57">
      <c r="A8" s="6"/>
      <c r="B8" s="6"/>
      <c r="D8" t="s">
        <v>67</v>
      </c>
      <c r="E8" t="s">
        <v>66</v>
      </c>
      <c r="G8" t="s">
        <v>77</v>
      </c>
      <c r="H8" t="s">
        <v>106</v>
      </c>
      <c r="I8" t="s">
        <v>77</v>
      </c>
      <c r="L8" t="s">
        <v>77</v>
      </c>
      <c r="M8" t="s">
        <v>77</v>
      </c>
      <c r="N8" t="s">
        <v>78</v>
      </c>
      <c r="O8" t="s">
        <v>130</v>
      </c>
      <c r="Q8" t="s">
        <v>120</v>
      </c>
      <c r="S8" s="6" t="s">
        <v>77</v>
      </c>
      <c r="T8" s="6" t="s">
        <v>215</v>
      </c>
      <c r="V8" s="6" t="s">
        <v>307</v>
      </c>
      <c r="W8" s="6" t="s">
        <v>126</v>
      </c>
      <c r="X8" s="6" t="s">
        <v>143</v>
      </c>
      <c r="Y8" s="6"/>
      <c r="Z8" s="6" t="s">
        <v>308</v>
      </c>
      <c r="AB8" s="6" t="s">
        <v>175</v>
      </c>
      <c r="AC8" s="6" t="s">
        <v>173</v>
      </c>
      <c r="AD8" s="6" t="s">
        <v>150</v>
      </c>
      <c r="AE8" s="6" t="s">
        <v>161</v>
      </c>
      <c r="AF8" s="6" t="s">
        <v>143</v>
      </c>
      <c r="AG8" s="6">
        <v>20</v>
      </c>
      <c r="AH8" s="6" t="s">
        <v>142</v>
      </c>
      <c r="BE8" s="109"/>
    </row>
    <row r="9" spans="1:57">
      <c r="A9" s="6"/>
      <c r="B9" s="6"/>
      <c r="D9" t="s">
        <v>261</v>
      </c>
      <c r="E9" s="6" t="s">
        <v>262</v>
      </c>
      <c r="G9" t="s">
        <v>110</v>
      </c>
      <c r="H9" t="s">
        <v>106</v>
      </c>
      <c r="I9" t="s">
        <v>181</v>
      </c>
      <c r="J9" t="s">
        <v>169</v>
      </c>
      <c r="L9" t="s">
        <v>182</v>
      </c>
      <c r="M9" t="s">
        <v>180</v>
      </c>
      <c r="N9" t="s">
        <v>98</v>
      </c>
      <c r="O9" t="s">
        <v>130</v>
      </c>
      <c r="P9" t="s">
        <v>128</v>
      </c>
      <c r="Q9" t="s">
        <v>136</v>
      </c>
      <c r="S9" s="6" t="s">
        <v>77</v>
      </c>
      <c r="T9" s="6" t="s">
        <v>219</v>
      </c>
      <c r="AB9" s="47" t="s">
        <v>185</v>
      </c>
      <c r="AC9" t="s">
        <v>164</v>
      </c>
      <c r="AD9" t="s">
        <v>149</v>
      </c>
      <c r="AG9">
        <v>2000</v>
      </c>
      <c r="AH9" t="s">
        <v>143</v>
      </c>
    </row>
    <row r="10" spans="1:57">
      <c r="A10" s="6"/>
      <c r="B10" s="6"/>
      <c r="D10" t="s">
        <v>271</v>
      </c>
      <c r="E10" s="6" t="s">
        <v>307</v>
      </c>
      <c r="G10" t="s">
        <v>110</v>
      </c>
      <c r="H10" t="s">
        <v>107</v>
      </c>
      <c r="I10" t="s">
        <v>170</v>
      </c>
      <c r="L10" t="s">
        <v>181</v>
      </c>
      <c r="M10" t="s">
        <v>96</v>
      </c>
      <c r="N10" t="s">
        <v>98</v>
      </c>
      <c r="O10" t="s">
        <v>130</v>
      </c>
      <c r="P10" s="6"/>
      <c r="Q10" t="s">
        <v>136</v>
      </c>
      <c r="S10" s="6" t="s">
        <v>77</v>
      </c>
      <c r="T10" s="6" t="s">
        <v>221</v>
      </c>
      <c r="AB10" s="47" t="s">
        <v>185</v>
      </c>
      <c r="AC10" s="6" t="s">
        <v>166</v>
      </c>
      <c r="AD10" s="6" t="s">
        <v>150</v>
      </c>
      <c r="AE10" s="6" t="s">
        <v>161</v>
      </c>
      <c r="AF10" s="6" t="s">
        <v>143</v>
      </c>
      <c r="AG10" s="6">
        <v>20</v>
      </c>
      <c r="AH10" s="6" t="s">
        <v>142</v>
      </c>
    </row>
    <row r="11" spans="1:57">
      <c r="A11" s="6"/>
      <c r="B11" s="6"/>
      <c r="D11" s="6" t="s">
        <v>245</v>
      </c>
      <c r="E11" s="6" t="s">
        <v>246</v>
      </c>
      <c r="G11" t="s">
        <v>172</v>
      </c>
      <c r="H11" t="s">
        <v>107</v>
      </c>
      <c r="I11" t="s">
        <v>174</v>
      </c>
      <c r="L11" s="6" t="s">
        <v>193</v>
      </c>
      <c r="M11" s="6" t="s">
        <v>195</v>
      </c>
      <c r="N11" s="6" t="s">
        <v>193</v>
      </c>
      <c r="O11" t="s">
        <v>130</v>
      </c>
      <c r="P11" t="s">
        <v>128</v>
      </c>
      <c r="Q11" t="s">
        <v>136</v>
      </c>
      <c r="S11" s="6" t="s">
        <v>243</v>
      </c>
      <c r="T11" s="6" t="s">
        <v>241</v>
      </c>
      <c r="AB11" s="146" t="s">
        <v>307</v>
      </c>
      <c r="AC11" t="s">
        <v>164</v>
      </c>
      <c r="AD11" s="6" t="s">
        <v>149</v>
      </c>
      <c r="AE11" s="6"/>
      <c r="AF11" s="6"/>
      <c r="AG11">
        <v>2000</v>
      </c>
      <c r="AH11" t="s">
        <v>143</v>
      </c>
    </row>
    <row r="12" spans="1:57">
      <c r="A12" s="6"/>
      <c r="B12" s="6"/>
      <c r="D12" s="6" t="s">
        <v>229</v>
      </c>
      <c r="E12" t="s">
        <v>230</v>
      </c>
      <c r="G12" t="s">
        <v>172</v>
      </c>
      <c r="H12" t="s">
        <v>107</v>
      </c>
      <c r="I12" t="s">
        <v>175</v>
      </c>
      <c r="L12" s="6" t="s">
        <v>194</v>
      </c>
      <c r="M12" s="6" t="s">
        <v>195</v>
      </c>
      <c r="N12" s="6" t="s">
        <v>194</v>
      </c>
      <c r="O12" t="s">
        <v>130</v>
      </c>
      <c r="P12" t="s">
        <v>128</v>
      </c>
      <c r="Q12" t="s">
        <v>136</v>
      </c>
      <c r="S12" s="6" t="s">
        <v>262</v>
      </c>
      <c r="T12" t="s">
        <v>267</v>
      </c>
      <c r="AB12" s="146" t="s">
        <v>307</v>
      </c>
      <c r="AC12" s="6" t="s">
        <v>158</v>
      </c>
      <c r="AD12" s="6" t="s">
        <v>150</v>
      </c>
      <c r="AE12" s="6" t="s">
        <v>151</v>
      </c>
      <c r="AF12" s="6" t="s">
        <v>143</v>
      </c>
      <c r="AG12" s="6">
        <v>40</v>
      </c>
      <c r="AH12" s="6" t="s">
        <v>142</v>
      </c>
    </row>
    <row r="13" spans="1:57">
      <c r="D13" t="s">
        <v>76</v>
      </c>
      <c r="E13" t="s">
        <v>121</v>
      </c>
      <c r="G13" t="s">
        <v>172</v>
      </c>
      <c r="H13" t="s">
        <v>106</v>
      </c>
      <c r="I13" t="s">
        <v>182</v>
      </c>
      <c r="L13" t="s">
        <v>139</v>
      </c>
      <c r="M13" s="6" t="s">
        <v>195</v>
      </c>
      <c r="N13" t="s">
        <v>139</v>
      </c>
      <c r="O13" t="s">
        <v>130</v>
      </c>
      <c r="P13" t="s">
        <v>128</v>
      </c>
      <c r="Q13" t="s">
        <v>136</v>
      </c>
      <c r="S13" s="6" t="s">
        <v>272</v>
      </c>
      <c r="T13" s="6" t="s">
        <v>309</v>
      </c>
    </row>
    <row r="14" spans="1:57">
      <c r="D14" t="s">
        <v>78</v>
      </c>
      <c r="E14" t="s">
        <v>77</v>
      </c>
      <c r="G14" t="s">
        <v>111</v>
      </c>
      <c r="H14" t="s">
        <v>106</v>
      </c>
      <c r="I14" t="s">
        <v>182</v>
      </c>
      <c r="L14" t="s">
        <v>140</v>
      </c>
      <c r="M14" s="6" t="s">
        <v>195</v>
      </c>
      <c r="N14" s="6" t="s">
        <v>140</v>
      </c>
      <c r="O14" t="s">
        <v>130</v>
      </c>
      <c r="P14" t="s">
        <v>128</v>
      </c>
      <c r="Q14" t="s">
        <v>136</v>
      </c>
    </row>
    <row r="15" spans="1:57">
      <c r="D15" s="6" t="s">
        <v>242</v>
      </c>
      <c r="E15" s="6" t="s">
        <v>243</v>
      </c>
      <c r="G15" s="6" t="s">
        <v>185</v>
      </c>
      <c r="H15" t="s">
        <v>107</v>
      </c>
      <c r="I15" s="6" t="s">
        <v>185</v>
      </c>
      <c r="J15" s="6"/>
      <c r="L15" s="6" t="s">
        <v>214</v>
      </c>
      <c r="M15" s="6" t="s">
        <v>195</v>
      </c>
      <c r="N15" s="6" t="s">
        <v>214</v>
      </c>
      <c r="O15" t="s">
        <v>130</v>
      </c>
      <c r="P15" t="s">
        <v>128</v>
      </c>
      <c r="Q15" t="s">
        <v>136</v>
      </c>
    </row>
    <row r="16" spans="1:57">
      <c r="D16" t="s">
        <v>122</v>
      </c>
      <c r="E16" t="s">
        <v>110</v>
      </c>
      <c r="G16" s="6" t="s">
        <v>230</v>
      </c>
      <c r="H16" t="s">
        <v>106</v>
      </c>
      <c r="I16" t="s">
        <v>77</v>
      </c>
      <c r="J16" s="6"/>
      <c r="L16" s="6" t="s">
        <v>215</v>
      </c>
      <c r="M16" s="6" t="s">
        <v>195</v>
      </c>
      <c r="N16" s="6" t="s">
        <v>215</v>
      </c>
      <c r="O16" t="s">
        <v>130</v>
      </c>
      <c r="P16" t="s">
        <v>128</v>
      </c>
      <c r="Q16" t="s">
        <v>136</v>
      </c>
    </row>
    <row r="17" spans="4:17">
      <c r="D17" t="s">
        <v>95</v>
      </c>
      <c r="E17" t="s">
        <v>111</v>
      </c>
      <c r="G17" s="6" t="s">
        <v>230</v>
      </c>
      <c r="H17" t="s">
        <v>106</v>
      </c>
      <c r="I17" s="6" t="s">
        <v>121</v>
      </c>
      <c r="J17" s="6"/>
      <c r="L17" s="6" t="s">
        <v>219</v>
      </c>
      <c r="M17" s="6" t="s">
        <v>195</v>
      </c>
      <c r="N17" s="6" t="s">
        <v>219</v>
      </c>
      <c r="O17" t="s">
        <v>130</v>
      </c>
      <c r="P17" t="s">
        <v>128</v>
      </c>
      <c r="Q17" t="s">
        <v>136</v>
      </c>
    </row>
    <row r="18" spans="4:17">
      <c r="D18" s="6"/>
      <c r="G18" s="6" t="s">
        <v>243</v>
      </c>
      <c r="H18" t="s">
        <v>106</v>
      </c>
      <c r="I18" s="6" t="s">
        <v>243</v>
      </c>
      <c r="J18" s="6"/>
      <c r="L18" s="6" t="s">
        <v>221</v>
      </c>
      <c r="M18" s="6" t="s">
        <v>195</v>
      </c>
      <c r="N18" s="6" t="s">
        <v>221</v>
      </c>
      <c r="O18" t="s">
        <v>130</v>
      </c>
      <c r="P18" t="s">
        <v>128</v>
      </c>
      <c r="Q18" t="s">
        <v>136</v>
      </c>
    </row>
    <row r="19" spans="4:17">
      <c r="G19" s="6" t="s">
        <v>246</v>
      </c>
      <c r="H19" s="6" t="s">
        <v>106</v>
      </c>
      <c r="I19" s="6" t="s">
        <v>243</v>
      </c>
      <c r="J19" s="6"/>
      <c r="L19" s="6" t="s">
        <v>243</v>
      </c>
      <c r="M19" s="6" t="s">
        <v>243</v>
      </c>
      <c r="N19" s="6" t="s">
        <v>244</v>
      </c>
      <c r="O19" t="s">
        <v>130</v>
      </c>
      <c r="Q19" t="s">
        <v>120</v>
      </c>
    </row>
    <row r="20" spans="4:17">
      <c r="G20" s="6" t="s">
        <v>246</v>
      </c>
      <c r="H20" s="6" t="s">
        <v>106</v>
      </c>
      <c r="I20" t="s">
        <v>77</v>
      </c>
      <c r="J20" s="6"/>
      <c r="L20" s="6" t="s">
        <v>241</v>
      </c>
      <c r="M20" s="6" t="s">
        <v>195</v>
      </c>
      <c r="N20" s="6" t="s">
        <v>241</v>
      </c>
      <c r="O20" t="s">
        <v>130</v>
      </c>
      <c r="P20" t="s">
        <v>128</v>
      </c>
      <c r="Q20" t="s">
        <v>136</v>
      </c>
    </row>
    <row r="21" spans="4:17">
      <c r="G21" s="6" t="s">
        <v>246</v>
      </c>
      <c r="H21" s="6" t="s">
        <v>106</v>
      </c>
      <c r="I21" s="6" t="s">
        <v>121</v>
      </c>
      <c r="J21" s="6"/>
      <c r="L21" s="6" t="s">
        <v>262</v>
      </c>
      <c r="M21" t="s">
        <v>262</v>
      </c>
      <c r="N21" s="6" t="s">
        <v>260</v>
      </c>
      <c r="O21" t="s">
        <v>130</v>
      </c>
      <c r="P21" t="s">
        <v>128</v>
      </c>
      <c r="Q21" t="s">
        <v>136</v>
      </c>
    </row>
    <row r="22" spans="4:17">
      <c r="G22" s="6" t="s">
        <v>262</v>
      </c>
      <c r="H22" s="6" t="s">
        <v>106</v>
      </c>
      <c r="I22" s="6" t="s">
        <v>262</v>
      </c>
      <c r="J22" s="6"/>
      <c r="L22" s="6" t="s">
        <v>267</v>
      </c>
      <c r="M22" s="6" t="s">
        <v>195</v>
      </c>
      <c r="N22" s="6" t="s">
        <v>267</v>
      </c>
      <c r="O22" t="s">
        <v>130</v>
      </c>
      <c r="P22" t="s">
        <v>128</v>
      </c>
      <c r="Q22" t="s">
        <v>136</v>
      </c>
    </row>
    <row r="23" spans="4:17">
      <c r="G23" s="6" t="s">
        <v>307</v>
      </c>
      <c r="H23" s="6" t="s">
        <v>106</v>
      </c>
      <c r="I23" s="6" t="s">
        <v>272</v>
      </c>
      <c r="L23" s="6" t="s">
        <v>272</v>
      </c>
      <c r="M23" s="6" t="s">
        <v>272</v>
      </c>
      <c r="N23" s="6" t="s">
        <v>271</v>
      </c>
      <c r="O23" t="s">
        <v>130</v>
      </c>
      <c r="P23" t="s">
        <v>128</v>
      </c>
      <c r="Q23" t="s">
        <v>120</v>
      </c>
    </row>
    <row r="24" spans="4:17">
      <c r="G24" s="6" t="s">
        <v>314</v>
      </c>
      <c r="H24" t="s">
        <v>106</v>
      </c>
      <c r="I24" t="s">
        <v>33</v>
      </c>
      <c r="J24" s="6"/>
      <c r="L24" s="6" t="s">
        <v>309</v>
      </c>
      <c r="M24" s="6"/>
      <c r="N24" s="6"/>
      <c r="P24" t="s">
        <v>128</v>
      </c>
      <c r="Q24" s="6" t="s">
        <v>311</v>
      </c>
    </row>
    <row r="25" spans="4:17">
      <c r="G25" s="6" t="s">
        <v>314</v>
      </c>
      <c r="H25" t="s">
        <v>106</v>
      </c>
      <c r="I25" t="s">
        <v>27</v>
      </c>
    </row>
    <row r="26" spans="4:17">
      <c r="G26" s="6" t="s">
        <v>314</v>
      </c>
      <c r="H26" t="s">
        <v>106</v>
      </c>
      <c r="I26" t="s">
        <v>66</v>
      </c>
    </row>
    <row r="27" spans="4:17">
      <c r="G27" s="6" t="s">
        <v>314</v>
      </c>
      <c r="H27" s="6" t="s">
        <v>106</v>
      </c>
      <c r="I27" s="6" t="s">
        <v>262</v>
      </c>
    </row>
    <row r="28" spans="4:17">
      <c r="G28" s="6" t="s">
        <v>314</v>
      </c>
      <c r="H28" s="6" t="s">
        <v>106</v>
      </c>
      <c r="I28" s="6" t="s">
        <v>272</v>
      </c>
    </row>
    <row r="29" spans="4:17">
      <c r="G29" s="6" t="s">
        <v>314</v>
      </c>
      <c r="H29" s="6" t="s">
        <v>106</v>
      </c>
      <c r="I29" s="6" t="s">
        <v>243</v>
      </c>
    </row>
    <row r="30" spans="4:17">
      <c r="G30" s="6" t="s">
        <v>314</v>
      </c>
      <c r="H30" s="6" t="s">
        <v>106</v>
      </c>
      <c r="I30" t="s">
        <v>77</v>
      </c>
    </row>
    <row r="31" spans="4:17">
      <c r="G31" s="6" t="s">
        <v>314</v>
      </c>
      <c r="H31" s="6" t="s">
        <v>106</v>
      </c>
      <c r="I31" s="6" t="s">
        <v>121</v>
      </c>
    </row>
    <row r="32" spans="4:17">
      <c r="G32" s="6"/>
    </row>
    <row r="33" spans="7:7">
      <c r="G33" s="6"/>
    </row>
    <row r="34" spans="7:7">
      <c r="G34" s="6"/>
    </row>
    <row r="35" spans="7:7">
      <c r="G35" s="6"/>
    </row>
    <row r="36" spans="7:7">
      <c r="G36" s="6"/>
    </row>
    <row r="37" spans="7:7">
      <c r="G37" s="6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17:E18 E12:E14 E3 E6:E8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2">
      <formula1>INDIRECT("Direction[Code]")</formula1>
    </dataValidation>
    <dataValidation type="list" allowBlank="1" showInputMessage="1" showErrorMessage="1" sqref="S3:S13 T4:T11 L11:L12">
      <formula1>INDIRECT("Reports[Code]")</formula1>
    </dataValidation>
    <dataValidation type="list" allowBlank="1" showInputMessage="1" showErrorMessage="1" sqref="W3:W8">
      <formula1>INDIRECT("ProgramTypes[Code]")</formula1>
    </dataValidation>
    <dataValidation type="list" allowBlank="1" showInputMessage="1" showErrorMessage="1" sqref="Y3:Y8">
      <formula1>INDIRECT("ReturnTypes[Code]")</formula1>
    </dataValidation>
    <dataValidation type="list" allowBlank="1" showInputMessage="1" showErrorMessage="1" sqref="AH3:AH12 AF3:AF12">
      <formula1>INDIRECT("YesNo[Code]")</formula1>
    </dataValidation>
    <dataValidation type="whole" allowBlank="1" showInputMessage="1" showErrorMessage="1" sqref="AG3:AG12">
      <formula1>1</formula1>
      <formula2>32767</formula2>
    </dataValidation>
    <dataValidation type="list" allowBlank="1" showInputMessage="1" showErrorMessage="1" sqref="O3:O24">
      <formula1>INDIRECT("CreateModes[Code]")</formula1>
    </dataValidation>
    <dataValidation type="list" allowBlank="1" showInputMessage="1" showErrorMessage="1" sqref="Q3:Q24">
      <formula1>INDIRECT("ReportTypes[Code]")</formula1>
    </dataValidation>
    <dataValidation type="list" allowBlank="1" showInputMessage="1" showErrorMessage="1" sqref="P3:P24">
      <formula1>INDIRECT("Programs[Code]")</formula1>
    </dataValidation>
    <dataValidation type="list" allowBlank="1" showInputMessage="1" showErrorMessage="1" sqref="H3:H37">
      <formula1>INDIRECT("ActionTypes[Code]")</formula1>
    </dataValidation>
    <dataValidation type="list" allowBlank="1" showInputMessage="1" showErrorMessage="1" sqref="J3:J37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44</v>
      </c>
      <c r="D2" s="32" t="s">
        <v>196</v>
      </c>
      <c r="E2" s="32"/>
    </row>
    <row r="3" spans="1:6" ht="28.5" customHeight="1">
      <c r="A3" s="32"/>
      <c r="B3" s="31"/>
      <c r="C3" s="43" t="s">
        <v>137</v>
      </c>
      <c r="D3" s="32"/>
      <c r="E3" s="32"/>
    </row>
    <row r="4" spans="1:6">
      <c r="A4" s="32"/>
      <c r="B4" s="31" t="s">
        <v>93</v>
      </c>
      <c r="C4" s="42" t="s">
        <v>310</v>
      </c>
      <c r="D4" s="32"/>
      <c r="E4" s="32"/>
    </row>
    <row r="5" spans="1:6">
      <c r="A5" s="32"/>
      <c r="B5" s="31" t="s">
        <v>94</v>
      </c>
      <c r="C5" s="41">
        <v>43008</v>
      </c>
      <c r="D5" s="32"/>
      <c r="E5" s="32"/>
    </row>
    <row r="6" spans="1:6">
      <c r="A6" s="32"/>
      <c r="B6" s="32"/>
      <c r="C6" s="32"/>
      <c r="D6" s="32"/>
      <c r="E6" s="32"/>
    </row>
    <row r="7" spans="1:6" ht="1.5" customHeight="1">
      <c r="A7" s="197"/>
      <c r="B7" s="197"/>
      <c r="C7" s="197"/>
      <c r="D7" s="197"/>
      <c r="E7" s="197"/>
    </row>
    <row r="8" spans="1:6" ht="51" customHeight="1">
      <c r="A8" s="45"/>
      <c r="B8" s="198" t="s">
        <v>315</v>
      </c>
      <c r="C8" s="199"/>
      <c r="D8" s="199"/>
      <c r="E8" s="45"/>
    </row>
    <row r="9" spans="1:6" s="44" customFormat="1" ht="14.25" customHeight="1">
      <c r="A9" s="197"/>
      <c r="B9" s="197"/>
      <c r="C9" s="197"/>
      <c r="D9" s="197"/>
      <c r="E9" s="197"/>
    </row>
    <row r="10" spans="1:6" hidden="1">
      <c r="A10" s="194"/>
      <c r="B10" s="195"/>
      <c r="C10" s="195"/>
      <c r="D10" s="195"/>
      <c r="E10" s="196"/>
    </row>
    <row r="11" spans="1:6" hidden="1"/>
    <row r="12" spans="1:6" hidden="1"/>
    <row r="13" spans="1:6" hidden="1"/>
    <row r="14" spans="1:6" hidden="1">
      <c r="F14" s="26" t="s">
        <v>46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46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sqref="A1:H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02" t="s">
        <v>298</v>
      </c>
      <c r="B1" s="203"/>
      <c r="C1" s="203"/>
      <c r="D1" s="203"/>
      <c r="E1" s="203"/>
      <c r="F1" s="203"/>
      <c r="G1" s="203"/>
      <c r="H1" s="203"/>
    </row>
    <row r="2" spans="1:8" ht="15.75" customHeight="1">
      <c r="A2" s="207"/>
      <c r="B2" s="207"/>
      <c r="C2" s="207"/>
      <c r="D2" s="207"/>
      <c r="E2" s="207"/>
      <c r="F2" s="207"/>
      <c r="G2" s="207"/>
      <c r="H2" s="207"/>
    </row>
    <row r="3" spans="1:8" ht="27" customHeight="1">
      <c r="A3" s="204" t="s">
        <v>273</v>
      </c>
      <c r="B3" s="204"/>
      <c r="C3" s="204"/>
      <c r="D3" s="118"/>
      <c r="E3" s="204" t="s">
        <v>274</v>
      </c>
      <c r="F3" s="204"/>
      <c r="G3" s="204"/>
      <c r="H3" s="204"/>
    </row>
    <row r="4" spans="1:8">
      <c r="A4" s="156" t="s">
        <v>291</v>
      </c>
      <c r="B4" s="157" t="s">
        <v>275</v>
      </c>
      <c r="C4" s="157" t="s">
        <v>276</v>
      </c>
      <c r="D4" s="118"/>
      <c r="E4" s="125" t="s">
        <v>277</v>
      </c>
      <c r="F4" s="125" t="s">
        <v>275</v>
      </c>
      <c r="G4" s="125" t="s">
        <v>276</v>
      </c>
      <c r="H4" s="125" t="s">
        <v>303</v>
      </c>
    </row>
    <row r="5" spans="1:8" ht="18">
      <c r="A5" s="158" t="s">
        <v>278</v>
      </c>
      <c r="B5" s="159"/>
      <c r="C5" s="159"/>
      <c r="D5" s="118"/>
      <c r="E5" s="124">
        <f>Таблица42[[#This Row],[13%]]+Таблица42[[#This Row],[30%]]</f>
        <v>0</v>
      </c>
      <c r="F5" s="124">
        <f>B21-Таблица42[[#This Row],[13%]]</f>
        <v>0</v>
      </c>
      <c r="G5" s="124">
        <f>C21-Таблица42[[#This Row],[30%]]</f>
        <v>0</v>
      </c>
      <c r="H5" s="124">
        <f>Таблица43[[#This Row],[13%]]+Таблица43[[#This Row],[30%]]</f>
        <v>0</v>
      </c>
    </row>
    <row r="6" spans="1:8" ht="18">
      <c r="A6" s="158" t="s">
        <v>279</v>
      </c>
      <c r="B6" s="159"/>
      <c r="C6" s="159"/>
      <c r="D6" s="118"/>
      <c r="E6" s="124">
        <f>Таблица42[[#This Row],[13%]]+Таблица42[[#This Row],[30%]]</f>
        <v>0</v>
      </c>
      <c r="F6" s="124">
        <f>B22+B23-Таблица42[[#This Row],[13%]]</f>
        <v>0</v>
      </c>
      <c r="G6" s="124">
        <f>C22+C23-Таблица42[[#This Row],[30%]]</f>
        <v>0</v>
      </c>
      <c r="H6" s="124">
        <f>Таблица43[[#This Row],[13%]]+Таблица43[[#This Row],[30%]]</f>
        <v>0</v>
      </c>
    </row>
    <row r="7" spans="1:8" ht="18">
      <c r="A7" s="158" t="s">
        <v>280</v>
      </c>
      <c r="B7" s="159"/>
      <c r="C7" s="159"/>
      <c r="D7" s="118"/>
      <c r="E7" s="124">
        <f>Таблица42[[#This Row],[13%]]+Таблица42[[#This Row],[30%]]</f>
        <v>0</v>
      </c>
      <c r="F7" s="124">
        <f>B24-Таблица42[[#This Row],[13%]]</f>
        <v>0</v>
      </c>
      <c r="G7" s="124">
        <f>C24-Таблица42[[#This Row],[30%]]</f>
        <v>0</v>
      </c>
      <c r="H7" s="124">
        <f>Таблица43[[#This Row],[13%]]+Таблица43[[#This Row],[30%]]</f>
        <v>0</v>
      </c>
    </row>
    <row r="8" spans="1:8" ht="18">
      <c r="A8" s="158" t="s">
        <v>281</v>
      </c>
      <c r="B8" s="159"/>
      <c r="C8" s="160"/>
      <c r="D8" s="118"/>
      <c r="E8" s="124">
        <f>Таблица42[[#This Row],[13%]]+Таблица42[[#This Row],[30%]]</f>
        <v>0</v>
      </c>
      <c r="F8" s="124">
        <f>B25-Таблица42[[#This Row],[13%]]</f>
        <v>0</v>
      </c>
      <c r="G8" s="124">
        <f>C25-Таблица42[[#This Row],[30%]]</f>
        <v>0</v>
      </c>
      <c r="H8" s="124">
        <f>Таблица43[[#This Row],[13%]]+Таблица43[[#This Row],[30%]]</f>
        <v>0</v>
      </c>
    </row>
    <row r="9" spans="1:8" ht="18">
      <c r="A9" s="158" t="s">
        <v>282</v>
      </c>
      <c r="B9" s="159"/>
      <c r="C9" s="160"/>
      <c r="D9" s="118"/>
      <c r="E9" s="124">
        <f>Таблица42[[#This Row],[13%]]+Таблица42[[#This Row],[30%]]</f>
        <v>0</v>
      </c>
      <c r="F9" s="124">
        <f>B26-Таблица42[[#This Row],[13%]]</f>
        <v>0</v>
      </c>
      <c r="G9" s="124">
        <f>C26-Таблица42[[#This Row],[30%]]</f>
        <v>0</v>
      </c>
      <c r="H9" s="124">
        <f>Таблица43[[#This Row],[13%]]+Таблица43[[#This Row],[30%]]</f>
        <v>0</v>
      </c>
    </row>
    <row r="10" spans="1:8" ht="18">
      <c r="A10" s="158" t="s">
        <v>283</v>
      </c>
      <c r="B10" s="159"/>
      <c r="C10" s="159"/>
      <c r="D10" s="118"/>
      <c r="E10" s="124">
        <f>Таблица42[[#This Row],[13%]]+Таблица42[[#This Row],[30%]]</f>
        <v>0</v>
      </c>
      <c r="F10" s="124">
        <f>B27-Таблица42[[#This Row],[13%]]</f>
        <v>0</v>
      </c>
      <c r="G10" s="124">
        <f>C27-Таблица42[[#This Row],[30%]]</f>
        <v>0</v>
      </c>
      <c r="H10" s="124">
        <f>Таблица43[[#This Row],[13%]]+Таблица43[[#This Row],[30%]]</f>
        <v>0</v>
      </c>
    </row>
    <row r="11" spans="1:8" ht="18">
      <c r="A11" s="158" t="s">
        <v>284</v>
      </c>
      <c r="B11" s="159"/>
      <c r="C11" s="161"/>
      <c r="D11" s="118"/>
      <c r="E11" s="124">
        <f>Таблица42[[#This Row],[13%]]+Таблица42[[#This Row],[30%]]</f>
        <v>0</v>
      </c>
      <c r="F11" s="124">
        <f>B28+B29-Таблица42[[#This Row],[13%]]</f>
        <v>0</v>
      </c>
      <c r="G11" s="124">
        <f>C28+C29-Таблица42[[#This Row],[30%]]</f>
        <v>0</v>
      </c>
      <c r="H11" s="124">
        <f>Таблица43[[#This Row],[13%]]+Таблица43[[#This Row],[30%]]</f>
        <v>0</v>
      </c>
    </row>
    <row r="12" spans="1:8" ht="18">
      <c r="A12" s="158" t="s">
        <v>285</v>
      </c>
      <c r="B12" s="159"/>
      <c r="C12" s="161"/>
      <c r="D12" s="118"/>
      <c r="E12" s="124">
        <f>Таблица42[[#This Row],[13%]]+Таблица42[[#This Row],[30%]]</f>
        <v>0</v>
      </c>
      <c r="F12" s="124">
        <f>B30-Таблица42[[#This Row],[13%]]</f>
        <v>0</v>
      </c>
      <c r="G12" s="124">
        <f>C30-Таблица42[[#This Row],[30%]]</f>
        <v>0</v>
      </c>
      <c r="H12" s="124">
        <f>Таблица43[[#This Row],[13%]]+Таблица43[[#This Row],[30%]]</f>
        <v>0</v>
      </c>
    </row>
    <row r="13" spans="1:8" ht="18">
      <c r="A13" s="158" t="s">
        <v>286</v>
      </c>
      <c r="B13" s="159"/>
      <c r="C13" s="161"/>
      <c r="D13" s="118"/>
      <c r="E13" s="124">
        <f>Таблица42[[#This Row],[13%]]+Таблица42[[#This Row],[30%]]</f>
        <v>0</v>
      </c>
      <c r="F13" s="124">
        <f>B31-Таблица42[[#This Row],[13%]]</f>
        <v>0</v>
      </c>
      <c r="G13" s="124">
        <f>C31-Таблица42[[#This Row],[30%]]</f>
        <v>0</v>
      </c>
      <c r="H13" s="124">
        <f>Таблица43[[#This Row],[13%]]+Таблица43[[#This Row],[30%]]</f>
        <v>0</v>
      </c>
    </row>
    <row r="14" spans="1:8" ht="18">
      <c r="A14" s="128" t="s">
        <v>299</v>
      </c>
      <c r="B14" s="132">
        <f>SUBTOTAL(109,[13%])</f>
        <v>0</v>
      </c>
      <c r="C14" s="132">
        <f>SUBTOTAL(109,[30%])</f>
        <v>0</v>
      </c>
      <c r="D14" s="133"/>
      <c r="E14" s="132">
        <f>SUBTOTAL(109,[Сумма по ставкам])</f>
        <v>0</v>
      </c>
      <c r="F14" s="143"/>
      <c r="G14" s="130"/>
      <c r="H14" s="131"/>
    </row>
    <row r="15" spans="1:8" ht="18">
      <c r="A15" s="129" t="s">
        <v>288</v>
      </c>
      <c r="B15" s="124">
        <f>Таблица44[[#Totals],[13%]]-Таблица42[[#Totals],[13%]]</f>
        <v>0</v>
      </c>
      <c r="C15" s="124">
        <f>Таблица44[[#Totals],[30%]]-Таблица42[[#Totals],[30%]]</f>
        <v>0</v>
      </c>
      <c r="D15" s="118"/>
      <c r="E15" s="124">
        <f>B33-Таблица43[[#Totals],[Сумма по ставкам]]</f>
        <v>0</v>
      </c>
      <c r="F15" s="118"/>
      <c r="G15" s="118"/>
      <c r="H15" s="118"/>
    </row>
    <row r="16" spans="1:8">
      <c r="A16" s="118"/>
      <c r="B16" s="121"/>
      <c r="C16" s="121"/>
      <c r="D16" s="118"/>
      <c r="E16" s="118"/>
      <c r="F16" s="118"/>
      <c r="G16" s="118"/>
      <c r="H16" s="118"/>
    </row>
    <row r="17" spans="1:8">
      <c r="A17" s="118"/>
      <c r="B17" s="118"/>
      <c r="C17" s="118"/>
      <c r="D17" s="120"/>
      <c r="E17" s="118"/>
      <c r="F17" s="118"/>
      <c r="G17" s="118"/>
      <c r="H17" s="118"/>
    </row>
    <row r="18" spans="1:8" ht="24.75" customHeight="1">
      <c r="A18" s="205" t="s">
        <v>289</v>
      </c>
      <c r="B18" s="205"/>
      <c r="C18" s="205"/>
      <c r="D18" s="120"/>
      <c r="E18" s="205" t="s">
        <v>290</v>
      </c>
      <c r="F18" s="205"/>
      <c r="G18" s="205"/>
      <c r="H18" s="205"/>
    </row>
    <row r="19" spans="1:8" ht="14.25" customHeight="1">
      <c r="A19" s="205"/>
      <c r="B19" s="205"/>
      <c r="C19" s="205"/>
      <c r="D19" s="119"/>
      <c r="E19" s="206" t="s">
        <v>275</v>
      </c>
      <c r="F19" s="206"/>
      <c r="G19" s="206" t="s">
        <v>276</v>
      </c>
      <c r="H19" s="206"/>
    </row>
    <row r="20" spans="1:8">
      <c r="A20" s="126" t="s">
        <v>291</v>
      </c>
      <c r="B20" s="149" t="s">
        <v>275</v>
      </c>
      <c r="C20" s="126" t="s">
        <v>276</v>
      </c>
      <c r="D20" s="151" t="s">
        <v>137</v>
      </c>
      <c r="E20" s="152" t="s">
        <v>292</v>
      </c>
      <c r="F20" s="150" t="s">
        <v>293</v>
      </c>
      <c r="G20" s="148" t="s">
        <v>301</v>
      </c>
      <c r="H20" s="148" t="s">
        <v>302</v>
      </c>
    </row>
    <row r="21" spans="1:8" ht="18">
      <c r="A21" s="127" t="s">
        <v>272</v>
      </c>
      <c r="B21" s="124"/>
      <c r="C21" s="124"/>
      <c r="D21" s="147"/>
      <c r="E21" s="124"/>
      <c r="F21" s="124"/>
      <c r="G21" s="124"/>
      <c r="H21" s="124"/>
    </row>
    <row r="22" spans="1:8" ht="18">
      <c r="A22" s="155"/>
      <c r="B22" s="124"/>
      <c r="C22" s="124"/>
      <c r="D22" s="147"/>
      <c r="E22" s="124"/>
      <c r="F22" s="124"/>
      <c r="G22" s="124"/>
      <c r="H22" s="124"/>
    </row>
    <row r="23" spans="1:8" ht="18">
      <c r="A23" s="155"/>
      <c r="B23" s="124"/>
      <c r="C23" s="124"/>
      <c r="D23" s="147"/>
      <c r="E23" s="124"/>
      <c r="F23" s="124"/>
      <c r="G23" s="124"/>
      <c r="H23" s="124"/>
    </row>
    <row r="24" spans="1:8" ht="18">
      <c r="A24" s="155"/>
      <c r="B24" s="124"/>
      <c r="C24" s="124"/>
      <c r="D24" s="147"/>
      <c r="E24" s="124"/>
      <c r="F24" s="124"/>
      <c r="G24" s="124"/>
      <c r="H24" s="124"/>
    </row>
    <row r="25" spans="1:8" ht="18">
      <c r="A25" s="155"/>
      <c r="B25" s="124"/>
      <c r="C25" s="124"/>
      <c r="D25" s="147"/>
      <c r="E25" s="124"/>
      <c r="F25" s="124"/>
      <c r="G25" s="124"/>
      <c r="H25" s="124"/>
    </row>
    <row r="26" spans="1:8" ht="18">
      <c r="A26" s="155"/>
      <c r="B26" s="124"/>
      <c r="C26" s="124"/>
      <c r="D26" s="147"/>
      <c r="E26" s="124"/>
      <c r="F26" s="124"/>
      <c r="G26" s="124"/>
      <c r="H26" s="124"/>
    </row>
    <row r="27" spans="1:8" ht="18">
      <c r="A27" s="155"/>
      <c r="B27" s="124"/>
      <c r="C27" s="124"/>
      <c r="D27" s="147"/>
      <c r="E27" s="124"/>
      <c r="F27" s="124"/>
      <c r="G27" s="124"/>
      <c r="H27" s="124"/>
    </row>
    <row r="28" spans="1:8" ht="18">
      <c r="A28" s="155"/>
      <c r="B28" s="124"/>
      <c r="C28" s="124"/>
      <c r="D28" s="147"/>
      <c r="E28" s="124"/>
      <c r="F28" s="124"/>
      <c r="G28" s="124"/>
      <c r="H28" s="124"/>
    </row>
    <row r="29" spans="1:8" ht="18">
      <c r="A29" s="155"/>
      <c r="B29" s="124"/>
      <c r="C29" s="124"/>
      <c r="D29" s="147"/>
      <c r="E29" s="124"/>
      <c r="F29" s="124"/>
      <c r="G29" s="124"/>
      <c r="H29" s="124"/>
    </row>
    <row r="30" spans="1:8" ht="18">
      <c r="A30" s="155"/>
      <c r="B30" s="124"/>
      <c r="C30" s="124"/>
      <c r="D30" s="147"/>
      <c r="E30" s="124"/>
      <c r="F30" s="124"/>
      <c r="G30" s="124"/>
      <c r="H30" s="124"/>
    </row>
    <row r="31" spans="1:8" ht="18">
      <c r="A31" s="127"/>
      <c r="B31" s="142"/>
      <c r="C31" s="124"/>
      <c r="D31" s="118"/>
      <c r="E31" s="124"/>
      <c r="F31" s="124"/>
      <c r="G31" s="124"/>
      <c r="H31" s="124"/>
    </row>
    <row r="32" spans="1:8" ht="18">
      <c r="A32" s="145" t="s">
        <v>287</v>
      </c>
      <c r="B32" s="132">
        <f>SUBTOTAL(109,[13%])</f>
        <v>0</v>
      </c>
      <c r="C32" s="132">
        <f>SUBTOTAL(109,[30%])</f>
        <v>0</v>
      </c>
      <c r="D32" s="153"/>
      <c r="E32" s="154"/>
      <c r="F32" s="154"/>
      <c r="G32" s="154"/>
      <c r="H32" s="154"/>
    </row>
    <row r="33" spans="1:8" ht="18">
      <c r="A33" s="144" t="s">
        <v>300</v>
      </c>
      <c r="B33" s="132">
        <f>Таблица44[[#Totals],[13%]]+Таблица44[[#Totals],[30%]]</f>
        <v>0</v>
      </c>
      <c r="C33" s="132"/>
      <c r="D33" s="118"/>
      <c r="E33" s="134"/>
      <c r="F33" s="134"/>
      <c r="G33" s="134"/>
      <c r="H33" s="134"/>
    </row>
    <row r="34" spans="1:8" ht="18">
      <c r="C34" s="138"/>
      <c r="D34" s="118"/>
      <c r="E34" s="6"/>
      <c r="F34" s="6"/>
      <c r="G34" s="6"/>
      <c r="H34" s="6"/>
    </row>
    <row r="35" spans="1:8">
      <c r="A35" s="118"/>
      <c r="B35" s="122"/>
      <c r="C35" s="118"/>
      <c r="D35" s="118"/>
      <c r="E35" s="118"/>
      <c r="F35" s="118"/>
      <c r="G35" s="118"/>
      <c r="H35" s="118"/>
    </row>
    <row r="36" spans="1:8">
      <c r="A36" s="137" t="s">
        <v>294</v>
      </c>
      <c r="B36" s="141"/>
      <c r="C36" s="118"/>
      <c r="D36" s="118"/>
      <c r="F36" s="118"/>
      <c r="G36" s="118"/>
      <c r="H36" s="118"/>
    </row>
    <row r="37" spans="1:8" ht="18">
      <c r="A37" s="127" t="s">
        <v>295</v>
      </c>
      <c r="B37" s="124">
        <f>B33</f>
        <v>0</v>
      </c>
      <c r="C37" s="118"/>
      <c r="D37" s="118"/>
      <c r="E37" s="135"/>
      <c r="F37" s="118"/>
      <c r="G37" s="118"/>
      <c r="H37" s="118"/>
    </row>
    <row r="38" spans="1:8" ht="18">
      <c r="A38" s="127" t="s">
        <v>304</v>
      </c>
      <c r="B38" s="142"/>
      <c r="C38" s="136"/>
      <c r="D38" s="118"/>
      <c r="F38" s="118"/>
      <c r="G38" s="118"/>
      <c r="H38" s="118"/>
    </row>
    <row r="39" spans="1:8" ht="18">
      <c r="A39" s="127" t="s">
        <v>296</v>
      </c>
      <c r="B39" s="124">
        <f>B37-B38</f>
        <v>0</v>
      </c>
      <c r="C39" s="118"/>
      <c r="D39" s="118"/>
    </row>
    <row r="40" spans="1:8">
      <c r="D40" s="118"/>
    </row>
    <row r="41" spans="1:8">
      <c r="A41" s="200" t="s">
        <v>305</v>
      </c>
      <c r="B41" s="201"/>
      <c r="D41" s="118"/>
    </row>
    <row r="42" spans="1:8">
      <c r="A42" s="200"/>
      <c r="B42" s="201"/>
      <c r="C42" s="118"/>
      <c r="D42" s="118"/>
    </row>
    <row r="43" spans="1:8" ht="18">
      <c r="A43" s="139"/>
      <c r="B43" s="140"/>
      <c r="C43" s="123"/>
      <c r="D43" s="118"/>
    </row>
    <row r="44" spans="1:8" ht="18">
      <c r="A44" s="137" t="s">
        <v>297</v>
      </c>
      <c r="B44" s="142"/>
      <c r="C44" s="118"/>
      <c r="D44" s="118"/>
    </row>
    <row r="45" spans="1:8">
      <c r="D45" s="118"/>
    </row>
    <row r="46" spans="1:8" ht="51.75" customHeight="1">
      <c r="A46" s="162" t="s">
        <v>306</v>
      </c>
      <c r="B46" s="163"/>
      <c r="D46" s="118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135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166" t="s">
        <v>256</v>
      </c>
      <c r="B1" s="166"/>
      <c r="C1" s="166"/>
      <c r="D1" s="166"/>
      <c r="E1" s="112"/>
      <c r="F1" s="112"/>
      <c r="G1" s="112"/>
      <c r="H1" s="112"/>
      <c r="I1" s="112"/>
      <c r="J1" s="112"/>
    </row>
    <row r="2" spans="1:10">
      <c r="B2" s="96"/>
      <c r="C2" s="65" t="s">
        <v>231</v>
      </c>
      <c r="D2" s="65" t="s">
        <v>232</v>
      </c>
      <c r="E2" s="6"/>
      <c r="F2" s="6"/>
      <c r="G2" s="6"/>
      <c r="H2" s="6"/>
      <c r="I2" s="6"/>
      <c r="J2" s="6"/>
    </row>
    <row r="3" spans="1:10">
      <c r="B3" s="97" t="s">
        <v>233</v>
      </c>
      <c r="C3" s="66">
        <f>SUM(Таблица26[130])</f>
        <v>0</v>
      </c>
      <c r="D3" s="66">
        <f>SUM(Таблица26[140])</f>
        <v>0</v>
      </c>
    </row>
    <row r="4" spans="1:10" ht="15.75" thickBot="1">
      <c r="B4" s="96"/>
      <c r="C4" s="96"/>
      <c r="D4" s="96"/>
    </row>
    <row r="5" spans="1:10" ht="43.15" customHeight="1">
      <c r="A5" s="98" t="s">
        <v>187</v>
      </c>
      <c r="B5" s="99" t="s">
        <v>234</v>
      </c>
      <c r="C5" s="100" t="s">
        <v>235</v>
      </c>
      <c r="D5" s="101" t="s">
        <v>235</v>
      </c>
    </row>
    <row r="6" spans="1:10" s="103" customFormat="1" ht="12" thickBot="1">
      <c r="A6" s="102" t="s">
        <v>188</v>
      </c>
      <c r="B6" s="106" t="s">
        <v>240</v>
      </c>
      <c r="C6" s="107" t="s">
        <v>236</v>
      </c>
      <c r="D6" s="108" t="s">
        <v>237</v>
      </c>
    </row>
    <row r="7" spans="1:10">
      <c r="A7" s="52"/>
      <c r="B7" s="104" t="s">
        <v>241</v>
      </c>
      <c r="C7" s="105"/>
      <c r="D7" s="105"/>
    </row>
    <row r="9" spans="1:10">
      <c r="B9" t="s">
        <v>238</v>
      </c>
    </row>
    <row r="10" spans="1:10">
      <c r="B10" t="s">
        <v>239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08" t="s">
        <v>257</v>
      </c>
      <c r="B1" s="209"/>
      <c r="C1" s="209"/>
      <c r="D1" s="209"/>
      <c r="E1" s="209"/>
    </row>
    <row r="2" spans="1:6" ht="19.5" customHeight="1">
      <c r="A2" s="210" t="s">
        <v>186</v>
      </c>
      <c r="B2" s="211"/>
      <c r="C2" s="211"/>
      <c r="D2" s="211"/>
      <c r="E2" s="212"/>
    </row>
    <row r="3" spans="1:6" ht="30">
      <c r="A3" s="78" t="s">
        <v>187</v>
      </c>
      <c r="B3" s="78" t="s">
        <v>68</v>
      </c>
      <c r="C3" s="78" t="s">
        <v>69</v>
      </c>
      <c r="D3" s="78" t="s">
        <v>70</v>
      </c>
      <c r="E3" s="78" t="s">
        <v>71</v>
      </c>
    </row>
    <row r="4" spans="1:6">
      <c r="A4" s="79" t="s">
        <v>188</v>
      </c>
      <c r="B4" s="77" t="s">
        <v>72</v>
      </c>
      <c r="C4" s="77" t="s">
        <v>73</v>
      </c>
      <c r="D4" s="77" t="s">
        <v>74</v>
      </c>
      <c r="E4" s="77" t="s">
        <v>75</v>
      </c>
    </row>
    <row r="5" spans="1:6">
      <c r="A5" s="80"/>
      <c r="B5" s="81" t="s">
        <v>139</v>
      </c>
      <c r="C5" s="82"/>
      <c r="D5" s="83"/>
      <c r="E5" s="84"/>
    </row>
    <row r="6" spans="1:6">
      <c r="D6" t="s">
        <v>196</v>
      </c>
    </row>
    <row r="7" spans="1:6">
      <c r="D7" t="s">
        <v>189</v>
      </c>
    </row>
    <row r="8" spans="1:6" ht="20.25" customHeight="1">
      <c r="D8" s="192" t="s">
        <v>190</v>
      </c>
      <c r="E8" s="192"/>
    </row>
    <row r="9" spans="1:6">
      <c r="C9" s="6"/>
      <c r="D9" s="6" t="s">
        <v>193</v>
      </c>
      <c r="E9" s="56"/>
      <c r="F9" s="6"/>
    </row>
    <row r="10" spans="1:6">
      <c r="C10" s="56"/>
      <c r="D10" s="57" t="s">
        <v>191</v>
      </c>
      <c r="E10" s="58">
        <f>SUBTOTAL(109,ndfl6_part1_general_recalc_curr[[#All],[Столбец2]])</f>
        <v>0</v>
      </c>
      <c r="F10" s="6"/>
    </row>
    <row r="11" spans="1:6" ht="19.5" customHeight="1">
      <c r="C11" s="54"/>
      <c r="D11" s="192" t="s">
        <v>192</v>
      </c>
      <c r="E11" s="192"/>
    </row>
    <row r="12" spans="1:6">
      <c r="D12" s="6" t="s">
        <v>194</v>
      </c>
      <c r="E12" s="54"/>
    </row>
    <row r="13" spans="1:6">
      <c r="D13" s="55" t="s">
        <v>191</v>
      </c>
      <c r="E13" s="58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sqref="A1:XFD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13" t="s">
        <v>258</v>
      </c>
      <c r="B1" s="214"/>
      <c r="C1" s="214"/>
      <c r="D1" s="214"/>
      <c r="E1" s="214"/>
      <c r="F1" s="214"/>
      <c r="G1" s="214"/>
      <c r="H1" s="214"/>
    </row>
    <row r="2" spans="1:8" ht="30.75" thickBot="1">
      <c r="A2" s="75" t="s">
        <v>187</v>
      </c>
      <c r="B2" s="73" t="s">
        <v>79</v>
      </c>
      <c r="C2" s="73" t="s">
        <v>1</v>
      </c>
      <c r="D2" s="73" t="s">
        <v>80</v>
      </c>
      <c r="E2" s="73" t="s">
        <v>81</v>
      </c>
      <c r="F2" s="73" t="s">
        <v>82</v>
      </c>
      <c r="G2" s="73" t="s">
        <v>83</v>
      </c>
      <c r="H2" s="74" t="s">
        <v>84</v>
      </c>
    </row>
    <row r="3" spans="1:8">
      <c r="A3" s="76" t="s">
        <v>188</v>
      </c>
      <c r="B3" s="59" t="s">
        <v>85</v>
      </c>
      <c r="C3" s="59" t="s">
        <v>86</v>
      </c>
      <c r="D3" s="59" t="s">
        <v>87</v>
      </c>
      <c r="E3" s="59" t="s">
        <v>88</v>
      </c>
      <c r="F3" s="59" t="s">
        <v>89</v>
      </c>
      <c r="G3" s="59" t="s">
        <v>90</v>
      </c>
      <c r="H3" s="60" t="s">
        <v>91</v>
      </c>
    </row>
    <row r="4" spans="1:8">
      <c r="A4" s="69"/>
      <c r="B4" s="70" t="s">
        <v>140</v>
      </c>
      <c r="C4" s="71"/>
      <c r="D4" s="71"/>
      <c r="E4" s="71"/>
      <c r="F4" s="72"/>
      <c r="G4" s="72"/>
      <c r="H4" s="72"/>
    </row>
    <row r="5" spans="1:8">
      <c r="A5" s="92" t="s">
        <v>220</v>
      </c>
      <c r="B5" s="93"/>
      <c r="C5" s="94">
        <f>SUBTOTAL(109,[Столбец3])</f>
        <v>0</v>
      </c>
      <c r="D5" s="94">
        <f>SUBTOTAL(109,[Столбец4])</f>
        <v>0</v>
      </c>
      <c r="E5" s="94">
        <f>SUBTOTAL(109,[Столбец5])</f>
        <v>0</v>
      </c>
      <c r="F5" s="95">
        <f>SUBTOTAL(109,[Столбец6])</f>
        <v>0</v>
      </c>
      <c r="G5" s="95">
        <f>SUBTOTAL(109,[Столбец7])</f>
        <v>0</v>
      </c>
      <c r="H5" s="95">
        <f>SUBTOTAL(109,[Столбец8])</f>
        <v>0</v>
      </c>
    </row>
    <row r="6" spans="1:8">
      <c r="A6" t="s">
        <v>197</v>
      </c>
    </row>
    <row r="7" spans="1:8">
      <c r="A7" s="61" t="s">
        <v>198</v>
      </c>
      <c r="C7" s="54"/>
      <c r="D7" s="54"/>
      <c r="E7" s="220" t="s">
        <v>199</v>
      </c>
      <c r="F7" s="220"/>
      <c r="G7" s="220"/>
      <c r="H7" s="220"/>
    </row>
    <row r="8" spans="1:8">
      <c r="A8" s="85" t="s">
        <v>200</v>
      </c>
      <c r="B8" s="85" t="s">
        <v>201</v>
      </c>
      <c r="C8" s="85" t="s">
        <v>226</v>
      </c>
      <c r="D8" s="85" t="s">
        <v>202</v>
      </c>
      <c r="E8" s="85" t="s">
        <v>203</v>
      </c>
      <c r="F8" s="85" t="s">
        <v>204</v>
      </c>
      <c r="G8" s="85" t="s">
        <v>216</v>
      </c>
      <c r="H8" s="85" t="s">
        <v>217</v>
      </c>
    </row>
    <row r="9" spans="1:8">
      <c r="A9" s="6" t="s">
        <v>214</v>
      </c>
      <c r="C9" s="54"/>
      <c r="D9" s="54"/>
    </row>
    <row r="10" spans="1:8">
      <c r="A10" s="6"/>
      <c r="C10" s="54"/>
      <c r="D10" s="54"/>
    </row>
    <row r="11" spans="1:8" ht="15.75" thickBot="1">
      <c r="C11" s="54"/>
      <c r="E11" s="221" t="s">
        <v>205</v>
      </c>
      <c r="F11" s="221"/>
      <c r="G11" s="221"/>
      <c r="H11" s="221"/>
    </row>
    <row r="12" spans="1:8">
      <c r="C12" s="54"/>
      <c r="D12" s="86"/>
      <c r="E12" s="217" t="s">
        <v>206</v>
      </c>
      <c r="F12" s="218"/>
      <c r="G12" s="219"/>
      <c r="H12" s="215" t="s">
        <v>218</v>
      </c>
    </row>
    <row r="13" spans="1:8" ht="15.75" thickBot="1">
      <c r="C13" s="90" t="s">
        <v>226</v>
      </c>
      <c r="D13" s="86" t="s">
        <v>207</v>
      </c>
      <c r="E13" s="87" t="s">
        <v>208</v>
      </c>
      <c r="F13" s="88" t="s">
        <v>209</v>
      </c>
      <c r="G13" s="89" t="s">
        <v>210</v>
      </c>
      <c r="H13" s="215"/>
    </row>
    <row r="14" spans="1:8">
      <c r="A14" s="6" t="s">
        <v>215</v>
      </c>
      <c r="C14" s="54"/>
    </row>
    <row r="15" spans="1:8">
      <c r="C15" s="62">
        <f>SUM(Таблица30[Столбец1])+SUM(Таблица31[Столбец3])</f>
        <v>0</v>
      </c>
      <c r="D15" t="s">
        <v>211</v>
      </c>
      <c r="E15" s="54"/>
    </row>
    <row r="16" spans="1:8">
      <c r="A16" s="61" t="s">
        <v>212</v>
      </c>
      <c r="E16" s="54"/>
    </row>
    <row r="17" spans="1:8" ht="37.5" customHeight="1">
      <c r="A17" s="90" t="s">
        <v>200</v>
      </c>
      <c r="B17" s="90" t="s">
        <v>201</v>
      </c>
      <c r="C17" s="90" t="s">
        <v>226</v>
      </c>
      <c r="D17" s="90" t="s">
        <v>227</v>
      </c>
      <c r="E17" s="91" t="s">
        <v>228</v>
      </c>
    </row>
    <row r="18" spans="1:8">
      <c r="A18" t="s">
        <v>219</v>
      </c>
      <c r="F18" s="63"/>
    </row>
    <row r="19" spans="1:8" ht="15.75" thickBot="1">
      <c r="C19" s="64">
        <f>SUM(C18:C18)</f>
        <v>0</v>
      </c>
      <c r="D19" t="s">
        <v>213</v>
      </c>
      <c r="F19" s="63"/>
    </row>
    <row r="20" spans="1:8" ht="15.75" thickTop="1">
      <c r="C20" s="65">
        <f>tax_13+tax_30</f>
        <v>0</v>
      </c>
      <c r="D20" t="s">
        <v>225</v>
      </c>
    </row>
    <row r="21" spans="1:8">
      <c r="C21" s="66"/>
      <c r="H21" s="67"/>
    </row>
    <row r="22" spans="1:8">
      <c r="A22" s="216" t="s">
        <v>224</v>
      </c>
      <c r="B22" s="216"/>
      <c r="C22" s="216"/>
      <c r="D22" s="216"/>
      <c r="E22" s="216"/>
      <c r="F22" s="216"/>
      <c r="G22" s="67"/>
      <c r="H22" s="67"/>
    </row>
    <row r="23" spans="1:8">
      <c r="A23" s="68" t="s">
        <v>63</v>
      </c>
      <c r="B23" s="68" t="s">
        <v>64</v>
      </c>
      <c r="C23" s="68" t="s">
        <v>65</v>
      </c>
      <c r="D23" s="68" t="s">
        <v>82</v>
      </c>
      <c r="E23" s="68" t="s">
        <v>69</v>
      </c>
      <c r="F23" s="68" t="s">
        <v>222</v>
      </c>
      <c r="G23" s="67"/>
    </row>
    <row r="24" spans="1:8">
      <c r="A24" t="s">
        <v>221</v>
      </c>
      <c r="D24" s="54"/>
      <c r="E24" s="54"/>
      <c r="F24" s="54"/>
    </row>
    <row r="25" spans="1:8">
      <c r="A25" t="s">
        <v>223</v>
      </c>
      <c r="D25" s="54">
        <f>SUBTOTAL(109,[Налог исчисленный])</f>
        <v>0</v>
      </c>
      <c r="E25" s="54">
        <f>SUBTOTAL(109,[Налог удержанный])</f>
        <v>0</v>
      </c>
      <c r="F25" s="54">
        <f>SUBTOTAL(109,[Разница])</f>
        <v>0</v>
      </c>
      <c r="G25" s="54"/>
      <c r="H25" s="54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99</v>
      </c>
      <c r="B1" s="34" t="s">
        <v>100</v>
      </c>
      <c r="C1" s="34" t="s">
        <v>101</v>
      </c>
      <c r="D1" s="34" t="s">
        <v>102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22" t="s">
        <v>259</v>
      </c>
      <c r="B1" s="222"/>
      <c r="C1" s="222"/>
      <c r="D1" s="222"/>
      <c r="E1" s="222"/>
      <c r="F1" s="222"/>
      <c r="G1" s="222"/>
      <c r="H1" s="222"/>
      <c r="I1" s="222"/>
    </row>
    <row r="2" spans="1:9" ht="34.5" customHeight="1">
      <c r="A2" s="33" t="s">
        <v>63</v>
      </c>
      <c r="B2" s="48" t="s">
        <v>64</v>
      </c>
      <c r="C2" s="48" t="s">
        <v>65</v>
      </c>
      <c r="D2" s="48" t="s">
        <v>100</v>
      </c>
      <c r="E2" s="48" t="s">
        <v>102</v>
      </c>
      <c r="F2" s="52" t="s">
        <v>177</v>
      </c>
      <c r="G2" s="52" t="s">
        <v>1</v>
      </c>
      <c r="H2" s="52" t="s">
        <v>178</v>
      </c>
      <c r="I2" s="53" t="s">
        <v>179</v>
      </c>
    </row>
    <row r="3" spans="1:9">
      <c r="A3" t="s">
        <v>182</v>
      </c>
      <c r="B3" s="49"/>
      <c r="C3" s="49"/>
      <c r="D3" s="50"/>
      <c r="E3" s="49"/>
      <c r="F3" s="49"/>
      <c r="G3" s="49"/>
      <c r="H3" s="49"/>
      <c r="I3" s="51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121</v>
      </c>
    </row>
    <row r="2" spans="1:1">
      <c r="A2" t="s">
        <v>77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I3" sqref="I3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24" t="s">
        <v>269</v>
      </c>
      <c r="B1" s="225"/>
      <c r="C1" s="225"/>
      <c r="D1" s="225"/>
      <c r="E1" s="225"/>
      <c r="F1" s="225"/>
      <c r="G1" s="225"/>
      <c r="H1" s="225"/>
      <c r="I1" s="225"/>
    </row>
    <row r="2" spans="1:9" ht="15.75">
      <c r="A2" s="113"/>
    </row>
    <row r="3" spans="1:9" ht="31.5" customHeight="1">
      <c r="A3" s="223" t="s">
        <v>268</v>
      </c>
      <c r="B3" s="223"/>
      <c r="C3" s="223"/>
      <c r="D3" s="223"/>
      <c r="E3" s="223"/>
      <c r="F3" s="223"/>
      <c r="G3" s="223"/>
      <c r="H3" s="223"/>
      <c r="I3" s="117">
        <f>SUBTOTAL(109,Таблица52[Недоплата])</f>
        <v>0</v>
      </c>
    </row>
    <row r="4" spans="1:9" ht="15.75">
      <c r="A4" s="113"/>
    </row>
    <row r="5" spans="1:9" ht="25.5">
      <c r="A5" s="114" t="s">
        <v>263</v>
      </c>
      <c r="B5" s="114" t="s">
        <v>63</v>
      </c>
      <c r="C5" s="114" t="s">
        <v>64</v>
      </c>
      <c r="D5" s="114" t="s">
        <v>65</v>
      </c>
      <c r="E5" s="114" t="s">
        <v>79</v>
      </c>
      <c r="F5" s="114" t="s">
        <v>266</v>
      </c>
      <c r="G5" s="114" t="s">
        <v>264</v>
      </c>
      <c r="H5" s="114" t="s">
        <v>232</v>
      </c>
      <c r="I5" s="114" t="s">
        <v>265</v>
      </c>
    </row>
    <row r="6" spans="1:9">
      <c r="A6" s="115" t="s">
        <v>262</v>
      </c>
      <c r="B6" s="115"/>
      <c r="C6" s="115"/>
      <c r="D6" s="115"/>
      <c r="E6" s="110"/>
      <c r="F6" s="110"/>
      <c r="G6" s="116"/>
      <c r="H6" s="116"/>
      <c r="I6" s="116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19</vt:i4>
      </vt:variant>
    </vt:vector>
  </HeadingPairs>
  <TitlesOfParts>
    <vt:vector size="33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tax_retained_report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2017-10-27T07:21:37Z</dcterms:modified>
</cp:coreProperties>
</file>