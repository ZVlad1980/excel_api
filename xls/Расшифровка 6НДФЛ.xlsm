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worksheets/sheet18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worksheets/sheet17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9" activeTab="14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r:id="rId5"/>
    <sheet name="Отчеты" sheetId="6" r:id="rId6"/>
    <sheet name="Сотрудники фонда" sheetId="300" r:id="rId7"/>
    <sheet name="НДФЛ6 Раздел 1 Общие итоги" sheetId="295" r:id="rId8"/>
    <sheet name="НДФЛ6 Раздел 1 Итоги по ставкам" sheetId="289" r:id="rId9"/>
    <sheet name="НФДЛ Раздел 2" sheetId="287" r:id="rId10"/>
    <sheet name="Сверка удержанного налога" sheetId="286" r:id="rId11"/>
    <sheet name="Расхождение налога" sheetId="285" r:id="rId12"/>
    <sheet name="Операции перерасчета" sheetId="284" r:id="rId13"/>
    <sheet name="Расшифровка 6 НДФЛ" sheetId="283" r:id="rId14"/>
    <sheet name="Расшифровка 6 НДФЛ (дет)" sheetId="282" r:id="rId15"/>
    <sheet name="tax_retained_report" sheetId="281" state="hidden" r:id="rId16"/>
    <sheet name="ndfl6_part2" sheetId="249" state="hidden" r:id="rId17"/>
    <sheet name="ndfl6_part1_general" sheetId="71" state="hidden" r:id="rId18"/>
    <sheet name="ndfl6_part1_rates" sheetId="69" state="hidden" r:id="rId19"/>
    <sheet name="funds_employees" sheetId="73" state="hidden" r:id="rId20"/>
    <sheet name="funds_employees_report" sheetId="123" state="hidden" r:id="rId21"/>
    <sheet name="ndfl6_part1" sheetId="248" state="hidden" r:id="rId22"/>
    <sheet name="tax_diff_report" sheetId="271" state="hidden" r:id="rId23"/>
  </sheets>
  <functionGroups/>
  <externalReferences>
    <externalReference r:id="rId24"/>
  </externalReferences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 localSheetId="8">'НДФЛ6 Раздел 1 Итоги по ставкам'!$C$25</definedName>
    <definedName name="tax_13">ndfl6_part1_rates!$C$15</definedName>
    <definedName name="tax_13_amount" localSheetId="8">'НДФЛ6 Раздел 1 Итоги по ставкам'!$C$25</definedName>
    <definedName name="tax_13_amount">ndfl6_part1_rates!$C$15</definedName>
    <definedName name="tax_30" localSheetId="8">'НДФЛ6 Раздел 1 Итоги по ставкам'!$C$35</definedName>
    <definedName name="tax_30">ndfl6_part1_rates!$C$19</definedName>
    <definedName name="TAX_NOT_RETAINED" localSheetId="15">tax_retained_report!$B$44</definedName>
    <definedName name="TAX_NOT_RETAINED" localSheetId="10">'Сверка удержанного налога'!$B$44</definedName>
    <definedName name="TAX_RETAINED_DATE" localSheetId="15">tax_retained_report!$B$38</definedName>
    <definedName name="TAX_RETAINED_DATE" localSheetId="10">'Сверка удержанного налога'!$B$38</definedName>
    <definedName name="TAX_RETURN" localSheetId="15">tax_retained_report!$B$41</definedName>
    <definedName name="TAX_RETURN" localSheetId="10">'Сверка удержанного налога'!$B$41</definedName>
    <definedName name="TAX_RETURN_83" localSheetId="15">tax_retained_report!$B$46</definedName>
    <definedName name="TAX_RETURN_83" localSheetId="10">'Сверка удержанного налога'!$B$46</definedName>
  </definedNames>
  <calcPr calcId="125725"/>
</workbook>
</file>

<file path=xl/calcChain.xml><?xml version="1.0" encoding="utf-8"?>
<calcChain xmlns="http://schemas.openxmlformats.org/spreadsheetml/2006/main">
  <c r="E18" i="295"/>
  <c r="E12"/>
  <c r="C35" i="289"/>
  <c r="F49"/>
  <c r="E49"/>
  <c r="D49"/>
  <c r="C25"/>
  <c r="H6"/>
  <c r="G6"/>
  <c r="F6"/>
  <c r="E6"/>
  <c r="D6"/>
  <c r="C6"/>
  <c r="D3" i="287"/>
  <c r="C3"/>
  <c r="C32" i="286"/>
  <c r="B32"/>
  <c r="C14"/>
  <c r="B14"/>
  <c r="G13"/>
  <c r="F13"/>
  <c r="E13"/>
  <c r="G12"/>
  <c r="F12"/>
  <c r="E12"/>
  <c r="H11"/>
  <c r="G11"/>
  <c r="F11"/>
  <c r="E11"/>
  <c r="G10"/>
  <c r="F10"/>
  <c r="E10"/>
  <c r="G9"/>
  <c r="F9"/>
  <c r="H9" s="1"/>
  <c r="E9"/>
  <c r="G8"/>
  <c r="F8"/>
  <c r="E8"/>
  <c r="G7"/>
  <c r="F7"/>
  <c r="H7" s="1"/>
  <c r="E7"/>
  <c r="G6"/>
  <c r="F6"/>
  <c r="E6"/>
  <c r="G5"/>
  <c r="F5"/>
  <c r="E5"/>
  <c r="I262" i="285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6"/>
  <c r="I3" s="1"/>
  <c r="G5" i="281"/>
  <c r="F5"/>
  <c r="G13"/>
  <c r="G12"/>
  <c r="G11"/>
  <c r="F13"/>
  <c r="F12"/>
  <c r="F11"/>
  <c r="G7"/>
  <c r="G10"/>
  <c r="G9"/>
  <c r="G8"/>
  <c r="H8" s="1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B15" i="286" l="1"/>
  <c r="H5"/>
  <c r="E14"/>
  <c r="C36" i="289"/>
  <c r="H6" i="286"/>
  <c r="H13"/>
  <c r="H10"/>
  <c r="H8"/>
  <c r="C15"/>
  <c r="H12"/>
  <c r="B33"/>
  <c r="H7" i="281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6" l="1"/>
  <c r="B37"/>
  <c r="B39" s="1"/>
  <c r="E15" i="28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comments3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<sst xmlns="http://schemas.openxmlformats.org/spreadsheetml/2006/main" count="3802" uniqueCount="1074">
  <si>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</si>
  <si>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</si>
  <si>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</si>
  <si>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</si>
  <si>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</si>
  <si>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</si>
  <si>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</si>
  <si>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</si>
  <si>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</si>
  <si>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</si>
  <si>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</si>
  <si>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</si>
  <si>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</si>
  <si>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</si>
  <si>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</si>
  <si>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</si>
  <si>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</si>
  <si>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</si>
  <si>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</si>
  <si>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</si>
  <si>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</si>
  <si>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</si>
  <si>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</si>
  <si>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</si>
  <si>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</si>
  <si>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</si>
  <si>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</si>
  <si>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</si>
  <si>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</si>
  <si>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</si>
  <si>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</si>
  <si>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</si>
  <si>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</si>
  <si>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</si>
  <si>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</si>
  <si>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</si>
  <si>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</si>
  <si>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</si>
  <si>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</si>
  <si>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</si>
  <si>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</si>
  <si>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</si>
  <si>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</si>
  <si>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</si>
  <si>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</si>
  <si>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</si>
  <si>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</si>
  <si>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</si>
  <si>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</si>
  <si>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</si>
  <si>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</si>
  <si>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</si>
  <si>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</si>
  <si>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</si>
  <si>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</si>
  <si>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</si>
  <si>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</si>
  <si>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</si>
  <si>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</si>
  <si>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</si>
  <si>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</si>
  <si>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</si>
  <si>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</si>
  <si>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</si>
  <si>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</si>
  <si>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</si>
  <si>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</si>
  <si>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</si>
  <si>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</si>
  <si>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</si>
  <si>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</si>
  <si>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</si>
  <si>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</si>
  <si>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</si>
  <si>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</si>
  <si>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</si>
  <si>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</si>
  <si>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</si>
  <si>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</si>
  <si>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</si>
  <si>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</si>
  <si>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</si>
  <si>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</si>
  <si>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</si>
  <si>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</si>
  <si>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</si>
  <si>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</si>
  <si>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</si>
  <si>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</si>
  <si>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</si>
  <si>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</si>
  <si>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</si>
  <si>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</si>
  <si>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</si>
  <si>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</si>
  <si>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</si>
  <si>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</si>
  <si>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</si>
  <si>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</si>
  <si>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</si>
  <si>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</si>
  <si>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</si>
  <si>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</si>
  <si>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</si>
  <si>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</si>
  <si>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</si>
  <si>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</si>
  <si>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</si>
  <si>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</si>
  <si>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</si>
  <si>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</si>
  <si>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</si>
  <si>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</si>
  <si>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</si>
  <si>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</si>
  <si>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</si>
  <si>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</si>
  <si>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</si>
  <si>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</si>
  <si>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</si>
  <si>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</si>
  <si>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</si>
  <si>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</si>
  <si>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</si>
  <si>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</si>
  <si>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</si>
  <si>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</si>
  <si>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</si>
  <si>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</si>
  <si>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</si>
  <si>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</si>
  <si>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</si>
  <si>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</si>
  <si>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</si>
  <si>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</si>
  <si>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</si>
  <si>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</si>
  <si>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</si>
  <si>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</si>
  <si>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</si>
  <si>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</si>
  <si>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</si>
  <si>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</si>
  <si>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</si>
  <si>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</si>
  <si>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</si>
  <si>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</si>
  <si>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</si>
  <si>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</si>
  <si>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</si>
  <si>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</si>
  <si>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</si>
  <si>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</si>
  <si>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</si>
  <si>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</si>
  <si>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</si>
  <si>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</si>
  <si>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</si>
  <si>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</si>
  <si>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</si>
  <si>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</si>
  <si>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</si>
  <si>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</si>
  <si>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</si>
  <si>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</si>
  <si>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</si>
  <si>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</si>
  <si>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</si>
  <si>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</si>
  <si>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</si>
  <si>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</si>
  <si>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</si>
  <si>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</si>
  <si>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</si>
  <si>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</si>
  <si>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</si>
  <si>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</si>
  <si>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</si>
  <si>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</si>
  <si>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</si>
  <si>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</si>
  <si>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</si>
  <si>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</si>
  <si>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</si>
  <si>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FONDDB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</si>
  <si>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</si>
  <si>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</si>
  <si>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</si>
  <si>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</si>
  <si>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</si>
  <si>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</si>
  <si>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</si>
  <si>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</si>
  <si>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</si>
  <si>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</si>
  <si>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</si>
  <si>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</si>
  <si>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</si>
  <si>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</si>
  <si>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</si>
  <si>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</si>
  <si>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</si>
  <si>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</si>
  <si>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</si>
  <si>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</si>
  <si>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</si>
  <si>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</si>
  <si>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</si>
  <si>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</si>
  <si>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</si>
  <si>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</si>
  <si>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</si>
  <si>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</si>
  <si>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</si>
  <si>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</si>
  <si>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</si>
  <si>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</si>
  <si>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</si>
  <si>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</si>
  <si>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</si>
  <si>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</si>
  <si>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</si>
  <si>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</si>
  <si>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</si>
  <si>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</si>
  <si>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</si>
  <si>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</si>
  <si>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</si>
  <si>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</si>
  <si>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</si>
  <si>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</si>
  <si>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</si>
  <si>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</si>
  <si>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</si>
  <si>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</si>
  <si>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</si>
  <si>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</si>
  <si>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</si>
  <si>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</si>
  <si>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</si>
  <si>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</si>
  <si>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</si>
  <si>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</si>
  <si>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</si>
  <si>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</si>
  <si>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</si>
  <si>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</si>
  <si>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</si>
  <si>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</si>
  <si>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</si>
  <si>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</si>
  <si>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</si>
  <si>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</si>
  <si>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</si>
  <si>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</si>
  <si>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</si>
  <si>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</si>
  <si>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</si>
  <si>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</si>
  <si>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</si>
  <si>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</si>
  <si>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</si>
  <si>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</si>
  <si>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</si>
  <si>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</si>
  <si>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</si>
  <si>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</si>
  <si>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>tax_diff_report_data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</si>
  <si>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</si>
  <si>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</si>
  <si>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</si>
  <si>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</si>
  <si>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</si>
  <si>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</si>
  <si>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</si>
  <si>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</si>
  <si>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</si>
  <si>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</si>
  <si>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</si>
  <si>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</si>
  <si>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</si>
  <si>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</si>
  <si>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</si>
  <si>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</si>
  <si>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</si>
  <si>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</si>
  <si>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</si>
  <si>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</si>
  <si>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</si>
  <si>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</si>
  <si>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</si>
  <si>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</si>
  <si>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</si>
  <si>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</si>
  <si>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</si>
  <si>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</si>
  <si>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</si>
  <si>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</si>
  <si>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</si>
  <si>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</si>
  <si>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</si>
  <si>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</si>
  <si>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</si>
  <si>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</si>
  <si>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</si>
  <si>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</si>
  <si>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</si>
  <si>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</si>
  <si>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</si>
  <si>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</si>
  <si>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01.01.2017</t>
  </si>
  <si>
    <t>points</t>
  </si>
  <si>
    <t>FND</t>
  </si>
  <si>
    <t>НДФЛ6 Комплект отчетов</t>
  </si>
  <si>
    <t>ndfl_reports_all</t>
  </si>
  <si>
    <t>Движение средств по ЛСПВ
за период с 01.01.2017  по 30.09.2017</t>
  </si>
  <si>
    <t>Пенсия</t>
  </si>
  <si>
    <t>Ритуальные пособия</t>
  </si>
  <si>
    <t>Выкупные суммы</t>
  </si>
  <si>
    <t>Операции коррекции по ЛСПВ
за период с 01.01.2017  по 30.09.2017</t>
  </si>
  <si>
    <t>Андрухович</t>
  </si>
  <si>
    <t>Александр</t>
  </si>
  <si>
    <t>Владимирович</t>
  </si>
  <si>
    <t>Касьянова</t>
  </si>
  <si>
    <t>Светлана</t>
  </si>
  <si>
    <t>Ивановна</t>
  </si>
  <si>
    <t>Марьин</t>
  </si>
  <si>
    <t>Сергей</t>
  </si>
  <si>
    <t>Александрович</t>
  </si>
  <si>
    <t>Илишкина</t>
  </si>
  <si>
    <t>Ирина</t>
  </si>
  <si>
    <t>Вячеславовна</t>
  </si>
  <si>
    <t>Исмагулова</t>
  </si>
  <si>
    <t>Алтнай</t>
  </si>
  <si>
    <t>Бахтегариевна</t>
  </si>
  <si>
    <t>Цямрюк</t>
  </si>
  <si>
    <t>Майя</t>
  </si>
  <si>
    <t>Владимировна</t>
  </si>
  <si>
    <t>Абакумова</t>
  </si>
  <si>
    <t>Галина</t>
  </si>
  <si>
    <t>Андреевна</t>
  </si>
  <si>
    <t>Глухов</t>
  </si>
  <si>
    <t>Николай</t>
  </si>
  <si>
    <t>Иванович</t>
  </si>
  <si>
    <t>Панфилов</t>
  </si>
  <si>
    <t>Михаил</t>
  </si>
  <si>
    <t>Сергеевич</t>
  </si>
  <si>
    <t>Сухоносенко</t>
  </si>
  <si>
    <t>Леонид</t>
  </si>
  <si>
    <t>Анатольевич</t>
  </si>
  <si>
    <t>Умаров</t>
  </si>
  <si>
    <t>Алий</t>
  </si>
  <si>
    <t>Абдурасулович</t>
  </si>
  <si>
    <t>Шкробот</t>
  </si>
  <si>
    <t>Владимир</t>
  </si>
  <si>
    <t>Павлович</t>
  </si>
  <si>
    <t>Дуда</t>
  </si>
  <si>
    <t>Балык</t>
  </si>
  <si>
    <t>Роман</t>
  </si>
  <si>
    <t>Эдуардович</t>
  </si>
  <si>
    <t>Ильясов</t>
  </si>
  <si>
    <t>Идрис</t>
  </si>
  <si>
    <t>Идрисович</t>
  </si>
  <si>
    <t>Ищенко</t>
  </si>
  <si>
    <t>Борисовна</t>
  </si>
  <si>
    <t>Харовинкина</t>
  </si>
  <si>
    <t>Татьяна</t>
  </si>
  <si>
    <t>Александровна</t>
  </si>
  <si>
    <t>Беренок</t>
  </si>
  <si>
    <t>Василий</t>
  </si>
  <si>
    <t>Васильевич</t>
  </si>
  <si>
    <t>Зеленцова</t>
  </si>
  <si>
    <t>Людмила</t>
  </si>
  <si>
    <t>Электроновна</t>
  </si>
  <si>
    <t>Ибрашев</t>
  </si>
  <si>
    <t>Сансызбай</t>
  </si>
  <si>
    <t>Сайфуллина</t>
  </si>
  <si>
    <t>Минифлюра</t>
  </si>
  <si>
    <t>Шайхсултановна</t>
  </si>
  <si>
    <t>Сутягин</t>
  </si>
  <si>
    <t>Анатолий</t>
  </si>
  <si>
    <t>Алексеевич</t>
  </si>
  <si>
    <t>Дроздова</t>
  </si>
  <si>
    <t>Юрьевна</t>
  </si>
  <si>
    <t>Тимофеев</t>
  </si>
  <si>
    <t>Николаевич</t>
  </si>
  <si>
    <t>Антонова</t>
  </si>
  <si>
    <t>Тамара</t>
  </si>
  <si>
    <t>Федоровна</t>
  </si>
  <si>
    <t>Валишев</t>
  </si>
  <si>
    <t>Рахимулла</t>
  </si>
  <si>
    <t>Тхватуллович</t>
  </si>
  <si>
    <t>Волков</t>
  </si>
  <si>
    <t>Петрович</t>
  </si>
  <si>
    <t>Газизянов</t>
  </si>
  <si>
    <t>Шахит</t>
  </si>
  <si>
    <t>Галимзянович</t>
  </si>
  <si>
    <t>Грибанова</t>
  </si>
  <si>
    <t>Лидия</t>
  </si>
  <si>
    <t>Генриховна</t>
  </si>
  <si>
    <t>Кудинов</t>
  </si>
  <si>
    <t>Виктор</t>
  </si>
  <si>
    <t>Дмитриевич</t>
  </si>
  <si>
    <t>Куренков</t>
  </si>
  <si>
    <t>Островерхов</t>
  </si>
  <si>
    <t>Данилович</t>
  </si>
  <si>
    <t>Ситдиков</t>
  </si>
  <si>
    <t>Ильус</t>
  </si>
  <si>
    <t>Муллахметович</t>
  </si>
  <si>
    <t>Якусевич</t>
  </si>
  <si>
    <t>Сигизмундовна</t>
  </si>
  <si>
    <t>Сильченко</t>
  </si>
  <si>
    <t>Михайловна</t>
  </si>
  <si>
    <t>Анисин</t>
  </si>
  <si>
    <t>Богуш</t>
  </si>
  <si>
    <t>Игорь</t>
  </si>
  <si>
    <t>Валерьевич</t>
  </si>
  <si>
    <t>Ольга</t>
  </si>
  <si>
    <t>Кузнецов</t>
  </si>
  <si>
    <t>Юрий</t>
  </si>
  <si>
    <t>Меженина</t>
  </si>
  <si>
    <t>Дмитриевна</t>
  </si>
  <si>
    <t>Полиматиди</t>
  </si>
  <si>
    <t>Георгиевна</t>
  </si>
  <si>
    <t>Телемджиева</t>
  </si>
  <si>
    <t>Саглар</t>
  </si>
  <si>
    <t>Анатольевна</t>
  </si>
  <si>
    <t>Осипова</t>
  </si>
  <si>
    <t>Елена</t>
  </si>
  <si>
    <t>Савилов</t>
  </si>
  <si>
    <t>Евгеньевич</t>
  </si>
  <si>
    <t>Сахно</t>
  </si>
  <si>
    <t>Сергеевна</t>
  </si>
  <si>
    <t>Патрикеева</t>
  </si>
  <si>
    <t>Любовь</t>
  </si>
  <si>
    <t>Бею</t>
  </si>
  <si>
    <t>Павел</t>
  </si>
  <si>
    <t>Захарьевич</t>
  </si>
  <si>
    <t>Василенко</t>
  </si>
  <si>
    <t>Маркович</t>
  </si>
  <si>
    <t>Воробчук</t>
  </si>
  <si>
    <t>Гаджиев</t>
  </si>
  <si>
    <t>Муса</t>
  </si>
  <si>
    <t>Мусаевич</t>
  </si>
  <si>
    <t>Гатиятуллин</t>
  </si>
  <si>
    <t>Зуфарович</t>
  </si>
  <si>
    <t>Грязных</t>
  </si>
  <si>
    <t>Магда</t>
  </si>
  <si>
    <t>Дюков</t>
  </si>
  <si>
    <t>Федорович</t>
  </si>
  <si>
    <t>Жигунов</t>
  </si>
  <si>
    <t>Семенович</t>
  </si>
  <si>
    <t>Коуров</t>
  </si>
  <si>
    <t>Валерий</t>
  </si>
  <si>
    <t>Назарович</t>
  </si>
  <si>
    <t>Пронина</t>
  </si>
  <si>
    <t>Нина</t>
  </si>
  <si>
    <t>Алексеевна</t>
  </si>
  <si>
    <t>Сатаев</t>
  </si>
  <si>
    <t>Вячеслав</t>
  </si>
  <si>
    <t>Доношевских</t>
  </si>
  <si>
    <t>Найля</t>
  </si>
  <si>
    <t>Аптулловна</t>
  </si>
  <si>
    <t>Новицкая</t>
  </si>
  <si>
    <t>Викторовна</t>
  </si>
  <si>
    <t>Сычева</t>
  </si>
  <si>
    <t>Анжелика</t>
  </si>
  <si>
    <t>Белашев</t>
  </si>
  <si>
    <t>Буцаев</t>
  </si>
  <si>
    <t>Антонович</t>
  </si>
  <si>
    <t>Васильев</t>
  </si>
  <si>
    <t>Иван</t>
  </si>
  <si>
    <t>Вихарев</t>
  </si>
  <si>
    <t>Грецов</t>
  </si>
  <si>
    <t>Кондаков</t>
  </si>
  <si>
    <t>Лень</t>
  </si>
  <si>
    <t>Омельченко</t>
  </si>
  <si>
    <t>Евгений</t>
  </si>
  <si>
    <t>Панфилова</t>
  </si>
  <si>
    <t>Геннадьевна</t>
  </si>
  <si>
    <t>Семенова</t>
  </si>
  <si>
    <t>Слесарчук</t>
  </si>
  <si>
    <t>Маргарита</t>
  </si>
  <si>
    <t>Павловна</t>
  </si>
  <si>
    <t>Соловьева</t>
  </si>
  <si>
    <t>Сорокобаткин</t>
  </si>
  <si>
    <t>Виталий</t>
  </si>
  <si>
    <t>Шлепченко</t>
  </si>
  <si>
    <t>Телец</t>
  </si>
  <si>
    <t>Юрьевич</t>
  </si>
  <si>
    <t>Фадеев</t>
  </si>
  <si>
    <t>Веровец</t>
  </si>
  <si>
    <t>Насонов</t>
  </si>
  <si>
    <t>Андрей</t>
  </si>
  <si>
    <t>Ахмерова</t>
  </si>
  <si>
    <t>Залия</t>
  </si>
  <si>
    <t>Ильдусовна</t>
  </si>
  <si>
    <t>Изотова</t>
  </si>
  <si>
    <t>Деев</t>
  </si>
  <si>
    <t>Житомирский</t>
  </si>
  <si>
    <t>Вадим</t>
  </si>
  <si>
    <t>Исаакович</t>
  </si>
  <si>
    <t>Кадиров</t>
  </si>
  <si>
    <t>Джяфяр</t>
  </si>
  <si>
    <t>Мустафьевич</t>
  </si>
  <si>
    <t>Новокшанова</t>
  </si>
  <si>
    <t>Зинаида</t>
  </si>
  <si>
    <t>Петровна</t>
  </si>
  <si>
    <t>Остапкевич</t>
  </si>
  <si>
    <t>Валентин</t>
  </si>
  <si>
    <t>Петрова</t>
  </si>
  <si>
    <t>Раиса</t>
  </si>
  <si>
    <t>Рындин</t>
  </si>
  <si>
    <t>Кирилл</t>
  </si>
  <si>
    <t>Семенов</t>
  </si>
  <si>
    <t>Смирнов</t>
  </si>
  <si>
    <t>Алексей</t>
  </si>
  <si>
    <t>Борис</t>
  </si>
  <si>
    <t>Тарчинец</t>
  </si>
  <si>
    <t>Валерьевна</t>
  </si>
  <si>
    <t>Терешкин</t>
  </si>
  <si>
    <t>Назарова</t>
  </si>
  <si>
    <t>Анастасия</t>
  </si>
  <si>
    <t>Николаевна</t>
  </si>
  <si>
    <t>Пучков</t>
  </si>
  <si>
    <t>Сиверская</t>
  </si>
  <si>
    <t>Евгеньевна</t>
  </si>
  <si>
    <t>Щербаков</t>
  </si>
  <si>
    <t>Антон</t>
  </si>
  <si>
    <t>Кириллов</t>
  </si>
  <si>
    <t>Дмитрий</t>
  </si>
  <si>
    <t>Краснощеков</t>
  </si>
  <si>
    <t>Викторович</t>
  </si>
  <si>
    <t>Соколов</t>
  </si>
  <si>
    <t>Олег</t>
  </si>
  <si>
    <t>Абзалетдинова</t>
  </si>
  <si>
    <t>Вершинин</t>
  </si>
  <si>
    <t>Илья</t>
  </si>
  <si>
    <t>Олегович</t>
  </si>
  <si>
    <t>Веснина</t>
  </si>
  <si>
    <t>Емельяненко</t>
  </si>
  <si>
    <t>Куров</t>
  </si>
  <si>
    <t>Георгий</t>
  </si>
  <si>
    <t>Борисович</t>
  </si>
  <si>
    <t>Мещерякова</t>
  </si>
  <si>
    <t>Синицин</t>
  </si>
  <si>
    <t>Петр</t>
  </si>
  <si>
    <t>Аверина</t>
  </si>
  <si>
    <t>Валентина</t>
  </si>
  <si>
    <t>Вениаминовна</t>
  </si>
  <si>
    <t>Белошицкая</t>
  </si>
  <si>
    <t>Гладышев</t>
  </si>
  <si>
    <t>Михайлович</t>
  </si>
  <si>
    <t>Грузина</t>
  </si>
  <si>
    <t>Закиров</t>
  </si>
  <si>
    <t>Наиль</t>
  </si>
  <si>
    <t>Гусманович</t>
  </si>
  <si>
    <t>Зернов</t>
  </si>
  <si>
    <t>Меркулов</t>
  </si>
  <si>
    <t>Мягков</t>
  </si>
  <si>
    <t>Петров</t>
  </si>
  <si>
    <t>Семин</t>
  </si>
  <si>
    <t>Черных</t>
  </si>
  <si>
    <t>Кузьминична</t>
  </si>
  <si>
    <t>Чирятьев</t>
  </si>
  <si>
    <t>Романовская</t>
  </si>
  <si>
    <t>Адамовна</t>
  </si>
  <si>
    <t>Ковалёва</t>
  </si>
  <si>
    <t>Марина</t>
  </si>
  <si>
    <t>Вадимовна</t>
  </si>
  <si>
    <t>Лебедева</t>
  </si>
  <si>
    <t>Левкович</t>
  </si>
  <si>
    <t>Машков</t>
  </si>
  <si>
    <t>Павлова</t>
  </si>
  <si>
    <t>Руссу</t>
  </si>
  <si>
    <t>Селюх</t>
  </si>
  <si>
    <t>Денис</t>
  </si>
  <si>
    <t>Андреевич</t>
  </si>
  <si>
    <t>Сыровой</t>
  </si>
  <si>
    <t>Адамов</t>
  </si>
  <si>
    <t>Махач</t>
  </si>
  <si>
    <t>Абдуллаевич</t>
  </si>
  <si>
    <t>Гейнц</t>
  </si>
  <si>
    <t>Наталья</t>
  </si>
  <si>
    <t>Прянишников</t>
  </si>
  <si>
    <t>Хамидуллин</t>
  </si>
  <si>
    <t>Рустам</t>
  </si>
  <si>
    <t>Рафаэлевич</t>
  </si>
  <si>
    <t>Астахов</t>
  </si>
  <si>
    <t>Гордиенко</t>
  </si>
  <si>
    <t>Ильминских</t>
  </si>
  <si>
    <t>Геннадий</t>
  </si>
  <si>
    <t>Минаков</t>
  </si>
  <si>
    <t>Чернухин</t>
  </si>
  <si>
    <t>Дашкова</t>
  </si>
  <si>
    <t>Юлия</t>
  </si>
  <si>
    <t>Хазов</t>
  </si>
  <si>
    <t>Варламова</t>
  </si>
  <si>
    <t>Кузнецова</t>
  </si>
  <si>
    <t>Анна</t>
  </si>
  <si>
    <t>Лариса</t>
  </si>
  <si>
    <t>Васильевна</t>
  </si>
  <si>
    <t>Куликов</t>
  </si>
  <si>
    <t>Витальевич</t>
  </si>
  <si>
    <t>Малышев</t>
  </si>
  <si>
    <t>Константин</t>
  </si>
  <si>
    <t>Германович</t>
  </si>
  <si>
    <t>Седякин</t>
  </si>
  <si>
    <t>Адакова</t>
  </si>
  <si>
    <t>Райса</t>
  </si>
  <si>
    <t>Худайбердиевна</t>
  </si>
  <si>
    <t>Панасюк</t>
  </si>
  <si>
    <t>Косолапова</t>
  </si>
  <si>
    <t>Валентиновна</t>
  </si>
  <si>
    <t>Лунина</t>
  </si>
  <si>
    <t>Перерядов</t>
  </si>
  <si>
    <t>Битчуль</t>
  </si>
  <si>
    <t>Егоровна</t>
  </si>
  <si>
    <t>Боровик</t>
  </si>
  <si>
    <t>Жандармов</t>
  </si>
  <si>
    <t>Герман</t>
  </si>
  <si>
    <t>Львович</t>
  </si>
  <si>
    <t>Крылов</t>
  </si>
  <si>
    <t>Максименко</t>
  </si>
  <si>
    <t>Наумяк</t>
  </si>
  <si>
    <t>Юлианович</t>
  </si>
  <si>
    <t>Топчий</t>
  </si>
  <si>
    <t>Расхождение сумм исчисленного и удержанного налогов
за период с 01.01.2017 по 30.09.2017</t>
  </si>
  <si>
    <t>Панова</t>
  </si>
  <si>
    <t>Ильинична</t>
  </si>
  <si>
    <t>Гребенников</t>
  </si>
  <si>
    <t>Ткачук</t>
  </si>
  <si>
    <t>Курганский</t>
  </si>
  <si>
    <t>Леонидович</t>
  </si>
  <si>
    <t>Щетинкова</t>
  </si>
  <si>
    <t>Чертов</t>
  </si>
  <si>
    <t>Селиверстова</t>
  </si>
  <si>
    <t>Пацера</t>
  </si>
  <si>
    <t>Салий</t>
  </si>
  <si>
    <t>Дмитриенко</t>
  </si>
  <si>
    <t>Калдузов</t>
  </si>
  <si>
    <t>Селезнева</t>
  </si>
  <si>
    <t>Афанасьевна</t>
  </si>
  <si>
    <t>Никитин</t>
  </si>
  <si>
    <t>Махмутянов</t>
  </si>
  <si>
    <t>Гафурян</t>
  </si>
  <si>
    <t>Рахимянович</t>
  </si>
  <si>
    <t>Малышкин</t>
  </si>
  <si>
    <t>Тимофеевич</t>
  </si>
  <si>
    <t>Мартынчук</t>
  </si>
  <si>
    <t>Малянова</t>
  </si>
  <si>
    <t>Прокашев</t>
  </si>
  <si>
    <t>Аркадьевич</t>
  </si>
  <si>
    <t>Фроловская</t>
  </si>
  <si>
    <t>Константинов</t>
  </si>
  <si>
    <t>Пятин</t>
  </si>
  <si>
    <t>Григорий</t>
  </si>
  <si>
    <t>Константинович</t>
  </si>
  <si>
    <t>Ларин</t>
  </si>
  <si>
    <t>Ефремов</t>
  </si>
  <si>
    <t>Быков</t>
  </si>
  <si>
    <t>Бастричев</t>
  </si>
  <si>
    <t>Деревенский</t>
  </si>
  <si>
    <t>Короткий</t>
  </si>
  <si>
    <t>Бердников</t>
  </si>
  <si>
    <t>Григорьевич</t>
  </si>
  <si>
    <t>Ступин</t>
  </si>
  <si>
    <t>Чураков</t>
  </si>
  <si>
    <t>Карабасов</t>
  </si>
  <si>
    <t>Нурлан</t>
  </si>
  <si>
    <t>Альмуханович</t>
  </si>
  <si>
    <t>Сорокина</t>
  </si>
  <si>
    <t>Наталия</t>
  </si>
  <si>
    <t>Мазалова</t>
  </si>
  <si>
    <t>Кудряшов</t>
  </si>
  <si>
    <t>Аввакумов</t>
  </si>
  <si>
    <t>Лазаренко</t>
  </si>
  <si>
    <t>Поронько</t>
  </si>
  <si>
    <t>Виктория</t>
  </si>
  <si>
    <t>Максимовна</t>
  </si>
  <si>
    <t>Зюмкина</t>
  </si>
  <si>
    <t>Катасонов</t>
  </si>
  <si>
    <t>Желанова</t>
  </si>
  <si>
    <t>Минц</t>
  </si>
  <si>
    <t>Витальевна</t>
  </si>
  <si>
    <t>Федор</t>
  </si>
  <si>
    <t>Ратова</t>
  </si>
  <si>
    <t>Румия</t>
  </si>
  <si>
    <t>Ахметжановна</t>
  </si>
  <si>
    <t>Панаида</t>
  </si>
  <si>
    <t>Кулик</t>
  </si>
  <si>
    <t>Голышев</t>
  </si>
  <si>
    <t>Любимов</t>
  </si>
  <si>
    <t>Касумов</t>
  </si>
  <si>
    <t>Сулейман</t>
  </si>
  <si>
    <t>Играмудинович</t>
  </si>
  <si>
    <t>Андрюшин</t>
  </si>
  <si>
    <t>Строкач</t>
  </si>
  <si>
    <t>Константинова</t>
  </si>
  <si>
    <t>Инна</t>
  </si>
  <si>
    <t>Калинин</t>
  </si>
  <si>
    <t>Болдырева</t>
  </si>
  <si>
    <t>Яковлевна</t>
  </si>
  <si>
    <t>Шишкин</t>
  </si>
  <si>
    <t>Марченко</t>
  </si>
  <si>
    <t>Бирюков</t>
  </si>
  <si>
    <t>Полянский</t>
  </si>
  <si>
    <t>Яхно</t>
  </si>
  <si>
    <t>Ремизова</t>
  </si>
  <si>
    <t>Бич</t>
  </si>
  <si>
    <t>Ахмадиев</t>
  </si>
  <si>
    <t>Гусман</t>
  </si>
  <si>
    <t>Гумарович</t>
  </si>
  <si>
    <t>Степанищев</t>
  </si>
  <si>
    <t>Гулджонов</t>
  </si>
  <si>
    <t>Маджнун</t>
  </si>
  <si>
    <t>Приходько</t>
  </si>
  <si>
    <t>Шутас</t>
  </si>
  <si>
    <t>Аксентьевна</t>
  </si>
  <si>
    <t>Ковалев</t>
  </si>
  <si>
    <t>Бакулин</t>
  </si>
  <si>
    <t>Волчков</t>
  </si>
  <si>
    <t>Алимгулина</t>
  </si>
  <si>
    <t>Габитовна</t>
  </si>
  <si>
    <t>Юсупова</t>
  </si>
  <si>
    <t>Гуляем</t>
  </si>
  <si>
    <t>Амиржановна</t>
  </si>
  <si>
    <t>Редькин</t>
  </si>
  <si>
    <t>Котов</t>
  </si>
  <si>
    <t>Волкова</t>
  </si>
  <si>
    <t>Юринов</t>
  </si>
  <si>
    <t>Захарович</t>
  </si>
  <si>
    <t>Ткачев</t>
  </si>
  <si>
    <t>Беззубенко</t>
  </si>
  <si>
    <t>Филипп</t>
  </si>
  <si>
    <t>Григорьев</t>
  </si>
  <si>
    <t>Рузанов</t>
  </si>
  <si>
    <t>Свинцов</t>
  </si>
  <si>
    <t>Ипатович</t>
  </si>
  <si>
    <t>Федяев</t>
  </si>
  <si>
    <t>Шумельда</t>
  </si>
  <si>
    <t>Шамонова</t>
  </si>
  <si>
    <t>Надежда</t>
  </si>
  <si>
    <t>Константиновна</t>
  </si>
  <si>
    <t>Бородин</t>
  </si>
  <si>
    <t>Энверовна</t>
  </si>
  <si>
    <t>Никонов</t>
  </si>
  <si>
    <t>Хижняков</t>
  </si>
  <si>
    <t>Бурцев</t>
  </si>
  <si>
    <t>Сизоненко</t>
  </si>
  <si>
    <t>Кареева</t>
  </si>
  <si>
    <t>Иосифовна</t>
  </si>
  <si>
    <t>Скворцова</t>
  </si>
  <si>
    <t>Щербань</t>
  </si>
  <si>
    <t>Тартаковская</t>
  </si>
  <si>
    <t>Шестопалов</t>
  </si>
  <si>
    <t>Чикало</t>
  </si>
  <si>
    <t>Каньшин</t>
  </si>
  <si>
    <t>Шепель</t>
  </si>
  <si>
    <t>Екатерина</t>
  </si>
  <si>
    <t>Назаровна</t>
  </si>
  <si>
    <t>Юдин</t>
  </si>
  <si>
    <t>Хункаев</t>
  </si>
  <si>
    <t>Тутаевич</t>
  </si>
  <si>
    <t>Валентинович</t>
  </si>
  <si>
    <t>Стародубцев</t>
  </si>
  <si>
    <t>Смышляев</t>
  </si>
  <si>
    <t>Родионова</t>
  </si>
  <si>
    <t>Аскольский</t>
  </si>
  <si>
    <t>Глушук</t>
  </si>
  <si>
    <t>Куринная</t>
  </si>
  <si>
    <t>Семеновна</t>
  </si>
  <si>
    <t>Мишин</t>
  </si>
  <si>
    <t>Петренко</t>
  </si>
  <si>
    <t>Станислав</t>
  </si>
  <si>
    <t>Мкртумова</t>
  </si>
  <si>
    <t>Мартынова</t>
  </si>
  <si>
    <t>Вергизова</t>
  </si>
  <si>
    <t>Русских</t>
  </si>
  <si>
    <t>Скрипилов</t>
  </si>
  <si>
    <t>Панкеева</t>
  </si>
  <si>
    <t>Седлецкий</t>
  </si>
  <si>
    <t>Леонтьевич</t>
  </si>
  <si>
    <t>Яков</t>
  </si>
  <si>
    <t>Георгиевич</t>
  </si>
  <si>
    <t>Змеёв</t>
  </si>
  <si>
    <t>Димова</t>
  </si>
  <si>
    <t>Рутковский</t>
  </si>
  <si>
    <t>Есиков</t>
  </si>
  <si>
    <t>Мельников</t>
  </si>
  <si>
    <t>Куленко</t>
  </si>
  <si>
    <t>Монастырев</t>
  </si>
  <si>
    <t>Фарит</t>
  </si>
  <si>
    <t>Ткаченко</t>
  </si>
  <si>
    <t>Басов</t>
  </si>
  <si>
    <t>Грачева</t>
  </si>
  <si>
    <t>Конотопчик</t>
  </si>
  <si>
    <t>Сергеев</t>
  </si>
  <si>
    <t>Вильданова</t>
  </si>
  <si>
    <t>Миляуша</t>
  </si>
  <si>
    <t>Гарифовна</t>
  </si>
  <si>
    <t>Мишустин</t>
  </si>
  <si>
    <t>Коржев</t>
  </si>
  <si>
    <t>Архипович</t>
  </si>
  <si>
    <t>Гражданцев</t>
  </si>
  <si>
    <t>Верхолаз</t>
  </si>
  <si>
    <t>Гнедашев</t>
  </si>
  <si>
    <t>Таушев</t>
  </si>
  <si>
    <t>Ефимович</t>
  </si>
  <si>
    <t>Литягин</t>
  </si>
  <si>
    <t>Солодовников</t>
  </si>
  <si>
    <t>Скрябин</t>
  </si>
  <si>
    <t>Ярещенко</t>
  </si>
  <si>
    <t>Илюшин</t>
  </si>
  <si>
    <t>Мамедова</t>
  </si>
  <si>
    <t>Якубханов</t>
  </si>
  <si>
    <t>Нисредин</t>
  </si>
  <si>
    <t>Якубханович</t>
  </si>
  <si>
    <t>Нижегородцева</t>
  </si>
  <si>
    <t>Глебовна</t>
  </si>
  <si>
    <t>Горбачев</t>
  </si>
  <si>
    <t>Суслова</t>
  </si>
  <si>
    <t>Захаров</t>
  </si>
  <si>
    <t>Зиновьевич</t>
  </si>
  <si>
    <t>Чернышов</t>
  </si>
  <si>
    <t>Артимюк</t>
  </si>
  <si>
    <t>Верешкова</t>
  </si>
  <si>
    <t>Катаева</t>
  </si>
  <si>
    <t>Осипов</t>
  </si>
  <si>
    <t>Хамицевич</t>
  </si>
  <si>
    <t>Поликарпович</t>
  </si>
  <si>
    <t>Кирина</t>
  </si>
  <si>
    <t>Рыбалкин</t>
  </si>
  <si>
    <t>Яковлевич</t>
  </si>
  <si>
    <t>Хайло</t>
  </si>
  <si>
    <t>Лобко</t>
  </si>
  <si>
    <t>Тяглова</t>
  </si>
  <si>
    <t>Попова</t>
  </si>
  <si>
    <t>Альбина</t>
  </si>
  <si>
    <t>Баев</t>
  </si>
  <si>
    <t>Эдуард</t>
  </si>
  <si>
    <t>Дмитриев</t>
  </si>
  <si>
    <t>Тимухина</t>
  </si>
  <si>
    <t>Халяфовна</t>
  </si>
  <si>
    <t>Скира</t>
  </si>
  <si>
    <t>Левшин</t>
  </si>
  <si>
    <t>Козлова</t>
  </si>
  <si>
    <t>Морокко</t>
  </si>
  <si>
    <t>Степанович</t>
  </si>
  <si>
    <t>Жилкина</t>
  </si>
  <si>
    <t>Вера</t>
  </si>
  <si>
    <t>Коваленков</t>
  </si>
  <si>
    <t>Марченкова</t>
  </si>
  <si>
    <t>Храпов</t>
  </si>
  <si>
    <t>Крылова</t>
  </si>
  <si>
    <t>Зухра</t>
  </si>
  <si>
    <t>Масхутовна</t>
  </si>
  <si>
    <t>Карпов</t>
  </si>
  <si>
    <t>Гордиевский</t>
  </si>
  <si>
    <t>Маловецкая</t>
  </si>
  <si>
    <t>Гукова</t>
  </si>
  <si>
    <t>Лысов</t>
  </si>
  <si>
    <t>Кузовенкова</t>
  </si>
  <si>
    <t>Воронков</t>
  </si>
  <si>
    <t>Лобова</t>
  </si>
  <si>
    <t>Смотрова</t>
  </si>
  <si>
    <t>Александра</t>
  </si>
  <si>
    <t>Ласточкин</t>
  </si>
  <si>
    <t>Краснов</t>
  </si>
  <si>
    <t>Геннадьевич</t>
  </si>
  <si>
    <t>Ерыкалов</t>
  </si>
  <si>
    <t>Батырова</t>
  </si>
  <si>
    <t>Мария</t>
  </si>
  <si>
    <t>Каримовна</t>
  </si>
  <si>
    <t>Королев</t>
  </si>
  <si>
    <t>Тюменцева</t>
  </si>
  <si>
    <t>Ерпылев</t>
  </si>
  <si>
    <t>Полищук</t>
  </si>
  <si>
    <t>Николаев</t>
  </si>
  <si>
    <t>Ролдугин</t>
  </si>
  <si>
    <t>Фоменко</t>
  </si>
  <si>
    <t>Лямина</t>
  </si>
  <si>
    <t>Садыхов</t>
  </si>
  <si>
    <t>Алиага</t>
  </si>
  <si>
    <t>Алигусейн Оглы</t>
  </si>
  <si>
    <t>Трофимова</t>
  </si>
  <si>
    <t>Кашутова</t>
  </si>
  <si>
    <t>Кулагин</t>
  </si>
  <si>
    <t>Логинов</t>
  </si>
  <si>
    <t>Пашенина</t>
  </si>
  <si>
    <t>Ахматов</t>
  </si>
  <si>
    <t>Лисичкин</t>
  </si>
  <si>
    <t>Авраменко</t>
  </si>
  <si>
    <t>Локтева</t>
  </si>
  <si>
    <t>Антуганова</t>
  </si>
  <si>
    <t>Лухманов</t>
  </si>
  <si>
    <t>Хатимович</t>
  </si>
  <si>
    <t>Кара</t>
  </si>
  <si>
    <t>Афанасьевич</t>
  </si>
  <si>
    <t>Голованова</t>
  </si>
  <si>
    <t>Конев</t>
  </si>
  <si>
    <t>Никитович</t>
  </si>
  <si>
    <t>Данченко</t>
  </si>
  <si>
    <t>Сучков</t>
  </si>
  <si>
    <t>Кузьмаков</t>
  </si>
  <si>
    <t>Зотова</t>
  </si>
  <si>
    <t>Цицилина</t>
  </si>
  <si>
    <t>Федьчук</t>
  </si>
  <si>
    <t>Черемисин</t>
  </si>
  <si>
    <t>Аркадий</t>
  </si>
  <si>
    <t>Коромыслов</t>
  </si>
  <si>
    <t>Дворянинов</t>
  </si>
  <si>
    <t>Косолович</t>
  </si>
  <si>
    <t>Ярослав</t>
  </si>
  <si>
    <t>Тлостуноков</t>
  </si>
  <si>
    <t>Климентьевич</t>
  </si>
  <si>
    <t>Савельева</t>
  </si>
  <si>
    <t>Потапов</t>
  </si>
  <si>
    <t>Холопов</t>
  </si>
  <si>
    <t>Зуев</t>
  </si>
  <si>
    <t>Закирова</t>
  </si>
  <si>
    <t>Насима</t>
  </si>
  <si>
    <t>Фатыховна</t>
  </si>
  <si>
    <t>Кулёва</t>
  </si>
  <si>
    <t>Реутов</t>
  </si>
  <si>
    <t>Киселев</t>
  </si>
  <si>
    <t>Барбанягра</t>
  </si>
  <si>
    <t>Деревенсков</t>
  </si>
  <si>
    <t>Тухватуллин</t>
  </si>
  <si>
    <t>Раиль</t>
  </si>
  <si>
    <t>Мугарифович</t>
  </si>
  <si>
    <t>Крохин</t>
  </si>
  <si>
    <t>Макарова</t>
  </si>
  <si>
    <t>Шураков</t>
  </si>
  <si>
    <t>Свечникова</t>
  </si>
  <si>
    <t>Элла</t>
  </si>
  <si>
    <t>Дыбрин</t>
  </si>
  <si>
    <t>Гнатенко</t>
  </si>
  <si>
    <t>Горпинич</t>
  </si>
  <si>
    <t>Новиков</t>
  </si>
  <si>
    <t>Пеньков</t>
  </si>
  <si>
    <t>Косарская</t>
  </si>
  <si>
    <t>Растворов</t>
  </si>
  <si>
    <t>Лилявин</t>
  </si>
  <si>
    <t>Кортушова</t>
  </si>
  <si>
    <t>Золотухин</t>
  </si>
  <si>
    <t>Корюков</t>
  </si>
  <si>
    <t>Зубцов</t>
  </si>
  <si>
    <t>Джекович</t>
  </si>
  <si>
    <t>Нечухаева</t>
  </si>
  <si>
    <t>Паю</t>
  </si>
  <si>
    <t>Кокоткина</t>
  </si>
  <si>
    <t>Гаврилин</t>
  </si>
  <si>
    <t>Игоревич</t>
  </si>
  <si>
    <t>Мустафин</t>
  </si>
  <si>
    <t>Риф</t>
  </si>
  <si>
    <t>Ханифович</t>
  </si>
  <si>
    <t>Селюнин</t>
  </si>
  <si>
    <t>Торопов</t>
  </si>
  <si>
    <t>Воскобойников</t>
  </si>
  <si>
    <t>Красюк</t>
  </si>
  <si>
    <t>Владислав</t>
  </si>
  <si>
    <t>Шестов</t>
  </si>
  <si>
    <t>Мушинская</t>
  </si>
  <si>
    <t>Галкин</t>
  </si>
  <si>
    <t>Ильич</t>
  </si>
  <si>
    <t>Муратов</t>
  </si>
  <si>
    <t>Марсель</t>
  </si>
  <si>
    <t>Берикеевич</t>
  </si>
  <si>
    <t>Литвинов</t>
  </si>
  <si>
    <t>Жарков</t>
  </si>
  <si>
    <t>Полякова</t>
  </si>
  <si>
    <t>Казанбеков</t>
  </si>
  <si>
    <t>Мусалим</t>
  </si>
  <si>
    <t>Магомедалиевич</t>
  </si>
  <si>
    <t>Днепровский</t>
  </si>
  <si>
    <t>Шапиро</t>
  </si>
  <si>
    <t>Наумович</t>
  </si>
  <si>
    <t>Мартьянова</t>
  </si>
  <si>
    <t>Гадеев</t>
  </si>
  <si>
    <t>Гильмиярович</t>
  </si>
  <si>
    <t>Архипова</t>
  </si>
  <si>
    <t>Попов</t>
  </si>
  <si>
    <t>Губина</t>
  </si>
  <si>
    <t>Софья</t>
  </si>
  <si>
    <t>Алексеева</t>
  </si>
  <si>
    <t>Сухарникова</t>
  </si>
  <si>
    <t>Павленко</t>
  </si>
  <si>
    <t>Лопатин</t>
  </si>
  <si>
    <t>Курьянович</t>
  </si>
  <si>
    <t>Телков</t>
  </si>
  <si>
    <t>Чириков</t>
  </si>
  <si>
    <t>Чорний</t>
  </si>
  <si>
    <t>Белобородова</t>
  </si>
  <si>
    <t>Тонких</t>
  </si>
  <si>
    <t>Носов</t>
  </si>
  <si>
    <t>Мишкина</t>
  </si>
  <si>
    <t>Дуб</t>
  </si>
  <si>
    <t>Матинян</t>
  </si>
  <si>
    <t>Ашотовна</t>
  </si>
  <si>
    <t>Емельянов</t>
  </si>
  <si>
    <t>Мамаева</t>
  </si>
  <si>
    <t>Аркадьевна</t>
  </si>
  <si>
    <t>Фоломеев</t>
  </si>
  <si>
    <t>Калчева</t>
  </si>
  <si>
    <t>Григорьевна</t>
  </si>
  <si>
    <t>Денисенко</t>
  </si>
  <si>
    <t>Абдурахман</t>
  </si>
  <si>
    <t>Абдулсаламович</t>
  </si>
  <si>
    <t>Кильдебаев</t>
  </si>
  <si>
    <t>Зайдулла</t>
  </si>
  <si>
    <t>Мурзабекович</t>
  </si>
  <si>
    <t>Саломатина</t>
  </si>
  <si>
    <t>Савельев</t>
  </si>
  <si>
    <t>Айтуганова</t>
  </si>
  <si>
    <t>Рая</t>
  </si>
  <si>
    <t>Беккалиевна</t>
  </si>
  <si>
    <t>Антропов</t>
  </si>
  <si>
    <t>Нелидов</t>
  </si>
  <si>
    <t>Цыгин</t>
  </si>
  <si>
    <t>Мифтахутдинов</t>
  </si>
  <si>
    <t>Кияметдин</t>
  </si>
  <si>
    <t>Садыртдинович</t>
  </si>
  <si>
    <t>Березовский</t>
  </si>
  <si>
    <t>Жарский</t>
  </si>
  <si>
    <t>Мазур</t>
  </si>
  <si>
    <t>Хочукаев</t>
  </si>
  <si>
    <t>Ибрагим</t>
  </si>
  <si>
    <t>Шамсудинович</t>
  </si>
  <si>
    <t>Алещенко</t>
  </si>
  <si>
    <t>Кожевников</t>
  </si>
  <si>
    <t>Пятченкова</t>
  </si>
  <si>
    <t>Вишнякова</t>
  </si>
  <si>
    <t>Симонов</t>
  </si>
  <si>
    <t>Кузьмин</t>
  </si>
  <si>
    <t>Горячев</t>
  </si>
  <si>
    <t>Мартыновский</t>
  </si>
  <si>
    <t>Габитова</t>
  </si>
  <si>
    <t>Христинович</t>
  </si>
  <si>
    <t>Гойсан</t>
  </si>
  <si>
    <t>Богдан</t>
  </si>
  <si>
    <t>Высогорец</t>
  </si>
  <si>
    <t>Губанов</t>
  </si>
  <si>
    <t>Бусыгина</t>
  </si>
  <si>
    <t>Важенина</t>
  </si>
  <si>
    <t>Елизавета</t>
  </si>
  <si>
    <t>Гладышева</t>
  </si>
  <si>
    <t>Фишер</t>
  </si>
  <si>
    <t>Августович</t>
  </si>
  <si>
    <t>Шутиков</t>
  </si>
  <si>
    <t>Удержание налогов. Данные для сверки с квартальными отчетами.
За период с 01.01.2017 по 30.09.2017</t>
  </si>
  <si>
    <t>Пенсия, схема 1</t>
  </si>
  <si>
    <t>Пенсия, схема 2</t>
  </si>
  <si>
    <t>Пенсия, схема 3</t>
  </si>
  <si>
    <t>Пенсия, схема 5</t>
  </si>
  <si>
    <t>Пенсия, схема 6</t>
  </si>
  <si>
    <t>Пенсия, схема 7</t>
  </si>
  <si>
    <t>Выкупные суммы, схема 2</t>
  </si>
  <si>
    <t>Выкупные суммы, схема 3</t>
  </si>
  <si>
    <t>Выкупные суммы, схема 4</t>
  </si>
  <si>
    <t>Выкупные суммы, схема 5</t>
  </si>
  <si>
    <t>Раздел 2 справки 6-НДФЛ
за период с 01.01.2017  по 30.09.2017</t>
  </si>
  <si>
    <t>Раздел 1 справок 6-НДФЛ (итоги по ставкам)
за период с 01.01.2017  по 30.09.2017</t>
  </si>
  <si>
    <t>пенсии</t>
  </si>
  <si>
    <t>рит.выпл.</t>
  </si>
  <si>
    <t>вык.сум.</t>
  </si>
  <si>
    <t>недоплата: 12863 руб., см. ниже</t>
  </si>
  <si>
    <t>Раздел 1 справки 6-НДФЛ (общие итоги)
за период с 01.01.2017  по 30.09.2017</t>
  </si>
  <si>
    <t>вык.сум. сх. 2</t>
  </si>
  <si>
    <t>вык.сум. сх. 3</t>
  </si>
  <si>
    <t>вык.сум. сх. 5</t>
  </si>
  <si>
    <t>пенсии сх. 1</t>
  </si>
  <si>
    <t>Журавов</t>
  </si>
  <si>
    <t>Выполнение прервано пользователем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</si>
</sst>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4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b/>
      <sz val="11"/>
      <color theme="1"/>
      <name val="Calibri"/>
      <scheme val="minor"/>
    </font>
    <font>
      <b/>
      <sz val="14"/>
      <color indexed="8"/>
      <name val="Arial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</cellStyleXfs>
  <cellXfs count="26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14" fontId="0" fillId="0" borderId="39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right" vertical="center"/>
    </xf>
    <xf numFmtId="164" fontId="0" fillId="0" borderId="40" xfId="0" applyNumberFormat="1" applyBorder="1" applyAlignment="1">
      <alignment horizontal="right" vertical="center"/>
    </xf>
    <xf numFmtId="14" fontId="0" fillId="0" borderId="9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right" vertical="center"/>
    </xf>
    <xf numFmtId="1" fontId="0" fillId="0" borderId="9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left" vertical="center"/>
    </xf>
    <xf numFmtId="1" fontId="0" fillId="0" borderId="17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left" vertical="center"/>
    </xf>
    <xf numFmtId="49" fontId="0" fillId="0" borderId="18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Border="1" applyAlignment="1">
      <alignment horizontal="right" vertical="center"/>
    </xf>
    <xf numFmtId="14" fontId="7" fillId="0" borderId="39" xfId="1" applyNumberFormat="1" applyFill="1" applyBorder="1"/>
    <xf numFmtId="4" fontId="7" fillId="0" borderId="7" xfId="1" applyNumberFormat="1" applyFill="1" applyBorder="1"/>
    <xf numFmtId="0" fontId="0" fillId="0" borderId="0" xfId="0" applyFont="1" applyFill="1" applyBorder="1"/>
    <xf numFmtId="4" fontId="0" fillId="0" borderId="0" xfId="0" applyNumberFormat="1" applyFont="1" applyFill="1" applyBorder="1"/>
    <xf numFmtId="3" fontId="0" fillId="0" borderId="0" xfId="0" applyNumberFormat="1" applyFont="1" applyFill="1" applyBorder="1"/>
    <xf numFmtId="0" fontId="32" fillId="0" borderId="0" xfId="0" applyFont="1" applyFill="1" applyAlignment="1">
      <alignment horizontal="right"/>
    </xf>
    <xf numFmtId="0" fontId="32" fillId="0" borderId="0" xfId="0" applyFont="1" applyFill="1"/>
    <xf numFmtId="4" fontId="32" fillId="0" borderId="0" xfId="0" applyNumberFormat="1" applyFont="1" applyFill="1"/>
    <xf numFmtId="3" fontId="32" fillId="0" borderId="0" xfId="0" applyNumberFormat="1" applyFont="1" applyFill="1"/>
    <xf numFmtId="0" fontId="28" fillId="0" borderId="1" xfId="0" applyNumberFormat="1" applyFont="1" applyFill="1" applyBorder="1" applyAlignment="1" applyProtection="1">
      <alignment horizontal="right" vertical="center"/>
    </xf>
    <xf numFmtId="4" fontId="33" fillId="0" borderId="1" xfId="0" applyNumberFormat="1" applyFont="1" applyFill="1" applyBorder="1" applyAlignment="1" applyProtection="1">
      <alignment horizontal="right" vertical="center" wrapText="1"/>
    </xf>
    <xf numFmtId="0" fontId="0" fillId="0" borderId="22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7" fillId="0" borderId="0" xfId="4" applyNumberFormat="1" applyAlignment="1">
      <alignment horizontal="center" vertic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center" vertical="center" wrapText="1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404">
    <dxf>
      <border>
        <top style="thin">
          <color rgb="FF000000"/>
        </top>
        <vertical/>
        <horizontal/>
      </border>
    </dxf>
    <dxf>
      <border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al"/>
        <scheme val="none"/>
      </font>
      <fill>
        <patternFill patternType="none">
          <fgColor rgb="FF000000"/>
          <bgColor rgb="FFFFFFFF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rgb="FF000000"/>
        </top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rgb="FFFFFFFF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66676</xdr:colOff>
      <xdr:row>0</xdr:row>
      <xdr:rowOff>38100</xdr:rowOff>
    </xdr:from>
    <xdr:to>
      <xdr:col>6</xdr:col>
      <xdr:colOff>466726</xdr:colOff>
      <xdr:row>0</xdr:row>
      <xdr:rowOff>409575</xdr:rowOff>
    </xdr:to>
    <xdr:sp macro="[0]!send" textlink="">
      <xdr:nvSpPr>
        <xdr:cNvPr id="3" name="btnSend"/>
        <xdr:cNvSpPr/>
      </xdr:nvSpPr>
      <xdr:spPr>
        <a:xfrm>
          <a:off x="7991476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Сотрудники фонда"/>
      <sheetName val="funds_employees"/>
      <sheetName val="funds_employees_report"/>
      <sheetName val="ndfl6_part1"/>
      <sheetName val="tax_diff_report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403" dataDxfId="401" headerRowBorderDxfId="402" tableBorderDxfId="400" totalsRowBorderDxfId="399">
  <autoFilter ref="A4:J5"/>
  <tableColumns count="10">
    <tableColumn id="1" name="1" dataDxfId="398"/>
    <tableColumn id="2" name="2" dataDxfId="397"/>
    <tableColumn id="5" name="3" dataDxfId="396"/>
    <tableColumn id="6" name="4" dataDxfId="395"/>
    <tableColumn id="7" name="5" dataDxfId="394"/>
    <tableColumn id="10" name="6" dataDxfId="393"/>
    <tableColumn id="11" name="7" dataDxfId="392"/>
    <tableColumn id="12" name="8" dataDxfId="391"/>
    <tableColumn id="13" name="9" dataDxfId="390"/>
    <tableColumn id="14" name="10" dataDxfId="3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388" dataDxfId="386" headerRowBorderDxfId="387" tableBorderDxfId="385" totalsRowBorderDxfId="384">
  <autoFilter ref="A5:P6"/>
  <tableColumns count="16">
    <tableColumn id="1" name="1" dataDxfId="383"/>
    <tableColumn id="2" name="2" dataDxfId="382"/>
    <tableColumn id="3" name="3" dataDxfId="381"/>
    <tableColumn id="4" name="4" dataDxfId="380"/>
    <tableColumn id="5" name="5" dataDxfId="379"/>
    <tableColumn id="6" name="6" dataDxfId="378"/>
    <tableColumn id="7" name="7" dataDxfId="377"/>
    <tableColumn id="8" name="8" dataDxfId="376"/>
    <tableColumn id="9" name="9" dataDxfId="375"/>
    <tableColumn id="10" name="10" dataDxfId="374"/>
    <tableColumn id="11" name="11" dataDxfId="373"/>
    <tableColumn id="12" name="12" dataDxfId="372"/>
    <tableColumn id="13" name="13" dataDxfId="371"/>
    <tableColumn id="14" name="14" dataDxfId="370"/>
    <tableColumn id="15" name="15" dataDxfId="369"/>
    <tableColumn id="16" name="16" dataDxfId="3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367" dataDxfId="365" headerRowBorderDxfId="366" tableBorderDxfId="364" totalsRowBorderDxfId="363">
  <autoFilter ref="A3:I4">
    <filterColumn colId="1"/>
  </autoFilter>
  <tableColumns count="9">
    <tableColumn id="1" name="1" dataDxfId="362"/>
    <tableColumn id="3" name="2" dataDxfId="361"/>
    <tableColumn id="2" name="3" dataDxfId="360"/>
    <tableColumn id="5" name="4" dataDxfId="359"/>
    <tableColumn id="6" name="5" dataDxfId="358"/>
    <tableColumn id="7" name="6" dataDxfId="357"/>
    <tableColumn id="10" name="7" dataDxfId="356"/>
    <tableColumn id="11" name="8" dataDxfId="355"/>
    <tableColumn id="12" name="9" dataDxfId="3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353" dataDxfId="351" headerRowBorderDxfId="352" tableBorderDxfId="350" totalsRowBorderDxfId="349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348"/>
    <tableColumn id="20" name="2" dataDxfId="347"/>
    <tableColumn id="19" name="3" dataDxfId="346"/>
    <tableColumn id="18" name="4" dataDxfId="345"/>
    <tableColumn id="17" name="5" dataDxfId="344"/>
    <tableColumn id="23" name="6" dataDxfId="343"/>
    <tableColumn id="22" name="7" dataDxfId="342"/>
    <tableColumn id="21" name="8" dataDxfId="341"/>
    <tableColumn id="28" name="9" dataDxfId="340"/>
    <tableColumn id="29" name="10" dataDxfId="339"/>
    <tableColumn id="27" name="11" dataDxfId="338"/>
    <tableColumn id="26" name="12" dataDxfId="337"/>
    <tableColumn id="25" name="13" dataDxfId="336"/>
    <tableColumn id="5" name="14" dataDxfId="335"/>
    <tableColumn id="4" name="15" dataDxfId="334"/>
    <tableColumn id="3" name="16" dataDxfId="333"/>
    <tableColumn id="2" name="17" dataDxfId="332"/>
    <tableColumn id="24" name="18" dataDxfId="3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17" totalsRowShown="0">
  <autoFilter ref="D2:E17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37" totalsRowShown="0">
  <autoFilter ref="G2:J37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8" totalsRowShown="0">
  <autoFilter ref="V2:Z8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4" totalsRowShown="0">
  <autoFilter ref="L2:Q24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3" totalsRowShown="0">
  <autoFilter ref="S2:T1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330" tableBorderDxfId="329" totalsRowBorderDxfId="328">
  <autoFilter ref="A2:B8"/>
  <tableColumns count="2">
    <tableColumn id="1" name="Key" totalsRowLabel="Итог" totalsRowDxfId="327"/>
    <tableColumn id="2" name="Value" totalsRowFunction="count" totalsRowDxfId="32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325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2" totalsRowShown="0">
  <autoFilter ref="AB2:AH12">
    <filterColumn colId="5"/>
    <filterColumn colId="6"/>
  </autoFilter>
  <tableColumns count="7">
    <tableColumn id="1" name="Program" dataDxfId="324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5" totalsRowShown="0" headerRowDxfId="323" dataDxfId="322" tableBorderDxfId="321">
  <tableColumns count="1">
    <tableColumn id="1" name="Столбец1" dataDxfId="320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54" name="Таблица855" displayName="Таблица855" ref="A1:F2" totalsRowShown="0" headerRowDxfId="3" headerRowBorderDxfId="1" tableBorderDxfId="2" totalsRowBorderDxfId="0">
  <autoFilter ref="A1:F2">
    <filterColumn colId="0"/>
    <filterColumn colId="1"/>
    <filterColumn colId="2"/>
    <filterColumn colId="4"/>
    <filterColumn colId="5"/>
  </autoFilter>
  <tableColumns count="6">
    <tableColumn id="7" name="Фамилия"/>
    <tableColumn id="6" name="Имя"/>
    <tableColumn id="4" name="Отчество"/>
    <tableColumn id="5" name="Дата рождения" dataDxfId="4"/>
    <tableColumn id="2" name="Снилс"/>
    <tableColumn id="3" name="ИНН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50" name="ndfl6_recalc_prev_year51" displayName="ndfl6_recalc_prev_year51" ref="D14:E17" headerRowCount="0" totalsRowShown="0">
  <tableColumns count="2">
    <tableColumn id="1" name="Столбец1"/>
    <tableColumn id="2" name="Столбец2" headerRowDxfId="319" dataDxfId="318"/>
  </tableColumns>
  <tableStyleInfo showFirstColumn="0" showLastColumn="0" showRowStripes="0" showColumnStripes="0"/>
</table>
</file>

<file path=xl/tables/table25.xml><?xml version="1.0" encoding="utf-8"?>
<table xmlns="http://schemas.openxmlformats.org/spreadsheetml/2006/main" id="51" name="ndfl6_part1_general_recalc_curr52" displayName="ndfl6_part1_general_recalc_curr52" ref="D9:E11" headerRowCount="0" totalsRowShown="0">
  <tableColumns count="2">
    <tableColumn id="1" name="Столбец1"/>
    <tableColumn id="2" name="Столбец2" headerRowDxfId="317" dataDxfId="316"/>
  </tableColumns>
  <tableStyleInfo showFirstColumn="0" showLastColumn="0" showRowStripes="0" showColumnStripes="0"/>
</table>
</file>

<file path=xl/tables/table26.xml><?xml version="1.0" encoding="utf-8"?>
<table xmlns="http://schemas.openxmlformats.org/spreadsheetml/2006/main" id="53" name="Таблица454" displayName="Таблица454" ref="B5:E5" headerRowCount="0" totalsRowShown="0" headerRowDxfId="315" dataDxfId="314" tableBorderDxfId="313" totalsRowBorderDxfId="312">
  <tableColumns count="4">
    <tableColumn id="1" name="Столбец1" headerRowDxfId="311" dataDxfId="310" dataCellStyle="Обычный 4"/>
    <tableColumn id="2" name="Столбец2" headerRowDxfId="309" dataDxfId="308" headerRowCellStyle="Обычный 4" dataCellStyle="Обычный 4"/>
    <tableColumn id="3" name="Столбец3" headerRowDxfId="307" dataDxfId="306"/>
    <tableColumn id="4" name="Столбец4" headerRowDxfId="305" dataDxfId="304" headerRowCellStyle="Обычный 4" dataCellStyle="Обычный 4"/>
  </tableColumns>
  <tableStyleInfo name="TableStyleLight1" showFirstColumn="0" showLastColumn="0" showRowStripes="0" showColumnStripes="0"/>
</table>
</file>

<file path=xl/tables/table27.xml><?xml version="1.0" encoding="utf-8"?>
<table xmlns="http://schemas.openxmlformats.org/spreadsheetml/2006/main" id="41" name="Таблица2942" displayName="Таблица2942" ref="A4:H6" headerRowCount="0" totalsRowCount="1" headerRowDxfId="303" dataDxfId="302">
  <tableColumns count="8">
    <tableColumn id="1" name="Столбец1" totalsRowLabel="Итого:" headerRowDxfId="301" dataDxfId="300" totalsRowDxfId="299"/>
    <tableColumn id="2" name="Столбец2" headerRowDxfId="298" dataDxfId="297" totalsRowDxfId="296"/>
    <tableColumn id="3" name="Столбец3" totalsRowFunction="sum" headerRowDxfId="295" dataDxfId="294" totalsRowDxfId="293"/>
    <tableColumn id="4" name="Столбец4" totalsRowFunction="sum" headerRowDxfId="292" dataDxfId="291" totalsRowDxfId="290"/>
    <tableColumn id="5" name="Столбец5" totalsRowFunction="sum" headerRowDxfId="289" dataDxfId="288" totalsRowDxfId="287"/>
    <tableColumn id="6" name="Столбец6" totalsRowFunction="sum" headerRowDxfId="286" dataDxfId="285" totalsRowDxfId="284"/>
    <tableColumn id="7" name="Столбец7" totalsRowFunction="sum" headerRowDxfId="283" dataDxfId="282" totalsRowDxfId="281"/>
    <tableColumn id="8" name="Столбец8" totalsRowFunction="sum" headerRowDxfId="280" dataDxfId="279" totalsRowDxfId="278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45" name="Таблица3046" displayName="Таблица3046" ref="A10:H16" headerRowCount="0">
  <tableColumns count="8">
    <tableColumn id="1" name="тип" totalsRowLabel="Итог"/>
    <tableColumn id="2" name="схема"/>
    <tableColumn id="3" name="Столбец1" totalsRowFunction="sum" dataDxfId="277" totalsRowDxfId="276"/>
    <tableColumn id="4" name="Столбец2" dataDxfId="275"/>
    <tableColumn id="5" name="итог" dataDxfId="274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29.xml><?xml version="1.0" encoding="utf-8"?>
<table xmlns="http://schemas.openxmlformats.org/spreadsheetml/2006/main" id="46" name="Таблица3147" displayName="Таблица3147" ref="A21:H24" headerRowCount="0">
  <tableColumns count="8">
    <tableColumn id="1" name="Столбец1" totalsRowLabel="Итог" headerRowDxfId="273"/>
    <tableColumn id="2" name="Столбец2"/>
    <tableColumn id="3" name="Столбец3" totalsRowFunction="sum" headerRowDxfId="272" dataDxfId="271" totalsRowDxfId="270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0.xml><?xml version="1.0" encoding="utf-8"?>
<table xmlns="http://schemas.openxmlformats.org/spreadsheetml/2006/main" id="48" name="Таблица549" displayName="Таблица549" ref="A28:E34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49" name="Таблица4750" displayName="Таблица4750" ref="A39:F49" totalsRowCount="1" headerRowDxfId="269">
  <autoFilter ref="A39:F48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268" totalsRowDxfId="267"/>
    <tableColumn id="5" name="Налог удержанный" totalsRowFunction="sum" dataDxfId="266" totalsRowDxfId="265"/>
    <tableColumn id="6" name="Разница" totalsRowFunction="sum" dataDxfId="264" totalsRowDxfId="263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40" name="Таблица2641" displayName="Таблица2641" ref="B6:D59" totalsRowShown="0" headerRowDxfId="262" headerRowBorderDxfId="261" tableBorderDxfId="260" headerRowCellStyle="Обычный 4">
  <autoFilter ref="B6:D59"/>
  <tableColumns count="3">
    <tableColumn id="1" name="100" dataDxfId="259" dataCellStyle="Обычный 4"/>
    <tableColumn id="2" name="130" dataDxfId="258" dataCellStyle="Обычный 4"/>
    <tableColumn id="3" name="140" dataDxfId="257" dataCellStyle="Обычный 4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37" name="Таблица4238" displayName="Таблица4238" ref="A4:C14" totalsRowCount="1" headerRowDxfId="255" totalsRowDxfId="254">
  <tableColumns count="3">
    <tableColumn id="1" name="ВИД ВЫПЛАТЫ" totalsRowLabel="Итого" dataDxfId="253" totalsRowDxfId="252" dataCellStyle="Обычный 5"/>
    <tableColumn id="2" name="13%" totalsRowFunction="sum" dataDxfId="251" totalsRowDxfId="250" dataCellStyle="Обычный 5"/>
    <tableColumn id="3" name="30%" totalsRowFunction="sum" dataDxfId="249" totalsRowDxfId="248" dataCellStyle="Обычный 5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id="38" name="Таблица4339" displayName="Таблица4339" ref="E4:H14" totalsRowCount="1" headerRowDxfId="247" dataDxfId="245" headerRowBorderDxfId="246" headerRowCellStyle="Обычный 5" dataCellStyle="Обычный 5">
  <tableColumns count="4">
    <tableColumn id="1" name="Сумма по ставкам" totalsRowFunction="sum" dataDxfId="244" totalsRowDxfId="243" dataCellStyle="Обычный 5">
      <calculatedColumnFormula>Таблица4238[[#This Row],[13%]]+Таблица4238[[#This Row],[30%]]</calculatedColumnFormula>
    </tableColumn>
    <tableColumn id="2" name="13%" dataDxfId="242" totalsRowDxfId="241" dataCellStyle="Обычный 5">
      <calculatedColumnFormula>B31+#REF!-Таблица42[[#This Row],[13%]]</calculatedColumnFormula>
    </tableColumn>
    <tableColumn id="3" name="30%" dataDxfId="240" totalsRowDxfId="239" dataCellStyle="Обычный 5"/>
    <tableColumn id="4" name="Расхождение по ставкам" dataDxfId="238" totalsRowDxfId="237" dataCellStyle="Обычный 5">
      <calculatedColumnFormula>Таблица4339[[#This Row],[13%]]+Таблица4339[[#This Row],[30%]]</calculatedColumnFormula>
    </tableColumn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id="39" name="Таблица4440" displayName="Таблица4440" ref="A20:H32" totalsRowCount="1" headerRowDxfId="236" totalsRowDxfId="234" headerRowBorderDxfId="235" headerRowCellStyle="Обычный 5">
  <tableColumns count="8">
    <tableColumn id="1" name="ВИД ВЫПЛАТЫ" totalsRowLabel="Итого по ставке" dataDxfId="233" totalsRowDxfId="232" dataCellStyle="Обычный 5"/>
    <tableColumn id="2" name="13%" totalsRowFunction="sum" dataDxfId="231" totalsRowDxfId="230" dataCellStyle="Обычный 5"/>
    <tableColumn id="3" name="30%" totalsRowFunction="sum" dataDxfId="229" totalsRowDxfId="228" dataCellStyle="Обычный 5"/>
    <tableColumn id="4" name="Столбец1" totalsRowDxfId="227" dataCellStyle="Обычный 5"/>
    <tableColumn id="5" name="без исправлений" dataDxfId="226" totalsRowDxfId="225" dataCellStyle="Обычный 5"/>
    <tableColumn id="6" name="с корректоровкой" dataDxfId="224" totalsRowDxfId="223" dataCellStyle="Обычный 5"/>
    <tableColumn id="7" name="без исправлений2" dataDxfId="222" totalsRowDxfId="221" dataCellStyle="Обычный 5"/>
    <tableColumn id="8" name="с корректоровкой3" dataDxfId="220" totalsRowDxfId="219" dataCellStyle="Обычный 5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id="36" name="Таблица5237" displayName="Таблица5237" ref="A5:I343" headerRowDxfId="218">
  <autoFilter ref="A5:I343">
    <filterColumn colId="5"/>
  </autoFilter>
  <tableColumns count="9">
    <tableColumn id="1" name="Контрагент ID" totalsRowLabel="Итог" dataDxfId="217" totalsRowDxfId="216"/>
    <tableColumn id="2" name="Фамилия" dataDxfId="215" totalsRowDxfId="214"/>
    <tableColumn id="3" name="Имя" dataDxfId="213" totalsRowDxfId="212"/>
    <tableColumn id="4" name="Отчество" dataDxfId="211" totalsRowDxfId="210"/>
    <tableColumn id="5" name="Ставка" dataDxfId="209" totalsRowDxfId="208"/>
    <tableColumn id="9" name="Количество счетов" dataDxfId="207" totalsRowDxfId="206"/>
    <tableColumn id="6" name="Исчисленный налог" dataDxfId="205" totalsRowDxfId="204"/>
    <tableColumn id="7" name="Удержанный налог" dataDxfId="203" totalsRowDxfId="202"/>
    <tableColumn id="8" name="Недоплата" totalsRowFunction="sum" dataDxfId="201" totalsRowDxfId="200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35" name="Таблица22536" displayName="Таблица22536" ref="A4:R392" totalsRowShown="0" headerRowDxfId="199" dataDxfId="197" headerRowBorderDxfId="198" tableBorderDxfId="196" totalsRowBorderDxfId="195">
  <autoFilter ref="A4:R392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194"/>
    <tableColumn id="20" name="2" dataDxfId="193"/>
    <tableColumn id="19" name="3" dataDxfId="192"/>
    <tableColumn id="18" name="4" dataDxfId="191"/>
    <tableColumn id="17" name="5" dataDxfId="190"/>
    <tableColumn id="23" name="6" dataDxfId="189"/>
    <tableColumn id="22" name="7" dataDxfId="188"/>
    <tableColumn id="21" name="8" dataDxfId="187"/>
    <tableColumn id="28" name="9" dataDxfId="186"/>
    <tableColumn id="29" name="10" dataDxfId="185"/>
    <tableColumn id="27" name="11" dataDxfId="184"/>
    <tableColumn id="26" name="12" dataDxfId="183"/>
    <tableColumn id="25" name="13" dataDxfId="182"/>
    <tableColumn id="5" name="14" dataDxfId="181"/>
    <tableColumn id="4" name="15" dataDxfId="180"/>
    <tableColumn id="3" name="16" dataDxfId="179"/>
    <tableColumn id="2" name="17" dataDxfId="178"/>
    <tableColumn id="24" name="18" dataDxfId="177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34" name="Таблица235" displayName="Таблица235" ref="A4:J137" totalsRowShown="0" headerRowDxfId="176" dataDxfId="174" headerRowBorderDxfId="175" tableBorderDxfId="173" totalsRowBorderDxfId="172">
  <autoFilter ref="A4:J137"/>
  <tableColumns count="10">
    <tableColumn id="1" name="1" dataDxfId="171"/>
    <tableColumn id="2" name="2" dataDxfId="170"/>
    <tableColumn id="5" name="3" dataDxfId="169"/>
    <tableColumn id="6" name="4" dataDxfId="168"/>
    <tableColumn id="7" name="5" dataDxfId="167"/>
    <tableColumn id="10" name="6" dataDxfId="166"/>
    <tableColumn id="11" name="7" dataDxfId="165"/>
    <tableColumn id="12" name="8" dataDxfId="164"/>
    <tableColumn id="13" name="9" dataDxfId="163"/>
    <tableColumn id="14" name="10" dataDxfId="16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" name="Таблица2229" displayName="Таблица2229" ref="A5:P289" totalsRowShown="0" headerRowDxfId="161" dataDxfId="159" headerRowBorderDxfId="160" tableBorderDxfId="158" totalsRowBorderDxfId="157">
  <autoFilter ref="A5:P289"/>
  <tableColumns count="16">
    <tableColumn id="1" name="1" dataDxfId="156"/>
    <tableColumn id="2" name="2" dataDxfId="155"/>
    <tableColumn id="3" name="3" dataDxfId="154"/>
    <tableColumn id="4" name="4" dataDxfId="153"/>
    <tableColumn id="5" name="5" dataDxfId="152"/>
    <tableColumn id="6" name="6" dataDxfId="151"/>
    <tableColumn id="7" name="7" dataDxfId="150"/>
    <tableColumn id="8" name="8" dataDxfId="149"/>
    <tableColumn id="9" name="9" dataDxfId="148"/>
    <tableColumn id="10" name="10" dataDxfId="147"/>
    <tableColumn id="11" name="11" dataDxfId="146"/>
    <tableColumn id="12" name="12" dataDxfId="145"/>
    <tableColumn id="13" name="13" dataDxfId="144"/>
    <tableColumn id="14" name="14" dataDxfId="143"/>
    <tableColumn id="15" name="15" dataDxfId="142"/>
    <tableColumn id="16" name="16" dataDxfId="14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42" name="Таблица42" displayName="Таблица42" ref="A4:C14" totalsRowCount="1" headerRowDxfId="139" totalsRowDxfId="138">
  <tableColumns count="3">
    <tableColumn id="1" name="ВИД ВЫПЛАТЫ" totalsRowLabel="Итого" dataDxfId="137" totalsRowDxfId="136" dataCellStyle="Обычный 5"/>
    <tableColumn id="2" name="13%" totalsRowFunction="sum" dataDxfId="135" totalsRowDxfId="134" dataCellStyle="Обычный 5"/>
    <tableColumn id="3" name="30%" totalsRowFunction="sum" dataDxfId="133" totalsRowDxfId="132" dataCellStyle="Обычный 5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id="43" name="Таблица43" displayName="Таблица43" ref="E4:H14" totalsRowCount="1" headerRowDxfId="131" dataDxfId="129" headerRowBorderDxfId="130" headerRowCellStyle="Обычный 5" dataCellStyle="Обычный 5">
  <tableColumns count="4">
    <tableColumn id="1" name="Сумма по ставкам" totalsRowFunction="sum" dataDxfId="128" totalsRowDxfId="127" dataCellStyle="Обычный 5"/>
    <tableColumn id="2" name="13%" dataDxfId="126" totalsRowDxfId="125" dataCellStyle="Обычный 5">
      <calculatedColumnFormula>B31+#REF!-Таблица42[[#This Row],[13%]]</calculatedColumnFormula>
    </tableColumn>
    <tableColumn id="3" name="30%" dataDxfId="124" totalsRowDxfId="123" dataCellStyle="Обычный 5"/>
    <tableColumn id="4" name="Расхождение по ставкам" dataDxfId="122" totalsRowDxfId="121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id="44" name="Таблица44" displayName="Таблица44" ref="A20:H32" totalsRowCount="1" headerRowDxfId="120" totalsRowDxfId="118" headerRowBorderDxfId="119" headerRowCellStyle="Обычный 5">
  <tableColumns count="8">
    <tableColumn id="1" name="ВИД ВЫПЛАТЫ" totalsRowLabel="Итого по ставке" dataDxfId="117" totalsRowDxfId="116" dataCellStyle="Обычный 5"/>
    <tableColumn id="2" name="13%" totalsRowFunction="sum" dataDxfId="115" totalsRowDxfId="114" dataCellStyle="Обычный 5"/>
    <tableColumn id="3" name="30%" totalsRowFunction="sum" dataDxfId="113" totalsRowDxfId="112" dataCellStyle="Обычный 5"/>
    <tableColumn id="4" name="Столбец1" totalsRowDxfId="111" dataCellStyle="Обычный 5"/>
    <tableColumn id="5" name="без исправлений" dataDxfId="110" totalsRowDxfId="109" dataCellStyle="Обычный 5"/>
    <tableColumn id="6" name="с корректоровкой" dataDxfId="108" totalsRowDxfId="107" dataCellStyle="Обычный 5"/>
    <tableColumn id="7" name="без исправлений2" dataDxfId="106" totalsRowDxfId="105" dataCellStyle="Обычный 5"/>
    <tableColumn id="8" name="с корректоровкой3" dataDxfId="104" totalsRowDxfId="103" dataCellStyle="Обычный 5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id="26" name="Таблица26" displayName="Таблица26" ref="B6:D7" totalsRowShown="0" headerRowDxfId="102" headerRowBorderDxfId="101" tableBorderDxfId="100" headerRowCellStyle="Обычный 4">
  <autoFilter ref="B6:D7"/>
  <tableColumns count="3">
    <tableColumn id="1" name="100" dataDxfId="99" dataCellStyle="Обычный 4"/>
    <tableColumn id="2" name="130" dataDxfId="98" dataCellStyle="Обычный 4"/>
    <tableColumn id="3" name="140" dataDxfId="97" dataCellStyle="Обычный 4"/>
  </tableColumns>
  <tableStyleInfo name="TableStyleLight1" showFirstColumn="0" showLastColumn="0" showRowStripes="0" showColumnStripes="0"/>
</table>
</file>

<file path=xl/tables/table44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96" dataDxfId="95"/>
  </tableColumns>
  <tableStyleInfo showFirstColumn="0" showLastColumn="0" showRowStripes="0" showColumnStripes="0"/>
</table>
</file>

<file path=xl/tables/table45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94" dataDxfId="93"/>
  </tableColumns>
  <tableStyleInfo showFirstColumn="0" showLastColumn="0" showRowStripes="0" showColumnStripes="0"/>
</table>
</file>

<file path=xl/tables/table46.xml><?xml version="1.0" encoding="utf-8"?>
<table xmlns="http://schemas.openxmlformats.org/spreadsheetml/2006/main" id="4" name="Таблица4" displayName="Таблица4" ref="B5:E5" headerRowCount="0" totalsRowShown="0" headerRowDxfId="92" dataDxfId="91" tableBorderDxfId="90" totalsRowBorderDxfId="89">
  <tableColumns count="4">
    <tableColumn id="1" name="Столбец1" headerRowDxfId="88" dataDxfId="87" dataCellStyle="Обычный 4"/>
    <tableColumn id="2" name="Столбец2" headerRowDxfId="86" dataDxfId="85" headerRowCellStyle="Обычный 4" dataCellStyle="Обычный 4"/>
    <tableColumn id="3" name="Столбец3" headerRowDxfId="84" dataDxfId="83"/>
    <tableColumn id="4" name="Столбец4" headerRowDxfId="82" dataDxfId="81" headerRowCellStyle="Обычный 4" dataCellStyle="Обычный 4"/>
  </tableColumns>
  <tableStyleInfo name="TableStyleLight1" showFirstColumn="0" showLastColumn="0" showRowStripes="0" showColumnStripes="0"/>
</table>
</file>

<file path=xl/tables/table47.xml><?xml version="1.0" encoding="utf-8"?>
<table xmlns="http://schemas.openxmlformats.org/spreadsheetml/2006/main" id="29" name="Таблица29" displayName="Таблица29" ref="A4:H5" headerRowCount="0" totalsRowCount="1" headerRowDxfId="80" dataDxfId="79">
  <tableColumns count="8">
    <tableColumn id="1" name="Столбец1" totalsRowLabel="Итого:" headerRowDxfId="78" dataDxfId="77" totalsRowDxfId="76"/>
    <tableColumn id="2" name="Столбец2" headerRowDxfId="75" dataDxfId="74" totalsRowDxfId="73"/>
    <tableColumn id="3" name="Столбец3" totalsRowFunction="sum" headerRowDxfId="72" dataDxfId="71" totalsRowDxfId="70"/>
    <tableColumn id="4" name="Столбец4" totalsRowFunction="sum" headerRowDxfId="69" dataDxfId="68" totalsRowDxfId="67"/>
    <tableColumn id="5" name="Столбец5" totalsRowFunction="sum" headerRowDxfId="66" dataDxfId="65" totalsRowDxfId="64"/>
    <tableColumn id="6" name="Столбец6" totalsRowFunction="sum" headerRowDxfId="63" dataDxfId="62" totalsRowDxfId="61"/>
    <tableColumn id="7" name="Столбец7" totalsRowFunction="sum" headerRowDxfId="60" dataDxfId="59" totalsRowDxfId="58"/>
    <tableColumn id="8" name="Столбец8" totalsRowFunction="sum" headerRowDxfId="57" dataDxfId="56" totalsRowDxfId="55"/>
  </tableColumns>
  <tableStyleInfo name="TableStyleLight1" showFirstColumn="0" showLastColumn="0" showRowStripes="0" showColumnStripes="0"/>
</table>
</file>

<file path=xl/tables/table48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54" totalsRowDxfId="53"/>
    <tableColumn id="4" name="Столбец2" dataDxfId="52"/>
    <tableColumn id="5" name="итог" dataDxfId="51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49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50"/>
    <tableColumn id="2" name="Столбец2"/>
    <tableColumn id="3" name="Столбец3" totalsRowFunction="sum" headerRowDxfId="49" dataDxfId="48" totalsRowDxfId="47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50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51.xml><?xml version="1.0" encoding="utf-8"?>
<table xmlns="http://schemas.openxmlformats.org/spreadsheetml/2006/main" id="47" name="Таблица47" displayName="Таблица47" ref="A23:F25" totalsRowCount="1" headerRowDxfId="46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45"/>
    <tableColumn id="5" name="Налог удержанный" totalsRowFunction="sum" dataDxfId="44"/>
    <tableColumn id="6" name="Разница" totalsRowFunction="sum" dataDxfId="43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8" name="Таблица8" displayName="Таблица8" ref="A1:D2" insertRow="1" totalsRowShown="0" headerRowDxfId="42" headerRowBorderDxfId="41" tableBorderDxfId="40" totalsRowBorderDxfId="39">
  <autoFilter ref="A1:D2">
    <filterColumn colId="2"/>
    <filterColumn colId="3"/>
  </autoFilter>
  <tableColumns count="4">
    <tableColumn id="1" name="ФИО" dataDxfId="38"/>
    <tableColumn id="5" name="Дата рождения" dataDxfId="37"/>
    <tableColumn id="2" name="Снилс"/>
    <tableColumn id="3" name="ИНН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25" name="Таблица8526" displayName="Таблица8526" ref="A2:I3" totalsRowShown="0" headerRowDxfId="36" headerRowBorderDxfId="35" tableBorderDxfId="34" totalsRowBorderDxfId="33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32"/>
    <tableColumn id="6" name="Имя" dataDxfId="31"/>
    <tableColumn id="4" name="Отчество" dataDxfId="30"/>
    <tableColumn id="5" name="Дата рождения" dataDxfId="29"/>
    <tableColumn id="3" name="ИНН" dataDxfId="28"/>
    <tableColumn id="1" name="Участник/Не участник" dataDxfId="27"/>
    <tableColumn id="2" name="Доход" dataDxfId="26"/>
    <tableColumn id="8" name="Пенсионные схемы" dataDxfId="25"/>
    <tableColumn id="9" name="Типы дохода" dataDxfId="24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id="52" name="Таблица52" displayName="Таблица52" ref="A5:I6" headerRowDxfId="23">
  <autoFilter ref="A5:I6">
    <filterColumn colId="5"/>
  </autoFilter>
  <tableColumns count="9">
    <tableColumn id="1" name="Контрагент ID" totalsRowLabel="Итог" dataDxfId="22" totalsRowDxfId="21"/>
    <tableColumn id="2" name="Фамилия" dataDxfId="20" totalsRowDxfId="19"/>
    <tableColumn id="3" name="Имя" dataDxfId="18" totalsRowDxfId="17"/>
    <tableColumn id="4" name="Отчество" dataDxfId="16" totalsRowDxfId="15"/>
    <tableColumn id="5" name="Ставка" dataDxfId="14" totalsRowDxfId="13"/>
    <tableColumn id="9" name="Количество счетов" dataDxfId="12" totalsRowDxfId="11"/>
    <tableColumn id="6" name="Исчисленный налог" dataDxfId="10" totalsRowDxfId="9"/>
    <tableColumn id="7" name="Удержанный налог" dataDxfId="8" totalsRowDxfId="7"/>
    <tableColumn id="8" name="Недоплата" totalsRowFunction="sum" dataDxfId="6" totalsRowDxfId="5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2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18.bin"/><Relationship Id="rId4" Type="http://schemas.openxmlformats.org/officeDocument/2006/relationships/table" Target="../tables/table4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19.bin"/><Relationship Id="rId6" Type="http://schemas.openxmlformats.org/officeDocument/2006/relationships/table" Target="../tables/table51.xml"/><Relationship Id="rId5" Type="http://schemas.openxmlformats.org/officeDocument/2006/relationships/table" Target="../tables/table50.xml"/><Relationship Id="rId4" Type="http://schemas.openxmlformats.org/officeDocument/2006/relationships/table" Target="../tables/table4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4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01" t="s">
        <v>253</v>
      </c>
      <c r="B1" s="202"/>
      <c r="C1" s="202"/>
      <c r="D1" s="202"/>
      <c r="E1" s="202"/>
      <c r="F1" s="202"/>
      <c r="G1" s="202"/>
      <c r="H1" s="202"/>
      <c r="I1" s="202"/>
      <c r="J1" s="202"/>
    </row>
    <row r="2" spans="1:10" ht="31.5" customHeight="1">
      <c r="A2" s="199" t="s">
        <v>4</v>
      </c>
      <c r="B2" s="199"/>
      <c r="C2" s="199"/>
      <c r="D2" s="199"/>
      <c r="E2" s="199"/>
      <c r="F2" s="200" t="s">
        <v>23</v>
      </c>
      <c r="G2" s="200"/>
      <c r="H2" s="200"/>
      <c r="I2" s="200"/>
      <c r="J2" s="200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03" t="s">
        <v>253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</row>
    <row r="2" spans="1:16" ht="31.5" customHeight="1">
      <c r="A2" s="208" t="s">
        <v>4</v>
      </c>
      <c r="B2" s="209"/>
      <c r="C2" s="209"/>
      <c r="D2" s="209"/>
      <c r="E2" s="209"/>
      <c r="F2" s="209"/>
      <c r="G2" s="209"/>
      <c r="H2" s="209"/>
      <c r="I2" s="210"/>
      <c r="J2" s="211" t="s">
        <v>23</v>
      </c>
      <c r="K2" s="212"/>
      <c r="L2" s="212"/>
      <c r="M2" s="212"/>
      <c r="N2" s="212"/>
      <c r="O2" s="212"/>
      <c r="P2" s="213"/>
    </row>
    <row r="3" spans="1:16" ht="24" customHeight="1">
      <c r="A3" s="214" t="s">
        <v>0</v>
      </c>
      <c r="B3" s="216" t="s">
        <v>29</v>
      </c>
      <c r="C3" s="216" t="s">
        <v>3</v>
      </c>
      <c r="D3" s="216" t="s">
        <v>30</v>
      </c>
      <c r="E3" s="218" t="s">
        <v>5</v>
      </c>
      <c r="F3" s="219"/>
      <c r="G3" s="220"/>
      <c r="H3" s="218" t="s">
        <v>6</v>
      </c>
      <c r="I3" s="221"/>
      <c r="J3" s="222" t="s">
        <v>28</v>
      </c>
      <c r="K3" s="222" t="s">
        <v>32</v>
      </c>
      <c r="L3" s="204" t="s">
        <v>5</v>
      </c>
      <c r="M3" s="205"/>
      <c r="N3" s="206"/>
      <c r="O3" s="204" t="s">
        <v>6</v>
      </c>
      <c r="P3" s="207"/>
    </row>
    <row r="4" spans="1:16" ht="38.25" customHeight="1">
      <c r="A4" s="215"/>
      <c r="B4" s="217"/>
      <c r="C4" s="217"/>
      <c r="D4" s="217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23"/>
      <c r="K4" s="223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sqref="A1:I1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03" t="s">
        <v>254</v>
      </c>
      <c r="B1" s="203"/>
      <c r="C1" s="203"/>
      <c r="D1" s="203"/>
      <c r="E1" s="203"/>
      <c r="F1" s="203"/>
      <c r="G1" s="203"/>
      <c r="H1" s="203"/>
      <c r="I1" s="203"/>
      <c r="J1" s="111"/>
      <c r="K1" s="111"/>
      <c r="L1" s="111"/>
      <c r="M1" s="111"/>
      <c r="N1" s="111"/>
      <c r="O1" s="111"/>
      <c r="P1" s="111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A2" sqref="A2:D2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24" t="s">
        <v>255</v>
      </c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</row>
    <row r="2" spans="1:18" ht="31.5" customHeight="1">
      <c r="A2" s="199" t="s">
        <v>59</v>
      </c>
      <c r="B2" s="199"/>
      <c r="C2" s="199"/>
      <c r="D2" s="199"/>
      <c r="E2" s="199" t="s">
        <v>58</v>
      </c>
      <c r="F2" s="199"/>
      <c r="G2" s="199"/>
      <c r="H2" s="199"/>
      <c r="I2" s="199"/>
      <c r="J2" s="199"/>
      <c r="K2" s="225" t="s">
        <v>52</v>
      </c>
      <c r="L2" s="225" t="s">
        <v>53</v>
      </c>
      <c r="M2" s="225" t="s">
        <v>38</v>
      </c>
      <c r="N2" s="225" t="s">
        <v>54</v>
      </c>
      <c r="O2" s="199" t="s">
        <v>60</v>
      </c>
      <c r="P2" s="199"/>
      <c r="Q2" s="199"/>
      <c r="R2" s="199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25"/>
      <c r="L3" s="225"/>
      <c r="M3" s="225"/>
      <c r="N3" s="225"/>
      <c r="O3" s="19" t="s">
        <v>62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37"/>
  <sheetViews>
    <sheetView workbookViewId="0">
      <selection activeCell="I10" sqref="I10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226" t="s">
        <v>117</v>
      </c>
      <c r="B1" s="226"/>
      <c r="D1" s="227" t="s">
        <v>118</v>
      </c>
      <c r="E1" s="227"/>
      <c r="G1" s="227" t="s">
        <v>113</v>
      </c>
      <c r="H1" s="227"/>
      <c r="I1" s="227"/>
      <c r="J1" s="227"/>
      <c r="L1" s="227" t="s">
        <v>108</v>
      </c>
      <c r="M1" s="227"/>
      <c r="N1" s="227"/>
      <c r="O1" s="227"/>
      <c r="P1" s="227"/>
      <c r="Q1" s="227"/>
      <c r="S1" s="227" t="s">
        <v>114</v>
      </c>
      <c r="T1" s="227"/>
      <c r="V1" s="227" t="s">
        <v>105</v>
      </c>
      <c r="W1" s="227"/>
      <c r="X1" s="227"/>
      <c r="Y1" s="227"/>
      <c r="Z1" s="227"/>
      <c r="AB1" s="227" t="s">
        <v>145</v>
      </c>
      <c r="AC1" s="227"/>
      <c r="AD1" s="227"/>
      <c r="AE1" s="227"/>
      <c r="AF1" s="227"/>
      <c r="AG1" s="227"/>
      <c r="AH1" s="227"/>
      <c r="AJ1" s="38" t="s">
        <v>131</v>
      </c>
      <c r="AL1" s="38" t="s">
        <v>133</v>
      </c>
      <c r="AN1" s="38" t="s">
        <v>135</v>
      </c>
      <c r="AP1" s="38" t="s">
        <v>144</v>
      </c>
      <c r="AR1" s="38" t="s">
        <v>153</v>
      </c>
      <c r="AT1" s="38" t="s">
        <v>154</v>
      </c>
      <c r="AV1" s="38" t="s">
        <v>146</v>
      </c>
      <c r="AX1" s="38" t="s">
        <v>159</v>
      </c>
      <c r="AZ1" s="38" t="s">
        <v>168</v>
      </c>
      <c r="BB1" s="228" t="s">
        <v>250</v>
      </c>
      <c r="BC1" s="228"/>
    </row>
    <row r="2" spans="1:57">
      <c r="A2" s="6" t="s">
        <v>138</v>
      </c>
      <c r="B2" s="6" t="s">
        <v>116</v>
      </c>
      <c r="D2" t="s">
        <v>109</v>
      </c>
      <c r="E2" t="s">
        <v>123</v>
      </c>
      <c r="G2" t="s">
        <v>109</v>
      </c>
      <c r="H2" t="s">
        <v>125</v>
      </c>
      <c r="I2" t="s">
        <v>112</v>
      </c>
      <c r="J2" t="s">
        <v>168</v>
      </c>
      <c r="L2" t="s">
        <v>109</v>
      </c>
      <c r="M2" t="s">
        <v>31</v>
      </c>
      <c r="N2" t="s">
        <v>97</v>
      </c>
      <c r="O2" t="s">
        <v>132</v>
      </c>
      <c r="P2" t="s">
        <v>127</v>
      </c>
      <c r="Q2" t="s">
        <v>119</v>
      </c>
      <c r="S2" t="s">
        <v>109</v>
      </c>
      <c r="T2" t="s">
        <v>115</v>
      </c>
      <c r="V2" t="s">
        <v>109</v>
      </c>
      <c r="W2" t="s">
        <v>125</v>
      </c>
      <c r="X2" t="s">
        <v>141</v>
      </c>
      <c r="Y2" t="s">
        <v>147</v>
      </c>
      <c r="Z2" t="s">
        <v>129</v>
      </c>
      <c r="AB2" t="s">
        <v>127</v>
      </c>
      <c r="AC2" t="s">
        <v>155</v>
      </c>
      <c r="AD2" t="s">
        <v>146</v>
      </c>
      <c r="AE2" t="s">
        <v>156</v>
      </c>
      <c r="AF2" t="s">
        <v>157</v>
      </c>
      <c r="AG2" t="s">
        <v>162</v>
      </c>
      <c r="AH2" t="s">
        <v>167</v>
      </c>
      <c r="AJ2" t="s">
        <v>109</v>
      </c>
      <c r="AL2" t="s">
        <v>109</v>
      </c>
      <c r="AN2" t="s">
        <v>109</v>
      </c>
      <c r="AP2" t="s">
        <v>109</v>
      </c>
      <c r="AR2" t="s">
        <v>109</v>
      </c>
      <c r="AT2" t="s">
        <v>109</v>
      </c>
      <c r="AV2" t="s">
        <v>109</v>
      </c>
      <c r="AX2" t="s">
        <v>109</v>
      </c>
      <c r="AZ2" t="s">
        <v>109</v>
      </c>
      <c r="BB2" t="s">
        <v>138</v>
      </c>
      <c r="BC2" t="s">
        <v>116</v>
      </c>
    </row>
    <row r="3" spans="1:57">
      <c r="A3" s="6" t="s">
        <v>183</v>
      </c>
      <c r="B3" s="6" t="s">
        <v>184</v>
      </c>
      <c r="D3" t="s">
        <v>44</v>
      </c>
      <c r="E3" t="s">
        <v>43</v>
      </c>
      <c r="G3" t="s">
        <v>27</v>
      </c>
      <c r="H3" t="s">
        <v>106</v>
      </c>
      <c r="I3" t="s">
        <v>27</v>
      </c>
      <c r="L3" t="s">
        <v>27</v>
      </c>
      <c r="M3" t="s">
        <v>27</v>
      </c>
      <c r="N3" t="s">
        <v>25</v>
      </c>
      <c r="O3" t="s">
        <v>130</v>
      </c>
      <c r="P3" t="s">
        <v>128</v>
      </c>
      <c r="Q3" t="s">
        <v>136</v>
      </c>
      <c r="S3" t="s">
        <v>121</v>
      </c>
      <c r="T3" t="s">
        <v>139</v>
      </c>
      <c r="V3" s="6" t="s">
        <v>174</v>
      </c>
      <c r="W3" t="s">
        <v>126</v>
      </c>
      <c r="X3" t="s">
        <v>143</v>
      </c>
      <c r="Z3" t="s">
        <v>176</v>
      </c>
      <c r="AB3" s="6" t="s">
        <v>128</v>
      </c>
      <c r="AC3" t="s">
        <v>164</v>
      </c>
      <c r="AD3" t="s">
        <v>149</v>
      </c>
      <c r="AG3">
        <v>2000</v>
      </c>
      <c r="AH3" t="s">
        <v>143</v>
      </c>
      <c r="AJ3" s="36" t="s">
        <v>106</v>
      </c>
      <c r="AL3" t="s">
        <v>130</v>
      </c>
      <c r="AN3" t="s">
        <v>136</v>
      </c>
      <c r="AP3" t="s">
        <v>126</v>
      </c>
      <c r="AR3" t="s">
        <v>152</v>
      </c>
      <c r="AT3" t="s">
        <v>148</v>
      </c>
      <c r="AV3" t="s">
        <v>150</v>
      </c>
      <c r="AX3" t="s">
        <v>143</v>
      </c>
      <c r="AZ3" t="s">
        <v>169</v>
      </c>
      <c r="BB3" t="s">
        <v>251</v>
      </c>
      <c r="BC3" t="s">
        <v>160</v>
      </c>
    </row>
    <row r="4" spans="1:57">
      <c r="A4" s="7" t="s">
        <v>103</v>
      </c>
      <c r="B4" s="7" t="s">
        <v>312</v>
      </c>
      <c r="D4" t="s">
        <v>270</v>
      </c>
      <c r="E4" s="6" t="s">
        <v>185</v>
      </c>
      <c r="G4" t="s">
        <v>33</v>
      </c>
      <c r="H4" t="s">
        <v>106</v>
      </c>
      <c r="I4" t="s">
        <v>33</v>
      </c>
      <c r="L4" t="s">
        <v>33</v>
      </c>
      <c r="M4" t="s">
        <v>33</v>
      </c>
      <c r="N4" t="s">
        <v>34</v>
      </c>
      <c r="O4" t="s">
        <v>130</v>
      </c>
      <c r="P4" t="s">
        <v>128</v>
      </c>
      <c r="Q4" t="s">
        <v>136</v>
      </c>
      <c r="S4" t="s">
        <v>121</v>
      </c>
      <c r="T4" s="6" t="s">
        <v>193</v>
      </c>
      <c r="V4" s="6" t="s">
        <v>128</v>
      </c>
      <c r="W4" t="s">
        <v>163</v>
      </c>
      <c r="X4" t="s">
        <v>143</v>
      </c>
      <c r="Y4" t="s">
        <v>148</v>
      </c>
      <c r="Z4" s="6" t="s">
        <v>247</v>
      </c>
      <c r="AA4" s="6"/>
      <c r="AB4" s="46" t="s">
        <v>128</v>
      </c>
      <c r="AC4" s="6" t="s">
        <v>158</v>
      </c>
      <c r="AD4" s="6" t="s">
        <v>150</v>
      </c>
      <c r="AE4" s="6" t="s">
        <v>151</v>
      </c>
      <c r="AF4" s="6" t="s">
        <v>143</v>
      </c>
      <c r="AG4" s="6">
        <v>40</v>
      </c>
      <c r="AH4" s="6" t="s">
        <v>142</v>
      </c>
      <c r="AJ4" s="37" t="s">
        <v>107</v>
      </c>
      <c r="AL4" t="s">
        <v>134</v>
      </c>
      <c r="AN4" t="s">
        <v>120</v>
      </c>
      <c r="AP4" t="s">
        <v>163</v>
      </c>
      <c r="AV4" t="s">
        <v>149</v>
      </c>
      <c r="AX4" t="s">
        <v>142</v>
      </c>
      <c r="BB4" t="s">
        <v>252</v>
      </c>
      <c r="BC4" t="s">
        <v>161</v>
      </c>
    </row>
    <row r="5" spans="1:57">
      <c r="A5" s="7" t="s">
        <v>104</v>
      </c>
      <c r="B5" s="7" t="s">
        <v>26</v>
      </c>
      <c r="D5" t="s">
        <v>313</v>
      </c>
      <c r="E5" s="6" t="s">
        <v>314</v>
      </c>
      <c r="G5" t="s">
        <v>43</v>
      </c>
      <c r="H5" t="s">
        <v>106</v>
      </c>
      <c r="I5" t="s">
        <v>43</v>
      </c>
      <c r="L5" t="s">
        <v>43</v>
      </c>
      <c r="M5" t="s">
        <v>43</v>
      </c>
      <c r="N5" t="s">
        <v>44</v>
      </c>
      <c r="O5" t="s">
        <v>130</v>
      </c>
      <c r="P5" t="s">
        <v>128</v>
      </c>
      <c r="Q5" t="s">
        <v>136</v>
      </c>
      <c r="S5" t="s">
        <v>121</v>
      </c>
      <c r="T5" s="6" t="s">
        <v>194</v>
      </c>
      <c r="V5" s="6" t="s">
        <v>170</v>
      </c>
      <c r="W5" t="s">
        <v>126</v>
      </c>
      <c r="X5" t="s">
        <v>142</v>
      </c>
      <c r="Y5" s="6"/>
      <c r="Z5" t="s">
        <v>171</v>
      </c>
      <c r="AB5" s="46" t="s">
        <v>128</v>
      </c>
      <c r="AC5" s="6" t="s">
        <v>165</v>
      </c>
      <c r="AD5" s="6" t="s">
        <v>150</v>
      </c>
      <c r="AE5" s="6" t="s">
        <v>160</v>
      </c>
      <c r="AF5" s="6" t="s">
        <v>143</v>
      </c>
      <c r="AG5" s="6">
        <v>20</v>
      </c>
      <c r="AH5" s="6" t="s">
        <v>142</v>
      </c>
      <c r="AN5" s="6" t="s">
        <v>311</v>
      </c>
    </row>
    <row r="6" spans="1:57">
      <c r="A6" s="6" t="s">
        <v>124</v>
      </c>
      <c r="B6" s="6" t="str">
        <f>VLOOKUP(ReportSelected,Menu[],2,FALSE)</f>
        <v>employees_load</v>
      </c>
      <c r="D6" t="s">
        <v>25</v>
      </c>
      <c r="E6" t="s">
        <v>27</v>
      </c>
      <c r="G6" t="s">
        <v>66</v>
      </c>
      <c r="H6" t="s">
        <v>106</v>
      </c>
      <c r="I6" t="s">
        <v>66</v>
      </c>
      <c r="L6" t="s">
        <v>66</v>
      </c>
      <c r="M6" t="s">
        <v>66</v>
      </c>
      <c r="N6" t="s">
        <v>67</v>
      </c>
      <c r="O6" t="s">
        <v>130</v>
      </c>
      <c r="P6" t="s">
        <v>128</v>
      </c>
      <c r="Q6" t="s">
        <v>136</v>
      </c>
      <c r="S6" s="6" t="s">
        <v>77</v>
      </c>
      <c r="T6" s="6" t="s">
        <v>140</v>
      </c>
      <c r="V6" s="6" t="s">
        <v>175</v>
      </c>
      <c r="W6" t="s">
        <v>163</v>
      </c>
      <c r="X6" t="s">
        <v>143</v>
      </c>
      <c r="Y6" s="6"/>
      <c r="Z6" s="6" t="s">
        <v>248</v>
      </c>
      <c r="AB6" s="46" t="s">
        <v>128</v>
      </c>
      <c r="AC6" s="6" t="s">
        <v>166</v>
      </c>
      <c r="AD6" s="6" t="s">
        <v>150</v>
      </c>
      <c r="AE6" s="6" t="s">
        <v>161</v>
      </c>
      <c r="AF6" s="6" t="s">
        <v>143</v>
      </c>
      <c r="AG6" s="6">
        <v>20</v>
      </c>
      <c r="AH6" s="6" t="s">
        <v>142</v>
      </c>
    </row>
    <row r="7" spans="1:57">
      <c r="A7" s="39" t="s">
        <v>151</v>
      </c>
      <c r="B7" s="6"/>
      <c r="D7" t="s">
        <v>34</v>
      </c>
      <c r="E7" t="s">
        <v>33</v>
      </c>
      <c r="G7" t="s">
        <v>121</v>
      </c>
      <c r="H7" t="s">
        <v>106</v>
      </c>
      <c r="I7" t="s">
        <v>121</v>
      </c>
      <c r="L7" t="s">
        <v>121</v>
      </c>
      <c r="M7" t="s">
        <v>121</v>
      </c>
      <c r="N7" t="s">
        <v>76</v>
      </c>
      <c r="O7" t="s">
        <v>130</v>
      </c>
      <c r="Q7" t="s">
        <v>120</v>
      </c>
      <c r="S7" s="6" t="s">
        <v>77</v>
      </c>
      <c r="T7" s="6" t="s">
        <v>214</v>
      </c>
      <c r="V7" s="6" t="s">
        <v>185</v>
      </c>
      <c r="W7" t="s">
        <v>163</v>
      </c>
      <c r="X7" t="s">
        <v>143</v>
      </c>
      <c r="Y7" s="6"/>
      <c r="Z7" s="6" t="s">
        <v>249</v>
      </c>
      <c r="AB7" s="6" t="s">
        <v>175</v>
      </c>
      <c r="AC7" t="s">
        <v>164</v>
      </c>
      <c r="AD7" t="s">
        <v>149</v>
      </c>
      <c r="AG7">
        <v>2000</v>
      </c>
      <c r="AH7" t="s">
        <v>143</v>
      </c>
    </row>
    <row r="8" spans="1:57">
      <c r="A8" s="6"/>
      <c r="B8" s="6"/>
      <c r="D8" t="s">
        <v>67</v>
      </c>
      <c r="E8" t="s">
        <v>66</v>
      </c>
      <c r="G8" t="s">
        <v>77</v>
      </c>
      <c r="H8" t="s">
        <v>106</v>
      </c>
      <c r="I8" t="s">
        <v>77</v>
      </c>
      <c r="L8" t="s">
        <v>77</v>
      </c>
      <c r="M8" t="s">
        <v>77</v>
      </c>
      <c r="N8" t="s">
        <v>78</v>
      </c>
      <c r="O8" t="s">
        <v>130</v>
      </c>
      <c r="Q8" t="s">
        <v>120</v>
      </c>
      <c r="S8" s="6" t="s">
        <v>77</v>
      </c>
      <c r="T8" s="6" t="s">
        <v>215</v>
      </c>
      <c r="V8" s="6" t="s">
        <v>307</v>
      </c>
      <c r="W8" s="6" t="s">
        <v>126</v>
      </c>
      <c r="X8" s="6" t="s">
        <v>143</v>
      </c>
      <c r="Y8" s="6"/>
      <c r="Z8" s="6" t="s">
        <v>308</v>
      </c>
      <c r="AB8" s="6" t="s">
        <v>175</v>
      </c>
      <c r="AC8" s="6" t="s">
        <v>173</v>
      </c>
      <c r="AD8" s="6" t="s">
        <v>150</v>
      </c>
      <c r="AE8" s="6" t="s">
        <v>161</v>
      </c>
      <c r="AF8" s="6" t="s">
        <v>143</v>
      </c>
      <c r="AG8" s="6">
        <v>20</v>
      </c>
      <c r="AH8" s="6" t="s">
        <v>142</v>
      </c>
      <c r="BE8" s="109"/>
    </row>
    <row r="9" spans="1:57">
      <c r="A9" s="6"/>
      <c r="B9" s="6"/>
      <c r="D9" t="s">
        <v>261</v>
      </c>
      <c r="E9" s="6" t="s">
        <v>262</v>
      </c>
      <c r="G9" t="s">
        <v>110</v>
      </c>
      <c r="H9" t="s">
        <v>106</v>
      </c>
      <c r="I9" t="s">
        <v>181</v>
      </c>
      <c r="J9" t="s">
        <v>169</v>
      </c>
      <c r="L9" t="s">
        <v>182</v>
      </c>
      <c r="M9" t="s">
        <v>180</v>
      </c>
      <c r="N9" t="s">
        <v>98</v>
      </c>
      <c r="O9" t="s">
        <v>130</v>
      </c>
      <c r="P9" t="s">
        <v>128</v>
      </c>
      <c r="Q9" t="s">
        <v>136</v>
      </c>
      <c r="S9" s="6" t="s">
        <v>77</v>
      </c>
      <c r="T9" s="6" t="s">
        <v>219</v>
      </c>
      <c r="AB9" s="47" t="s">
        <v>185</v>
      </c>
      <c r="AC9" t="s">
        <v>164</v>
      </c>
      <c r="AD9" t="s">
        <v>149</v>
      </c>
      <c r="AG9">
        <v>2000</v>
      </c>
      <c r="AH9" t="s">
        <v>143</v>
      </c>
    </row>
    <row r="10" spans="1:57">
      <c r="A10" s="6"/>
      <c r="B10" s="6"/>
      <c r="D10" t="s">
        <v>271</v>
      </c>
      <c r="E10" s="6" t="s">
        <v>307</v>
      </c>
      <c r="G10" t="s">
        <v>110</v>
      </c>
      <c r="H10" t="s">
        <v>107</v>
      </c>
      <c r="I10" t="s">
        <v>170</v>
      </c>
      <c r="L10" t="s">
        <v>181</v>
      </c>
      <c r="M10" t="s">
        <v>96</v>
      </c>
      <c r="N10" t="s">
        <v>98</v>
      </c>
      <c r="O10" t="s">
        <v>130</v>
      </c>
      <c r="P10" s="6"/>
      <c r="Q10" t="s">
        <v>136</v>
      </c>
      <c r="S10" s="6" t="s">
        <v>77</v>
      </c>
      <c r="T10" s="6" t="s">
        <v>221</v>
      </c>
      <c r="AB10" s="47" t="s">
        <v>185</v>
      </c>
      <c r="AC10" s="6" t="s">
        <v>166</v>
      </c>
      <c r="AD10" s="6" t="s">
        <v>150</v>
      </c>
      <c r="AE10" s="6" t="s">
        <v>161</v>
      </c>
      <c r="AF10" s="6" t="s">
        <v>143</v>
      </c>
      <c r="AG10" s="6">
        <v>20</v>
      </c>
      <c r="AH10" s="6" t="s">
        <v>142</v>
      </c>
    </row>
    <row r="11" spans="1:57">
      <c r="A11" s="6"/>
      <c r="B11" s="6"/>
      <c r="D11" s="6" t="s">
        <v>245</v>
      </c>
      <c r="E11" s="6" t="s">
        <v>246</v>
      </c>
      <c r="G11" t="s">
        <v>172</v>
      </c>
      <c r="H11" t="s">
        <v>107</v>
      </c>
      <c r="I11" t="s">
        <v>174</v>
      </c>
      <c r="L11" s="6" t="s">
        <v>193</v>
      </c>
      <c r="M11" s="6" t="s">
        <v>195</v>
      </c>
      <c r="N11" s="6" t="s">
        <v>193</v>
      </c>
      <c r="O11" t="s">
        <v>130</v>
      </c>
      <c r="P11" t="s">
        <v>128</v>
      </c>
      <c r="Q11" t="s">
        <v>136</v>
      </c>
      <c r="S11" s="6" t="s">
        <v>243</v>
      </c>
      <c r="T11" s="6" t="s">
        <v>241</v>
      </c>
      <c r="AB11" s="146" t="s">
        <v>307</v>
      </c>
      <c r="AC11" t="s">
        <v>164</v>
      </c>
      <c r="AD11" s="6" t="s">
        <v>149</v>
      </c>
      <c r="AE11" s="6"/>
      <c r="AF11" s="6"/>
      <c r="AG11">
        <v>2000</v>
      </c>
      <c r="AH11" t="s">
        <v>143</v>
      </c>
    </row>
    <row r="12" spans="1:57">
      <c r="A12" s="6"/>
      <c r="B12" s="6"/>
      <c r="D12" s="6" t="s">
        <v>229</v>
      </c>
      <c r="E12" t="s">
        <v>230</v>
      </c>
      <c r="G12" t="s">
        <v>172</v>
      </c>
      <c r="H12" t="s">
        <v>107</v>
      </c>
      <c r="I12" t="s">
        <v>175</v>
      </c>
      <c r="L12" s="6" t="s">
        <v>194</v>
      </c>
      <c r="M12" s="6" t="s">
        <v>195</v>
      </c>
      <c r="N12" s="6" t="s">
        <v>194</v>
      </c>
      <c r="O12" t="s">
        <v>130</v>
      </c>
      <c r="P12" t="s">
        <v>128</v>
      </c>
      <c r="Q12" t="s">
        <v>136</v>
      </c>
      <c r="S12" s="6" t="s">
        <v>262</v>
      </c>
      <c r="T12" t="s">
        <v>267</v>
      </c>
      <c r="AB12" s="146" t="s">
        <v>307</v>
      </c>
      <c r="AC12" s="6" t="s">
        <v>158</v>
      </c>
      <c r="AD12" s="6" t="s">
        <v>150</v>
      </c>
      <c r="AE12" s="6" t="s">
        <v>151</v>
      </c>
      <c r="AF12" s="6" t="s">
        <v>143</v>
      </c>
      <c r="AG12" s="6">
        <v>40</v>
      </c>
      <c r="AH12" s="6" t="s">
        <v>142</v>
      </c>
    </row>
    <row r="13" spans="1:57">
      <c r="D13" t="s">
        <v>76</v>
      </c>
      <c r="E13" t="s">
        <v>121</v>
      </c>
      <c r="G13" t="s">
        <v>172</v>
      </c>
      <c r="H13" t="s">
        <v>106</v>
      </c>
      <c r="I13" t="s">
        <v>182</v>
      </c>
      <c r="L13" t="s">
        <v>139</v>
      </c>
      <c r="M13" s="6" t="s">
        <v>195</v>
      </c>
      <c r="N13" t="s">
        <v>139</v>
      </c>
      <c r="O13" t="s">
        <v>130</v>
      </c>
      <c r="P13" t="s">
        <v>128</v>
      </c>
      <c r="Q13" t="s">
        <v>136</v>
      </c>
      <c r="S13" s="6" t="s">
        <v>272</v>
      </c>
      <c r="T13" s="6" t="s">
        <v>309</v>
      </c>
    </row>
    <row r="14" spans="1:57">
      <c r="D14" t="s">
        <v>78</v>
      </c>
      <c r="E14" t="s">
        <v>77</v>
      </c>
      <c r="G14" t="s">
        <v>111</v>
      </c>
      <c r="H14" t="s">
        <v>106</v>
      </c>
      <c r="I14" t="s">
        <v>182</v>
      </c>
      <c r="L14" t="s">
        <v>140</v>
      </c>
      <c r="M14" s="6" t="s">
        <v>195</v>
      </c>
      <c r="N14" s="6" t="s">
        <v>140</v>
      </c>
      <c r="O14" t="s">
        <v>130</v>
      </c>
      <c r="P14" t="s">
        <v>128</v>
      </c>
      <c r="Q14" t="s">
        <v>136</v>
      </c>
    </row>
    <row r="15" spans="1:57">
      <c r="D15" s="6" t="s">
        <v>242</v>
      </c>
      <c r="E15" s="6" t="s">
        <v>243</v>
      </c>
      <c r="G15" s="6" t="s">
        <v>185</v>
      </c>
      <c r="H15" t="s">
        <v>107</v>
      </c>
      <c r="I15" s="6" t="s">
        <v>185</v>
      </c>
      <c r="J15" s="6"/>
      <c r="L15" s="6" t="s">
        <v>214</v>
      </c>
      <c r="M15" s="6" t="s">
        <v>195</v>
      </c>
      <c r="N15" s="6" t="s">
        <v>214</v>
      </c>
      <c r="O15" t="s">
        <v>130</v>
      </c>
      <c r="P15" t="s">
        <v>128</v>
      </c>
      <c r="Q15" t="s">
        <v>136</v>
      </c>
    </row>
    <row r="16" spans="1:57">
      <c r="D16" t="s">
        <v>122</v>
      </c>
      <c r="E16" t="s">
        <v>110</v>
      </c>
      <c r="G16" s="6" t="s">
        <v>230</v>
      </c>
      <c r="H16" t="s">
        <v>106</v>
      </c>
      <c r="I16" t="s">
        <v>77</v>
      </c>
      <c r="J16" s="6"/>
      <c r="L16" s="6" t="s">
        <v>215</v>
      </c>
      <c r="M16" s="6" t="s">
        <v>195</v>
      </c>
      <c r="N16" s="6" t="s">
        <v>215</v>
      </c>
      <c r="O16" t="s">
        <v>130</v>
      </c>
      <c r="P16" t="s">
        <v>128</v>
      </c>
      <c r="Q16" t="s">
        <v>136</v>
      </c>
    </row>
    <row r="17" spans="4:17">
      <c r="D17" t="s">
        <v>95</v>
      </c>
      <c r="E17" t="s">
        <v>111</v>
      </c>
      <c r="G17" s="6" t="s">
        <v>230</v>
      </c>
      <c r="H17" t="s">
        <v>106</v>
      </c>
      <c r="I17" s="6" t="s">
        <v>121</v>
      </c>
      <c r="J17" s="6"/>
      <c r="L17" s="6" t="s">
        <v>219</v>
      </c>
      <c r="M17" s="6" t="s">
        <v>195</v>
      </c>
      <c r="N17" s="6" t="s">
        <v>219</v>
      </c>
      <c r="O17" t="s">
        <v>130</v>
      </c>
      <c r="P17" t="s">
        <v>128</v>
      </c>
      <c r="Q17" t="s">
        <v>136</v>
      </c>
    </row>
    <row r="18" spans="4:17">
      <c r="D18" s="6"/>
      <c r="G18" s="6" t="s">
        <v>243</v>
      </c>
      <c r="H18" t="s">
        <v>106</v>
      </c>
      <c r="I18" s="6" t="s">
        <v>243</v>
      </c>
      <c r="J18" s="6"/>
      <c r="L18" s="6" t="s">
        <v>221</v>
      </c>
      <c r="M18" s="6" t="s">
        <v>195</v>
      </c>
      <c r="N18" s="6" t="s">
        <v>221</v>
      </c>
      <c r="O18" t="s">
        <v>130</v>
      </c>
      <c r="P18" t="s">
        <v>128</v>
      </c>
      <c r="Q18" t="s">
        <v>136</v>
      </c>
    </row>
    <row r="19" spans="4:17">
      <c r="G19" s="6" t="s">
        <v>246</v>
      </c>
      <c r="H19" s="6" t="s">
        <v>106</v>
      </c>
      <c r="I19" s="6" t="s">
        <v>243</v>
      </c>
      <c r="J19" s="6"/>
      <c r="L19" s="6" t="s">
        <v>243</v>
      </c>
      <c r="M19" s="6" t="s">
        <v>243</v>
      </c>
      <c r="N19" s="6" t="s">
        <v>244</v>
      </c>
      <c r="O19" t="s">
        <v>130</v>
      </c>
      <c r="Q19" t="s">
        <v>120</v>
      </c>
    </row>
    <row r="20" spans="4:17">
      <c r="G20" s="6" t="s">
        <v>246</v>
      </c>
      <c r="H20" s="6" t="s">
        <v>106</v>
      </c>
      <c r="I20" t="s">
        <v>77</v>
      </c>
      <c r="J20" s="6"/>
      <c r="L20" s="6" t="s">
        <v>241</v>
      </c>
      <c r="M20" s="6" t="s">
        <v>195</v>
      </c>
      <c r="N20" s="6" t="s">
        <v>241</v>
      </c>
      <c r="O20" t="s">
        <v>130</v>
      </c>
      <c r="P20" t="s">
        <v>128</v>
      </c>
      <c r="Q20" t="s">
        <v>136</v>
      </c>
    </row>
    <row r="21" spans="4:17">
      <c r="G21" s="6" t="s">
        <v>246</v>
      </c>
      <c r="H21" s="6" t="s">
        <v>106</v>
      </c>
      <c r="I21" s="6" t="s">
        <v>121</v>
      </c>
      <c r="J21" s="6"/>
      <c r="L21" s="6" t="s">
        <v>262</v>
      </c>
      <c r="M21" t="s">
        <v>262</v>
      </c>
      <c r="N21" s="6" t="s">
        <v>260</v>
      </c>
      <c r="O21" t="s">
        <v>130</v>
      </c>
      <c r="P21" t="s">
        <v>128</v>
      </c>
      <c r="Q21" t="s">
        <v>136</v>
      </c>
    </row>
    <row r="22" spans="4:17">
      <c r="G22" s="6" t="s">
        <v>262</v>
      </c>
      <c r="H22" s="6" t="s">
        <v>106</v>
      </c>
      <c r="I22" s="6" t="s">
        <v>262</v>
      </c>
      <c r="J22" s="6"/>
      <c r="L22" s="6" t="s">
        <v>267</v>
      </c>
      <c r="M22" s="6" t="s">
        <v>195</v>
      </c>
      <c r="N22" s="6" t="s">
        <v>267</v>
      </c>
      <c r="O22" t="s">
        <v>130</v>
      </c>
      <c r="P22" t="s">
        <v>128</v>
      </c>
      <c r="Q22" t="s">
        <v>136</v>
      </c>
    </row>
    <row r="23" spans="4:17">
      <c r="G23" s="6" t="s">
        <v>307</v>
      </c>
      <c r="H23" s="6" t="s">
        <v>106</v>
      </c>
      <c r="I23" s="6" t="s">
        <v>272</v>
      </c>
      <c r="L23" s="6" t="s">
        <v>272</v>
      </c>
      <c r="M23" s="6" t="s">
        <v>272</v>
      </c>
      <c r="N23" s="6" t="s">
        <v>271</v>
      </c>
      <c r="O23" t="s">
        <v>130</v>
      </c>
      <c r="P23" t="s">
        <v>128</v>
      </c>
      <c r="Q23" t="s">
        <v>120</v>
      </c>
    </row>
    <row r="24" spans="4:17">
      <c r="G24" s="6" t="s">
        <v>314</v>
      </c>
      <c r="H24" t="s">
        <v>106</v>
      </c>
      <c r="I24" t="s">
        <v>33</v>
      </c>
      <c r="J24" s="6"/>
      <c r="L24" s="6" t="s">
        <v>309</v>
      </c>
      <c r="M24" s="6"/>
      <c r="N24" s="6"/>
      <c r="P24" t="s">
        <v>128</v>
      </c>
      <c r="Q24" s="6" t="s">
        <v>311</v>
      </c>
    </row>
    <row r="25" spans="4:17">
      <c r="G25" s="6" t="s">
        <v>314</v>
      </c>
      <c r="H25" t="s">
        <v>106</v>
      </c>
      <c r="I25" t="s">
        <v>27</v>
      </c>
    </row>
    <row r="26" spans="4:17">
      <c r="G26" s="6" t="s">
        <v>314</v>
      </c>
      <c r="H26" t="s">
        <v>106</v>
      </c>
      <c r="I26" t="s">
        <v>66</v>
      </c>
    </row>
    <row r="27" spans="4:17">
      <c r="G27" s="6" t="s">
        <v>314</v>
      </c>
      <c r="H27" s="6" t="s">
        <v>106</v>
      </c>
      <c r="I27" s="6" t="s">
        <v>262</v>
      </c>
    </row>
    <row r="28" spans="4:17">
      <c r="G28" s="6" t="s">
        <v>314</v>
      </c>
      <c r="H28" s="6" t="s">
        <v>106</v>
      </c>
      <c r="I28" s="6" t="s">
        <v>272</v>
      </c>
    </row>
    <row r="29" spans="4:17">
      <c r="G29" s="6" t="s">
        <v>314</v>
      </c>
      <c r="H29" s="6" t="s">
        <v>106</v>
      </c>
      <c r="I29" s="6" t="s">
        <v>243</v>
      </c>
    </row>
    <row r="30" spans="4:17">
      <c r="G30" s="6" t="s">
        <v>314</v>
      </c>
      <c r="H30" s="6" t="s">
        <v>106</v>
      </c>
      <c r="I30" t="s">
        <v>77</v>
      </c>
    </row>
    <row r="31" spans="4:17">
      <c r="G31" s="6" t="s">
        <v>314</v>
      </c>
      <c r="H31" s="6" t="s">
        <v>106</v>
      </c>
      <c r="I31" s="6" t="s">
        <v>121</v>
      </c>
    </row>
    <row r="32" spans="4:17">
      <c r="G32" s="6"/>
    </row>
    <row r="33" spans="7:7">
      <c r="G33" s="6"/>
    </row>
    <row r="34" spans="7:7">
      <c r="G34" s="6"/>
    </row>
    <row r="35" spans="7:7">
      <c r="G35" s="6"/>
    </row>
    <row r="36" spans="7:7">
      <c r="G36" s="6"/>
    </row>
    <row r="37" spans="7:7">
      <c r="G37" s="6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17:E18 E12:E14 E3 E6:E8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2">
      <formula1>INDIRECT("Direction[Code]")</formula1>
    </dataValidation>
    <dataValidation type="list" allowBlank="1" showInputMessage="1" showErrorMessage="1" sqref="S3:S13 T4:T11 L11:L12">
      <formula1>INDIRECT("Reports[Code]")</formula1>
    </dataValidation>
    <dataValidation type="list" allowBlank="1" showInputMessage="1" showErrorMessage="1" sqref="W3:W8">
      <formula1>INDIRECT("ProgramTypes[Code]")</formula1>
    </dataValidation>
    <dataValidation type="list" allowBlank="1" showInputMessage="1" showErrorMessage="1" sqref="Y3:Y8">
      <formula1>INDIRECT("ReturnTypes[Code]")</formula1>
    </dataValidation>
    <dataValidation type="list" allowBlank="1" showInputMessage="1" showErrorMessage="1" sqref="AH3:AH12 AF3:AF12">
      <formula1>INDIRECT("YesNo[Code]")</formula1>
    </dataValidation>
    <dataValidation type="whole" allowBlank="1" showInputMessage="1" showErrorMessage="1" sqref="AG3:AG12">
      <formula1>1</formula1>
      <formula2>32767</formula2>
    </dataValidation>
    <dataValidation type="list" allowBlank="1" showInputMessage="1" showErrorMessage="1" sqref="O3:O24">
      <formula1>INDIRECT("CreateModes[Code]")</formula1>
    </dataValidation>
    <dataValidation type="list" allowBlank="1" showInputMessage="1" showErrorMessage="1" sqref="Q3:Q24">
      <formula1>INDIRECT("ReportTypes[Code]")</formula1>
    </dataValidation>
    <dataValidation type="list" allowBlank="1" showInputMessage="1" showErrorMessage="1" sqref="P3:P24">
      <formula1>INDIRECT("Programs[Code]")</formula1>
    </dataValidation>
    <dataValidation type="list" allowBlank="1" showInputMessage="1" showErrorMessage="1" sqref="H3:H37">
      <formula1>INDIRECT("ActionTypes[Code]")</formula1>
    </dataValidation>
    <dataValidation type="list" allowBlank="1" showInputMessage="1" showErrorMessage="1" sqref="J3:J37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122</v>
      </c>
      <c r="D2" s="32" t="s">
        <v>196</v>
      </c>
      <c r="E2" s="32"/>
    </row>
    <row r="3" spans="1:6" ht="28.5" customHeight="1">
      <c r="A3" s="32"/>
      <c r="B3" s="31"/>
      <c r="C3" s="43" t="s">
        <v>137</v>
      </c>
      <c r="D3" s="32"/>
      <c r="E3" s="32"/>
    </row>
    <row r="4" spans="1:6">
      <c r="A4" s="32"/>
      <c r="B4" s="31" t="s">
        <v>93</v>
      </c>
      <c r="C4" s="42" t="s">
        <v>310</v>
      </c>
      <c r="D4" s="32"/>
      <c r="E4" s="32"/>
    </row>
    <row r="5" spans="1:6">
      <c r="A5" s="32"/>
      <c r="B5" s="31" t="s">
        <v>94</v>
      </c>
      <c r="C5" s="41">
        <v>43008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232"/>
      <c r="B7" s="232"/>
      <c r="C7" s="232"/>
      <c r="D7" s="232"/>
      <c r="E7" s="232"/>
    </row>
    <row r="8" spans="1:6" ht="51" customHeight="1">
      <c r="A8" s="45"/>
      <c r="B8" s="233" t="s">
        <v>1073</v>
      </c>
      <c r="C8" s="234"/>
      <c r="D8" s="234"/>
      <c r="E8" s="45"/>
    </row>
    <row r="9" spans="1:6" s="44" customFormat="1" ht="14.25" customHeight="1">
      <c r="A9" s="232"/>
      <c r="B9" s="232"/>
      <c r="C9" s="232"/>
      <c r="D9" s="232"/>
      <c r="E9" s="232"/>
    </row>
    <row r="10" spans="1:6" hidden="1">
      <c r="A10" s="229"/>
      <c r="B10" s="230"/>
      <c r="C10" s="230"/>
      <c r="D10" s="230"/>
      <c r="E10" s="231"/>
    </row>
    <row r="11" spans="1:6" hidden="1"/>
    <row r="12" spans="1:6" hidden="1"/>
    <row r="13" spans="1:6" hidden="1"/>
    <row r="14" spans="1:6" hidden="1">
      <c r="F14" s="26" t="s">
        <v>46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46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1"/>
  <dimension ref="A1:F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3" width="41.42578125" customWidth="1"/>
    <col min="4" max="4" width="21.85546875" customWidth="1"/>
    <col min="5" max="5" width="27.140625" customWidth="1"/>
    <col min="6" max="6" width="28.42578125" customWidth="1"/>
  </cols>
  <sheetData>
    <row r="1" spans="1:6" ht="34.5" customHeight="1">
      <c r="A1" s="198" t="s">
        <v>63</v>
      </c>
      <c r="B1" s="198" t="s">
        <v>64</v>
      </c>
      <c r="C1" s="198" t="s">
        <v>65</v>
      </c>
      <c r="D1" s="34" t="s">
        <v>100</v>
      </c>
      <c r="E1" s="34" t="s">
        <v>101</v>
      </c>
      <c r="F1" s="34" t="s">
        <v>102</v>
      </c>
    </row>
    <row r="2" spans="1:6">
      <c r="A2" t="s">
        <v>1072</v>
      </c>
      <c r="B2" t="s">
        <v>354</v>
      </c>
      <c r="C2" t="s">
        <v>543</v>
      </c>
      <c r="D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0"/>
  <dimension ref="A1:F18"/>
  <sheetViews>
    <sheetView zoomScale="130" zoomScaleNormal="130" workbookViewId="0">
      <selection activeCell="E14" sqref="E14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35" t="s">
        <v>1067</v>
      </c>
      <c r="B1" s="236"/>
      <c r="C1" s="236"/>
      <c r="D1" s="236"/>
      <c r="E1" s="236"/>
    </row>
    <row r="2" spans="1:6" ht="19.5" customHeight="1">
      <c r="A2" s="237" t="s">
        <v>186</v>
      </c>
      <c r="B2" s="238"/>
      <c r="C2" s="238"/>
      <c r="D2" s="238"/>
      <c r="E2" s="239"/>
    </row>
    <row r="3" spans="1:6" ht="30">
      <c r="A3" s="78" t="s">
        <v>187</v>
      </c>
      <c r="B3" s="78" t="s">
        <v>68</v>
      </c>
      <c r="C3" s="78" t="s">
        <v>69</v>
      </c>
      <c r="D3" s="78" t="s">
        <v>70</v>
      </c>
      <c r="E3" s="78" t="s">
        <v>71</v>
      </c>
    </row>
    <row r="4" spans="1:6">
      <c r="A4" s="79" t="s">
        <v>188</v>
      </c>
      <c r="B4" s="77" t="s">
        <v>72</v>
      </c>
      <c r="C4" s="77" t="s">
        <v>73</v>
      </c>
      <c r="D4" s="77" t="s">
        <v>74</v>
      </c>
      <c r="E4" s="77" t="s">
        <v>75</v>
      </c>
    </row>
    <row r="5" spans="1:6">
      <c r="A5" s="80"/>
      <c r="B5" s="81">
        <v>162034</v>
      </c>
      <c r="C5" s="82">
        <v>1579936701</v>
      </c>
      <c r="D5" s="83"/>
      <c r="E5" s="84">
        <v>863707</v>
      </c>
    </row>
    <row r="6" spans="1:6">
      <c r="D6" t="s">
        <v>196</v>
      </c>
    </row>
    <row r="7" spans="1:6">
      <c r="D7" t="s">
        <v>189</v>
      </c>
    </row>
    <row r="8" spans="1:6" ht="20.25" customHeight="1">
      <c r="D8" s="227" t="s">
        <v>190</v>
      </c>
      <c r="E8" s="227"/>
    </row>
    <row r="9" spans="1:6">
      <c r="C9" s="6"/>
      <c r="D9" s="6" t="s">
        <v>1068</v>
      </c>
      <c r="E9" s="56">
        <v>144105</v>
      </c>
      <c r="F9" s="6"/>
    </row>
    <row r="10" spans="1:6">
      <c r="C10" s="6"/>
      <c r="D10" s="6" t="s">
        <v>1069</v>
      </c>
      <c r="E10" s="56">
        <v>337688</v>
      </c>
      <c r="F10" s="6"/>
    </row>
    <row r="11" spans="1:6">
      <c r="C11" s="6"/>
      <c r="D11" s="6" t="s">
        <v>1070</v>
      </c>
      <c r="E11" s="56">
        <v>66625</v>
      </c>
      <c r="F11" s="6"/>
    </row>
    <row r="12" spans="1:6">
      <c r="C12" s="56"/>
      <c r="D12" s="57" t="s">
        <v>191</v>
      </c>
      <c r="E12" s="58">
        <f>SUBTOTAL(109,ndfl6_part1_general_recalc_curr52[[#All],[Столбец2]])</f>
        <v>548418</v>
      </c>
      <c r="F12" s="6"/>
    </row>
    <row r="13" spans="1:6" ht="19.5" customHeight="1">
      <c r="C13" s="54"/>
      <c r="D13" s="227" t="s">
        <v>192</v>
      </c>
      <c r="E13" s="227"/>
    </row>
    <row r="14" spans="1:6">
      <c r="D14" s="6" t="s">
        <v>1071</v>
      </c>
      <c r="E14" s="54">
        <v>31824</v>
      </c>
    </row>
    <row r="15" spans="1:6">
      <c r="D15" s="6" t="s">
        <v>1068</v>
      </c>
      <c r="E15" s="54">
        <v>177190</v>
      </c>
    </row>
    <row r="16" spans="1:6">
      <c r="D16" s="6" t="s">
        <v>1069</v>
      </c>
      <c r="E16" s="54">
        <v>102375</v>
      </c>
    </row>
    <row r="17" spans="4:5">
      <c r="D17" s="6" t="s">
        <v>1070</v>
      </c>
      <c r="E17" s="56">
        <v>3900</v>
      </c>
    </row>
    <row r="18" spans="4:5">
      <c r="D18" s="55" t="s">
        <v>191</v>
      </c>
      <c r="E18" s="58">
        <f>SUBTOTAL(109,ndfl6_recalc_prev_year51[[#All],[Столбец2]])</f>
        <v>315289</v>
      </c>
    </row>
  </sheetData>
  <mergeCells count="4">
    <mergeCell ref="A1:E1"/>
    <mergeCell ref="A2:E2"/>
    <mergeCell ref="D8:E8"/>
    <mergeCell ref="D13:E13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9"/>
  <dimension ref="A1:H49"/>
  <sheetViews>
    <sheetView zoomScale="115" zoomScaleNormal="115" workbookViewId="0">
      <pane ySplit="2" topLeftCell="A6" activePane="bottomLeft" state="frozen"/>
      <selection pane="bottomLeft" activeCell="C25" sqref="C25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41" t="s">
        <v>1062</v>
      </c>
      <c r="B1" s="242"/>
      <c r="C1" s="242"/>
      <c r="D1" s="242"/>
      <c r="E1" s="242"/>
      <c r="F1" s="242"/>
      <c r="G1" s="242"/>
      <c r="H1" s="242"/>
    </row>
    <row r="2" spans="1:8" ht="30.75" thickBot="1">
      <c r="A2" s="75" t="s">
        <v>187</v>
      </c>
      <c r="B2" s="73" t="s">
        <v>79</v>
      </c>
      <c r="C2" s="73" t="s">
        <v>1</v>
      </c>
      <c r="D2" s="73" t="s">
        <v>80</v>
      </c>
      <c r="E2" s="73" t="s">
        <v>81</v>
      </c>
      <c r="F2" s="73" t="s">
        <v>82</v>
      </c>
      <c r="G2" s="73" t="s">
        <v>83</v>
      </c>
      <c r="H2" s="74" t="s">
        <v>84</v>
      </c>
    </row>
    <row r="3" spans="1:8">
      <c r="A3" s="76" t="s">
        <v>188</v>
      </c>
      <c r="B3" s="59" t="s">
        <v>85</v>
      </c>
      <c r="C3" s="59" t="s">
        <v>86</v>
      </c>
      <c r="D3" s="59" t="s">
        <v>87</v>
      </c>
      <c r="E3" s="59" t="s">
        <v>88</v>
      </c>
      <c r="F3" s="59" t="s">
        <v>89</v>
      </c>
      <c r="G3" s="59" t="s">
        <v>90</v>
      </c>
      <c r="H3" s="60" t="s">
        <v>91</v>
      </c>
    </row>
    <row r="4" spans="1:8">
      <c r="A4" s="69"/>
      <c r="B4" s="70">
        <v>13</v>
      </c>
      <c r="C4" s="71">
        <v>12148347615.33</v>
      </c>
      <c r="D4" s="71"/>
      <c r="E4" s="71">
        <v>59054654.710000001</v>
      </c>
      <c r="F4" s="72">
        <v>1571608458</v>
      </c>
      <c r="G4" s="72"/>
      <c r="H4" s="72"/>
    </row>
    <row r="5" spans="1:8">
      <c r="A5" s="189"/>
      <c r="B5" s="46">
        <v>30</v>
      </c>
      <c r="C5" s="190">
        <v>25737123.440000001</v>
      </c>
      <c r="D5" s="190"/>
      <c r="E5" s="190">
        <v>0</v>
      </c>
      <c r="F5" s="191">
        <v>7721191</v>
      </c>
      <c r="G5" s="191"/>
      <c r="H5" s="191"/>
    </row>
    <row r="6" spans="1:8">
      <c r="A6" s="192" t="s">
        <v>220</v>
      </c>
      <c r="B6" s="193"/>
      <c r="C6" s="194">
        <f>SUBTOTAL(109,[Столбец3])</f>
        <v>12174084738.77</v>
      </c>
      <c r="D6" s="194">
        <f>SUBTOTAL(109,[Столбец4])</f>
        <v>0</v>
      </c>
      <c r="E6" s="194">
        <f>SUBTOTAL(109,[Столбец5])</f>
        <v>59054654.710000001</v>
      </c>
      <c r="F6" s="195">
        <f>SUBTOTAL(109,[Столбец6])</f>
        <v>1579329649</v>
      </c>
      <c r="G6" s="195">
        <f>SUBTOTAL(109,[Столбец7])</f>
        <v>0</v>
      </c>
      <c r="H6" s="195">
        <f>SUBTOTAL(109,[Столбец8])</f>
        <v>0</v>
      </c>
    </row>
    <row r="7" spans="1:8">
      <c r="A7" t="s">
        <v>197</v>
      </c>
    </row>
    <row r="8" spans="1:8">
      <c r="A8" s="61" t="s">
        <v>198</v>
      </c>
      <c r="C8" s="54"/>
      <c r="D8" s="54"/>
      <c r="E8" s="243" t="s">
        <v>199</v>
      </c>
      <c r="F8" s="243"/>
      <c r="G8" s="243"/>
      <c r="H8" s="243"/>
    </row>
    <row r="9" spans="1:8">
      <c r="A9" s="85" t="s">
        <v>200</v>
      </c>
      <c r="B9" s="85" t="s">
        <v>201</v>
      </c>
      <c r="C9" s="85" t="s">
        <v>226</v>
      </c>
      <c r="D9" s="85" t="s">
        <v>202</v>
      </c>
      <c r="E9" s="85" t="s">
        <v>203</v>
      </c>
      <c r="F9" s="85" t="s">
        <v>204</v>
      </c>
      <c r="G9" s="85" t="s">
        <v>216</v>
      </c>
      <c r="H9" s="85" t="s">
        <v>217</v>
      </c>
    </row>
    <row r="10" spans="1:8">
      <c r="A10" s="6" t="s">
        <v>1063</v>
      </c>
      <c r="B10" t="s">
        <v>7</v>
      </c>
      <c r="C10" s="54">
        <v>10188582373.59</v>
      </c>
      <c r="D10" s="54">
        <v>-478255.94</v>
      </c>
      <c r="E10">
        <v>-92610.95</v>
      </c>
      <c r="F10">
        <v>-268933.46999999997</v>
      </c>
      <c r="G10">
        <v>-116711.52</v>
      </c>
      <c r="H10">
        <v>0</v>
      </c>
    </row>
    <row r="11" spans="1:8">
      <c r="A11" s="6" t="s">
        <v>1063</v>
      </c>
      <c r="B11" t="s">
        <v>8</v>
      </c>
      <c r="C11" s="54">
        <v>369563474.20999998</v>
      </c>
      <c r="D11" s="54">
        <v>-23409.47</v>
      </c>
      <c r="E11">
        <v>-6400</v>
      </c>
      <c r="F11">
        <v>-6773.47</v>
      </c>
      <c r="G11">
        <v>-10236</v>
      </c>
      <c r="H11">
        <v>0</v>
      </c>
    </row>
    <row r="12" spans="1:8">
      <c r="A12" s="6" t="s">
        <v>1063</v>
      </c>
      <c r="B12" t="s">
        <v>9</v>
      </c>
      <c r="C12" s="54">
        <v>173981289.41999999</v>
      </c>
      <c r="D12" s="54">
        <v>0</v>
      </c>
      <c r="E12">
        <v>0</v>
      </c>
      <c r="F12">
        <v>0</v>
      </c>
      <c r="G12">
        <v>0</v>
      </c>
      <c r="H12">
        <v>0</v>
      </c>
    </row>
    <row r="13" spans="1:8">
      <c r="A13" s="6" t="s">
        <v>1063</v>
      </c>
      <c r="B13" t="s">
        <v>11</v>
      </c>
      <c r="C13" s="54">
        <v>31508321.02</v>
      </c>
      <c r="D13" s="54">
        <v>0</v>
      </c>
      <c r="E13">
        <v>0</v>
      </c>
      <c r="F13">
        <v>0</v>
      </c>
      <c r="G13">
        <v>0</v>
      </c>
      <c r="H13">
        <v>0</v>
      </c>
    </row>
    <row r="14" spans="1:8">
      <c r="A14" s="6" t="s">
        <v>1063</v>
      </c>
      <c r="B14" t="s">
        <v>12</v>
      </c>
      <c r="C14" s="54">
        <v>306759920.88</v>
      </c>
      <c r="D14" s="54">
        <v>-49954</v>
      </c>
      <c r="E14">
        <v>0</v>
      </c>
      <c r="F14">
        <v>-5328.1</v>
      </c>
      <c r="G14">
        <v>-44625.9</v>
      </c>
      <c r="H14">
        <v>0</v>
      </c>
    </row>
    <row r="15" spans="1:8">
      <c r="A15" s="6" t="s">
        <v>1063</v>
      </c>
      <c r="B15" t="s">
        <v>13</v>
      </c>
      <c r="C15" s="54">
        <v>872889115.65999997</v>
      </c>
      <c r="D15" s="54">
        <v>-4392</v>
      </c>
      <c r="E15">
        <v>0</v>
      </c>
      <c r="F15">
        <v>0</v>
      </c>
      <c r="G15">
        <v>-4392</v>
      </c>
      <c r="H15">
        <v>0</v>
      </c>
    </row>
    <row r="16" spans="1:8">
      <c r="A16" s="6" t="s">
        <v>1064</v>
      </c>
      <c r="B16" s="6" t="s">
        <v>7</v>
      </c>
      <c r="C16" s="56">
        <v>100992659.29000001</v>
      </c>
      <c r="D16" s="56">
        <v>0</v>
      </c>
      <c r="E16" s="56">
        <v>0</v>
      </c>
      <c r="F16" s="6">
        <v>0</v>
      </c>
      <c r="G16" s="6">
        <v>0</v>
      </c>
      <c r="H16" s="6">
        <v>0</v>
      </c>
    </row>
    <row r="17" spans="1:8">
      <c r="A17" s="6"/>
      <c r="C17" s="54"/>
      <c r="D17" s="54"/>
    </row>
    <row r="18" spans="1:8" ht="15.75" thickBot="1">
      <c r="C18" s="54"/>
      <c r="E18" s="244" t="s">
        <v>205</v>
      </c>
      <c r="F18" s="244"/>
      <c r="G18" s="244"/>
      <c r="H18" s="244"/>
    </row>
    <row r="19" spans="1:8">
      <c r="C19" s="54"/>
      <c r="D19" s="86"/>
      <c r="E19" s="245" t="s">
        <v>206</v>
      </c>
      <c r="F19" s="246"/>
      <c r="G19" s="247"/>
      <c r="H19" s="248" t="s">
        <v>218</v>
      </c>
    </row>
    <row r="20" spans="1:8" ht="15.75" thickBot="1">
      <c r="C20" s="90" t="s">
        <v>226</v>
      </c>
      <c r="D20" s="86" t="s">
        <v>207</v>
      </c>
      <c r="E20" s="87" t="s">
        <v>208</v>
      </c>
      <c r="F20" s="88" t="s">
        <v>209</v>
      </c>
      <c r="G20" s="89" t="s">
        <v>210</v>
      </c>
      <c r="H20" s="248"/>
    </row>
    <row r="21" spans="1:8">
      <c r="A21" s="6" t="s">
        <v>1065</v>
      </c>
      <c r="B21" t="s">
        <v>8</v>
      </c>
      <c r="C21" s="54">
        <v>48462684.490000002</v>
      </c>
      <c r="D21">
        <v>48254684.490000002</v>
      </c>
      <c r="E21">
        <v>1316500</v>
      </c>
      <c r="F21">
        <v>-1108500</v>
      </c>
      <c r="G21">
        <v>208000</v>
      </c>
      <c r="H21">
        <v>-1363000</v>
      </c>
    </row>
    <row r="22" spans="1:8">
      <c r="A22" s="6"/>
      <c r="B22" t="s">
        <v>9</v>
      </c>
      <c r="C22" s="54">
        <v>41361694.539999999</v>
      </c>
      <c r="D22">
        <v>41240594.539999999</v>
      </c>
      <c r="E22">
        <v>2718700</v>
      </c>
      <c r="F22">
        <v>-2597600</v>
      </c>
      <c r="G22">
        <v>121100</v>
      </c>
      <c r="H22">
        <v>-787500</v>
      </c>
    </row>
    <row r="23" spans="1:8">
      <c r="A23" s="6"/>
      <c r="B23" t="s">
        <v>10</v>
      </c>
      <c r="C23" s="54">
        <v>5304944.7699999996</v>
      </c>
      <c r="D23">
        <v>5304944.7699999996</v>
      </c>
      <c r="E23">
        <v>0</v>
      </c>
      <c r="F23">
        <v>0</v>
      </c>
      <c r="G23">
        <v>0</v>
      </c>
      <c r="H23">
        <v>0</v>
      </c>
    </row>
    <row r="24" spans="1:8">
      <c r="A24" s="6"/>
      <c r="B24" s="6" t="s">
        <v>11</v>
      </c>
      <c r="C24" s="56">
        <v>8941137.4600000009</v>
      </c>
      <c r="D24" s="6">
        <v>8846137.4600000009</v>
      </c>
      <c r="E24" s="6">
        <v>607500</v>
      </c>
      <c r="F24" s="6">
        <v>-512500</v>
      </c>
      <c r="G24" s="6">
        <v>95000</v>
      </c>
      <c r="H24" s="6">
        <v>-30000</v>
      </c>
    </row>
    <row r="25" spans="1:8">
      <c r="C25" s="62">
        <f>SUM(Таблица3046[Столбец1])+SUM(Таблица3147[Столбец3])</f>
        <v>12148347615.33</v>
      </c>
      <c r="D25" t="s">
        <v>211</v>
      </c>
      <c r="E25" s="54"/>
    </row>
    <row r="26" spans="1:8">
      <c r="A26" s="61" t="s">
        <v>212</v>
      </c>
      <c r="E26" s="54"/>
    </row>
    <row r="27" spans="1:8" ht="37.5" customHeight="1">
      <c r="A27" s="90" t="s">
        <v>200</v>
      </c>
      <c r="B27" s="90" t="s">
        <v>201</v>
      </c>
      <c r="C27" s="90" t="s">
        <v>226</v>
      </c>
      <c r="D27" s="90" t="s">
        <v>227</v>
      </c>
      <c r="E27" s="91" t="s">
        <v>228</v>
      </c>
    </row>
    <row r="28" spans="1:8">
      <c r="A28" t="s">
        <v>1063</v>
      </c>
      <c r="B28" t="s">
        <v>7</v>
      </c>
      <c r="C28">
        <v>23637724.489999998</v>
      </c>
      <c r="D28">
        <v>7091361</v>
      </c>
      <c r="E28" t="s">
        <v>1066</v>
      </c>
      <c r="F28" s="63"/>
    </row>
    <row r="29" spans="1:8">
      <c r="A29" t="s">
        <v>1063</v>
      </c>
      <c r="B29" t="s">
        <v>8</v>
      </c>
      <c r="C29">
        <v>307803</v>
      </c>
      <c r="D29">
        <v>92349</v>
      </c>
      <c r="F29" s="63"/>
    </row>
    <row r="30" spans="1:8">
      <c r="A30" t="s">
        <v>1063</v>
      </c>
      <c r="B30" t="s">
        <v>9</v>
      </c>
      <c r="C30">
        <v>36147</v>
      </c>
      <c r="D30">
        <v>10845</v>
      </c>
      <c r="F30" s="63"/>
    </row>
    <row r="31" spans="1:8">
      <c r="A31" t="s">
        <v>1063</v>
      </c>
      <c r="B31" t="s">
        <v>11</v>
      </c>
      <c r="C31">
        <v>41877.699999999997</v>
      </c>
      <c r="D31">
        <v>12565</v>
      </c>
      <c r="F31" s="63"/>
    </row>
    <row r="32" spans="1:8">
      <c r="A32" t="s">
        <v>1063</v>
      </c>
      <c r="B32" t="s">
        <v>12</v>
      </c>
      <c r="C32">
        <v>616648.81999999995</v>
      </c>
      <c r="D32">
        <v>184994</v>
      </c>
      <c r="F32" s="63"/>
    </row>
    <row r="33" spans="1:8">
      <c r="A33" t="s">
        <v>1063</v>
      </c>
      <c r="B33" t="s">
        <v>13</v>
      </c>
      <c r="C33">
        <v>184853</v>
      </c>
      <c r="D33">
        <v>55458</v>
      </c>
      <c r="F33" s="63"/>
    </row>
    <row r="34" spans="1:8">
      <c r="A34" s="6" t="s">
        <v>1064</v>
      </c>
      <c r="B34" s="6" t="s">
        <v>7</v>
      </c>
      <c r="C34" s="6">
        <v>912069.43</v>
      </c>
      <c r="D34" s="6">
        <v>273619</v>
      </c>
      <c r="E34" s="6"/>
      <c r="F34" s="63"/>
    </row>
    <row r="35" spans="1:8" ht="15.75" thickBot="1">
      <c r="C35" s="64">
        <f>SUM(C28:C34)</f>
        <v>25737123.439999998</v>
      </c>
      <c r="D35" t="s">
        <v>213</v>
      </c>
      <c r="F35" s="63"/>
    </row>
    <row r="36" spans="1:8" ht="15.75" thickTop="1">
      <c r="C36" s="65">
        <f>tax_13+tax_30</f>
        <v>12174084738.77</v>
      </c>
      <c r="D36" t="s">
        <v>225</v>
      </c>
    </row>
    <row r="37" spans="1:8">
      <c r="C37" s="66"/>
      <c r="H37" s="67"/>
    </row>
    <row r="38" spans="1:8">
      <c r="A38" s="240" t="s">
        <v>224</v>
      </c>
      <c r="B38" s="240"/>
      <c r="C38" s="240"/>
      <c r="D38" s="240"/>
      <c r="E38" s="240"/>
      <c r="F38" s="240"/>
      <c r="G38" s="67"/>
      <c r="H38" s="67"/>
    </row>
    <row r="39" spans="1:8">
      <c r="A39" s="68" t="s">
        <v>63</v>
      </c>
      <c r="B39" s="68" t="s">
        <v>64</v>
      </c>
      <c r="C39" s="68" t="s">
        <v>65</v>
      </c>
      <c r="D39" s="68" t="s">
        <v>82</v>
      </c>
      <c r="E39" s="68" t="s">
        <v>69</v>
      </c>
      <c r="F39" s="68" t="s">
        <v>222</v>
      </c>
      <c r="G39" s="67"/>
    </row>
    <row r="40" spans="1:8">
      <c r="A40" t="s">
        <v>981</v>
      </c>
      <c r="B40" t="s">
        <v>372</v>
      </c>
      <c r="C40" t="s">
        <v>679</v>
      </c>
      <c r="D40" s="54">
        <v>30446</v>
      </c>
      <c r="E40" s="54">
        <v>30445</v>
      </c>
      <c r="F40" s="54">
        <v>1</v>
      </c>
    </row>
    <row r="41" spans="1:8">
      <c r="A41" t="s">
        <v>1044</v>
      </c>
      <c r="B41" t="s">
        <v>1045</v>
      </c>
      <c r="C41" t="s">
        <v>751</v>
      </c>
      <c r="D41" s="54">
        <v>12033</v>
      </c>
      <c r="E41" s="54">
        <v>10156</v>
      </c>
      <c r="F41" s="54">
        <v>1877</v>
      </c>
    </row>
    <row r="42" spans="1:8">
      <c r="A42" t="s">
        <v>1041</v>
      </c>
      <c r="B42" t="s">
        <v>685</v>
      </c>
      <c r="C42" t="s">
        <v>552</v>
      </c>
      <c r="D42" s="54">
        <v>24444</v>
      </c>
      <c r="E42" s="54">
        <v>23989</v>
      </c>
      <c r="F42" s="54">
        <v>455</v>
      </c>
    </row>
    <row r="43" spans="1:8">
      <c r="A43" t="s">
        <v>1046</v>
      </c>
      <c r="B43" t="s">
        <v>548</v>
      </c>
      <c r="C43" t="s">
        <v>523</v>
      </c>
      <c r="D43" s="54">
        <v>8082</v>
      </c>
      <c r="E43" s="54">
        <v>5716</v>
      </c>
      <c r="F43" s="54">
        <v>2366</v>
      </c>
    </row>
    <row r="44" spans="1:8">
      <c r="A44" t="s">
        <v>1039</v>
      </c>
      <c r="B44" t="s">
        <v>1040</v>
      </c>
      <c r="C44" t="s">
        <v>848</v>
      </c>
      <c r="D44" s="54">
        <v>12312</v>
      </c>
      <c r="E44" s="54">
        <v>12085</v>
      </c>
      <c r="F44" s="54">
        <v>227</v>
      </c>
    </row>
    <row r="45" spans="1:8">
      <c r="A45" t="s">
        <v>1042</v>
      </c>
      <c r="B45" t="s">
        <v>345</v>
      </c>
      <c r="C45" t="s">
        <v>848</v>
      </c>
      <c r="D45" s="54">
        <v>26253</v>
      </c>
      <c r="E45" s="54">
        <v>25439</v>
      </c>
      <c r="F45" s="54">
        <v>814</v>
      </c>
    </row>
    <row r="46" spans="1:8">
      <c r="A46" t="s">
        <v>1047</v>
      </c>
      <c r="B46" t="s">
        <v>436</v>
      </c>
      <c r="C46" t="s">
        <v>1048</v>
      </c>
      <c r="D46" s="54">
        <v>16902</v>
      </c>
      <c r="E46" s="54">
        <v>13575</v>
      </c>
      <c r="F46" s="54">
        <v>3327</v>
      </c>
    </row>
    <row r="47" spans="1:8">
      <c r="A47" t="s">
        <v>1038</v>
      </c>
      <c r="B47" t="s">
        <v>568</v>
      </c>
      <c r="C47" t="s">
        <v>412</v>
      </c>
      <c r="D47" s="54">
        <v>10655</v>
      </c>
      <c r="E47" s="54">
        <v>10456</v>
      </c>
      <c r="F47" s="54">
        <v>199</v>
      </c>
    </row>
    <row r="48" spans="1:8">
      <c r="A48" t="s">
        <v>1049</v>
      </c>
      <c r="B48" t="s">
        <v>345</v>
      </c>
      <c r="C48" t="s">
        <v>552</v>
      </c>
      <c r="D48" s="54">
        <v>12285</v>
      </c>
      <c r="E48" s="54">
        <v>8688</v>
      </c>
      <c r="F48" s="54">
        <v>3597</v>
      </c>
    </row>
    <row r="49" spans="1:8">
      <c r="A49" t="s">
        <v>223</v>
      </c>
      <c r="D49" s="54">
        <f>SUBTOTAL(109,[Налог исчисленный])</f>
        <v>153412</v>
      </c>
      <c r="E49" s="54">
        <f>SUBTOTAL(109,[Налог удержанный])</f>
        <v>140549</v>
      </c>
      <c r="F49" s="54">
        <f>SUBTOTAL(109,[Разница])</f>
        <v>12863</v>
      </c>
      <c r="G49" s="54"/>
      <c r="H49" s="54"/>
    </row>
  </sheetData>
  <mergeCells count="6">
    <mergeCell ref="A38:F38"/>
    <mergeCell ref="A1:H1"/>
    <mergeCell ref="E8:H8"/>
    <mergeCell ref="E18:H18"/>
    <mergeCell ref="E19:G19"/>
    <mergeCell ref="H19:H20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8"/>
  <dimension ref="A1:J62"/>
  <sheetViews>
    <sheetView zoomScale="145" zoomScaleNormal="145" workbookViewId="0">
      <pane ySplit="6" topLeftCell="A7" activePane="bottomLeft" state="frozen"/>
      <selection pane="bottomLeft" sqref="A1:D1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01" t="s">
        <v>1061</v>
      </c>
      <c r="B1" s="201"/>
      <c r="C1" s="201"/>
      <c r="D1" s="201"/>
      <c r="E1" s="112"/>
      <c r="F1" s="112"/>
      <c r="G1" s="112"/>
      <c r="H1" s="112"/>
      <c r="I1" s="112"/>
      <c r="J1" s="112"/>
    </row>
    <row r="2" spans="1:10">
      <c r="B2" s="96"/>
      <c r="C2" s="65" t="s">
        <v>231</v>
      </c>
      <c r="D2" s="65" t="s">
        <v>232</v>
      </c>
      <c r="E2" s="6"/>
      <c r="F2" s="6"/>
      <c r="G2" s="6"/>
      <c r="H2" s="6"/>
      <c r="I2" s="6"/>
      <c r="J2" s="6"/>
    </row>
    <row r="3" spans="1:10">
      <c r="B3" s="97" t="s">
        <v>233</v>
      </c>
      <c r="C3" s="66">
        <f>SUM(Таблица2641[130])</f>
        <v>12174084738.770004</v>
      </c>
      <c r="D3" s="66">
        <f>SUM(Таблица2641[140])</f>
        <v>1579936701</v>
      </c>
    </row>
    <row r="4" spans="1:10" ht="15.75" thickBot="1">
      <c r="B4" s="96"/>
      <c r="C4" s="96"/>
      <c r="D4" s="96"/>
    </row>
    <row r="5" spans="1:10" ht="43.15" customHeight="1">
      <c r="A5" s="98" t="s">
        <v>187</v>
      </c>
      <c r="B5" s="99" t="s">
        <v>234</v>
      </c>
      <c r="C5" s="100" t="s">
        <v>235</v>
      </c>
      <c r="D5" s="101" t="s">
        <v>235</v>
      </c>
    </row>
    <row r="6" spans="1:10" s="103" customFormat="1" ht="12" thickBot="1">
      <c r="A6" s="102" t="s">
        <v>188</v>
      </c>
      <c r="B6" s="106" t="s">
        <v>240</v>
      </c>
      <c r="C6" s="107" t="s">
        <v>236</v>
      </c>
      <c r="D6" s="108" t="s">
        <v>237</v>
      </c>
    </row>
    <row r="7" spans="1:10">
      <c r="A7" s="52"/>
      <c r="B7" s="104">
        <v>42745</v>
      </c>
      <c r="C7" s="105">
        <v>1283220478.8800001</v>
      </c>
      <c r="D7" s="105">
        <v>166563557</v>
      </c>
    </row>
    <row r="8" spans="1:10">
      <c r="A8" s="6"/>
      <c r="B8" s="104">
        <v>42748</v>
      </c>
      <c r="C8" s="105">
        <v>5153171.72</v>
      </c>
      <c r="D8" s="105">
        <v>669913</v>
      </c>
    </row>
    <row r="9" spans="1:10">
      <c r="A9" s="6"/>
      <c r="B9" s="104">
        <v>42760</v>
      </c>
      <c r="C9" s="105">
        <v>12551085.619999999</v>
      </c>
      <c r="D9" s="105">
        <v>1630610</v>
      </c>
    </row>
    <row r="10" spans="1:10">
      <c r="A10" s="6"/>
      <c r="B10" s="104">
        <v>42762</v>
      </c>
      <c r="C10" s="105">
        <v>4946399.78</v>
      </c>
      <c r="D10" s="105">
        <v>671161</v>
      </c>
    </row>
    <row r="11" spans="1:10">
      <c r="A11" s="6"/>
      <c r="B11" s="104">
        <v>42776</v>
      </c>
      <c r="C11" s="105">
        <v>1287571612.6199999</v>
      </c>
      <c r="D11" s="105">
        <v>167044024</v>
      </c>
    </row>
    <row r="12" spans="1:10">
      <c r="A12" s="6"/>
      <c r="B12" s="104">
        <v>42779</v>
      </c>
      <c r="C12" s="105">
        <v>4825209.93</v>
      </c>
      <c r="D12" s="105">
        <v>646568</v>
      </c>
    </row>
    <row r="13" spans="1:10">
      <c r="A13" s="6"/>
      <c r="B13" s="104">
        <v>42793</v>
      </c>
      <c r="C13" s="105">
        <v>8154389.2400000002</v>
      </c>
      <c r="D13" s="105">
        <v>1064515</v>
      </c>
    </row>
    <row r="14" spans="1:10">
      <c r="A14" s="6"/>
      <c r="B14" s="104">
        <v>42794</v>
      </c>
      <c r="C14" s="105">
        <v>6597302.0999999996</v>
      </c>
      <c r="D14" s="105">
        <v>857649</v>
      </c>
    </row>
    <row r="15" spans="1:10">
      <c r="A15" s="6"/>
      <c r="B15" s="104">
        <v>42804</v>
      </c>
      <c r="C15" s="105">
        <v>1289421751.9000001</v>
      </c>
      <c r="D15" s="105">
        <v>167202991</v>
      </c>
    </row>
    <row r="16" spans="1:10">
      <c r="A16" s="6"/>
      <c r="B16" s="104">
        <v>42807</v>
      </c>
      <c r="C16" s="105">
        <v>6888208.5700000003</v>
      </c>
      <c r="D16" s="105">
        <v>895467</v>
      </c>
    </row>
    <row r="17" spans="1:4">
      <c r="A17" s="6"/>
      <c r="B17" s="104">
        <v>42818</v>
      </c>
      <c r="C17" s="105">
        <v>12032292.210000001</v>
      </c>
      <c r="D17" s="105">
        <v>1562754</v>
      </c>
    </row>
    <row r="18" spans="1:4">
      <c r="A18" s="6"/>
      <c r="B18" s="104">
        <v>42821</v>
      </c>
      <c r="C18" s="105">
        <v>5595558.9900000002</v>
      </c>
      <c r="D18" s="105">
        <v>736304</v>
      </c>
    </row>
    <row r="19" spans="1:4">
      <c r="A19" s="6"/>
      <c r="B19" s="104">
        <v>42832</v>
      </c>
      <c r="C19" s="105">
        <v>16733126.34</v>
      </c>
      <c r="D19" s="105">
        <v>2283896</v>
      </c>
    </row>
    <row r="20" spans="1:4">
      <c r="A20" s="6"/>
      <c r="B20" s="104">
        <v>42835</v>
      </c>
      <c r="C20" s="105">
        <v>1310305778.9300001</v>
      </c>
      <c r="D20" s="105">
        <v>169861068</v>
      </c>
    </row>
    <row r="21" spans="1:4">
      <c r="A21" s="6"/>
      <c r="B21" s="104">
        <v>42839</v>
      </c>
      <c r="C21" s="105">
        <v>1611442.36</v>
      </c>
      <c r="D21" s="105">
        <v>256287</v>
      </c>
    </row>
    <row r="22" spans="1:4">
      <c r="A22" s="6"/>
      <c r="B22" s="104">
        <v>42846</v>
      </c>
      <c r="C22" s="105">
        <v>6324114.5999999996</v>
      </c>
      <c r="D22" s="105">
        <v>822138</v>
      </c>
    </row>
    <row r="23" spans="1:4">
      <c r="A23" s="6"/>
      <c r="B23" s="104">
        <v>42850</v>
      </c>
      <c r="C23" s="105">
        <v>10239982.59</v>
      </c>
      <c r="D23" s="105">
        <v>1330199</v>
      </c>
    </row>
    <row r="24" spans="1:4">
      <c r="A24" s="6"/>
      <c r="B24" s="104">
        <v>42853</v>
      </c>
      <c r="C24" s="105">
        <v>747776.25</v>
      </c>
      <c r="D24" s="105">
        <v>106701</v>
      </c>
    </row>
    <row r="25" spans="1:4">
      <c r="A25" s="6"/>
      <c r="B25" s="104">
        <v>42857</v>
      </c>
      <c r="C25" s="105">
        <v>27403809.07</v>
      </c>
      <c r="D25" s="105">
        <v>3546044</v>
      </c>
    </row>
    <row r="26" spans="1:4">
      <c r="A26" s="6"/>
      <c r="B26" s="104">
        <v>42858</v>
      </c>
      <c r="C26" s="105">
        <v>325372026.66000003</v>
      </c>
      <c r="D26" s="105">
        <v>42057122</v>
      </c>
    </row>
    <row r="27" spans="1:4">
      <c r="A27" s="6"/>
      <c r="B27" s="104">
        <v>42859</v>
      </c>
      <c r="C27" s="105">
        <v>952722638.20000005</v>
      </c>
      <c r="D27" s="105">
        <v>123725153</v>
      </c>
    </row>
    <row r="28" spans="1:4">
      <c r="A28" s="6"/>
      <c r="B28" s="104">
        <v>42865</v>
      </c>
      <c r="C28" s="105">
        <v>10844283.720000001</v>
      </c>
      <c r="D28" s="105">
        <v>1469217</v>
      </c>
    </row>
    <row r="29" spans="1:4">
      <c r="A29" s="6"/>
      <c r="B29" s="104">
        <v>42874</v>
      </c>
      <c r="C29" s="105">
        <v>6001243.1699999999</v>
      </c>
      <c r="D29" s="105">
        <v>798364</v>
      </c>
    </row>
    <row r="30" spans="1:4">
      <c r="A30" s="6"/>
      <c r="B30" s="104">
        <v>42880</v>
      </c>
      <c r="C30" s="105">
        <v>11707334.43</v>
      </c>
      <c r="D30" s="105">
        <v>1522917</v>
      </c>
    </row>
    <row r="31" spans="1:4">
      <c r="A31" s="6"/>
      <c r="B31" s="104">
        <v>42881</v>
      </c>
      <c r="C31" s="105">
        <v>2352052.9300000002</v>
      </c>
      <c r="D31" s="105">
        <v>305766</v>
      </c>
    </row>
    <row r="32" spans="1:4">
      <c r="A32" s="6"/>
      <c r="B32" s="104">
        <v>42888</v>
      </c>
      <c r="C32" s="105">
        <v>6281071.54</v>
      </c>
      <c r="D32" s="105">
        <v>820805</v>
      </c>
    </row>
    <row r="33" spans="1:4">
      <c r="A33" s="6"/>
      <c r="B33" s="104">
        <v>42895</v>
      </c>
      <c r="C33" s="105">
        <v>1331366096.4300001</v>
      </c>
      <c r="D33" s="105">
        <v>172675073</v>
      </c>
    </row>
    <row r="34" spans="1:4">
      <c r="A34" s="6"/>
      <c r="B34" s="104">
        <v>42899</v>
      </c>
      <c r="C34" s="105">
        <v>3650589.45</v>
      </c>
      <c r="D34" s="105">
        <v>474576</v>
      </c>
    </row>
    <row r="35" spans="1:4">
      <c r="A35" s="6"/>
      <c r="B35" s="104">
        <v>42902</v>
      </c>
      <c r="C35" s="105">
        <v>32543233.170000002</v>
      </c>
      <c r="D35" s="105">
        <v>4237379</v>
      </c>
    </row>
    <row r="36" spans="1:4">
      <c r="A36" s="6"/>
      <c r="B36" s="104">
        <v>42907</v>
      </c>
      <c r="C36" s="105">
        <v>2113966.84</v>
      </c>
      <c r="D36" s="105">
        <v>304584</v>
      </c>
    </row>
    <row r="37" spans="1:4">
      <c r="A37" s="6"/>
      <c r="B37" s="104">
        <v>42912</v>
      </c>
      <c r="C37" s="105">
        <v>15134289.43</v>
      </c>
      <c r="D37" s="105">
        <v>1967099</v>
      </c>
    </row>
    <row r="38" spans="1:4">
      <c r="A38" s="6"/>
      <c r="B38" s="104">
        <v>42916</v>
      </c>
      <c r="C38" s="105">
        <v>4916727.5199999996</v>
      </c>
      <c r="D38" s="105">
        <v>679266</v>
      </c>
    </row>
    <row r="39" spans="1:4">
      <c r="A39" s="6"/>
      <c r="B39" s="104">
        <v>42923</v>
      </c>
      <c r="C39" s="105">
        <v>2658796.08</v>
      </c>
      <c r="D39" s="105">
        <v>357866</v>
      </c>
    </row>
    <row r="40" spans="1:4">
      <c r="A40" s="6"/>
      <c r="B40" s="104">
        <v>42926</v>
      </c>
      <c r="C40" s="105">
        <v>1021850418.3</v>
      </c>
      <c r="D40" s="105">
        <v>132713838</v>
      </c>
    </row>
    <row r="41" spans="1:4">
      <c r="A41" s="6"/>
      <c r="B41" s="104">
        <v>42927</v>
      </c>
      <c r="C41" s="105">
        <v>330517164.60000002</v>
      </c>
      <c r="D41" s="105">
        <v>42733491</v>
      </c>
    </row>
    <row r="42" spans="1:4">
      <c r="A42" s="6"/>
      <c r="B42" s="104">
        <v>42928</v>
      </c>
      <c r="C42" s="105">
        <v>2668642.09</v>
      </c>
      <c r="D42" s="105">
        <v>346922</v>
      </c>
    </row>
    <row r="43" spans="1:4">
      <c r="A43" s="6"/>
      <c r="B43" s="104">
        <v>42930</v>
      </c>
      <c r="C43" s="105">
        <v>11203416.380000001</v>
      </c>
      <c r="D43" s="105">
        <v>1537617</v>
      </c>
    </row>
    <row r="44" spans="1:4">
      <c r="A44" s="6"/>
      <c r="B44" s="104">
        <v>42937</v>
      </c>
      <c r="C44" s="105">
        <v>7529549.0300000003</v>
      </c>
      <c r="D44" s="105">
        <v>1044105</v>
      </c>
    </row>
    <row r="45" spans="1:4">
      <c r="A45" s="6"/>
      <c r="B45" s="104">
        <v>42941</v>
      </c>
      <c r="C45" s="105">
        <v>12291661.35</v>
      </c>
      <c r="D45" s="105">
        <v>1597225</v>
      </c>
    </row>
    <row r="46" spans="1:4">
      <c r="A46" s="6"/>
      <c r="B46" s="104">
        <v>42957</v>
      </c>
      <c r="C46" s="105">
        <v>1352747429.3900001</v>
      </c>
      <c r="D46" s="105">
        <v>175470878</v>
      </c>
    </row>
    <row r="47" spans="1:4">
      <c r="A47" s="6"/>
      <c r="B47" s="104">
        <v>42958</v>
      </c>
      <c r="C47" s="105">
        <v>6296177.25</v>
      </c>
      <c r="D47" s="105">
        <v>823248</v>
      </c>
    </row>
    <row r="48" spans="1:4">
      <c r="A48" s="6"/>
      <c r="B48" s="104">
        <v>42965</v>
      </c>
      <c r="C48" s="105">
        <v>3431030.71</v>
      </c>
      <c r="D48" s="105">
        <v>506483</v>
      </c>
    </row>
    <row r="49" spans="1:4">
      <c r="A49" s="6"/>
      <c r="B49" s="104">
        <v>42972</v>
      </c>
      <c r="C49" s="105">
        <v>6485514.6799999997</v>
      </c>
      <c r="D49" s="105">
        <v>840945</v>
      </c>
    </row>
    <row r="50" spans="1:4">
      <c r="A50" s="6"/>
      <c r="B50" s="104">
        <v>42975</v>
      </c>
      <c r="C50" s="105">
        <v>16859330.789999999</v>
      </c>
      <c r="D50" s="105">
        <v>2206601</v>
      </c>
    </row>
    <row r="51" spans="1:4">
      <c r="A51" s="6"/>
      <c r="B51" s="104">
        <v>42979</v>
      </c>
      <c r="C51" s="105">
        <v>1090490.8600000001</v>
      </c>
      <c r="D51" s="105">
        <v>200914</v>
      </c>
    </row>
    <row r="52" spans="1:4">
      <c r="A52" s="6"/>
      <c r="B52" s="104">
        <v>42986</v>
      </c>
      <c r="C52" s="105">
        <v>1350185883.95</v>
      </c>
      <c r="D52" s="105">
        <v>175154921</v>
      </c>
    </row>
    <row r="53" spans="1:4">
      <c r="A53" s="6"/>
      <c r="B53" s="104">
        <v>42989</v>
      </c>
      <c r="C53" s="105">
        <v>8932472.8699999992</v>
      </c>
      <c r="D53" s="105">
        <v>1171285</v>
      </c>
    </row>
    <row r="54" spans="1:4">
      <c r="A54" s="6"/>
      <c r="B54" s="104">
        <v>42991</v>
      </c>
      <c r="C54" s="105">
        <v>405499.57</v>
      </c>
      <c r="D54" s="105">
        <v>52715</v>
      </c>
    </row>
    <row r="55" spans="1:4">
      <c r="A55" s="6"/>
      <c r="B55" s="104">
        <v>42993</v>
      </c>
      <c r="C55" s="105">
        <v>13832953.939999999</v>
      </c>
      <c r="D55" s="105">
        <v>1814079</v>
      </c>
    </row>
    <row r="56" spans="1:4">
      <c r="A56" s="6"/>
      <c r="B56" s="104">
        <v>43000</v>
      </c>
      <c r="C56" s="105">
        <v>4692980.79</v>
      </c>
      <c r="D56" s="105">
        <v>610086</v>
      </c>
    </row>
    <row r="57" spans="1:4">
      <c r="A57" s="6"/>
      <c r="B57" s="104">
        <v>43003</v>
      </c>
      <c r="C57" s="105">
        <v>13760070.58</v>
      </c>
      <c r="D57" s="105">
        <v>1793208</v>
      </c>
    </row>
    <row r="58" spans="1:4">
      <c r="A58" s="6"/>
      <c r="B58" s="104">
        <v>43007</v>
      </c>
      <c r="C58" s="105">
        <v>1322512.3</v>
      </c>
      <c r="D58" s="105">
        <v>171926</v>
      </c>
    </row>
    <row r="59" spans="1:4">
      <c r="A59" s="6"/>
      <c r="B59" s="187">
        <v>43008</v>
      </c>
      <c r="C59" s="188">
        <v>-6301.93</v>
      </c>
      <c r="D59" s="188">
        <v>-819</v>
      </c>
    </row>
    <row r="61" spans="1:4">
      <c r="B61" t="s">
        <v>238</v>
      </c>
    </row>
    <row r="62" spans="1:4">
      <c r="B62" t="s">
        <v>239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5"/>
  <dimension ref="A1:H54"/>
  <sheetViews>
    <sheetView showGridLines="0" topLeftCell="A22" workbookViewId="0">
      <selection activeCell="B46" sqref="B46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51" t="s">
        <v>1050</v>
      </c>
      <c r="B1" s="252"/>
      <c r="C1" s="252"/>
      <c r="D1" s="252"/>
      <c r="E1" s="252"/>
      <c r="F1" s="252"/>
      <c r="G1" s="252"/>
      <c r="H1" s="252"/>
    </row>
    <row r="2" spans="1:8" ht="15.75" customHeight="1">
      <c r="A2" s="253"/>
      <c r="B2" s="253"/>
      <c r="C2" s="253"/>
      <c r="D2" s="253"/>
      <c r="E2" s="253"/>
      <c r="F2" s="253"/>
      <c r="G2" s="253"/>
      <c r="H2" s="253"/>
    </row>
    <row r="3" spans="1:8" ht="27" customHeight="1">
      <c r="A3" s="254" t="s">
        <v>273</v>
      </c>
      <c r="B3" s="254"/>
      <c r="C3" s="254"/>
      <c r="D3" s="118"/>
      <c r="E3" s="254" t="s">
        <v>274</v>
      </c>
      <c r="F3" s="254"/>
      <c r="G3" s="254"/>
      <c r="H3" s="254"/>
    </row>
    <row r="4" spans="1:8">
      <c r="A4" s="156" t="s">
        <v>291</v>
      </c>
      <c r="B4" s="157" t="s">
        <v>275</v>
      </c>
      <c r="C4" s="157" t="s">
        <v>276</v>
      </c>
      <c r="D4" s="118"/>
      <c r="E4" s="125" t="s">
        <v>277</v>
      </c>
      <c r="F4" s="125" t="s">
        <v>275</v>
      </c>
      <c r="G4" s="125" t="s">
        <v>276</v>
      </c>
      <c r="H4" s="125" t="s">
        <v>303</v>
      </c>
    </row>
    <row r="5" spans="1:8" ht="18">
      <c r="A5" s="158" t="s">
        <v>278</v>
      </c>
      <c r="B5" s="159">
        <v>1318009539</v>
      </c>
      <c r="C5" s="159">
        <v>7078498</v>
      </c>
      <c r="D5" s="118"/>
      <c r="E5" s="124">
        <f>Таблица4238[[#This Row],[13%]]+Таблица4238[[#This Row],[30%]]</f>
        <v>1325088037</v>
      </c>
      <c r="F5" s="124">
        <f>B21-Таблица4238[[#This Row],[13%]]</f>
        <v>0</v>
      </c>
      <c r="G5" s="124">
        <f>C21-Таблица4238[[#This Row],[30%]]</f>
        <v>0</v>
      </c>
      <c r="H5" s="124">
        <f>Таблица4339[[#This Row],[13%]]+Таблица4339[[#This Row],[30%]]</f>
        <v>0</v>
      </c>
    </row>
    <row r="6" spans="1:8" ht="18">
      <c r="A6" s="158" t="s">
        <v>279</v>
      </c>
      <c r="B6" s="159">
        <v>70492182</v>
      </c>
      <c r="C6" s="159">
        <v>103194</v>
      </c>
      <c r="D6" s="118"/>
      <c r="E6" s="124">
        <f>Таблица4238[[#This Row],[13%]]+Таблица4238[[#This Row],[30%]]</f>
        <v>70595376</v>
      </c>
      <c r="F6" s="124">
        <f>B22+B23-Таблица4238[[#This Row],[13%]]</f>
        <v>0</v>
      </c>
      <c r="G6" s="124">
        <f>C22+C23-Таблица4238[[#This Row],[30%]]</f>
        <v>0</v>
      </c>
      <c r="H6" s="124">
        <f>Таблица4339[[#This Row],[13%]]+Таблица4339[[#This Row],[30%]]</f>
        <v>0</v>
      </c>
    </row>
    <row r="7" spans="1:8" ht="18">
      <c r="A7" s="158" t="s">
        <v>280</v>
      </c>
      <c r="B7" s="159">
        <v>4083209</v>
      </c>
      <c r="C7" s="159">
        <v>12565</v>
      </c>
      <c r="D7" s="118"/>
      <c r="E7" s="124">
        <f>Таблица4238[[#This Row],[13%]]+Таблица4238[[#This Row],[30%]]</f>
        <v>4095774</v>
      </c>
      <c r="F7" s="124">
        <f>B24-Таблица4238[[#This Row],[13%]]</f>
        <v>0</v>
      </c>
      <c r="G7" s="124">
        <f>C24-Таблица4238[[#This Row],[30%]]</f>
        <v>0</v>
      </c>
      <c r="H7" s="124">
        <f>Таблица4339[[#This Row],[13%]]+Таблица4339[[#This Row],[30%]]</f>
        <v>0</v>
      </c>
    </row>
    <row r="8" spans="1:8" ht="18">
      <c r="A8" s="158" t="s">
        <v>281</v>
      </c>
      <c r="B8" s="159">
        <v>39560555</v>
      </c>
      <c r="C8" s="160">
        <v>184994</v>
      </c>
      <c r="D8" s="118"/>
      <c r="E8" s="124">
        <f>Таблица4238[[#This Row],[13%]]+Таблица4238[[#This Row],[30%]]</f>
        <v>39745549</v>
      </c>
      <c r="F8" s="124">
        <f>B25-Таблица4238[[#This Row],[13%]]</f>
        <v>0</v>
      </c>
      <c r="G8" s="124">
        <f>C25-Таблица4238[[#This Row],[30%]]</f>
        <v>0</v>
      </c>
      <c r="H8" s="124">
        <f>Таблица4339[[#This Row],[13%]]+Таблица4339[[#This Row],[30%]]</f>
        <v>0</v>
      </c>
    </row>
    <row r="9" spans="1:8" ht="18">
      <c r="A9" s="158" t="s">
        <v>282</v>
      </c>
      <c r="B9" s="159">
        <v>112844432</v>
      </c>
      <c r="C9" s="160">
        <v>55458</v>
      </c>
      <c r="D9" s="118"/>
      <c r="E9" s="124">
        <f>Таблица4238[[#This Row],[13%]]+Таблица4238[[#This Row],[30%]]</f>
        <v>112899890</v>
      </c>
      <c r="F9" s="124">
        <f>B26-Таблица4238[[#This Row],[13%]]</f>
        <v>0</v>
      </c>
      <c r="G9" s="124">
        <f>C26-Таблица4238[[#This Row],[30%]]</f>
        <v>0</v>
      </c>
      <c r="H9" s="124">
        <f>Таблица4339[[#This Row],[13%]]+Таблица4339[[#This Row],[30%]]</f>
        <v>0</v>
      </c>
    </row>
    <row r="10" spans="1:8" ht="18">
      <c r="A10" s="158" t="s">
        <v>283</v>
      </c>
      <c r="B10" s="159">
        <v>13129048</v>
      </c>
      <c r="C10" s="159">
        <v>273619</v>
      </c>
      <c r="D10" s="118"/>
      <c r="E10" s="124">
        <f>Таблица4238[[#This Row],[13%]]+Таблица4238[[#This Row],[30%]]</f>
        <v>13402667</v>
      </c>
      <c r="F10" s="124">
        <f>B27-Таблица4238[[#This Row],[13%]]</f>
        <v>0</v>
      </c>
      <c r="G10" s="124">
        <f>C27-Таблица4238[[#This Row],[30%]]</f>
        <v>0</v>
      </c>
      <c r="H10" s="124">
        <f>Таблица4339[[#This Row],[13%]]+Таблица4339[[#This Row],[30%]]</f>
        <v>0</v>
      </c>
    </row>
    <row r="11" spans="1:8" ht="18">
      <c r="A11" s="158" t="s">
        <v>284</v>
      </c>
      <c r="B11" s="159">
        <v>11397607</v>
      </c>
      <c r="C11" s="161"/>
      <c r="D11" s="118"/>
      <c r="E11" s="124">
        <f>Таблица4238[[#This Row],[13%]]+Таблица4238[[#This Row],[30%]]</f>
        <v>11397607</v>
      </c>
      <c r="F11" s="124">
        <f>B28+B29-Таблица4238[[#This Row],[13%]]</f>
        <v>0</v>
      </c>
      <c r="G11" s="124">
        <f>C28+C29-Таблица4238[[#This Row],[30%]]</f>
        <v>0</v>
      </c>
      <c r="H11" s="124">
        <f>Таблица4339[[#This Row],[13%]]+Таблица4339[[#This Row],[30%]]</f>
        <v>0</v>
      </c>
    </row>
    <row r="12" spans="1:8" ht="18">
      <c r="A12" s="158" t="s">
        <v>285</v>
      </c>
      <c r="B12" s="159">
        <v>689643</v>
      </c>
      <c r="C12" s="161"/>
      <c r="D12" s="118"/>
      <c r="E12" s="124">
        <f>Таблица4238[[#This Row],[13%]]+Таблица4238[[#This Row],[30%]]</f>
        <v>689643</v>
      </c>
      <c r="F12" s="124">
        <f>B30-Таблица4238[[#This Row],[13%]]</f>
        <v>0</v>
      </c>
      <c r="G12" s="124">
        <f>C30-Таблица4238[[#This Row],[30%]]</f>
        <v>0</v>
      </c>
      <c r="H12" s="124">
        <f>Таблица4339[[#This Row],[13%]]+Таблица4339[[#This Row],[30%]]</f>
        <v>0</v>
      </c>
    </row>
    <row r="13" spans="1:8" ht="18">
      <c r="A13" s="158" t="s">
        <v>286</v>
      </c>
      <c r="B13" s="159">
        <v>1158451</v>
      </c>
      <c r="C13" s="161"/>
      <c r="D13" s="118"/>
      <c r="E13" s="124">
        <f>Таблица4238[[#This Row],[13%]]+Таблица4238[[#This Row],[30%]]</f>
        <v>1158451</v>
      </c>
      <c r="F13" s="124">
        <f>B31-Таблица4238[[#This Row],[13%]]</f>
        <v>0</v>
      </c>
      <c r="G13" s="124">
        <f>C31-Таблица4238[[#This Row],[30%]]</f>
        <v>0</v>
      </c>
      <c r="H13" s="124">
        <f>Таблица4339[[#This Row],[13%]]+Таблица4339[[#This Row],[30%]]</f>
        <v>0</v>
      </c>
    </row>
    <row r="14" spans="1:8" ht="18">
      <c r="A14" s="196" t="s">
        <v>299</v>
      </c>
      <c r="B14" s="197">
        <f>SUBTOTAL(109,[13%])</f>
        <v>1571364666</v>
      </c>
      <c r="C14" s="197">
        <f>SUBTOTAL(109,[30%])</f>
        <v>7708328</v>
      </c>
      <c r="D14" s="133"/>
      <c r="E14" s="132">
        <f>SUBTOTAL(109,[Сумма по ставкам])</f>
        <v>1579072994</v>
      </c>
      <c r="F14" s="143"/>
      <c r="G14" s="130"/>
      <c r="H14" s="131"/>
    </row>
    <row r="15" spans="1:8" ht="18">
      <c r="A15" s="129" t="s">
        <v>288</v>
      </c>
      <c r="B15" s="124">
        <f>Таблица4440[[#Totals],[13%]]-Таблица4238[[#Totals],[13%]]</f>
        <v>0</v>
      </c>
      <c r="C15" s="124">
        <f>Таблица4440[[#Totals],[30%]]-Таблица4238[[#Totals],[30%]]</f>
        <v>0</v>
      </c>
      <c r="D15" s="118"/>
      <c r="E15" s="124">
        <f>B33-Таблица4339[[#Totals],[Сумма по ставкам]]</f>
        <v>0</v>
      </c>
      <c r="F15" s="118"/>
      <c r="G15" s="118"/>
      <c r="H15" s="118"/>
    </row>
    <row r="16" spans="1:8">
      <c r="A16" s="118"/>
      <c r="B16" s="121"/>
      <c r="C16" s="121"/>
      <c r="D16" s="118"/>
      <c r="E16" s="118"/>
      <c r="F16" s="118"/>
      <c r="G16" s="118"/>
      <c r="H16" s="118"/>
    </row>
    <row r="17" spans="1:8">
      <c r="A17" s="118"/>
      <c r="B17" s="118"/>
      <c r="C17" s="118"/>
      <c r="D17" s="120"/>
      <c r="E17" s="118"/>
      <c r="F17" s="118"/>
      <c r="G17" s="118"/>
      <c r="H17" s="118"/>
    </row>
    <row r="18" spans="1:8" ht="24.75" customHeight="1">
      <c r="A18" s="255" t="s">
        <v>289</v>
      </c>
      <c r="B18" s="255"/>
      <c r="C18" s="255"/>
      <c r="D18" s="120"/>
      <c r="E18" s="255" t="s">
        <v>290</v>
      </c>
      <c r="F18" s="255"/>
      <c r="G18" s="255"/>
      <c r="H18" s="255"/>
    </row>
    <row r="19" spans="1:8" ht="14.25" customHeight="1">
      <c r="A19" s="255"/>
      <c r="B19" s="255"/>
      <c r="C19" s="255"/>
      <c r="D19" s="119"/>
      <c r="E19" s="256" t="s">
        <v>275</v>
      </c>
      <c r="F19" s="256"/>
      <c r="G19" s="256" t="s">
        <v>276</v>
      </c>
      <c r="H19" s="256"/>
    </row>
    <row r="20" spans="1:8">
      <c r="A20" s="126" t="s">
        <v>291</v>
      </c>
      <c r="B20" s="149" t="s">
        <v>275</v>
      </c>
      <c r="C20" s="126" t="s">
        <v>276</v>
      </c>
      <c r="D20" s="151" t="s">
        <v>137</v>
      </c>
      <c r="E20" s="152" t="s">
        <v>292</v>
      </c>
      <c r="F20" s="150" t="s">
        <v>293</v>
      </c>
      <c r="G20" s="148" t="s">
        <v>301</v>
      </c>
      <c r="H20" s="148" t="s">
        <v>302</v>
      </c>
    </row>
    <row r="21" spans="1:8" ht="18">
      <c r="A21" s="127" t="s">
        <v>1051</v>
      </c>
      <c r="B21" s="124">
        <v>1318009539</v>
      </c>
      <c r="C21" s="124">
        <v>7078498</v>
      </c>
      <c r="D21" s="147"/>
      <c r="E21" s="124">
        <v>1318041363</v>
      </c>
      <c r="F21" s="124">
        <v>-31824</v>
      </c>
      <c r="G21" s="124">
        <v>7078498</v>
      </c>
      <c r="H21" s="124"/>
    </row>
    <row r="22" spans="1:8" ht="18">
      <c r="A22" s="155" t="s">
        <v>1052</v>
      </c>
      <c r="B22" s="124">
        <v>47905481</v>
      </c>
      <c r="C22" s="124">
        <v>92349</v>
      </c>
      <c r="D22" s="147"/>
      <c r="E22" s="124">
        <v>47905481</v>
      </c>
      <c r="F22" s="124"/>
      <c r="G22" s="124">
        <v>92349</v>
      </c>
      <c r="H22" s="124"/>
    </row>
    <row r="23" spans="1:8" ht="18">
      <c r="A23" s="155" t="s">
        <v>1053</v>
      </c>
      <c r="B23" s="124">
        <v>22586701</v>
      </c>
      <c r="C23" s="124">
        <v>10845</v>
      </c>
      <c r="D23" s="147"/>
      <c r="E23" s="124">
        <v>22586701</v>
      </c>
      <c r="F23" s="124"/>
      <c r="G23" s="124">
        <v>10845</v>
      </c>
      <c r="H23" s="124"/>
    </row>
    <row r="24" spans="1:8" ht="18">
      <c r="A24" s="155" t="s">
        <v>1054</v>
      </c>
      <c r="B24" s="124">
        <v>4083209</v>
      </c>
      <c r="C24" s="124">
        <v>12565</v>
      </c>
      <c r="D24" s="147"/>
      <c r="E24" s="124">
        <v>4083209</v>
      </c>
      <c r="F24" s="124"/>
      <c r="G24" s="124">
        <v>12565</v>
      </c>
      <c r="H24" s="124"/>
    </row>
    <row r="25" spans="1:8" ht="18">
      <c r="A25" s="155" t="s">
        <v>1055</v>
      </c>
      <c r="B25" s="124">
        <v>39560555</v>
      </c>
      <c r="C25" s="124">
        <v>184994</v>
      </c>
      <c r="D25" s="147"/>
      <c r="E25" s="124">
        <v>39560555</v>
      </c>
      <c r="F25" s="124"/>
      <c r="G25" s="124">
        <v>184994</v>
      </c>
      <c r="H25" s="124"/>
    </row>
    <row r="26" spans="1:8" ht="18">
      <c r="A26" s="155" t="s">
        <v>1056</v>
      </c>
      <c r="B26" s="124">
        <v>112844432</v>
      </c>
      <c r="C26" s="124">
        <v>55458</v>
      </c>
      <c r="D26" s="147"/>
      <c r="E26" s="124">
        <v>112844432</v>
      </c>
      <c r="F26" s="124"/>
      <c r="G26" s="124">
        <v>55458</v>
      </c>
      <c r="H26" s="124"/>
    </row>
    <row r="27" spans="1:8" ht="18">
      <c r="A27" s="155" t="s">
        <v>283</v>
      </c>
      <c r="B27" s="124">
        <v>13129048</v>
      </c>
      <c r="C27" s="124">
        <v>273619</v>
      </c>
      <c r="D27" s="147"/>
      <c r="E27" s="124">
        <v>13129048</v>
      </c>
      <c r="F27" s="124"/>
      <c r="G27" s="124">
        <v>273619</v>
      </c>
      <c r="H27" s="124"/>
    </row>
    <row r="28" spans="1:8" ht="18">
      <c r="A28" s="155" t="s">
        <v>1057</v>
      </c>
      <c r="B28" s="124">
        <v>6122954</v>
      </c>
      <c r="C28" s="124"/>
      <c r="D28" s="147"/>
      <c r="E28" s="124">
        <v>6193861</v>
      </c>
      <c r="F28" s="124">
        <v>-70907</v>
      </c>
      <c r="G28" s="124"/>
      <c r="H28" s="124"/>
    </row>
    <row r="29" spans="1:8" ht="18">
      <c r="A29" s="155" t="s">
        <v>1058</v>
      </c>
      <c r="B29" s="124">
        <v>5274653</v>
      </c>
      <c r="C29" s="124"/>
      <c r="D29" s="147"/>
      <c r="E29" s="124">
        <v>5205396</v>
      </c>
      <c r="F29" s="124">
        <v>69257</v>
      </c>
      <c r="G29" s="124"/>
      <c r="H29" s="124"/>
    </row>
    <row r="30" spans="1:8" ht="18">
      <c r="A30" s="155" t="s">
        <v>1059</v>
      </c>
      <c r="B30" s="124">
        <v>689643</v>
      </c>
      <c r="C30" s="124"/>
      <c r="D30" s="147"/>
      <c r="E30" s="124">
        <v>689643</v>
      </c>
      <c r="F30" s="124"/>
      <c r="G30" s="124"/>
      <c r="H30" s="124"/>
    </row>
    <row r="31" spans="1:8" ht="18">
      <c r="A31" s="127" t="s">
        <v>1060</v>
      </c>
      <c r="B31" s="168">
        <v>1158451</v>
      </c>
      <c r="C31" s="124"/>
      <c r="D31" s="118"/>
      <c r="E31" s="124">
        <v>1133051</v>
      </c>
      <c r="F31" s="124">
        <v>25400</v>
      </c>
      <c r="G31" s="124"/>
      <c r="H31" s="124"/>
    </row>
    <row r="32" spans="1:8" ht="18">
      <c r="A32" s="145" t="s">
        <v>287</v>
      </c>
      <c r="B32" s="132">
        <f>SUBTOTAL(109,[13%])</f>
        <v>1571364666</v>
      </c>
      <c r="C32" s="132">
        <f>SUBTOTAL(109,[30%])</f>
        <v>7708328</v>
      </c>
      <c r="D32" s="153"/>
      <c r="E32" s="154"/>
      <c r="F32" s="154"/>
      <c r="G32" s="154"/>
      <c r="H32" s="154"/>
    </row>
    <row r="33" spans="1:8" ht="18">
      <c r="A33" s="144" t="s">
        <v>300</v>
      </c>
      <c r="B33" s="132">
        <f>Таблица4440[[#Totals],[13%]]+Таблица4440[[#Totals],[30%]]</f>
        <v>1579072994</v>
      </c>
      <c r="C33" s="132"/>
      <c r="D33" s="118"/>
      <c r="E33" s="134"/>
      <c r="F33" s="134"/>
      <c r="G33" s="134"/>
      <c r="H33" s="134"/>
    </row>
    <row r="34" spans="1:8" ht="18">
      <c r="C34" s="138"/>
      <c r="D34" s="118"/>
      <c r="E34" s="6"/>
      <c r="F34" s="6"/>
      <c r="G34" s="6"/>
      <c r="H34" s="6"/>
    </row>
    <row r="35" spans="1:8">
      <c r="A35" s="118"/>
      <c r="B35" s="122"/>
      <c r="C35" s="118"/>
      <c r="D35" s="118"/>
      <c r="E35" s="118"/>
      <c r="F35" s="118"/>
      <c r="G35" s="118"/>
      <c r="H35" s="118"/>
    </row>
    <row r="36" spans="1:8">
      <c r="A36" s="137" t="s">
        <v>294</v>
      </c>
      <c r="B36" s="141"/>
      <c r="C36" s="118"/>
      <c r="D36" s="118"/>
      <c r="F36" s="118"/>
      <c r="G36" s="118"/>
      <c r="H36" s="118"/>
    </row>
    <row r="37" spans="1:8" ht="18">
      <c r="A37" s="127" t="s">
        <v>295</v>
      </c>
      <c r="B37" s="124">
        <f>B33</f>
        <v>1579072994</v>
      </c>
      <c r="C37" s="118"/>
      <c r="D37" s="118"/>
      <c r="E37" s="135"/>
      <c r="F37" s="118"/>
      <c r="G37" s="118"/>
      <c r="H37" s="118"/>
    </row>
    <row r="38" spans="1:8" ht="18">
      <c r="A38" s="127" t="s">
        <v>304</v>
      </c>
      <c r="B38" s="168">
        <v>1579936701</v>
      </c>
      <c r="C38" s="136"/>
      <c r="D38" s="118"/>
      <c r="F38" s="118"/>
      <c r="G38" s="118"/>
      <c r="H38" s="118"/>
    </row>
    <row r="39" spans="1:8" ht="18">
      <c r="A39" s="127" t="s">
        <v>296</v>
      </c>
      <c r="B39" s="124">
        <f>B37-B38</f>
        <v>-863707</v>
      </c>
      <c r="C39" s="118"/>
      <c r="D39" s="118"/>
    </row>
    <row r="40" spans="1:8">
      <c r="D40" s="118"/>
    </row>
    <row r="41" spans="1:8">
      <c r="A41" s="249" t="s">
        <v>305</v>
      </c>
      <c r="B41" s="250">
        <v>863707</v>
      </c>
      <c r="D41" s="118"/>
    </row>
    <row r="42" spans="1:8">
      <c r="A42" s="249"/>
      <c r="B42" s="250"/>
      <c r="C42" s="118"/>
      <c r="D42" s="118"/>
    </row>
    <row r="43" spans="1:8" ht="18">
      <c r="A43" s="139"/>
      <c r="B43" s="140"/>
      <c r="C43" s="123"/>
      <c r="D43" s="118"/>
    </row>
    <row r="44" spans="1:8" ht="18">
      <c r="A44" s="137" t="s">
        <v>297</v>
      </c>
      <c r="B44" s="168">
        <v>11441</v>
      </c>
      <c r="C44" s="118"/>
      <c r="D44" s="118"/>
    </row>
    <row r="45" spans="1:8">
      <c r="D45" s="118"/>
    </row>
    <row r="46" spans="1:8" ht="51.75" customHeight="1">
      <c r="A46" s="167" t="s">
        <v>306</v>
      </c>
      <c r="B46" s="163">
        <v>-70080</v>
      </c>
      <c r="D46" s="118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A2:H2"/>
    <mergeCell ref="A3:C3"/>
    <mergeCell ref="E3:H3"/>
    <mergeCell ref="A18:C19"/>
    <mergeCell ref="E18:H18"/>
    <mergeCell ref="E19:F19"/>
    <mergeCell ref="G19:H19"/>
  </mergeCells>
  <conditionalFormatting sqref="E15 F14 B15:C15">
    <cfRule type="cellIs" dxfId="256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4"/>
  <dimension ref="A1:I343"/>
  <sheetViews>
    <sheetView workbookViewId="0">
      <selection activeCell="B7" sqref="B7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57" t="s">
        <v>627</v>
      </c>
      <c r="B1" s="258"/>
      <c r="C1" s="258"/>
      <c r="D1" s="258"/>
      <c r="E1" s="258"/>
      <c r="F1" s="258"/>
      <c r="G1" s="258"/>
      <c r="H1" s="258"/>
      <c r="I1" s="258"/>
    </row>
    <row r="2" spans="1:9" ht="15.75">
      <c r="A2" s="113"/>
    </row>
    <row r="3" spans="1:9" ht="31.5" customHeight="1">
      <c r="A3" s="259" t="s">
        <v>268</v>
      </c>
      <c r="B3" s="259"/>
      <c r="C3" s="259"/>
      <c r="D3" s="259"/>
      <c r="E3" s="259"/>
      <c r="F3" s="259"/>
      <c r="G3" s="259"/>
      <c r="H3" s="259"/>
      <c r="I3" s="117">
        <f>SUBTOTAL(109,Таблица5237[Недоплата])</f>
        <v>11441</v>
      </c>
    </row>
    <row r="4" spans="1:9" ht="15.75">
      <c r="A4" s="113"/>
    </row>
    <row r="5" spans="1:9" ht="25.5">
      <c r="A5" s="114" t="s">
        <v>263</v>
      </c>
      <c r="B5" s="114" t="s">
        <v>63</v>
      </c>
      <c r="C5" s="114" t="s">
        <v>64</v>
      </c>
      <c r="D5" s="114" t="s">
        <v>65</v>
      </c>
      <c r="E5" s="114" t="s">
        <v>79</v>
      </c>
      <c r="F5" s="114" t="s">
        <v>266</v>
      </c>
      <c r="G5" s="114" t="s">
        <v>264</v>
      </c>
      <c r="H5" s="114" t="s">
        <v>232</v>
      </c>
      <c r="I5" s="114" t="s">
        <v>265</v>
      </c>
    </row>
    <row r="6" spans="1:9">
      <c r="A6" s="115">
        <v>1509511</v>
      </c>
      <c r="B6" s="115" t="s">
        <v>628</v>
      </c>
      <c r="C6" s="115" t="s">
        <v>324</v>
      </c>
      <c r="D6" s="115" t="s">
        <v>629</v>
      </c>
      <c r="E6" s="110">
        <v>13</v>
      </c>
      <c r="F6" s="110">
        <v>2</v>
      </c>
      <c r="G6" s="116">
        <v>1400</v>
      </c>
      <c r="H6" s="116">
        <v>3182</v>
      </c>
      <c r="I6" s="116">
        <f>[Исчисленный налог]-[Удержанный налог]</f>
        <v>-1782</v>
      </c>
    </row>
    <row r="7" spans="1:9">
      <c r="A7" s="115">
        <v>2908711</v>
      </c>
      <c r="B7" s="115" t="s">
        <v>630</v>
      </c>
      <c r="C7" s="115" t="s">
        <v>321</v>
      </c>
      <c r="D7" s="115" t="s">
        <v>346</v>
      </c>
      <c r="E7" s="110">
        <v>13</v>
      </c>
      <c r="F7" s="110">
        <v>2</v>
      </c>
      <c r="G7" s="116">
        <v>3915</v>
      </c>
      <c r="H7" s="116">
        <v>4610</v>
      </c>
      <c r="I7" s="116">
        <f>[Исчисленный налог]-[Удержанный налог]</f>
        <v>-695</v>
      </c>
    </row>
    <row r="8" spans="1:9">
      <c r="A8" s="115">
        <v>2910462</v>
      </c>
      <c r="B8" s="115" t="s">
        <v>631</v>
      </c>
      <c r="C8" s="115" t="s">
        <v>548</v>
      </c>
      <c r="D8" s="115" t="s">
        <v>464</v>
      </c>
      <c r="E8" s="110">
        <v>13</v>
      </c>
      <c r="F8" s="110">
        <v>2</v>
      </c>
      <c r="G8" s="116">
        <v>2248</v>
      </c>
      <c r="H8" s="116">
        <v>2249</v>
      </c>
      <c r="I8" s="116">
        <f>[Исчисленный налог]-[Удержанный налог]</f>
        <v>-1</v>
      </c>
    </row>
    <row r="9" spans="1:9">
      <c r="A9" s="115">
        <v>2913754</v>
      </c>
      <c r="B9" s="115" t="s">
        <v>632</v>
      </c>
      <c r="C9" s="115" t="s">
        <v>516</v>
      </c>
      <c r="D9" s="115" t="s">
        <v>633</v>
      </c>
      <c r="E9" s="110">
        <v>13</v>
      </c>
      <c r="F9" s="110">
        <v>2</v>
      </c>
      <c r="G9" s="116">
        <v>5635</v>
      </c>
      <c r="H9" s="116">
        <v>5636</v>
      </c>
      <c r="I9" s="116">
        <f>[Исчисленный налог]-[Удержанный налог]</f>
        <v>-1</v>
      </c>
    </row>
    <row r="10" spans="1:9">
      <c r="A10" s="115">
        <v>2896774</v>
      </c>
      <c r="B10" s="115" t="s">
        <v>634</v>
      </c>
      <c r="C10" s="115" t="s">
        <v>372</v>
      </c>
      <c r="D10" s="115" t="s">
        <v>457</v>
      </c>
      <c r="E10" s="110">
        <v>13</v>
      </c>
      <c r="F10" s="110">
        <v>2</v>
      </c>
      <c r="G10" s="116">
        <v>4792</v>
      </c>
      <c r="H10" s="116">
        <v>4793</v>
      </c>
      <c r="I10" s="116">
        <f>[Исчисленный налог]-[Удержанный налог]</f>
        <v>-1</v>
      </c>
    </row>
    <row r="11" spans="1:9">
      <c r="A11" s="115">
        <v>3011033</v>
      </c>
      <c r="B11" s="115" t="s">
        <v>635</v>
      </c>
      <c r="C11" s="115" t="s">
        <v>459</v>
      </c>
      <c r="D11" s="115" t="s">
        <v>370</v>
      </c>
      <c r="E11" s="110">
        <v>13</v>
      </c>
      <c r="F11" s="110">
        <v>2</v>
      </c>
      <c r="G11" s="116">
        <v>11024</v>
      </c>
      <c r="H11" s="116">
        <v>11025</v>
      </c>
      <c r="I11" s="116">
        <f>[Исчисленный налог]-[Удержанный налог]</f>
        <v>-1</v>
      </c>
    </row>
    <row r="12" spans="1:9">
      <c r="A12" s="115">
        <v>3035118</v>
      </c>
      <c r="B12" s="115" t="s">
        <v>636</v>
      </c>
      <c r="C12" s="115" t="s">
        <v>366</v>
      </c>
      <c r="D12" s="115" t="s">
        <v>601</v>
      </c>
      <c r="E12" s="110">
        <v>13</v>
      </c>
      <c r="F12" s="110">
        <v>2</v>
      </c>
      <c r="G12" s="116">
        <v>9592</v>
      </c>
      <c r="H12" s="116">
        <v>9593</v>
      </c>
      <c r="I12" s="116">
        <f>[Исчисленный налог]-[Удержанный налог]</f>
        <v>-1</v>
      </c>
    </row>
    <row r="13" spans="1:9">
      <c r="A13" s="115">
        <v>2913535</v>
      </c>
      <c r="B13" s="115" t="s">
        <v>637</v>
      </c>
      <c r="C13" s="115" t="s">
        <v>372</v>
      </c>
      <c r="D13" s="115" t="s">
        <v>426</v>
      </c>
      <c r="E13" s="110">
        <v>13</v>
      </c>
      <c r="F13" s="110">
        <v>2</v>
      </c>
      <c r="G13" s="116">
        <v>20601</v>
      </c>
      <c r="H13" s="116">
        <v>20602</v>
      </c>
      <c r="I13" s="116">
        <f>[Исчисленный налог]-[Удержанный налог]</f>
        <v>-1</v>
      </c>
    </row>
    <row r="14" spans="1:9">
      <c r="A14" s="115">
        <v>1590171</v>
      </c>
      <c r="B14" s="115" t="s">
        <v>638</v>
      </c>
      <c r="C14" s="115" t="s">
        <v>339</v>
      </c>
      <c r="D14" s="115" t="s">
        <v>601</v>
      </c>
      <c r="E14" s="110">
        <v>13</v>
      </c>
      <c r="F14" s="110">
        <v>2</v>
      </c>
      <c r="G14" s="116">
        <v>3199</v>
      </c>
      <c r="H14" s="116">
        <v>3200</v>
      </c>
      <c r="I14" s="116">
        <f>[Исчисленный налог]-[Удержанный налог]</f>
        <v>-1</v>
      </c>
    </row>
    <row r="15" spans="1:9">
      <c r="A15" s="115">
        <v>2925564</v>
      </c>
      <c r="B15" s="115" t="s">
        <v>639</v>
      </c>
      <c r="C15" s="115" t="s">
        <v>511</v>
      </c>
      <c r="D15" s="115" t="s">
        <v>457</v>
      </c>
      <c r="E15" s="110">
        <v>13</v>
      </c>
      <c r="F15" s="110">
        <v>2</v>
      </c>
      <c r="G15" s="116">
        <v>17995</v>
      </c>
      <c r="H15" s="116">
        <v>17996</v>
      </c>
      <c r="I15" s="116">
        <f>[Исчисленный налог]-[Удержанный налог]</f>
        <v>-1</v>
      </c>
    </row>
    <row r="16" spans="1:9">
      <c r="A16" s="115">
        <v>2945720</v>
      </c>
      <c r="B16" s="115" t="s">
        <v>640</v>
      </c>
      <c r="C16" s="115" t="s">
        <v>546</v>
      </c>
      <c r="D16" s="115" t="s">
        <v>370</v>
      </c>
      <c r="E16" s="110">
        <v>13</v>
      </c>
      <c r="F16" s="110">
        <v>2</v>
      </c>
      <c r="G16" s="116">
        <v>5250</v>
      </c>
      <c r="H16" s="116">
        <v>5251</v>
      </c>
      <c r="I16" s="116">
        <f>[Исчисленный налог]-[Удержанный налог]</f>
        <v>-1</v>
      </c>
    </row>
    <row r="17" spans="1:9">
      <c r="A17" s="115">
        <v>2903266</v>
      </c>
      <c r="B17" s="115" t="s">
        <v>641</v>
      </c>
      <c r="C17" s="115" t="s">
        <v>372</v>
      </c>
      <c r="D17" s="115" t="s">
        <v>642</v>
      </c>
      <c r="E17" s="110">
        <v>13</v>
      </c>
      <c r="F17" s="110">
        <v>2</v>
      </c>
      <c r="G17" s="116">
        <v>22673</v>
      </c>
      <c r="H17" s="116">
        <v>22674</v>
      </c>
      <c r="I17" s="116">
        <f>[Исчисленный налог]-[Удержанный налог]</f>
        <v>-1</v>
      </c>
    </row>
    <row r="18" spans="1:9">
      <c r="A18" s="115">
        <v>2951311</v>
      </c>
      <c r="B18" s="115" t="s">
        <v>643</v>
      </c>
      <c r="C18" s="115" t="s">
        <v>345</v>
      </c>
      <c r="D18" s="115" t="s">
        <v>577</v>
      </c>
      <c r="E18" s="110">
        <v>13</v>
      </c>
      <c r="F18" s="110">
        <v>2</v>
      </c>
      <c r="G18" s="116">
        <v>9962</v>
      </c>
      <c r="H18" s="116">
        <v>9963</v>
      </c>
      <c r="I18" s="116">
        <f>[Исчисленный налог]-[Удержанный налог]</f>
        <v>-1</v>
      </c>
    </row>
    <row r="19" spans="1:9">
      <c r="A19" s="115">
        <v>2975107</v>
      </c>
      <c r="B19" s="115" t="s">
        <v>644</v>
      </c>
      <c r="C19" s="115" t="s">
        <v>645</v>
      </c>
      <c r="D19" s="115" t="s">
        <v>646</v>
      </c>
      <c r="E19" s="110">
        <v>13</v>
      </c>
      <c r="F19" s="110">
        <v>2</v>
      </c>
      <c r="G19" s="116">
        <v>20292</v>
      </c>
      <c r="H19" s="116">
        <v>20293</v>
      </c>
      <c r="I19" s="116">
        <f>[Исчисленный налог]-[Удержанный налог]</f>
        <v>-1</v>
      </c>
    </row>
    <row r="20" spans="1:9">
      <c r="A20" s="115">
        <v>2987742</v>
      </c>
      <c r="B20" s="115" t="s">
        <v>647</v>
      </c>
      <c r="C20" s="115" t="s">
        <v>419</v>
      </c>
      <c r="D20" s="115" t="s">
        <v>648</v>
      </c>
      <c r="E20" s="110">
        <v>13</v>
      </c>
      <c r="F20" s="110">
        <v>2</v>
      </c>
      <c r="G20" s="116">
        <v>7860</v>
      </c>
      <c r="H20" s="116">
        <v>7861</v>
      </c>
      <c r="I20" s="116">
        <f>[Исчисленный налог]-[Удержанный налог]</f>
        <v>-1</v>
      </c>
    </row>
    <row r="21" spans="1:9">
      <c r="A21" s="115">
        <v>1424101</v>
      </c>
      <c r="B21" s="115" t="s">
        <v>649</v>
      </c>
      <c r="C21" s="115" t="s">
        <v>548</v>
      </c>
      <c r="D21" s="115" t="s">
        <v>601</v>
      </c>
      <c r="E21" s="110">
        <v>13</v>
      </c>
      <c r="F21" s="110">
        <v>2</v>
      </c>
      <c r="G21" s="116">
        <v>4190</v>
      </c>
      <c r="H21" s="116">
        <v>4191</v>
      </c>
      <c r="I21" s="116">
        <f>[Исчисленный налог]-[Удержанный налог]</f>
        <v>-1</v>
      </c>
    </row>
    <row r="22" spans="1:9">
      <c r="A22" s="115">
        <v>2933876</v>
      </c>
      <c r="B22" s="115" t="s">
        <v>650</v>
      </c>
      <c r="C22" s="115" t="s">
        <v>366</v>
      </c>
      <c r="D22" s="115" t="s">
        <v>426</v>
      </c>
      <c r="E22" s="110">
        <v>13</v>
      </c>
      <c r="F22" s="110">
        <v>2</v>
      </c>
      <c r="G22" s="116">
        <v>1333</v>
      </c>
      <c r="H22" s="116">
        <v>1334</v>
      </c>
      <c r="I22" s="116">
        <f>[Исчисленный налог]-[Удержанный налог]</f>
        <v>-1</v>
      </c>
    </row>
    <row r="23" spans="1:9">
      <c r="A23" s="115">
        <v>2913863</v>
      </c>
      <c r="B23" s="115" t="s">
        <v>651</v>
      </c>
      <c r="C23" s="115" t="s">
        <v>517</v>
      </c>
      <c r="D23" s="115" t="s">
        <v>652</v>
      </c>
      <c r="E23" s="110">
        <v>13</v>
      </c>
      <c r="F23" s="110">
        <v>2</v>
      </c>
      <c r="G23" s="116">
        <v>40972</v>
      </c>
      <c r="H23" s="116">
        <v>40973</v>
      </c>
      <c r="I23" s="116">
        <f>[Исчисленный налог]-[Удержанный налог]</f>
        <v>-1</v>
      </c>
    </row>
    <row r="24" spans="1:9">
      <c r="A24" s="115">
        <v>2922195</v>
      </c>
      <c r="B24" s="115" t="s">
        <v>653</v>
      </c>
      <c r="C24" s="115" t="s">
        <v>599</v>
      </c>
      <c r="D24" s="115" t="s">
        <v>325</v>
      </c>
      <c r="E24" s="110">
        <v>13</v>
      </c>
      <c r="F24" s="110">
        <v>2</v>
      </c>
      <c r="G24" s="116">
        <v>43530</v>
      </c>
      <c r="H24" s="116">
        <v>43531</v>
      </c>
      <c r="I24" s="116">
        <f>[Исчисленный налог]-[Удержанный налог]</f>
        <v>-1</v>
      </c>
    </row>
    <row r="25" spans="1:9">
      <c r="A25" s="115">
        <v>3006317</v>
      </c>
      <c r="B25" s="115" t="s">
        <v>654</v>
      </c>
      <c r="C25" s="115" t="s">
        <v>321</v>
      </c>
      <c r="D25" s="115" t="s">
        <v>633</v>
      </c>
      <c r="E25" s="110">
        <v>13</v>
      </c>
      <c r="F25" s="110">
        <v>2</v>
      </c>
      <c r="G25" s="116">
        <v>66186</v>
      </c>
      <c r="H25" s="116">
        <v>66187</v>
      </c>
      <c r="I25" s="116">
        <f>[Исчисленный налог]-[Удержанный налог]</f>
        <v>-1</v>
      </c>
    </row>
    <row r="26" spans="1:9">
      <c r="A26" s="115">
        <v>2895131</v>
      </c>
      <c r="B26" s="115" t="s">
        <v>655</v>
      </c>
      <c r="C26" s="115" t="s">
        <v>656</v>
      </c>
      <c r="D26" s="115" t="s">
        <v>657</v>
      </c>
      <c r="E26" s="110">
        <v>13</v>
      </c>
      <c r="F26" s="110">
        <v>2</v>
      </c>
      <c r="G26" s="116">
        <v>4306</v>
      </c>
      <c r="H26" s="116">
        <v>4307</v>
      </c>
      <c r="I26" s="116">
        <f>[Исчисленный налог]-[Удержанный налог]</f>
        <v>-1</v>
      </c>
    </row>
    <row r="27" spans="1:9">
      <c r="A27" s="115">
        <v>1380142</v>
      </c>
      <c r="B27" s="115" t="s">
        <v>658</v>
      </c>
      <c r="C27" s="115" t="s">
        <v>401</v>
      </c>
      <c r="D27" s="115" t="s">
        <v>385</v>
      </c>
      <c r="E27" s="110">
        <v>13</v>
      </c>
      <c r="F27" s="110">
        <v>2</v>
      </c>
      <c r="G27" s="116">
        <v>6483</v>
      </c>
      <c r="H27" s="116">
        <v>6484</v>
      </c>
      <c r="I27" s="116">
        <f>[Исчисленный налог]-[Удержанный налог]</f>
        <v>-1</v>
      </c>
    </row>
    <row r="28" spans="1:9">
      <c r="A28" s="115">
        <v>1220343</v>
      </c>
      <c r="B28" s="115" t="s">
        <v>659</v>
      </c>
      <c r="C28" s="115" t="s">
        <v>380</v>
      </c>
      <c r="D28" s="115" t="s">
        <v>577</v>
      </c>
      <c r="E28" s="110">
        <v>13</v>
      </c>
      <c r="F28" s="110">
        <v>2</v>
      </c>
      <c r="G28" s="116">
        <v>20607</v>
      </c>
      <c r="H28" s="116">
        <v>20608</v>
      </c>
      <c r="I28" s="116">
        <f>[Исчисленный налог]-[Удержанный налог]</f>
        <v>-1</v>
      </c>
    </row>
    <row r="29" spans="1:9">
      <c r="A29" s="115">
        <v>2961558</v>
      </c>
      <c r="B29" s="115" t="s">
        <v>660</v>
      </c>
      <c r="C29" s="115" t="s">
        <v>354</v>
      </c>
      <c r="D29" s="115" t="s">
        <v>532</v>
      </c>
      <c r="E29" s="110">
        <v>13</v>
      </c>
      <c r="F29" s="110">
        <v>2</v>
      </c>
      <c r="G29" s="116">
        <v>7634</v>
      </c>
      <c r="H29" s="116">
        <v>7635</v>
      </c>
      <c r="I29" s="116">
        <f>[Исчисленный налог]-[Удержанный налог]</f>
        <v>-1</v>
      </c>
    </row>
    <row r="30" spans="1:9">
      <c r="A30" s="115">
        <v>2958465</v>
      </c>
      <c r="B30" s="115" t="s">
        <v>661</v>
      </c>
      <c r="C30" s="115" t="s">
        <v>477</v>
      </c>
      <c r="D30" s="115" t="s">
        <v>532</v>
      </c>
      <c r="E30" s="110">
        <v>13</v>
      </c>
      <c r="F30" s="110">
        <v>2</v>
      </c>
      <c r="G30" s="116">
        <v>11818</v>
      </c>
      <c r="H30" s="116">
        <v>11819</v>
      </c>
      <c r="I30" s="116">
        <f>[Исчисленный налог]-[Удержанный налог]</f>
        <v>-1</v>
      </c>
    </row>
    <row r="31" spans="1:9">
      <c r="A31" s="115">
        <v>2908791</v>
      </c>
      <c r="B31" s="115" t="s">
        <v>662</v>
      </c>
      <c r="C31" s="115" t="s">
        <v>419</v>
      </c>
      <c r="D31" s="115" t="s">
        <v>381</v>
      </c>
      <c r="E31" s="110">
        <v>13</v>
      </c>
      <c r="F31" s="110">
        <v>2</v>
      </c>
      <c r="G31" s="116">
        <v>3586</v>
      </c>
      <c r="H31" s="116">
        <v>3587</v>
      </c>
      <c r="I31" s="116">
        <f>[Исчисленный налог]-[Удержанный налог]</f>
        <v>-1</v>
      </c>
    </row>
    <row r="32" spans="1:9">
      <c r="A32" s="115">
        <v>2947751</v>
      </c>
      <c r="B32" s="115" t="s">
        <v>663</v>
      </c>
      <c r="C32" s="115" t="s">
        <v>401</v>
      </c>
      <c r="D32" s="115" t="s">
        <v>346</v>
      </c>
      <c r="E32" s="110">
        <v>13</v>
      </c>
      <c r="F32" s="110">
        <v>2</v>
      </c>
      <c r="G32" s="116">
        <v>5631</v>
      </c>
      <c r="H32" s="116">
        <v>5632</v>
      </c>
      <c r="I32" s="116">
        <f>[Исчисленный налог]-[Удержанный налог]</f>
        <v>-1</v>
      </c>
    </row>
    <row r="33" spans="1:9">
      <c r="A33" s="115">
        <v>2900750</v>
      </c>
      <c r="B33" s="115" t="s">
        <v>664</v>
      </c>
      <c r="C33" s="115" t="s">
        <v>401</v>
      </c>
      <c r="D33" s="115" t="s">
        <v>665</v>
      </c>
      <c r="E33" s="110">
        <v>13</v>
      </c>
      <c r="F33" s="110">
        <v>2</v>
      </c>
      <c r="G33" s="116">
        <v>9966</v>
      </c>
      <c r="H33" s="116">
        <v>9967</v>
      </c>
      <c r="I33" s="116">
        <f>[Исчисленный налог]-[Удержанный налог]</f>
        <v>-1</v>
      </c>
    </row>
    <row r="34" spans="1:9">
      <c r="A34" s="115">
        <v>3067626</v>
      </c>
      <c r="B34" s="115" t="s">
        <v>666</v>
      </c>
      <c r="C34" s="115" t="s">
        <v>369</v>
      </c>
      <c r="D34" s="115" t="s">
        <v>552</v>
      </c>
      <c r="E34" s="110">
        <v>13</v>
      </c>
      <c r="F34" s="110">
        <v>2</v>
      </c>
      <c r="G34" s="116">
        <v>12164</v>
      </c>
      <c r="H34" s="116">
        <v>12165</v>
      </c>
      <c r="I34" s="116">
        <f>[Исчисленный налог]-[Удержанный налог]</f>
        <v>-1</v>
      </c>
    </row>
    <row r="35" spans="1:9">
      <c r="A35" s="115">
        <v>2935904</v>
      </c>
      <c r="B35" s="115" t="s">
        <v>667</v>
      </c>
      <c r="C35" s="115" t="s">
        <v>342</v>
      </c>
      <c r="D35" s="115" t="s">
        <v>385</v>
      </c>
      <c r="E35" s="110">
        <v>13</v>
      </c>
      <c r="F35" s="110">
        <v>2</v>
      </c>
      <c r="G35" s="116">
        <v>17233</v>
      </c>
      <c r="H35" s="116">
        <v>17234</v>
      </c>
      <c r="I35" s="116">
        <f>[Исчисленный налог]-[Удержанный налог]</f>
        <v>-1</v>
      </c>
    </row>
    <row r="36" spans="1:9">
      <c r="A36" s="115">
        <v>2991892</v>
      </c>
      <c r="B36" s="115" t="s">
        <v>668</v>
      </c>
      <c r="C36" s="115" t="s">
        <v>669</v>
      </c>
      <c r="D36" s="115" t="s">
        <v>670</v>
      </c>
      <c r="E36" s="110">
        <v>13</v>
      </c>
      <c r="F36" s="110">
        <v>3</v>
      </c>
      <c r="G36" s="116">
        <v>7266</v>
      </c>
      <c r="H36" s="116">
        <v>7267</v>
      </c>
      <c r="I36" s="116">
        <f>[Исчисленный налог]-[Удержанный налог]</f>
        <v>-1</v>
      </c>
    </row>
    <row r="37" spans="1:9">
      <c r="A37" s="115">
        <v>1638207</v>
      </c>
      <c r="B37" s="115" t="s">
        <v>671</v>
      </c>
      <c r="C37" s="115" t="s">
        <v>672</v>
      </c>
      <c r="D37" s="115" t="s">
        <v>507</v>
      </c>
      <c r="E37" s="110">
        <v>13</v>
      </c>
      <c r="F37" s="110">
        <v>2</v>
      </c>
      <c r="G37" s="116">
        <v>10084</v>
      </c>
      <c r="H37" s="116">
        <v>10085</v>
      </c>
      <c r="I37" s="116">
        <f>[Исчисленный налог]-[Удержанный налог]</f>
        <v>-1</v>
      </c>
    </row>
    <row r="38" spans="1:9">
      <c r="A38" s="115">
        <v>1406616</v>
      </c>
      <c r="B38" s="115" t="s">
        <v>673</v>
      </c>
      <c r="C38" s="115" t="s">
        <v>372</v>
      </c>
      <c r="D38" s="115" t="s">
        <v>325</v>
      </c>
      <c r="E38" s="110">
        <v>13</v>
      </c>
      <c r="F38" s="110">
        <v>2</v>
      </c>
      <c r="G38" s="116">
        <v>15462</v>
      </c>
      <c r="H38" s="116">
        <v>15463</v>
      </c>
      <c r="I38" s="116">
        <f>[Исчисленный налог]-[Удержанный налог]</f>
        <v>-1</v>
      </c>
    </row>
    <row r="39" spans="1:9">
      <c r="A39" s="115">
        <v>2912061</v>
      </c>
      <c r="B39" s="115" t="s">
        <v>674</v>
      </c>
      <c r="C39" s="115" t="s">
        <v>459</v>
      </c>
      <c r="D39" s="115" t="s">
        <v>665</v>
      </c>
      <c r="E39" s="110">
        <v>13</v>
      </c>
      <c r="F39" s="110">
        <v>2</v>
      </c>
      <c r="G39" s="116">
        <v>5424</v>
      </c>
      <c r="H39" s="116">
        <v>5425</v>
      </c>
      <c r="I39" s="116">
        <f>[Исчисленный налог]-[Удержанный налог]</f>
        <v>-1</v>
      </c>
    </row>
    <row r="40" spans="1:9">
      <c r="A40" s="115">
        <v>1004434</v>
      </c>
      <c r="B40" s="115" t="s">
        <v>675</v>
      </c>
      <c r="C40" s="115" t="s">
        <v>321</v>
      </c>
      <c r="D40" s="115" t="s">
        <v>532</v>
      </c>
      <c r="E40" s="110">
        <v>13</v>
      </c>
      <c r="F40" s="110">
        <v>2</v>
      </c>
      <c r="G40" s="116">
        <v>4564</v>
      </c>
      <c r="H40" s="116">
        <v>4565</v>
      </c>
      <c r="I40" s="116">
        <f>[Исчисленный налог]-[Удержанный налог]</f>
        <v>-1</v>
      </c>
    </row>
    <row r="41" spans="1:9">
      <c r="A41" s="115">
        <v>3070207</v>
      </c>
      <c r="B41" s="115" t="s">
        <v>676</v>
      </c>
      <c r="C41" s="115" t="s">
        <v>380</v>
      </c>
      <c r="D41" s="115" t="s">
        <v>393</v>
      </c>
      <c r="E41" s="110">
        <v>13</v>
      </c>
      <c r="F41" s="110">
        <v>2</v>
      </c>
      <c r="G41" s="116">
        <v>5756</v>
      </c>
      <c r="H41" s="116">
        <v>5757</v>
      </c>
      <c r="I41" s="116">
        <f>[Исчисленный налог]-[Удержанный налог]</f>
        <v>-1</v>
      </c>
    </row>
    <row r="42" spans="1:9">
      <c r="A42" s="115">
        <v>1544639</v>
      </c>
      <c r="B42" s="115" t="s">
        <v>677</v>
      </c>
      <c r="C42" s="115" t="s">
        <v>678</v>
      </c>
      <c r="D42" s="115" t="s">
        <v>679</v>
      </c>
      <c r="E42" s="110">
        <v>13</v>
      </c>
      <c r="F42" s="110">
        <v>2</v>
      </c>
      <c r="G42" s="116">
        <v>4232</v>
      </c>
      <c r="H42" s="116">
        <v>4233</v>
      </c>
      <c r="I42" s="116">
        <f>[Исчисленный налог]-[Удержанный налог]</f>
        <v>-1</v>
      </c>
    </row>
    <row r="43" spans="1:9">
      <c r="A43" s="115">
        <v>2913610</v>
      </c>
      <c r="B43" s="115" t="s">
        <v>680</v>
      </c>
      <c r="C43" s="115" t="s">
        <v>600</v>
      </c>
      <c r="D43" s="115" t="s">
        <v>464</v>
      </c>
      <c r="E43" s="110">
        <v>13</v>
      </c>
      <c r="F43" s="110">
        <v>2</v>
      </c>
      <c r="G43" s="116">
        <v>12244</v>
      </c>
      <c r="H43" s="116">
        <v>12245</v>
      </c>
      <c r="I43" s="116">
        <f>[Исчисленный налог]-[Удержанный налог]</f>
        <v>-1</v>
      </c>
    </row>
    <row r="44" spans="1:9">
      <c r="A44" s="115">
        <v>1290288</v>
      </c>
      <c r="B44" s="115" t="s">
        <v>681</v>
      </c>
      <c r="C44" s="115" t="s">
        <v>516</v>
      </c>
      <c r="D44" s="115" t="s">
        <v>385</v>
      </c>
      <c r="E44" s="110">
        <v>13</v>
      </c>
      <c r="F44" s="110">
        <v>2</v>
      </c>
      <c r="G44" s="116">
        <v>16354</v>
      </c>
      <c r="H44" s="116">
        <v>16355</v>
      </c>
      <c r="I44" s="116">
        <f>[Исчисленный налог]-[Удержанный налог]</f>
        <v>-1</v>
      </c>
    </row>
    <row r="45" spans="1:9">
      <c r="A45" s="115">
        <v>1223027</v>
      </c>
      <c r="B45" s="115" t="s">
        <v>682</v>
      </c>
      <c r="C45" s="115" t="s">
        <v>324</v>
      </c>
      <c r="D45" s="115" t="s">
        <v>479</v>
      </c>
      <c r="E45" s="110">
        <v>13</v>
      </c>
      <c r="F45" s="110">
        <v>2</v>
      </c>
      <c r="G45" s="116">
        <v>11807</v>
      </c>
      <c r="H45" s="116">
        <v>11808</v>
      </c>
      <c r="I45" s="116">
        <f>[Исчисленный налог]-[Удержанный налог]</f>
        <v>-1</v>
      </c>
    </row>
    <row r="46" spans="1:9">
      <c r="A46" s="115">
        <v>1441995</v>
      </c>
      <c r="B46" s="115" t="s">
        <v>683</v>
      </c>
      <c r="C46" s="115" t="s">
        <v>417</v>
      </c>
      <c r="D46" s="115" t="s">
        <v>684</v>
      </c>
      <c r="E46" s="110">
        <v>13</v>
      </c>
      <c r="F46" s="110">
        <v>2</v>
      </c>
      <c r="G46" s="116">
        <v>12983</v>
      </c>
      <c r="H46" s="116">
        <v>12984</v>
      </c>
      <c r="I46" s="116">
        <f>[Исчисленный налог]-[Удержанный налог]</f>
        <v>-1</v>
      </c>
    </row>
    <row r="47" spans="1:9">
      <c r="A47" s="115">
        <v>3072451</v>
      </c>
      <c r="B47" s="115" t="s">
        <v>470</v>
      </c>
      <c r="C47" s="115" t="s">
        <v>685</v>
      </c>
      <c r="D47" s="115" t="s">
        <v>577</v>
      </c>
      <c r="E47" s="110">
        <v>13</v>
      </c>
      <c r="F47" s="110">
        <v>2</v>
      </c>
      <c r="G47" s="116">
        <v>1343</v>
      </c>
      <c r="H47" s="116">
        <v>1344</v>
      </c>
      <c r="I47" s="116">
        <f>[Исчисленный налог]-[Удержанный налог]</f>
        <v>-1</v>
      </c>
    </row>
    <row r="48" spans="1:9">
      <c r="A48" s="115">
        <v>1561790</v>
      </c>
      <c r="B48" s="115" t="s">
        <v>686</v>
      </c>
      <c r="C48" s="115" t="s">
        <v>687</v>
      </c>
      <c r="D48" s="115" t="s">
        <v>688</v>
      </c>
      <c r="E48" s="110">
        <v>13</v>
      </c>
      <c r="F48" s="110">
        <v>2</v>
      </c>
      <c r="G48" s="116">
        <v>3499</v>
      </c>
      <c r="H48" s="116">
        <v>3500</v>
      </c>
      <c r="I48" s="116">
        <f>[Исчисленный налог]-[Удержанный налог]</f>
        <v>-1</v>
      </c>
    </row>
    <row r="49" spans="1:9">
      <c r="A49" s="115">
        <v>1507772</v>
      </c>
      <c r="B49" s="115" t="s">
        <v>689</v>
      </c>
      <c r="C49" s="115" t="s">
        <v>656</v>
      </c>
      <c r="D49" s="115" t="s">
        <v>381</v>
      </c>
      <c r="E49" s="110">
        <v>13</v>
      </c>
      <c r="F49" s="110">
        <v>2</v>
      </c>
      <c r="G49" s="116">
        <v>7152</v>
      </c>
      <c r="H49" s="116">
        <v>7153</v>
      </c>
      <c r="I49" s="116">
        <f>[Исчисленный налог]-[Удержанный налог]</f>
        <v>-1</v>
      </c>
    </row>
    <row r="50" spans="1:9">
      <c r="A50" s="115">
        <v>1365206</v>
      </c>
      <c r="B50" s="115" t="s">
        <v>690</v>
      </c>
      <c r="C50" s="115" t="s">
        <v>327</v>
      </c>
      <c r="D50" s="115" t="s">
        <v>370</v>
      </c>
      <c r="E50" s="110">
        <v>13</v>
      </c>
      <c r="F50" s="110">
        <v>2</v>
      </c>
      <c r="G50" s="116">
        <v>14129</v>
      </c>
      <c r="H50" s="116">
        <v>14130</v>
      </c>
      <c r="I50" s="116">
        <f>[Исчисленный налог]-[Удержанный налог]</f>
        <v>-1</v>
      </c>
    </row>
    <row r="51" spans="1:9">
      <c r="A51" s="115">
        <v>3018727</v>
      </c>
      <c r="B51" s="115" t="s">
        <v>691</v>
      </c>
      <c r="C51" s="115" t="s">
        <v>471</v>
      </c>
      <c r="D51" s="115" t="s">
        <v>577</v>
      </c>
      <c r="E51" s="110">
        <v>13</v>
      </c>
      <c r="F51" s="110">
        <v>2</v>
      </c>
      <c r="G51" s="116">
        <v>12064</v>
      </c>
      <c r="H51" s="116">
        <v>12065</v>
      </c>
      <c r="I51" s="116">
        <f>[Исчисленный налог]-[Удержанный налог]</f>
        <v>-1</v>
      </c>
    </row>
    <row r="52" spans="1:9">
      <c r="A52" s="115">
        <v>3070709</v>
      </c>
      <c r="B52" s="115" t="s">
        <v>692</v>
      </c>
      <c r="C52" s="115" t="s">
        <v>342</v>
      </c>
      <c r="D52" s="115" t="s">
        <v>385</v>
      </c>
      <c r="E52" s="110">
        <v>13</v>
      </c>
      <c r="F52" s="110">
        <v>2</v>
      </c>
      <c r="G52" s="116">
        <v>22706</v>
      </c>
      <c r="H52" s="116">
        <v>22707</v>
      </c>
      <c r="I52" s="116">
        <f>[Исчисленный налог]-[Удержанный налог]</f>
        <v>-1</v>
      </c>
    </row>
    <row r="53" spans="1:9">
      <c r="A53" s="115">
        <v>1289755</v>
      </c>
      <c r="B53" s="115" t="s">
        <v>693</v>
      </c>
      <c r="C53" s="115" t="s">
        <v>694</v>
      </c>
      <c r="D53" s="115" t="s">
        <v>695</v>
      </c>
      <c r="E53" s="110">
        <v>13</v>
      </c>
      <c r="F53" s="110">
        <v>2</v>
      </c>
      <c r="G53" s="116">
        <v>7154</v>
      </c>
      <c r="H53" s="116">
        <v>7155</v>
      </c>
      <c r="I53" s="116">
        <f>[Исчисленный налог]-[Удержанный налог]</f>
        <v>-1</v>
      </c>
    </row>
    <row r="54" spans="1:9">
      <c r="A54" s="115">
        <v>1022972</v>
      </c>
      <c r="B54" s="115" t="s">
        <v>696</v>
      </c>
      <c r="C54" s="115" t="s">
        <v>509</v>
      </c>
      <c r="D54" s="115" t="s">
        <v>543</v>
      </c>
      <c r="E54" s="110">
        <v>13</v>
      </c>
      <c r="F54" s="110">
        <v>2</v>
      </c>
      <c r="G54" s="116">
        <v>8923</v>
      </c>
      <c r="H54" s="116">
        <v>8924</v>
      </c>
      <c r="I54" s="116">
        <f>[Исчисленный налог]-[Удержанный налог]</f>
        <v>-1</v>
      </c>
    </row>
    <row r="55" spans="1:9">
      <c r="A55" s="115">
        <v>2990098</v>
      </c>
      <c r="B55" s="115" t="s">
        <v>697</v>
      </c>
      <c r="C55" s="115" t="s">
        <v>453</v>
      </c>
      <c r="D55" s="115" t="s">
        <v>657</v>
      </c>
      <c r="E55" s="110">
        <v>13</v>
      </c>
      <c r="F55" s="110">
        <v>2</v>
      </c>
      <c r="G55" s="116">
        <v>9952</v>
      </c>
      <c r="H55" s="116">
        <v>9953</v>
      </c>
      <c r="I55" s="116">
        <f>[Исчисленный налог]-[Удержанный налог]</f>
        <v>-1</v>
      </c>
    </row>
    <row r="56" spans="1:9">
      <c r="A56" s="115">
        <v>2922063</v>
      </c>
      <c r="B56" s="115" t="s">
        <v>698</v>
      </c>
      <c r="C56" s="115" t="s">
        <v>699</v>
      </c>
      <c r="D56" s="115" t="s">
        <v>412</v>
      </c>
      <c r="E56" s="110">
        <v>13</v>
      </c>
      <c r="F56" s="110">
        <v>2</v>
      </c>
      <c r="G56" s="116">
        <v>21426</v>
      </c>
      <c r="H56" s="116">
        <v>21427</v>
      </c>
      <c r="I56" s="116">
        <f>[Исчисленный налог]-[Удержанный налог]</f>
        <v>-1</v>
      </c>
    </row>
    <row r="57" spans="1:9">
      <c r="A57" s="115">
        <v>1277181</v>
      </c>
      <c r="B57" s="115" t="s">
        <v>700</v>
      </c>
      <c r="C57" s="115" t="s">
        <v>354</v>
      </c>
      <c r="D57" s="115" t="s">
        <v>552</v>
      </c>
      <c r="E57" s="110">
        <v>13</v>
      </c>
      <c r="F57" s="110">
        <v>2</v>
      </c>
      <c r="G57" s="116">
        <v>7161</v>
      </c>
      <c r="H57" s="116">
        <v>7162</v>
      </c>
      <c r="I57" s="116">
        <f>[Исчисленный налог]-[Удержанный налог]</f>
        <v>-1</v>
      </c>
    </row>
    <row r="58" spans="1:9">
      <c r="A58" s="115">
        <v>2906384</v>
      </c>
      <c r="B58" s="115" t="s">
        <v>701</v>
      </c>
      <c r="C58" s="115" t="s">
        <v>600</v>
      </c>
      <c r="D58" s="115" t="s">
        <v>702</v>
      </c>
      <c r="E58" s="110">
        <v>13</v>
      </c>
      <c r="F58" s="110">
        <v>2</v>
      </c>
      <c r="G58" s="116">
        <v>7041</v>
      </c>
      <c r="H58" s="116">
        <v>7042</v>
      </c>
      <c r="I58" s="116">
        <f>[Исчисленный налог]-[Удержанный налог]</f>
        <v>-1</v>
      </c>
    </row>
    <row r="59" spans="1:9">
      <c r="A59" s="115">
        <v>1772328</v>
      </c>
      <c r="B59" s="115" t="s">
        <v>703</v>
      </c>
      <c r="C59" s="115" t="s">
        <v>380</v>
      </c>
      <c r="D59" s="115" t="s">
        <v>343</v>
      </c>
      <c r="E59" s="110">
        <v>13</v>
      </c>
      <c r="F59" s="110">
        <v>2</v>
      </c>
      <c r="G59" s="116">
        <v>5538</v>
      </c>
      <c r="H59" s="116">
        <v>5539</v>
      </c>
      <c r="I59" s="116">
        <f>[Исчисленный налог]-[Удержанный налог]</f>
        <v>-1</v>
      </c>
    </row>
    <row r="60" spans="1:9">
      <c r="A60" s="115">
        <v>2919279</v>
      </c>
      <c r="B60" s="115" t="s">
        <v>704</v>
      </c>
      <c r="C60" s="115" t="s">
        <v>354</v>
      </c>
      <c r="D60" s="115" t="s">
        <v>343</v>
      </c>
      <c r="E60" s="110">
        <v>13</v>
      </c>
      <c r="F60" s="110">
        <v>2</v>
      </c>
      <c r="G60" s="116">
        <v>4374</v>
      </c>
      <c r="H60" s="116">
        <v>4375</v>
      </c>
      <c r="I60" s="116">
        <f>[Исчисленный налог]-[Удержанный налог]</f>
        <v>-1</v>
      </c>
    </row>
    <row r="61" spans="1:9">
      <c r="A61" s="115">
        <v>1069833</v>
      </c>
      <c r="B61" s="115" t="s">
        <v>705</v>
      </c>
      <c r="C61" s="115" t="s">
        <v>419</v>
      </c>
      <c r="D61" s="115" t="s">
        <v>381</v>
      </c>
      <c r="E61" s="110">
        <v>13</v>
      </c>
      <c r="F61" s="110">
        <v>2</v>
      </c>
      <c r="G61" s="116">
        <v>12895</v>
      </c>
      <c r="H61" s="116">
        <v>12896</v>
      </c>
      <c r="I61" s="116">
        <f>[Исчисленный налог]-[Удержанный налог]</f>
        <v>-1</v>
      </c>
    </row>
    <row r="62" spans="1:9">
      <c r="A62" s="115">
        <v>3071395</v>
      </c>
      <c r="B62" s="115" t="s">
        <v>604</v>
      </c>
      <c r="C62" s="115" t="s">
        <v>453</v>
      </c>
      <c r="D62" s="115" t="s">
        <v>322</v>
      </c>
      <c r="E62" s="110">
        <v>13</v>
      </c>
      <c r="F62" s="110">
        <v>2</v>
      </c>
      <c r="G62" s="116">
        <v>4671</v>
      </c>
      <c r="H62" s="116">
        <v>4672</v>
      </c>
      <c r="I62" s="116">
        <f>[Исчисленный налог]-[Удержанный налог]</f>
        <v>-1</v>
      </c>
    </row>
    <row r="63" spans="1:9">
      <c r="A63" s="115">
        <v>2917563</v>
      </c>
      <c r="B63" s="115" t="s">
        <v>604</v>
      </c>
      <c r="C63" s="115" t="s">
        <v>605</v>
      </c>
      <c r="D63" s="115" t="s">
        <v>606</v>
      </c>
      <c r="E63" s="110">
        <v>13</v>
      </c>
      <c r="F63" s="110">
        <v>2</v>
      </c>
      <c r="G63" s="116">
        <v>160823</v>
      </c>
      <c r="H63" s="116">
        <v>160824</v>
      </c>
      <c r="I63" s="116">
        <f>[Исчисленный налог]-[Удержанный налог]</f>
        <v>-1</v>
      </c>
    </row>
    <row r="64" spans="1:9">
      <c r="A64" s="115">
        <v>3000226</v>
      </c>
      <c r="B64" s="115" t="s">
        <v>706</v>
      </c>
      <c r="C64" s="115" t="s">
        <v>354</v>
      </c>
      <c r="D64" s="115" t="s">
        <v>343</v>
      </c>
      <c r="E64" s="110">
        <v>13</v>
      </c>
      <c r="F64" s="110">
        <v>2</v>
      </c>
      <c r="G64" s="116">
        <v>5067</v>
      </c>
      <c r="H64" s="116">
        <v>5068</v>
      </c>
      <c r="I64" s="116">
        <f>[Исчисленный налог]-[Удержанный налог]</f>
        <v>-1</v>
      </c>
    </row>
    <row r="65" spans="1:9">
      <c r="A65" s="115">
        <v>1797737</v>
      </c>
      <c r="B65" s="115" t="s">
        <v>707</v>
      </c>
      <c r="C65" s="115" t="s">
        <v>459</v>
      </c>
      <c r="D65" s="115" t="s">
        <v>343</v>
      </c>
      <c r="E65" s="110">
        <v>13</v>
      </c>
      <c r="F65" s="110">
        <v>2</v>
      </c>
      <c r="G65" s="116">
        <v>4356</v>
      </c>
      <c r="H65" s="116">
        <v>4357</v>
      </c>
      <c r="I65" s="116">
        <f>[Исчисленный налог]-[Удержанный налог]</f>
        <v>-1</v>
      </c>
    </row>
    <row r="66" spans="1:9">
      <c r="A66" s="115">
        <v>3010538</v>
      </c>
      <c r="B66" s="115" t="s">
        <v>708</v>
      </c>
      <c r="C66" s="115" t="s">
        <v>434</v>
      </c>
      <c r="D66" s="115" t="s">
        <v>479</v>
      </c>
      <c r="E66" s="110">
        <v>13</v>
      </c>
      <c r="F66" s="110">
        <v>2</v>
      </c>
      <c r="G66" s="116">
        <v>190914</v>
      </c>
      <c r="H66" s="116">
        <v>190915</v>
      </c>
      <c r="I66" s="116">
        <f>[Исчисленный налог]-[Удержанный налог]</f>
        <v>-1</v>
      </c>
    </row>
    <row r="67" spans="1:9">
      <c r="A67" s="115">
        <v>2901222</v>
      </c>
      <c r="B67" s="115" t="s">
        <v>709</v>
      </c>
      <c r="C67" s="115" t="s">
        <v>372</v>
      </c>
      <c r="D67" s="115" t="s">
        <v>337</v>
      </c>
      <c r="E67" s="110">
        <v>13</v>
      </c>
      <c r="F67" s="110">
        <v>2</v>
      </c>
      <c r="G67" s="116">
        <v>10784</v>
      </c>
      <c r="H67" s="116">
        <v>10785</v>
      </c>
      <c r="I67" s="116">
        <f>[Исчисленный налог]-[Удержанный налог]</f>
        <v>-1</v>
      </c>
    </row>
    <row r="68" spans="1:9">
      <c r="A68" s="115">
        <v>1036901</v>
      </c>
      <c r="B68" s="115" t="s">
        <v>710</v>
      </c>
      <c r="C68" s="115" t="s">
        <v>711</v>
      </c>
      <c r="D68" s="115" t="s">
        <v>712</v>
      </c>
      <c r="E68" s="110">
        <v>13</v>
      </c>
      <c r="F68" s="110">
        <v>2</v>
      </c>
      <c r="G68" s="116">
        <v>39243</v>
      </c>
      <c r="H68" s="116">
        <v>39244</v>
      </c>
      <c r="I68" s="116">
        <f>[Исчисленный налог]-[Удержанный налог]</f>
        <v>-1</v>
      </c>
    </row>
    <row r="69" spans="1:9">
      <c r="A69" s="115">
        <v>3061122</v>
      </c>
      <c r="B69" s="115" t="s">
        <v>713</v>
      </c>
      <c r="C69" s="115" t="s">
        <v>321</v>
      </c>
      <c r="D69" s="115" t="s">
        <v>328</v>
      </c>
      <c r="E69" s="110">
        <v>13</v>
      </c>
      <c r="F69" s="110">
        <v>2</v>
      </c>
      <c r="G69" s="116">
        <v>4647</v>
      </c>
      <c r="H69" s="116">
        <v>4648</v>
      </c>
      <c r="I69" s="116">
        <f>[Исчисленный налог]-[Удержанный налог]</f>
        <v>-1</v>
      </c>
    </row>
    <row r="70" spans="1:9">
      <c r="A70" s="115">
        <v>1172709</v>
      </c>
      <c r="B70" s="115" t="s">
        <v>714</v>
      </c>
      <c r="C70" s="115" t="s">
        <v>715</v>
      </c>
      <c r="D70" s="115"/>
      <c r="E70" s="110">
        <v>13</v>
      </c>
      <c r="F70" s="110">
        <v>2</v>
      </c>
      <c r="G70" s="116">
        <v>30523</v>
      </c>
      <c r="H70" s="116">
        <v>30524</v>
      </c>
      <c r="I70" s="116">
        <f>[Исчисленный налог]-[Удержанный налог]</f>
        <v>-1</v>
      </c>
    </row>
    <row r="71" spans="1:9">
      <c r="A71" s="115">
        <v>2911825</v>
      </c>
      <c r="B71" s="115" t="s">
        <v>716</v>
      </c>
      <c r="C71" s="115" t="s">
        <v>401</v>
      </c>
      <c r="D71" s="115" t="s">
        <v>343</v>
      </c>
      <c r="E71" s="110">
        <v>13</v>
      </c>
      <c r="F71" s="110">
        <v>2</v>
      </c>
      <c r="G71" s="116">
        <v>12579</v>
      </c>
      <c r="H71" s="116">
        <v>12580</v>
      </c>
      <c r="I71" s="116">
        <f>[Исчисленный налог]-[Удержанный налог]</f>
        <v>-1</v>
      </c>
    </row>
    <row r="72" spans="1:9">
      <c r="A72" s="115">
        <v>2977632</v>
      </c>
      <c r="B72" s="115" t="s">
        <v>717</v>
      </c>
      <c r="C72" s="115" t="s">
        <v>568</v>
      </c>
      <c r="D72" s="115" t="s">
        <v>718</v>
      </c>
      <c r="E72" s="110">
        <v>13</v>
      </c>
      <c r="F72" s="110">
        <v>2</v>
      </c>
      <c r="G72" s="116">
        <v>3326</v>
      </c>
      <c r="H72" s="116">
        <v>3327</v>
      </c>
      <c r="I72" s="116">
        <f>[Исчисленный налог]-[Удержанный налог]</f>
        <v>-1</v>
      </c>
    </row>
    <row r="73" spans="1:9">
      <c r="A73" s="115">
        <v>1306975</v>
      </c>
      <c r="B73" s="115" t="s">
        <v>719</v>
      </c>
      <c r="C73" s="115" t="s">
        <v>493</v>
      </c>
      <c r="D73" s="115" t="s">
        <v>359</v>
      </c>
      <c r="E73" s="110">
        <v>13</v>
      </c>
      <c r="F73" s="110">
        <v>2</v>
      </c>
      <c r="G73" s="116">
        <v>20624</v>
      </c>
      <c r="H73" s="116">
        <v>20625</v>
      </c>
      <c r="I73" s="116">
        <f>[Исчисленный налог]-[Удержанный налог]</f>
        <v>-1</v>
      </c>
    </row>
    <row r="74" spans="1:9">
      <c r="A74" s="115">
        <v>2916305</v>
      </c>
      <c r="B74" s="115" t="s">
        <v>720</v>
      </c>
      <c r="C74" s="115" t="s">
        <v>471</v>
      </c>
      <c r="D74" s="115" t="s">
        <v>355</v>
      </c>
      <c r="E74" s="110">
        <v>13</v>
      </c>
      <c r="F74" s="110">
        <v>2</v>
      </c>
      <c r="G74" s="116">
        <v>4671</v>
      </c>
      <c r="H74" s="116">
        <v>4672</v>
      </c>
      <c r="I74" s="116">
        <f>[Исчисленный налог]-[Удержанный налог]</f>
        <v>-1</v>
      </c>
    </row>
    <row r="75" spans="1:9">
      <c r="A75" s="115">
        <v>1122642</v>
      </c>
      <c r="B75" s="115" t="s">
        <v>721</v>
      </c>
      <c r="C75" s="115" t="s">
        <v>354</v>
      </c>
      <c r="D75" s="115" t="s">
        <v>532</v>
      </c>
      <c r="E75" s="110">
        <v>13</v>
      </c>
      <c r="F75" s="110">
        <v>2</v>
      </c>
      <c r="G75" s="116">
        <v>6808</v>
      </c>
      <c r="H75" s="116">
        <v>6809</v>
      </c>
      <c r="I75" s="116">
        <f>[Исчисленный налог]-[Удержанный налог]</f>
        <v>-1</v>
      </c>
    </row>
    <row r="76" spans="1:9">
      <c r="A76" s="115">
        <v>3076821</v>
      </c>
      <c r="B76" s="115" t="s">
        <v>722</v>
      </c>
      <c r="C76" s="115" t="s">
        <v>324</v>
      </c>
      <c r="D76" s="115" t="s">
        <v>723</v>
      </c>
      <c r="E76" s="110">
        <v>13</v>
      </c>
      <c r="F76" s="110">
        <v>3</v>
      </c>
      <c r="G76" s="116">
        <v>319360</v>
      </c>
      <c r="H76" s="116">
        <v>319361</v>
      </c>
      <c r="I76" s="116">
        <f>[Исчисленный налог]-[Удержанный налог]</f>
        <v>-1</v>
      </c>
    </row>
    <row r="77" spans="1:9">
      <c r="A77" s="115">
        <v>1789214</v>
      </c>
      <c r="B77" s="115" t="s">
        <v>724</v>
      </c>
      <c r="C77" s="115" t="s">
        <v>725</v>
      </c>
      <c r="D77" s="115" t="s">
        <v>726</v>
      </c>
      <c r="E77" s="110">
        <v>13</v>
      </c>
      <c r="F77" s="110">
        <v>2</v>
      </c>
      <c r="G77" s="116">
        <v>11269</v>
      </c>
      <c r="H77" s="116">
        <v>11270</v>
      </c>
      <c r="I77" s="116">
        <f>[Исчисленный налог]-[Удержанный налог]</f>
        <v>-1</v>
      </c>
    </row>
    <row r="78" spans="1:9">
      <c r="A78" s="115">
        <v>1563985</v>
      </c>
      <c r="B78" s="115" t="s">
        <v>727</v>
      </c>
      <c r="C78" s="115" t="s">
        <v>327</v>
      </c>
      <c r="D78" s="115" t="s">
        <v>370</v>
      </c>
      <c r="E78" s="110">
        <v>13</v>
      </c>
      <c r="F78" s="110">
        <v>2</v>
      </c>
      <c r="G78" s="116">
        <v>5476</v>
      </c>
      <c r="H78" s="116">
        <v>5477</v>
      </c>
      <c r="I78" s="116">
        <f>[Исчисленный налог]-[Удержанный налог]</f>
        <v>-1</v>
      </c>
    </row>
    <row r="79" spans="1:9">
      <c r="A79" s="115">
        <v>1339818</v>
      </c>
      <c r="B79" s="115" t="s">
        <v>728</v>
      </c>
      <c r="C79" s="115" t="s">
        <v>656</v>
      </c>
      <c r="D79" s="115" t="s">
        <v>532</v>
      </c>
      <c r="E79" s="110">
        <v>13</v>
      </c>
      <c r="F79" s="110">
        <v>2</v>
      </c>
      <c r="G79" s="116">
        <v>10948</v>
      </c>
      <c r="H79" s="116">
        <v>10949</v>
      </c>
      <c r="I79" s="116">
        <f>[Исчисленный налог]-[Удержанный налог]</f>
        <v>-1</v>
      </c>
    </row>
    <row r="80" spans="1:9">
      <c r="A80" s="115">
        <v>2918940</v>
      </c>
      <c r="B80" s="115" t="s">
        <v>729</v>
      </c>
      <c r="C80" s="115" t="s">
        <v>548</v>
      </c>
      <c r="D80" s="115" t="s">
        <v>601</v>
      </c>
      <c r="E80" s="110">
        <v>13</v>
      </c>
      <c r="F80" s="110">
        <v>2</v>
      </c>
      <c r="G80" s="116">
        <v>8013</v>
      </c>
      <c r="H80" s="116">
        <v>8014</v>
      </c>
      <c r="I80" s="116">
        <f>[Исчисленный налог]-[Удержанный налог]</f>
        <v>-1</v>
      </c>
    </row>
    <row r="81" spans="1:9">
      <c r="A81" s="115">
        <v>1787708</v>
      </c>
      <c r="B81" s="115" t="s">
        <v>730</v>
      </c>
      <c r="C81" s="115" t="s">
        <v>321</v>
      </c>
      <c r="D81" s="115" t="s">
        <v>731</v>
      </c>
      <c r="E81" s="110">
        <v>13</v>
      </c>
      <c r="F81" s="110">
        <v>2</v>
      </c>
      <c r="G81" s="116">
        <v>39493</v>
      </c>
      <c r="H81" s="116">
        <v>39494</v>
      </c>
      <c r="I81" s="116">
        <f>[Исчисленный налог]-[Удержанный налог]</f>
        <v>-1</v>
      </c>
    </row>
    <row r="82" spans="1:9">
      <c r="A82" s="115">
        <v>1673599</v>
      </c>
      <c r="B82" s="115" t="s">
        <v>732</v>
      </c>
      <c r="C82" s="115" t="s">
        <v>380</v>
      </c>
      <c r="D82" s="115" t="s">
        <v>370</v>
      </c>
      <c r="E82" s="110">
        <v>13</v>
      </c>
      <c r="F82" s="110">
        <v>2</v>
      </c>
      <c r="G82" s="116">
        <v>6342</v>
      </c>
      <c r="H82" s="116">
        <v>6343</v>
      </c>
      <c r="I82" s="116">
        <f>[Исчисленный налог]-[Удержанный налог]</f>
        <v>-1</v>
      </c>
    </row>
    <row r="83" spans="1:9">
      <c r="A83" s="115">
        <v>1057604</v>
      </c>
      <c r="B83" s="115" t="s">
        <v>733</v>
      </c>
      <c r="C83" s="115" t="s">
        <v>734</v>
      </c>
      <c r="D83" s="115" t="s">
        <v>381</v>
      </c>
      <c r="E83" s="110">
        <v>13</v>
      </c>
      <c r="F83" s="110">
        <v>2</v>
      </c>
      <c r="G83" s="116">
        <v>5265</v>
      </c>
      <c r="H83" s="116">
        <v>5266</v>
      </c>
      <c r="I83" s="116">
        <f>[Исчисленный налог]-[Удержанный налог]</f>
        <v>-1</v>
      </c>
    </row>
    <row r="84" spans="1:9">
      <c r="A84" s="115">
        <v>2893606</v>
      </c>
      <c r="B84" s="115" t="s">
        <v>735</v>
      </c>
      <c r="C84" s="115" t="s">
        <v>419</v>
      </c>
      <c r="D84" s="115" t="s">
        <v>393</v>
      </c>
      <c r="E84" s="110">
        <v>13</v>
      </c>
      <c r="F84" s="110">
        <v>2</v>
      </c>
      <c r="G84" s="116">
        <v>8224</v>
      </c>
      <c r="H84" s="116">
        <v>8225</v>
      </c>
      <c r="I84" s="116">
        <f>[Исчисленный налог]-[Удержанный налог]</f>
        <v>-1</v>
      </c>
    </row>
    <row r="85" spans="1:9">
      <c r="A85" s="115">
        <v>1575114</v>
      </c>
      <c r="B85" s="115" t="s">
        <v>736</v>
      </c>
      <c r="C85" s="115" t="s">
        <v>380</v>
      </c>
      <c r="D85" s="115" t="s">
        <v>552</v>
      </c>
      <c r="E85" s="110">
        <v>13</v>
      </c>
      <c r="F85" s="110">
        <v>2</v>
      </c>
      <c r="G85" s="116">
        <v>4440</v>
      </c>
      <c r="H85" s="116">
        <v>4441</v>
      </c>
      <c r="I85" s="116">
        <f>[Исчисленный налог]-[Удержанный налог]</f>
        <v>-1</v>
      </c>
    </row>
    <row r="86" spans="1:9">
      <c r="A86" s="115">
        <v>3065519</v>
      </c>
      <c r="B86" s="115" t="s">
        <v>737</v>
      </c>
      <c r="C86" s="115" t="s">
        <v>401</v>
      </c>
      <c r="D86" s="115" t="s">
        <v>738</v>
      </c>
      <c r="E86" s="110">
        <v>13</v>
      </c>
      <c r="F86" s="110">
        <v>2</v>
      </c>
      <c r="G86" s="116">
        <v>15293</v>
      </c>
      <c r="H86" s="116">
        <v>15294</v>
      </c>
      <c r="I86" s="116">
        <f>[Исчисленный налог]-[Удержанный налог]</f>
        <v>-1</v>
      </c>
    </row>
    <row r="87" spans="1:9">
      <c r="A87" s="115">
        <v>1703365</v>
      </c>
      <c r="B87" s="115" t="s">
        <v>739</v>
      </c>
      <c r="C87" s="115" t="s">
        <v>342</v>
      </c>
      <c r="D87" s="115" t="s">
        <v>343</v>
      </c>
      <c r="E87" s="110">
        <v>13</v>
      </c>
      <c r="F87" s="110">
        <v>2</v>
      </c>
      <c r="G87" s="116">
        <v>7609</v>
      </c>
      <c r="H87" s="116">
        <v>7610</v>
      </c>
      <c r="I87" s="116">
        <f>[Исчисленный налог]-[Удержанный налог]</f>
        <v>-1</v>
      </c>
    </row>
    <row r="88" spans="1:9">
      <c r="A88" s="115">
        <v>2904939</v>
      </c>
      <c r="B88" s="115" t="s">
        <v>740</v>
      </c>
      <c r="C88" s="115" t="s">
        <v>354</v>
      </c>
      <c r="D88" s="115" t="s">
        <v>343</v>
      </c>
      <c r="E88" s="110">
        <v>13</v>
      </c>
      <c r="F88" s="110">
        <v>2</v>
      </c>
      <c r="G88" s="116">
        <v>4088</v>
      </c>
      <c r="H88" s="116">
        <v>4089</v>
      </c>
      <c r="I88" s="116">
        <f>[Исчисленный налог]-[Удержанный налог]</f>
        <v>-1</v>
      </c>
    </row>
    <row r="89" spans="1:9">
      <c r="A89" s="115">
        <v>2931312</v>
      </c>
      <c r="B89" s="115" t="s">
        <v>741</v>
      </c>
      <c r="C89" s="115" t="s">
        <v>742</v>
      </c>
      <c r="D89" s="115" t="s">
        <v>743</v>
      </c>
      <c r="E89" s="110">
        <v>13</v>
      </c>
      <c r="F89" s="110">
        <v>2</v>
      </c>
      <c r="G89" s="116">
        <v>3714</v>
      </c>
      <c r="H89" s="116">
        <v>3715</v>
      </c>
      <c r="I89" s="116">
        <f>[Исчисленный налог]-[Удержанный налог]</f>
        <v>-1</v>
      </c>
    </row>
    <row r="90" spans="1:9">
      <c r="A90" s="115">
        <v>3075617</v>
      </c>
      <c r="B90" s="115" t="s">
        <v>744</v>
      </c>
      <c r="C90" s="115" t="s">
        <v>327</v>
      </c>
      <c r="D90" s="115" t="s">
        <v>322</v>
      </c>
      <c r="E90" s="110">
        <v>13</v>
      </c>
      <c r="F90" s="110">
        <v>2</v>
      </c>
      <c r="G90" s="116">
        <v>75310</v>
      </c>
      <c r="H90" s="116">
        <v>75311</v>
      </c>
      <c r="I90" s="116">
        <f>[Исчисленный налог]-[Удержанный налог]</f>
        <v>-1</v>
      </c>
    </row>
    <row r="91" spans="1:9">
      <c r="A91" s="115">
        <v>1895703</v>
      </c>
      <c r="B91" s="115" t="s">
        <v>623</v>
      </c>
      <c r="C91" s="115" t="s">
        <v>568</v>
      </c>
      <c r="D91" s="115" t="s">
        <v>745</v>
      </c>
      <c r="E91" s="110">
        <v>13</v>
      </c>
      <c r="F91" s="110">
        <v>2</v>
      </c>
      <c r="G91" s="116">
        <v>4006</v>
      </c>
      <c r="H91" s="116">
        <v>4007</v>
      </c>
      <c r="I91" s="116">
        <f>[Исчисленный налог]-[Удержанный налог]</f>
        <v>-1</v>
      </c>
    </row>
    <row r="92" spans="1:9">
      <c r="A92" s="115">
        <v>1484633</v>
      </c>
      <c r="B92" s="115" t="s">
        <v>746</v>
      </c>
      <c r="C92" s="115" t="s">
        <v>342</v>
      </c>
      <c r="D92" s="115" t="s">
        <v>402</v>
      </c>
      <c r="E92" s="110">
        <v>13</v>
      </c>
      <c r="F92" s="110">
        <v>2</v>
      </c>
      <c r="G92" s="116">
        <v>4757</v>
      </c>
      <c r="H92" s="116">
        <v>4758</v>
      </c>
      <c r="I92" s="116">
        <f>[Исчисленный налог]-[Удержанный налог]</f>
        <v>-1</v>
      </c>
    </row>
    <row r="93" spans="1:9">
      <c r="A93" s="115">
        <v>2926033</v>
      </c>
      <c r="B93" s="115" t="s">
        <v>747</v>
      </c>
      <c r="C93" s="115" t="s">
        <v>342</v>
      </c>
      <c r="D93" s="115" t="s">
        <v>552</v>
      </c>
      <c r="E93" s="110">
        <v>13</v>
      </c>
      <c r="F93" s="110">
        <v>2</v>
      </c>
      <c r="G93" s="116">
        <v>4384</v>
      </c>
      <c r="H93" s="116">
        <v>4385</v>
      </c>
      <c r="I93" s="116">
        <f>[Исчисленный налог]-[Удержанный налог]</f>
        <v>-1</v>
      </c>
    </row>
    <row r="94" spans="1:9">
      <c r="A94" s="115">
        <v>2987737</v>
      </c>
      <c r="B94" s="115" t="s">
        <v>748</v>
      </c>
      <c r="C94" s="115" t="s">
        <v>345</v>
      </c>
      <c r="D94" s="115" t="s">
        <v>532</v>
      </c>
      <c r="E94" s="110">
        <v>13</v>
      </c>
      <c r="F94" s="110">
        <v>2</v>
      </c>
      <c r="G94" s="116">
        <v>3200</v>
      </c>
      <c r="H94" s="116">
        <v>3201</v>
      </c>
      <c r="I94" s="116">
        <f>[Исчисленный налог]-[Удержанный налог]</f>
        <v>-1</v>
      </c>
    </row>
    <row r="95" spans="1:9">
      <c r="A95" s="115">
        <v>3057151</v>
      </c>
      <c r="B95" s="115" t="s">
        <v>749</v>
      </c>
      <c r="C95" s="115" t="s">
        <v>366</v>
      </c>
      <c r="D95" s="115" t="s">
        <v>523</v>
      </c>
      <c r="E95" s="110">
        <v>13</v>
      </c>
      <c r="F95" s="110">
        <v>2</v>
      </c>
      <c r="G95" s="116">
        <v>158380</v>
      </c>
      <c r="H95" s="116">
        <v>158381</v>
      </c>
      <c r="I95" s="116">
        <f>[Исчисленный налог]-[Удержанный налог]</f>
        <v>-1</v>
      </c>
    </row>
    <row r="96" spans="1:9">
      <c r="A96" s="115">
        <v>2910352</v>
      </c>
      <c r="B96" s="115" t="s">
        <v>750</v>
      </c>
      <c r="C96" s="115" t="s">
        <v>417</v>
      </c>
      <c r="D96" s="115" t="s">
        <v>751</v>
      </c>
      <c r="E96" s="110">
        <v>13</v>
      </c>
      <c r="F96" s="110">
        <v>2</v>
      </c>
      <c r="G96" s="116">
        <v>2994</v>
      </c>
      <c r="H96" s="116">
        <v>2995</v>
      </c>
      <c r="I96" s="116">
        <f>[Исчисленный налог]-[Удержанный налог]</f>
        <v>-1</v>
      </c>
    </row>
    <row r="97" spans="1:9">
      <c r="A97" s="115">
        <v>1620832</v>
      </c>
      <c r="B97" s="115" t="s">
        <v>752</v>
      </c>
      <c r="C97" s="115" t="s">
        <v>428</v>
      </c>
      <c r="D97" s="115" t="s">
        <v>526</v>
      </c>
      <c r="E97" s="110">
        <v>13</v>
      </c>
      <c r="F97" s="110">
        <v>2</v>
      </c>
      <c r="G97" s="116">
        <v>9553</v>
      </c>
      <c r="H97" s="116">
        <v>9554</v>
      </c>
      <c r="I97" s="116">
        <f>[Исчисленный налог]-[Удержанный налог]</f>
        <v>-1</v>
      </c>
    </row>
    <row r="98" spans="1:9">
      <c r="A98" s="115">
        <v>2951652</v>
      </c>
      <c r="B98" s="115" t="s">
        <v>753</v>
      </c>
      <c r="C98" s="115" t="s">
        <v>324</v>
      </c>
      <c r="D98" s="115" t="s">
        <v>388</v>
      </c>
      <c r="E98" s="110">
        <v>13</v>
      </c>
      <c r="F98" s="110">
        <v>2</v>
      </c>
      <c r="G98" s="116">
        <v>10902</v>
      </c>
      <c r="H98" s="116">
        <v>10903</v>
      </c>
      <c r="I98" s="116">
        <f>[Исчисленный налог]-[Удержанный налог]</f>
        <v>-1</v>
      </c>
    </row>
    <row r="99" spans="1:9">
      <c r="A99" s="115">
        <v>2887868</v>
      </c>
      <c r="B99" s="115" t="s">
        <v>754</v>
      </c>
      <c r="C99" s="115" t="s">
        <v>583</v>
      </c>
      <c r="D99" s="115" t="s">
        <v>325</v>
      </c>
      <c r="E99" s="110">
        <v>13</v>
      </c>
      <c r="F99" s="110">
        <v>2</v>
      </c>
      <c r="G99" s="116">
        <v>10110</v>
      </c>
      <c r="H99" s="116">
        <v>10111</v>
      </c>
      <c r="I99" s="116">
        <f>[Исчисленный налог]-[Удержанный налог]</f>
        <v>-1</v>
      </c>
    </row>
    <row r="100" spans="1:9">
      <c r="A100" s="115">
        <v>1767534</v>
      </c>
      <c r="B100" s="115" t="s">
        <v>755</v>
      </c>
      <c r="C100" s="115" t="s">
        <v>493</v>
      </c>
      <c r="D100" s="115" t="s">
        <v>370</v>
      </c>
      <c r="E100" s="110">
        <v>13</v>
      </c>
      <c r="F100" s="110">
        <v>2</v>
      </c>
      <c r="G100" s="116">
        <v>2838</v>
      </c>
      <c r="H100" s="116">
        <v>2839</v>
      </c>
      <c r="I100" s="116">
        <f>[Исчисленный налог]-[Удержанный налог]</f>
        <v>-1</v>
      </c>
    </row>
    <row r="101" spans="1:9">
      <c r="A101" s="115">
        <v>2931839</v>
      </c>
      <c r="B101" s="115" t="s">
        <v>756</v>
      </c>
      <c r="C101" s="115" t="s">
        <v>369</v>
      </c>
      <c r="D101" s="115" t="s">
        <v>385</v>
      </c>
      <c r="E101" s="110">
        <v>13</v>
      </c>
      <c r="F101" s="110">
        <v>2</v>
      </c>
      <c r="G101" s="116">
        <v>139691</v>
      </c>
      <c r="H101" s="116">
        <v>139692</v>
      </c>
      <c r="I101" s="116">
        <f>[Исчисленный налог]-[Удержанный налог]</f>
        <v>-1</v>
      </c>
    </row>
    <row r="102" spans="1:9">
      <c r="A102" s="115">
        <v>1501403</v>
      </c>
      <c r="B102" s="115" t="s">
        <v>427</v>
      </c>
      <c r="C102" s="115" t="s">
        <v>456</v>
      </c>
      <c r="D102" s="115" t="s">
        <v>507</v>
      </c>
      <c r="E102" s="110">
        <v>13</v>
      </c>
      <c r="F102" s="110">
        <v>2</v>
      </c>
      <c r="G102" s="116">
        <v>3677</v>
      </c>
      <c r="H102" s="116">
        <v>3678</v>
      </c>
      <c r="I102" s="116">
        <f>[Исчисленный налог]-[Удержанный налог]</f>
        <v>-1</v>
      </c>
    </row>
    <row r="103" spans="1:9">
      <c r="A103" s="115">
        <v>1281823</v>
      </c>
      <c r="B103" s="115" t="s">
        <v>757</v>
      </c>
      <c r="C103" s="115" t="s">
        <v>380</v>
      </c>
      <c r="D103" s="115" t="s">
        <v>355</v>
      </c>
      <c r="E103" s="110">
        <v>13</v>
      </c>
      <c r="F103" s="110">
        <v>2</v>
      </c>
      <c r="G103" s="116">
        <v>4562</v>
      </c>
      <c r="H103" s="116">
        <v>4563</v>
      </c>
      <c r="I103" s="116">
        <f>[Исчисленный налог]-[Удержанный налог]</f>
        <v>-1</v>
      </c>
    </row>
    <row r="104" spans="1:9">
      <c r="A104" s="115">
        <v>2887447</v>
      </c>
      <c r="B104" s="115" t="s">
        <v>758</v>
      </c>
      <c r="C104" s="115" t="s">
        <v>759</v>
      </c>
      <c r="D104" s="115" t="s">
        <v>760</v>
      </c>
      <c r="E104" s="110">
        <v>13</v>
      </c>
      <c r="F104" s="110">
        <v>2</v>
      </c>
      <c r="G104" s="116">
        <v>4554</v>
      </c>
      <c r="H104" s="116">
        <v>4555</v>
      </c>
      <c r="I104" s="116">
        <f>[Исчисленный налог]-[Удержанный налог]</f>
        <v>-1</v>
      </c>
    </row>
    <row r="105" spans="1:9">
      <c r="A105" s="115">
        <v>2937969</v>
      </c>
      <c r="B105" s="115" t="s">
        <v>761</v>
      </c>
      <c r="C105" s="115" t="s">
        <v>327</v>
      </c>
      <c r="D105" s="115" t="s">
        <v>552</v>
      </c>
      <c r="E105" s="110">
        <v>13</v>
      </c>
      <c r="F105" s="110">
        <v>2</v>
      </c>
      <c r="G105" s="116">
        <v>18605</v>
      </c>
      <c r="H105" s="116">
        <v>18606</v>
      </c>
      <c r="I105" s="116">
        <f>[Исчисленный налог]-[Удержанный налог]</f>
        <v>-1</v>
      </c>
    </row>
    <row r="106" spans="1:9">
      <c r="A106" s="115">
        <v>2887988</v>
      </c>
      <c r="B106" s="115" t="s">
        <v>762</v>
      </c>
      <c r="C106" s="115" t="s">
        <v>361</v>
      </c>
      <c r="D106" s="115" t="s">
        <v>763</v>
      </c>
      <c r="E106" s="110">
        <v>13</v>
      </c>
      <c r="F106" s="110">
        <v>2</v>
      </c>
      <c r="G106" s="116">
        <v>50000</v>
      </c>
      <c r="H106" s="116">
        <v>50001</v>
      </c>
      <c r="I106" s="116">
        <f>[Исчисленный налог]-[Удержанный налог]</f>
        <v>-1</v>
      </c>
    </row>
    <row r="107" spans="1:9">
      <c r="A107" s="115">
        <v>1105173</v>
      </c>
      <c r="B107" s="115" t="s">
        <v>470</v>
      </c>
      <c r="C107" s="115" t="s">
        <v>327</v>
      </c>
      <c r="D107" s="115" t="s">
        <v>764</v>
      </c>
      <c r="E107" s="110">
        <v>13</v>
      </c>
      <c r="F107" s="110">
        <v>2</v>
      </c>
      <c r="G107" s="116">
        <v>35679</v>
      </c>
      <c r="H107" s="116">
        <v>35680</v>
      </c>
      <c r="I107" s="116">
        <f>[Исчисленный налог]-[Удержанный налог]</f>
        <v>-1</v>
      </c>
    </row>
    <row r="108" spans="1:9">
      <c r="A108" s="115">
        <v>2921982</v>
      </c>
      <c r="B108" s="115" t="s">
        <v>765</v>
      </c>
      <c r="C108" s="115" t="s">
        <v>380</v>
      </c>
      <c r="D108" s="115" t="s">
        <v>343</v>
      </c>
      <c r="E108" s="110">
        <v>13</v>
      </c>
      <c r="F108" s="110">
        <v>2</v>
      </c>
      <c r="G108" s="116">
        <v>12895</v>
      </c>
      <c r="H108" s="116">
        <v>12896</v>
      </c>
      <c r="I108" s="116">
        <f>[Исчисленный налог]-[Удержанный налог]</f>
        <v>-1</v>
      </c>
    </row>
    <row r="109" spans="1:9">
      <c r="A109" s="115">
        <v>2978745</v>
      </c>
      <c r="B109" s="115" t="s">
        <v>766</v>
      </c>
      <c r="C109" s="115" t="s">
        <v>354</v>
      </c>
      <c r="D109" s="115" t="s">
        <v>393</v>
      </c>
      <c r="E109" s="110">
        <v>13</v>
      </c>
      <c r="F109" s="110">
        <v>2</v>
      </c>
      <c r="G109" s="116">
        <v>17386</v>
      </c>
      <c r="H109" s="116">
        <v>17387</v>
      </c>
      <c r="I109" s="116">
        <f>[Исчисленный налог]-[Удержанный налог]</f>
        <v>-1</v>
      </c>
    </row>
    <row r="110" spans="1:9">
      <c r="A110" s="115">
        <v>2928515</v>
      </c>
      <c r="B110" s="115" t="s">
        <v>767</v>
      </c>
      <c r="C110" s="115" t="s">
        <v>324</v>
      </c>
      <c r="D110" s="115" t="s">
        <v>367</v>
      </c>
      <c r="E110" s="110">
        <v>13</v>
      </c>
      <c r="F110" s="110">
        <v>2</v>
      </c>
      <c r="G110" s="116">
        <v>3665</v>
      </c>
      <c r="H110" s="116">
        <v>3666</v>
      </c>
      <c r="I110" s="116">
        <f>[Исчисленный налог]-[Удержанный налог]</f>
        <v>-1</v>
      </c>
    </row>
    <row r="111" spans="1:9">
      <c r="A111" s="115">
        <v>2919699</v>
      </c>
      <c r="B111" s="115" t="s">
        <v>768</v>
      </c>
      <c r="C111" s="115" t="s">
        <v>530</v>
      </c>
      <c r="D111" s="115" t="s">
        <v>343</v>
      </c>
      <c r="E111" s="110">
        <v>13</v>
      </c>
      <c r="F111" s="110">
        <v>2</v>
      </c>
      <c r="G111" s="116">
        <v>7202</v>
      </c>
      <c r="H111" s="116">
        <v>7203</v>
      </c>
      <c r="I111" s="116">
        <f>[Исчисленный налог]-[Удержанный налог]</f>
        <v>-1</v>
      </c>
    </row>
    <row r="112" spans="1:9">
      <c r="A112" s="115">
        <v>2945913</v>
      </c>
      <c r="B112" s="115" t="s">
        <v>769</v>
      </c>
      <c r="C112" s="115" t="s">
        <v>339</v>
      </c>
      <c r="D112" s="115" t="s">
        <v>337</v>
      </c>
      <c r="E112" s="110">
        <v>13</v>
      </c>
      <c r="F112" s="110">
        <v>2</v>
      </c>
      <c r="G112" s="116">
        <v>102947</v>
      </c>
      <c r="H112" s="116">
        <v>102948</v>
      </c>
      <c r="I112" s="116">
        <f>[Исчисленный налог]-[Удержанный налог]</f>
        <v>-1</v>
      </c>
    </row>
    <row r="113" spans="1:9">
      <c r="A113" s="115">
        <v>2924206</v>
      </c>
      <c r="B113" s="115" t="s">
        <v>770</v>
      </c>
      <c r="C113" s="115" t="s">
        <v>434</v>
      </c>
      <c r="D113" s="115" t="s">
        <v>367</v>
      </c>
      <c r="E113" s="110">
        <v>13</v>
      </c>
      <c r="F113" s="110">
        <v>2</v>
      </c>
      <c r="G113" s="116">
        <v>5982</v>
      </c>
      <c r="H113" s="116">
        <v>5983</v>
      </c>
      <c r="I113" s="116">
        <f>[Исчисленный налог]-[Удержанный налог]</f>
        <v>-1</v>
      </c>
    </row>
    <row r="114" spans="1:9">
      <c r="A114" s="115">
        <v>1522873</v>
      </c>
      <c r="B114" s="115" t="s">
        <v>510</v>
      </c>
      <c r="C114" s="115" t="s">
        <v>366</v>
      </c>
      <c r="D114" s="115" t="s">
        <v>771</v>
      </c>
      <c r="E114" s="110">
        <v>13</v>
      </c>
      <c r="F114" s="110">
        <v>2</v>
      </c>
      <c r="G114" s="116">
        <v>2737</v>
      </c>
      <c r="H114" s="116">
        <v>2738</v>
      </c>
      <c r="I114" s="116">
        <f>[Исчисленный налог]-[Удержанный налог]</f>
        <v>-1</v>
      </c>
    </row>
    <row r="115" spans="1:9">
      <c r="A115" s="115">
        <v>3075440</v>
      </c>
      <c r="B115" s="115" t="s">
        <v>772</v>
      </c>
      <c r="C115" s="115" t="s">
        <v>354</v>
      </c>
      <c r="D115" s="115" t="s">
        <v>370</v>
      </c>
      <c r="E115" s="110">
        <v>13</v>
      </c>
      <c r="F115" s="110">
        <v>2</v>
      </c>
      <c r="G115" s="116">
        <v>10367</v>
      </c>
      <c r="H115" s="116">
        <v>10368</v>
      </c>
      <c r="I115" s="116">
        <f>[Исчисленный налог]-[Удержанный налог]</f>
        <v>-1</v>
      </c>
    </row>
    <row r="116" spans="1:9">
      <c r="A116" s="115">
        <v>2918562</v>
      </c>
      <c r="B116" s="115" t="s">
        <v>773</v>
      </c>
      <c r="C116" s="115" t="s">
        <v>774</v>
      </c>
      <c r="D116" s="115" t="s">
        <v>402</v>
      </c>
      <c r="E116" s="110">
        <v>13</v>
      </c>
      <c r="F116" s="110">
        <v>2</v>
      </c>
      <c r="G116" s="116">
        <v>6580</v>
      </c>
      <c r="H116" s="116">
        <v>6581</v>
      </c>
      <c r="I116" s="116">
        <f>[Исчисленный налог]-[Удержанный налог]</f>
        <v>-1</v>
      </c>
    </row>
    <row r="117" spans="1:9">
      <c r="A117" s="115">
        <v>2052972</v>
      </c>
      <c r="B117" s="115" t="s">
        <v>775</v>
      </c>
      <c r="C117" s="115" t="s">
        <v>330</v>
      </c>
      <c r="D117" s="115" t="s">
        <v>337</v>
      </c>
      <c r="E117" s="110">
        <v>13</v>
      </c>
      <c r="F117" s="110">
        <v>2</v>
      </c>
      <c r="G117" s="116">
        <v>1168</v>
      </c>
      <c r="H117" s="116">
        <v>1169</v>
      </c>
      <c r="I117" s="116">
        <f>[Исчисленный налог]-[Удержанный налог]</f>
        <v>-1</v>
      </c>
    </row>
    <row r="118" spans="1:9">
      <c r="A118" s="115">
        <v>2897661</v>
      </c>
      <c r="B118" s="115" t="s">
        <v>776</v>
      </c>
      <c r="C118" s="115" t="s">
        <v>366</v>
      </c>
      <c r="D118" s="115" t="s">
        <v>457</v>
      </c>
      <c r="E118" s="110">
        <v>13</v>
      </c>
      <c r="F118" s="110">
        <v>2</v>
      </c>
      <c r="G118" s="116">
        <v>4814</v>
      </c>
      <c r="H118" s="116">
        <v>4815</v>
      </c>
      <c r="I118" s="116">
        <f>[Исчисленный налог]-[Удержанный налог]</f>
        <v>-1</v>
      </c>
    </row>
    <row r="119" spans="1:9">
      <c r="A119" s="115">
        <v>1110695</v>
      </c>
      <c r="B119" s="115" t="s">
        <v>777</v>
      </c>
      <c r="C119" s="115" t="s">
        <v>330</v>
      </c>
      <c r="D119" s="115" t="s">
        <v>383</v>
      </c>
      <c r="E119" s="110">
        <v>13</v>
      </c>
      <c r="F119" s="110">
        <v>2</v>
      </c>
      <c r="G119" s="116">
        <v>8292</v>
      </c>
      <c r="H119" s="116">
        <v>8293</v>
      </c>
      <c r="I119" s="116">
        <f>[Исчисленный налог]-[Удержанный налог]</f>
        <v>-1</v>
      </c>
    </row>
    <row r="120" spans="1:9">
      <c r="A120" s="115">
        <v>1576700</v>
      </c>
      <c r="B120" s="115" t="s">
        <v>778</v>
      </c>
      <c r="C120" s="115" t="s">
        <v>354</v>
      </c>
      <c r="D120" s="115" t="s">
        <v>385</v>
      </c>
      <c r="E120" s="110">
        <v>13</v>
      </c>
      <c r="F120" s="110">
        <v>2</v>
      </c>
      <c r="G120" s="116">
        <v>19746</v>
      </c>
      <c r="H120" s="116">
        <v>19747</v>
      </c>
      <c r="I120" s="116">
        <f>[Исчисленный налог]-[Удержанный налог]</f>
        <v>-1</v>
      </c>
    </row>
    <row r="121" spans="1:9">
      <c r="A121" s="115">
        <v>2917476</v>
      </c>
      <c r="B121" s="115" t="s">
        <v>779</v>
      </c>
      <c r="C121" s="115" t="s">
        <v>419</v>
      </c>
      <c r="D121" s="115" t="s">
        <v>665</v>
      </c>
      <c r="E121" s="110">
        <v>13</v>
      </c>
      <c r="F121" s="110">
        <v>3</v>
      </c>
      <c r="G121" s="116">
        <v>60335</v>
      </c>
      <c r="H121" s="116">
        <v>60336</v>
      </c>
      <c r="I121" s="116">
        <f>[Исчисленный налог]-[Удержанный налог]</f>
        <v>-1</v>
      </c>
    </row>
    <row r="122" spans="1:9">
      <c r="A122" s="115">
        <v>1508550</v>
      </c>
      <c r="B122" s="115" t="s">
        <v>780</v>
      </c>
      <c r="C122" s="115" t="s">
        <v>330</v>
      </c>
      <c r="D122" s="115" t="s">
        <v>412</v>
      </c>
      <c r="E122" s="110">
        <v>13</v>
      </c>
      <c r="F122" s="110">
        <v>2</v>
      </c>
      <c r="G122" s="116">
        <v>20426</v>
      </c>
      <c r="H122" s="116">
        <v>20427</v>
      </c>
      <c r="I122" s="116">
        <f>[Исчисленный налог]-[Удержанный налог]</f>
        <v>-1</v>
      </c>
    </row>
    <row r="123" spans="1:9">
      <c r="A123" s="115">
        <v>1602307</v>
      </c>
      <c r="B123" s="115" t="s">
        <v>781</v>
      </c>
      <c r="C123" s="115" t="s">
        <v>419</v>
      </c>
      <c r="D123" s="115" t="s">
        <v>782</v>
      </c>
      <c r="E123" s="110">
        <v>13</v>
      </c>
      <c r="F123" s="110">
        <v>2</v>
      </c>
      <c r="G123" s="116">
        <v>5785</v>
      </c>
      <c r="H123" s="116">
        <v>5786</v>
      </c>
      <c r="I123" s="116">
        <f>[Исчисленный налог]-[Удержанный налог]</f>
        <v>-1</v>
      </c>
    </row>
    <row r="124" spans="1:9">
      <c r="A124" s="115">
        <v>2900102</v>
      </c>
      <c r="B124" s="115" t="s">
        <v>470</v>
      </c>
      <c r="C124" s="115" t="s">
        <v>783</v>
      </c>
      <c r="D124" s="115" t="s">
        <v>784</v>
      </c>
      <c r="E124" s="110">
        <v>13</v>
      </c>
      <c r="F124" s="110">
        <v>2</v>
      </c>
      <c r="G124" s="116">
        <v>10510</v>
      </c>
      <c r="H124" s="116">
        <v>10511</v>
      </c>
      <c r="I124" s="116">
        <f>[Исчисленный налог]-[Удержанный налог]</f>
        <v>-1</v>
      </c>
    </row>
    <row r="125" spans="1:9">
      <c r="A125" s="115">
        <v>2975969</v>
      </c>
      <c r="B125" s="115" t="s">
        <v>785</v>
      </c>
      <c r="C125" s="115" t="s">
        <v>342</v>
      </c>
      <c r="D125" s="115" t="s">
        <v>370</v>
      </c>
      <c r="E125" s="110">
        <v>13</v>
      </c>
      <c r="F125" s="110">
        <v>2</v>
      </c>
      <c r="G125" s="116">
        <v>16902</v>
      </c>
      <c r="H125" s="116">
        <v>16903</v>
      </c>
      <c r="I125" s="116">
        <f>[Исчисленный налог]-[Удержанный налог]</f>
        <v>-1</v>
      </c>
    </row>
    <row r="126" spans="1:9">
      <c r="A126" s="115">
        <v>1191555</v>
      </c>
      <c r="B126" s="115" t="s">
        <v>786</v>
      </c>
      <c r="C126" s="115" t="s">
        <v>366</v>
      </c>
      <c r="D126" s="115" t="s">
        <v>337</v>
      </c>
      <c r="E126" s="110">
        <v>13</v>
      </c>
      <c r="F126" s="110">
        <v>2</v>
      </c>
      <c r="G126" s="116">
        <v>11205</v>
      </c>
      <c r="H126" s="116">
        <v>11206</v>
      </c>
      <c r="I126" s="116">
        <f>[Исчисленный налог]-[Удержанный налог]</f>
        <v>-1</v>
      </c>
    </row>
    <row r="127" spans="1:9">
      <c r="A127" s="115">
        <v>2932965</v>
      </c>
      <c r="B127" s="115" t="s">
        <v>787</v>
      </c>
      <c r="C127" s="115" t="s">
        <v>415</v>
      </c>
      <c r="D127" s="115" t="s">
        <v>393</v>
      </c>
      <c r="E127" s="110">
        <v>13</v>
      </c>
      <c r="F127" s="110">
        <v>2</v>
      </c>
      <c r="G127" s="116">
        <v>90510</v>
      </c>
      <c r="H127" s="116">
        <v>90511</v>
      </c>
      <c r="I127" s="116">
        <f>[Исчисленный налог]-[Удержанный налог]</f>
        <v>-1</v>
      </c>
    </row>
    <row r="128" spans="1:9">
      <c r="A128" s="115">
        <v>1218718</v>
      </c>
      <c r="B128" s="115" t="s">
        <v>788</v>
      </c>
      <c r="C128" s="115" t="s">
        <v>327</v>
      </c>
      <c r="D128" s="115" t="s">
        <v>393</v>
      </c>
      <c r="E128" s="110">
        <v>13</v>
      </c>
      <c r="F128" s="110">
        <v>2</v>
      </c>
      <c r="G128" s="116">
        <v>12058</v>
      </c>
      <c r="H128" s="116">
        <v>12059</v>
      </c>
      <c r="I128" s="116">
        <f>[Исчисленный налог]-[Удержанный налог]</f>
        <v>-1</v>
      </c>
    </row>
    <row r="129" spans="1:9">
      <c r="A129" s="115">
        <v>2993208</v>
      </c>
      <c r="B129" s="115" t="s">
        <v>789</v>
      </c>
      <c r="C129" s="115" t="s">
        <v>354</v>
      </c>
      <c r="D129" s="115" t="s">
        <v>402</v>
      </c>
      <c r="E129" s="110">
        <v>13</v>
      </c>
      <c r="F129" s="110">
        <v>2</v>
      </c>
      <c r="G129" s="116">
        <v>6682</v>
      </c>
      <c r="H129" s="116">
        <v>6683</v>
      </c>
      <c r="I129" s="116">
        <f>[Исчисленный налог]-[Удержанный налог]</f>
        <v>-1</v>
      </c>
    </row>
    <row r="130" spans="1:9">
      <c r="A130" s="115">
        <v>1364720</v>
      </c>
      <c r="B130" s="115" t="s">
        <v>790</v>
      </c>
      <c r="C130" s="115" t="s">
        <v>366</v>
      </c>
      <c r="D130" s="115" t="s">
        <v>367</v>
      </c>
      <c r="E130" s="110">
        <v>13</v>
      </c>
      <c r="F130" s="110">
        <v>2</v>
      </c>
      <c r="G130" s="116">
        <v>22919</v>
      </c>
      <c r="H130" s="116">
        <v>22920</v>
      </c>
      <c r="I130" s="116">
        <f>[Исчисленный налог]-[Удержанный налог]</f>
        <v>-1</v>
      </c>
    </row>
    <row r="131" spans="1:9">
      <c r="A131" s="115">
        <v>2891023</v>
      </c>
      <c r="B131" s="115" t="s">
        <v>791</v>
      </c>
      <c r="C131" s="115" t="s">
        <v>345</v>
      </c>
      <c r="D131" s="115" t="s">
        <v>552</v>
      </c>
      <c r="E131" s="110">
        <v>13</v>
      </c>
      <c r="F131" s="110">
        <v>2</v>
      </c>
      <c r="G131" s="116">
        <v>8270</v>
      </c>
      <c r="H131" s="116">
        <v>8271</v>
      </c>
      <c r="I131" s="116">
        <f>[Исчисленный налог]-[Удержанный налог]</f>
        <v>-1</v>
      </c>
    </row>
    <row r="132" spans="1:9">
      <c r="A132" s="115">
        <v>3073828</v>
      </c>
      <c r="B132" s="115" t="s">
        <v>710</v>
      </c>
      <c r="C132" s="115" t="s">
        <v>792</v>
      </c>
      <c r="D132" s="115" t="s">
        <v>712</v>
      </c>
      <c r="E132" s="110">
        <v>13</v>
      </c>
      <c r="F132" s="110">
        <v>2</v>
      </c>
      <c r="G132" s="116">
        <v>5535</v>
      </c>
      <c r="H132" s="116">
        <v>5536</v>
      </c>
      <c r="I132" s="116">
        <f>[Исчисленный налог]-[Удержанный налог]</f>
        <v>-1</v>
      </c>
    </row>
    <row r="133" spans="1:9">
      <c r="A133" s="115">
        <v>2928126</v>
      </c>
      <c r="B133" s="115" t="s">
        <v>793</v>
      </c>
      <c r="C133" s="115" t="s">
        <v>428</v>
      </c>
      <c r="D133" s="115" t="s">
        <v>388</v>
      </c>
      <c r="E133" s="110">
        <v>13</v>
      </c>
      <c r="F133" s="110">
        <v>2</v>
      </c>
      <c r="G133" s="116">
        <v>3579</v>
      </c>
      <c r="H133" s="116">
        <v>3580</v>
      </c>
      <c r="I133" s="116">
        <f>[Исчисленный налог]-[Удержанный налог]</f>
        <v>-1</v>
      </c>
    </row>
    <row r="134" spans="1:9">
      <c r="A134" s="115">
        <v>1772344</v>
      </c>
      <c r="B134" s="115" t="s">
        <v>703</v>
      </c>
      <c r="C134" s="115" t="s">
        <v>493</v>
      </c>
      <c r="D134" s="115" t="s">
        <v>489</v>
      </c>
      <c r="E134" s="110">
        <v>13</v>
      </c>
      <c r="F134" s="110">
        <v>2</v>
      </c>
      <c r="G134" s="116">
        <v>5805</v>
      </c>
      <c r="H134" s="116">
        <v>5806</v>
      </c>
      <c r="I134" s="116">
        <f>[Исчисленный налог]-[Удержанный налог]</f>
        <v>-1</v>
      </c>
    </row>
    <row r="135" spans="1:9">
      <c r="A135" s="115">
        <v>1053081</v>
      </c>
      <c r="B135" s="115" t="s">
        <v>794</v>
      </c>
      <c r="C135" s="115" t="s">
        <v>401</v>
      </c>
      <c r="D135" s="115" t="s">
        <v>393</v>
      </c>
      <c r="E135" s="110">
        <v>13</v>
      </c>
      <c r="F135" s="110">
        <v>2</v>
      </c>
      <c r="G135" s="116">
        <v>15408</v>
      </c>
      <c r="H135" s="116">
        <v>15409</v>
      </c>
      <c r="I135" s="116">
        <f>[Исчисленный налог]-[Удержанный налог]</f>
        <v>-1</v>
      </c>
    </row>
    <row r="136" spans="1:9">
      <c r="A136" s="115">
        <v>3064804</v>
      </c>
      <c r="B136" s="115" t="s">
        <v>795</v>
      </c>
      <c r="C136" s="115" t="s">
        <v>456</v>
      </c>
      <c r="D136" s="115" t="s">
        <v>601</v>
      </c>
      <c r="E136" s="110">
        <v>13</v>
      </c>
      <c r="F136" s="110">
        <v>2</v>
      </c>
      <c r="G136" s="116">
        <v>591</v>
      </c>
      <c r="H136" s="116">
        <v>592</v>
      </c>
      <c r="I136" s="116">
        <f>[Исчисленный налог]-[Удержанный налог]</f>
        <v>-1</v>
      </c>
    </row>
    <row r="137" spans="1:9">
      <c r="A137" s="115">
        <v>1325686</v>
      </c>
      <c r="B137" s="115" t="s">
        <v>796</v>
      </c>
      <c r="C137" s="115" t="s">
        <v>324</v>
      </c>
      <c r="D137" s="115" t="s">
        <v>426</v>
      </c>
      <c r="E137" s="110">
        <v>13</v>
      </c>
      <c r="F137" s="110">
        <v>2</v>
      </c>
      <c r="G137" s="116">
        <v>10848</v>
      </c>
      <c r="H137" s="116">
        <v>10849</v>
      </c>
      <c r="I137" s="116">
        <f>[Исчисленный налог]-[Удержанный налог]</f>
        <v>-1</v>
      </c>
    </row>
    <row r="138" spans="1:9">
      <c r="A138" s="115">
        <v>2903469</v>
      </c>
      <c r="B138" s="115" t="s">
        <v>797</v>
      </c>
      <c r="C138" s="115" t="s">
        <v>321</v>
      </c>
      <c r="D138" s="115" t="s">
        <v>552</v>
      </c>
      <c r="E138" s="110">
        <v>13</v>
      </c>
      <c r="F138" s="110">
        <v>2</v>
      </c>
      <c r="G138" s="116">
        <v>3294</v>
      </c>
      <c r="H138" s="116">
        <v>3295</v>
      </c>
      <c r="I138" s="116">
        <f>[Исчисленный налог]-[Удержанный налог]</f>
        <v>-1</v>
      </c>
    </row>
    <row r="139" spans="1:9">
      <c r="A139" s="115">
        <v>1113898</v>
      </c>
      <c r="B139" s="115" t="s">
        <v>798</v>
      </c>
      <c r="C139" s="115" t="s">
        <v>799</v>
      </c>
      <c r="D139" s="115" t="s">
        <v>800</v>
      </c>
      <c r="E139" s="110">
        <v>13</v>
      </c>
      <c r="F139" s="110">
        <v>2</v>
      </c>
      <c r="G139" s="116">
        <v>5887</v>
      </c>
      <c r="H139" s="116">
        <v>5888</v>
      </c>
      <c r="I139" s="116">
        <f>[Исчисленный налог]-[Удержанный налог]</f>
        <v>-1</v>
      </c>
    </row>
    <row r="140" spans="1:9">
      <c r="A140" s="115">
        <v>1440494</v>
      </c>
      <c r="B140" s="115" t="s">
        <v>592</v>
      </c>
      <c r="C140" s="115" t="s">
        <v>348</v>
      </c>
      <c r="D140" s="115" t="s">
        <v>343</v>
      </c>
      <c r="E140" s="110">
        <v>13</v>
      </c>
      <c r="F140" s="110">
        <v>2</v>
      </c>
      <c r="G140" s="116">
        <v>7055</v>
      </c>
      <c r="H140" s="116">
        <v>7056</v>
      </c>
      <c r="I140" s="116">
        <f>[Исчисленный налог]-[Удержанный налог]</f>
        <v>-1</v>
      </c>
    </row>
    <row r="141" spans="1:9">
      <c r="A141" s="115">
        <v>2891824</v>
      </c>
      <c r="B141" s="115" t="s">
        <v>801</v>
      </c>
      <c r="C141" s="115" t="s">
        <v>369</v>
      </c>
      <c r="D141" s="115" t="s">
        <v>355</v>
      </c>
      <c r="E141" s="110">
        <v>13</v>
      </c>
      <c r="F141" s="110">
        <v>2</v>
      </c>
      <c r="G141" s="116">
        <v>4797</v>
      </c>
      <c r="H141" s="116">
        <v>4798</v>
      </c>
      <c r="I141" s="116">
        <f>[Исчисленный налог]-[Удержанный налог]</f>
        <v>-1</v>
      </c>
    </row>
    <row r="142" spans="1:9">
      <c r="A142" s="115">
        <v>3065279</v>
      </c>
      <c r="B142" s="115" t="s">
        <v>802</v>
      </c>
      <c r="C142" s="115" t="s">
        <v>342</v>
      </c>
      <c r="D142" s="115" t="s">
        <v>803</v>
      </c>
      <c r="E142" s="110">
        <v>13</v>
      </c>
      <c r="F142" s="110">
        <v>2</v>
      </c>
      <c r="G142" s="116">
        <v>5089</v>
      </c>
      <c r="H142" s="116">
        <v>5090</v>
      </c>
      <c r="I142" s="116">
        <f>[Исчисленный налог]-[Удержанный налог]</f>
        <v>-1</v>
      </c>
    </row>
    <row r="143" spans="1:9">
      <c r="A143" s="115">
        <v>2996219</v>
      </c>
      <c r="B143" s="115" t="s">
        <v>804</v>
      </c>
      <c r="C143" s="115" t="s">
        <v>419</v>
      </c>
      <c r="D143" s="115" t="s">
        <v>349</v>
      </c>
      <c r="E143" s="110">
        <v>13</v>
      </c>
      <c r="F143" s="110">
        <v>2</v>
      </c>
      <c r="G143" s="116">
        <v>10254</v>
      </c>
      <c r="H143" s="116">
        <v>10255</v>
      </c>
      <c r="I143" s="116">
        <f>[Исчисленный налог]-[Удержанный налог]</f>
        <v>-1</v>
      </c>
    </row>
    <row r="144" spans="1:9">
      <c r="A144" s="115">
        <v>3071811</v>
      </c>
      <c r="B144" s="115" t="s">
        <v>805</v>
      </c>
      <c r="C144" s="115" t="s">
        <v>354</v>
      </c>
      <c r="D144" s="115" t="s">
        <v>393</v>
      </c>
      <c r="E144" s="110">
        <v>13</v>
      </c>
      <c r="F144" s="110">
        <v>2</v>
      </c>
      <c r="G144" s="116">
        <v>10957</v>
      </c>
      <c r="H144" s="116">
        <v>10958</v>
      </c>
      <c r="I144" s="116">
        <f>[Исчисленный налог]-[Удержанный налог]</f>
        <v>-1</v>
      </c>
    </row>
    <row r="145" spans="1:9">
      <c r="A145" s="115">
        <v>2936205</v>
      </c>
      <c r="B145" s="115" t="s">
        <v>806</v>
      </c>
      <c r="C145" s="115" t="s">
        <v>321</v>
      </c>
      <c r="D145" s="115" t="s">
        <v>343</v>
      </c>
      <c r="E145" s="110">
        <v>13</v>
      </c>
      <c r="F145" s="110">
        <v>2</v>
      </c>
      <c r="G145" s="116">
        <v>8979</v>
      </c>
      <c r="H145" s="116">
        <v>8980</v>
      </c>
      <c r="I145" s="116">
        <f>[Исчисленный налог]-[Удержанный налог]</f>
        <v>-1</v>
      </c>
    </row>
    <row r="146" spans="1:9">
      <c r="A146" s="115">
        <v>2954458</v>
      </c>
      <c r="B146" s="115" t="s">
        <v>807</v>
      </c>
      <c r="C146" s="115" t="s">
        <v>401</v>
      </c>
      <c r="D146" s="115" t="s">
        <v>808</v>
      </c>
      <c r="E146" s="110">
        <v>13</v>
      </c>
      <c r="F146" s="110">
        <v>2</v>
      </c>
      <c r="G146" s="116">
        <v>80824</v>
      </c>
      <c r="H146" s="116">
        <v>80825</v>
      </c>
      <c r="I146" s="116">
        <f>[Исчисленный налог]-[Удержанный налог]</f>
        <v>-1</v>
      </c>
    </row>
    <row r="147" spans="1:9">
      <c r="A147" s="115">
        <v>1392404</v>
      </c>
      <c r="B147" s="115" t="s">
        <v>809</v>
      </c>
      <c r="C147" s="115" t="s">
        <v>459</v>
      </c>
      <c r="D147" s="115" t="s">
        <v>489</v>
      </c>
      <c r="E147" s="110">
        <v>13</v>
      </c>
      <c r="F147" s="110">
        <v>2</v>
      </c>
      <c r="G147" s="116">
        <v>8135</v>
      </c>
      <c r="H147" s="116">
        <v>8136</v>
      </c>
      <c r="I147" s="116">
        <f>[Исчисленный налог]-[Удержанный налог]</f>
        <v>-1</v>
      </c>
    </row>
    <row r="148" spans="1:9">
      <c r="A148" s="115">
        <v>2946952</v>
      </c>
      <c r="B148" s="115" t="s">
        <v>810</v>
      </c>
      <c r="C148" s="115" t="s">
        <v>342</v>
      </c>
      <c r="D148" s="115" t="s">
        <v>381</v>
      </c>
      <c r="E148" s="110">
        <v>13</v>
      </c>
      <c r="F148" s="110">
        <v>2</v>
      </c>
      <c r="G148" s="116">
        <v>8057</v>
      </c>
      <c r="H148" s="116">
        <v>8058</v>
      </c>
      <c r="I148" s="116">
        <f>[Исчисленный налог]-[Удержанный налог]</f>
        <v>-1</v>
      </c>
    </row>
    <row r="149" spans="1:9">
      <c r="A149" s="115">
        <v>2898169</v>
      </c>
      <c r="B149" s="115" t="s">
        <v>811</v>
      </c>
      <c r="C149" s="115" t="s">
        <v>354</v>
      </c>
      <c r="D149" s="115" t="s">
        <v>381</v>
      </c>
      <c r="E149" s="110">
        <v>13</v>
      </c>
      <c r="F149" s="110">
        <v>2</v>
      </c>
      <c r="G149" s="116">
        <v>9595</v>
      </c>
      <c r="H149" s="116">
        <v>9596</v>
      </c>
      <c r="I149" s="116">
        <f>[Исчисленный налог]-[Удержанный налог]</f>
        <v>-1</v>
      </c>
    </row>
    <row r="150" spans="1:9">
      <c r="A150" s="115">
        <v>2925057</v>
      </c>
      <c r="B150" s="115" t="s">
        <v>812</v>
      </c>
      <c r="C150" s="115" t="s">
        <v>417</v>
      </c>
      <c r="D150" s="115" t="s">
        <v>684</v>
      </c>
      <c r="E150" s="110">
        <v>13</v>
      </c>
      <c r="F150" s="110">
        <v>2</v>
      </c>
      <c r="G150" s="116">
        <v>3711</v>
      </c>
      <c r="H150" s="116">
        <v>3712</v>
      </c>
      <c r="I150" s="116">
        <f>[Исчисленный налог]-[Удержанный налог]</f>
        <v>-1</v>
      </c>
    </row>
    <row r="151" spans="1:9">
      <c r="A151" s="115">
        <v>2893296</v>
      </c>
      <c r="B151" s="115" t="s">
        <v>813</v>
      </c>
      <c r="C151" s="115" t="s">
        <v>321</v>
      </c>
      <c r="D151" s="115" t="s">
        <v>552</v>
      </c>
      <c r="E151" s="110">
        <v>13</v>
      </c>
      <c r="F151" s="110">
        <v>2</v>
      </c>
      <c r="G151" s="116">
        <v>17897</v>
      </c>
      <c r="H151" s="116">
        <v>17898</v>
      </c>
      <c r="I151" s="116">
        <f>[Исчисленный налог]-[Удержанный налог]</f>
        <v>-1</v>
      </c>
    </row>
    <row r="152" spans="1:9">
      <c r="A152" s="115">
        <v>3067658</v>
      </c>
      <c r="B152" s="115" t="s">
        <v>814</v>
      </c>
      <c r="C152" s="115" t="s">
        <v>387</v>
      </c>
      <c r="D152" s="115" t="s">
        <v>523</v>
      </c>
      <c r="E152" s="110">
        <v>13</v>
      </c>
      <c r="F152" s="110">
        <v>2</v>
      </c>
      <c r="G152" s="116">
        <v>2427</v>
      </c>
      <c r="H152" s="116">
        <v>2428</v>
      </c>
      <c r="I152" s="116">
        <f>[Исчисленный налог]-[Удержанный налог]</f>
        <v>-1</v>
      </c>
    </row>
    <row r="153" spans="1:9">
      <c r="A153" s="115">
        <v>2957170</v>
      </c>
      <c r="B153" s="115" t="s">
        <v>815</v>
      </c>
      <c r="C153" s="115" t="s">
        <v>816</v>
      </c>
      <c r="D153" s="115" t="s">
        <v>817</v>
      </c>
      <c r="E153" s="110">
        <v>13</v>
      </c>
      <c r="F153" s="110">
        <v>2</v>
      </c>
      <c r="G153" s="116">
        <v>4493</v>
      </c>
      <c r="H153" s="116">
        <v>4494</v>
      </c>
      <c r="I153" s="116">
        <f>[Исчисленный налог]-[Удержанный налог]</f>
        <v>-1</v>
      </c>
    </row>
    <row r="154" spans="1:9">
      <c r="A154" s="115">
        <v>2911187</v>
      </c>
      <c r="B154" s="115" t="s">
        <v>818</v>
      </c>
      <c r="C154" s="115" t="s">
        <v>417</v>
      </c>
      <c r="D154" s="115" t="s">
        <v>819</v>
      </c>
      <c r="E154" s="110">
        <v>13</v>
      </c>
      <c r="F154" s="110">
        <v>2</v>
      </c>
      <c r="G154" s="116">
        <v>17975</v>
      </c>
      <c r="H154" s="116">
        <v>17976</v>
      </c>
      <c r="I154" s="116">
        <f>[Исчисленный налог]-[Удержанный налог]</f>
        <v>-1</v>
      </c>
    </row>
    <row r="155" spans="1:9">
      <c r="A155" s="115">
        <v>1156735</v>
      </c>
      <c r="B155" s="115" t="s">
        <v>820</v>
      </c>
      <c r="C155" s="115" t="s">
        <v>516</v>
      </c>
      <c r="D155" s="115" t="s">
        <v>385</v>
      </c>
      <c r="E155" s="110">
        <v>13</v>
      </c>
      <c r="F155" s="110">
        <v>2</v>
      </c>
      <c r="G155" s="116">
        <v>5403</v>
      </c>
      <c r="H155" s="116">
        <v>5404</v>
      </c>
      <c r="I155" s="116">
        <f>[Исчисленный налог]-[Удержанный налог]</f>
        <v>-1</v>
      </c>
    </row>
    <row r="156" spans="1:9">
      <c r="A156" s="115">
        <v>1654267</v>
      </c>
      <c r="B156" s="115" t="s">
        <v>821</v>
      </c>
      <c r="C156" s="115" t="s">
        <v>568</v>
      </c>
      <c r="D156" s="115" t="s">
        <v>526</v>
      </c>
      <c r="E156" s="110">
        <v>13</v>
      </c>
      <c r="F156" s="110">
        <v>2</v>
      </c>
      <c r="G156" s="116">
        <v>6143</v>
      </c>
      <c r="H156" s="116">
        <v>6144</v>
      </c>
      <c r="I156" s="116">
        <f>[Исчисленный налог]-[Удержанный налог]</f>
        <v>-1</v>
      </c>
    </row>
    <row r="157" spans="1:9">
      <c r="A157" s="115">
        <v>1238730</v>
      </c>
      <c r="B157" s="115" t="s">
        <v>822</v>
      </c>
      <c r="C157" s="115" t="s">
        <v>321</v>
      </c>
      <c r="D157" s="115" t="s">
        <v>823</v>
      </c>
      <c r="E157" s="110">
        <v>13</v>
      </c>
      <c r="F157" s="110">
        <v>2</v>
      </c>
      <c r="G157" s="116">
        <v>3154</v>
      </c>
      <c r="H157" s="116">
        <v>3155</v>
      </c>
      <c r="I157" s="116">
        <f>[Исчисленный налог]-[Удержанный налог]</f>
        <v>-1</v>
      </c>
    </row>
    <row r="158" spans="1:9">
      <c r="A158" s="115">
        <v>1742757</v>
      </c>
      <c r="B158" s="115" t="s">
        <v>824</v>
      </c>
      <c r="C158" s="115" t="s">
        <v>327</v>
      </c>
      <c r="D158" s="115" t="s">
        <v>393</v>
      </c>
      <c r="E158" s="110">
        <v>13</v>
      </c>
      <c r="F158" s="110">
        <v>2</v>
      </c>
      <c r="G158" s="116">
        <v>33974</v>
      </c>
      <c r="H158" s="116">
        <v>33975</v>
      </c>
      <c r="I158" s="116">
        <f>[Исчисленный налог]-[Удержанный налог]</f>
        <v>-1</v>
      </c>
    </row>
    <row r="159" spans="1:9">
      <c r="A159" s="115">
        <v>1510178</v>
      </c>
      <c r="B159" s="115" t="s">
        <v>478</v>
      </c>
      <c r="C159" s="115" t="s">
        <v>339</v>
      </c>
      <c r="D159" s="115" t="s">
        <v>383</v>
      </c>
      <c r="E159" s="110">
        <v>13</v>
      </c>
      <c r="F159" s="110">
        <v>2</v>
      </c>
      <c r="G159" s="116">
        <v>4606</v>
      </c>
      <c r="H159" s="116">
        <v>4607</v>
      </c>
      <c r="I159" s="116">
        <f>[Исчисленный налог]-[Удержанный налог]</f>
        <v>-1</v>
      </c>
    </row>
    <row r="160" spans="1:9">
      <c r="A160" s="115">
        <v>1031519</v>
      </c>
      <c r="B160" s="115" t="s">
        <v>825</v>
      </c>
      <c r="C160" s="115" t="s">
        <v>453</v>
      </c>
      <c r="D160" s="115" t="s">
        <v>665</v>
      </c>
      <c r="E160" s="110">
        <v>13</v>
      </c>
      <c r="F160" s="110">
        <v>2</v>
      </c>
      <c r="G160" s="116">
        <v>15495</v>
      </c>
      <c r="H160" s="116">
        <v>15496</v>
      </c>
      <c r="I160" s="116">
        <f>[Исчисленный налог]-[Удержанный налог]</f>
        <v>-1</v>
      </c>
    </row>
    <row r="161" spans="1:9">
      <c r="A161" s="115">
        <v>1111135</v>
      </c>
      <c r="B161" s="115" t="s">
        <v>826</v>
      </c>
      <c r="C161" s="115" t="s">
        <v>583</v>
      </c>
      <c r="D161" s="115" t="s">
        <v>412</v>
      </c>
      <c r="E161" s="110">
        <v>13</v>
      </c>
      <c r="F161" s="110">
        <v>2</v>
      </c>
      <c r="G161" s="116">
        <v>6403</v>
      </c>
      <c r="H161" s="116">
        <v>6404</v>
      </c>
      <c r="I161" s="116">
        <f>[Исчисленный налог]-[Удержанный налог]</f>
        <v>-1</v>
      </c>
    </row>
    <row r="162" spans="1:9">
      <c r="A162" s="115">
        <v>2896295</v>
      </c>
      <c r="B162" s="115" t="s">
        <v>827</v>
      </c>
      <c r="C162" s="115" t="s">
        <v>428</v>
      </c>
      <c r="D162" s="115" t="s">
        <v>423</v>
      </c>
      <c r="E162" s="110">
        <v>13</v>
      </c>
      <c r="F162" s="110">
        <v>2</v>
      </c>
      <c r="G162" s="116">
        <v>157926</v>
      </c>
      <c r="H162" s="116">
        <v>157927</v>
      </c>
      <c r="I162" s="116">
        <f>[Исчисленный налог]-[Удержанный налог]</f>
        <v>-1</v>
      </c>
    </row>
    <row r="163" spans="1:9">
      <c r="A163" s="115">
        <v>1500766</v>
      </c>
      <c r="B163" s="115" t="s">
        <v>828</v>
      </c>
      <c r="C163" s="115" t="s">
        <v>453</v>
      </c>
      <c r="D163" s="115" t="s">
        <v>393</v>
      </c>
      <c r="E163" s="110">
        <v>13</v>
      </c>
      <c r="F163" s="110">
        <v>2</v>
      </c>
      <c r="G163" s="116">
        <v>6542</v>
      </c>
      <c r="H163" s="116">
        <v>6543</v>
      </c>
      <c r="I163" s="116">
        <f>[Исчисленный налог]-[Удержанный налог]</f>
        <v>-1</v>
      </c>
    </row>
    <row r="164" spans="1:9">
      <c r="A164" s="115">
        <v>2934746</v>
      </c>
      <c r="B164" s="115" t="s">
        <v>829</v>
      </c>
      <c r="C164" s="115" t="s">
        <v>380</v>
      </c>
      <c r="D164" s="115" t="s">
        <v>830</v>
      </c>
      <c r="E164" s="110">
        <v>13</v>
      </c>
      <c r="F164" s="110">
        <v>2</v>
      </c>
      <c r="G164" s="116">
        <v>5041</v>
      </c>
      <c r="H164" s="116">
        <v>5042</v>
      </c>
      <c r="I164" s="116">
        <f>[Исчисленный налог]-[Удержанный налог]</f>
        <v>-1</v>
      </c>
    </row>
    <row r="165" spans="1:9">
      <c r="A165" s="115">
        <v>2938008</v>
      </c>
      <c r="B165" s="115" t="s">
        <v>831</v>
      </c>
      <c r="C165" s="115" t="s">
        <v>548</v>
      </c>
      <c r="D165" s="115" t="s">
        <v>421</v>
      </c>
      <c r="E165" s="110">
        <v>13</v>
      </c>
      <c r="F165" s="110">
        <v>2</v>
      </c>
      <c r="G165" s="116">
        <v>2561</v>
      </c>
      <c r="H165" s="116">
        <v>2562</v>
      </c>
      <c r="I165" s="116">
        <f>[Исчисленный налог]-[Удержанный налог]</f>
        <v>-1</v>
      </c>
    </row>
    <row r="166" spans="1:9">
      <c r="A166" s="115">
        <v>2996576</v>
      </c>
      <c r="B166" s="115" t="s">
        <v>773</v>
      </c>
      <c r="C166" s="115" t="s">
        <v>387</v>
      </c>
      <c r="D166" s="115" t="s">
        <v>464</v>
      </c>
      <c r="E166" s="110">
        <v>13</v>
      </c>
      <c r="F166" s="110">
        <v>2</v>
      </c>
      <c r="G166" s="116">
        <v>74871</v>
      </c>
      <c r="H166" s="116">
        <v>74872</v>
      </c>
      <c r="I166" s="116">
        <f>[Исчисленный налог]-[Удержанный налог]</f>
        <v>-1</v>
      </c>
    </row>
    <row r="167" spans="1:9">
      <c r="A167" s="115">
        <v>1577594</v>
      </c>
      <c r="B167" s="115" t="s">
        <v>832</v>
      </c>
      <c r="C167" s="115" t="s">
        <v>516</v>
      </c>
      <c r="D167" s="115" t="s">
        <v>833</v>
      </c>
      <c r="E167" s="110">
        <v>13</v>
      </c>
      <c r="F167" s="110">
        <v>2</v>
      </c>
      <c r="G167" s="116">
        <v>7770</v>
      </c>
      <c r="H167" s="116">
        <v>7771</v>
      </c>
      <c r="I167" s="116">
        <f>[Исчисленный налог]-[Удержанный налог]</f>
        <v>-1</v>
      </c>
    </row>
    <row r="168" spans="1:9">
      <c r="A168" s="115">
        <v>1714297</v>
      </c>
      <c r="B168" s="115" t="s">
        <v>834</v>
      </c>
      <c r="C168" s="115" t="s">
        <v>327</v>
      </c>
      <c r="D168" s="115" t="s">
        <v>665</v>
      </c>
      <c r="E168" s="110">
        <v>13</v>
      </c>
      <c r="F168" s="110">
        <v>2</v>
      </c>
      <c r="G168" s="116">
        <v>6575</v>
      </c>
      <c r="H168" s="116">
        <v>6576</v>
      </c>
      <c r="I168" s="116">
        <f>[Исчисленный налог]-[Удержанный налог]</f>
        <v>-1</v>
      </c>
    </row>
    <row r="169" spans="1:9">
      <c r="A169" s="115">
        <v>2905784</v>
      </c>
      <c r="B169" s="115" t="s">
        <v>835</v>
      </c>
      <c r="C169" s="115" t="s">
        <v>327</v>
      </c>
      <c r="D169" s="115" t="s">
        <v>385</v>
      </c>
      <c r="E169" s="110">
        <v>13</v>
      </c>
      <c r="F169" s="110">
        <v>2</v>
      </c>
      <c r="G169" s="116">
        <v>307117</v>
      </c>
      <c r="H169" s="116">
        <v>307118</v>
      </c>
      <c r="I169" s="116">
        <f>[Исчисленный налог]-[Удержанный налог]</f>
        <v>-1</v>
      </c>
    </row>
    <row r="170" spans="1:9">
      <c r="A170" s="115">
        <v>2920207</v>
      </c>
      <c r="B170" s="115" t="s">
        <v>836</v>
      </c>
      <c r="C170" s="115" t="s">
        <v>548</v>
      </c>
      <c r="D170" s="115" t="s">
        <v>523</v>
      </c>
      <c r="E170" s="110">
        <v>13</v>
      </c>
      <c r="F170" s="110">
        <v>2</v>
      </c>
      <c r="G170" s="116">
        <v>2675</v>
      </c>
      <c r="H170" s="116">
        <v>2676</v>
      </c>
      <c r="I170" s="116">
        <f>[Исчисленный налог]-[Удержанный налог]</f>
        <v>-1</v>
      </c>
    </row>
    <row r="171" spans="1:9">
      <c r="A171" s="115">
        <v>2916950</v>
      </c>
      <c r="B171" s="115" t="s">
        <v>837</v>
      </c>
      <c r="C171" s="115" t="s">
        <v>838</v>
      </c>
      <c r="D171" s="115" t="s">
        <v>337</v>
      </c>
      <c r="E171" s="110">
        <v>13</v>
      </c>
      <c r="F171" s="110">
        <v>2</v>
      </c>
      <c r="G171" s="116">
        <v>2761</v>
      </c>
      <c r="H171" s="116">
        <v>2762</v>
      </c>
      <c r="I171" s="116">
        <f>[Исчисленный налог]-[Удержанный налог]</f>
        <v>-1</v>
      </c>
    </row>
    <row r="172" spans="1:9">
      <c r="A172" s="115">
        <v>2945831</v>
      </c>
      <c r="B172" s="115" t="s">
        <v>839</v>
      </c>
      <c r="C172" s="115" t="s">
        <v>840</v>
      </c>
      <c r="D172" s="115" t="s">
        <v>532</v>
      </c>
      <c r="E172" s="110">
        <v>13</v>
      </c>
      <c r="F172" s="110">
        <v>2</v>
      </c>
      <c r="G172" s="116">
        <v>4086</v>
      </c>
      <c r="H172" s="116">
        <v>4087</v>
      </c>
      <c r="I172" s="116">
        <f>[Исчисленный налог]-[Удержанный налог]</f>
        <v>-1</v>
      </c>
    </row>
    <row r="173" spans="1:9">
      <c r="A173" s="115">
        <v>1191916</v>
      </c>
      <c r="B173" s="115" t="s">
        <v>841</v>
      </c>
      <c r="C173" s="115" t="s">
        <v>321</v>
      </c>
      <c r="D173" s="115" t="s">
        <v>381</v>
      </c>
      <c r="E173" s="110">
        <v>13</v>
      </c>
      <c r="F173" s="110">
        <v>2</v>
      </c>
      <c r="G173" s="116">
        <v>50144</v>
      </c>
      <c r="H173" s="116">
        <v>50145</v>
      </c>
      <c r="I173" s="116">
        <f>[Исчисленный налог]-[Удержанный налог]</f>
        <v>-1</v>
      </c>
    </row>
    <row r="174" spans="1:9">
      <c r="A174" s="115">
        <v>1670290</v>
      </c>
      <c r="B174" s="115" t="s">
        <v>842</v>
      </c>
      <c r="C174" s="115" t="s">
        <v>838</v>
      </c>
      <c r="D174" s="115" t="s">
        <v>843</v>
      </c>
      <c r="E174" s="110">
        <v>13</v>
      </c>
      <c r="F174" s="110">
        <v>2</v>
      </c>
      <c r="G174" s="116">
        <v>3437</v>
      </c>
      <c r="H174" s="116">
        <v>3438</v>
      </c>
      <c r="I174" s="116">
        <f>[Исчисленный налог]-[Удержанный налог]</f>
        <v>-1</v>
      </c>
    </row>
    <row r="175" spans="1:9">
      <c r="A175" s="115">
        <v>1621129</v>
      </c>
      <c r="B175" s="115" t="s">
        <v>844</v>
      </c>
      <c r="C175" s="115" t="s">
        <v>456</v>
      </c>
      <c r="D175" s="115" t="s">
        <v>601</v>
      </c>
      <c r="E175" s="110">
        <v>13</v>
      </c>
      <c r="F175" s="110">
        <v>2</v>
      </c>
      <c r="G175" s="116">
        <v>11371</v>
      </c>
      <c r="H175" s="116">
        <v>11372</v>
      </c>
      <c r="I175" s="116">
        <f>[Исчисленный налог]-[Удержанный налог]</f>
        <v>-1</v>
      </c>
    </row>
    <row r="176" spans="1:9">
      <c r="A176" s="115">
        <v>2967880</v>
      </c>
      <c r="B176" s="115" t="s">
        <v>845</v>
      </c>
      <c r="C176" s="115" t="s">
        <v>342</v>
      </c>
      <c r="D176" s="115" t="s">
        <v>665</v>
      </c>
      <c r="E176" s="110">
        <v>13</v>
      </c>
      <c r="F176" s="110">
        <v>2</v>
      </c>
      <c r="G176" s="116">
        <v>15510</v>
      </c>
      <c r="H176" s="116">
        <v>15509</v>
      </c>
      <c r="I176" s="116">
        <f>[Исчисленный налог]-[Удержанный налог]</f>
        <v>1</v>
      </c>
    </row>
    <row r="177" spans="1:9">
      <c r="A177" s="115">
        <v>2891312</v>
      </c>
      <c r="B177" s="115" t="s">
        <v>846</v>
      </c>
      <c r="C177" s="115" t="s">
        <v>548</v>
      </c>
      <c r="D177" s="115" t="s">
        <v>331</v>
      </c>
      <c r="E177" s="110">
        <v>13</v>
      </c>
      <c r="F177" s="110">
        <v>2</v>
      </c>
      <c r="G177" s="116">
        <v>3522</v>
      </c>
      <c r="H177" s="116">
        <v>3521</v>
      </c>
      <c r="I177" s="116">
        <f>[Исчисленный налог]-[Удержанный налог]</f>
        <v>1</v>
      </c>
    </row>
    <row r="178" spans="1:9">
      <c r="A178" s="115">
        <v>2967107</v>
      </c>
      <c r="B178" s="115" t="s">
        <v>847</v>
      </c>
      <c r="C178" s="115" t="s">
        <v>321</v>
      </c>
      <c r="D178" s="115" t="s">
        <v>848</v>
      </c>
      <c r="E178" s="110">
        <v>13</v>
      </c>
      <c r="F178" s="110">
        <v>2</v>
      </c>
      <c r="G178" s="116">
        <v>6199</v>
      </c>
      <c r="H178" s="116">
        <v>6198</v>
      </c>
      <c r="I178" s="116">
        <f>[Исчисленный налог]-[Удержанный налог]</f>
        <v>1</v>
      </c>
    </row>
    <row r="179" spans="1:9">
      <c r="A179" s="115">
        <v>2977918</v>
      </c>
      <c r="B179" s="115" t="s">
        <v>849</v>
      </c>
      <c r="C179" s="115" t="s">
        <v>850</v>
      </c>
      <c r="D179" s="115" t="s">
        <v>412</v>
      </c>
      <c r="E179" s="110">
        <v>13</v>
      </c>
      <c r="F179" s="110">
        <v>1</v>
      </c>
      <c r="G179" s="116">
        <v>3481</v>
      </c>
      <c r="H179" s="116">
        <v>3480</v>
      </c>
      <c r="I179" s="116">
        <f>[Исчисленный налог]-[Удержанный налог]</f>
        <v>1</v>
      </c>
    </row>
    <row r="180" spans="1:9">
      <c r="A180" s="115">
        <v>2893876</v>
      </c>
      <c r="B180" s="115" t="s">
        <v>851</v>
      </c>
      <c r="C180" s="115" t="s">
        <v>436</v>
      </c>
      <c r="D180" s="115" t="s">
        <v>532</v>
      </c>
      <c r="E180" s="110">
        <v>13</v>
      </c>
      <c r="F180" s="110">
        <v>2</v>
      </c>
      <c r="G180" s="116">
        <v>11604</v>
      </c>
      <c r="H180" s="116">
        <v>11603</v>
      </c>
      <c r="I180" s="116">
        <f>[Исчисленный налог]-[Удержанный налог]</f>
        <v>1</v>
      </c>
    </row>
    <row r="181" spans="1:9">
      <c r="A181" s="115">
        <v>1425156</v>
      </c>
      <c r="B181" s="115" t="s">
        <v>852</v>
      </c>
      <c r="C181" s="115" t="s">
        <v>339</v>
      </c>
      <c r="D181" s="115" t="s">
        <v>523</v>
      </c>
      <c r="E181" s="110">
        <v>13</v>
      </c>
      <c r="F181" s="110">
        <v>2</v>
      </c>
      <c r="G181" s="116">
        <v>6176</v>
      </c>
      <c r="H181" s="116">
        <v>6175</v>
      </c>
      <c r="I181" s="116">
        <f>[Исчисленный налог]-[Удержанный налог]</f>
        <v>1</v>
      </c>
    </row>
    <row r="182" spans="1:9">
      <c r="A182" s="115">
        <v>2900839</v>
      </c>
      <c r="B182" s="115" t="s">
        <v>853</v>
      </c>
      <c r="C182" s="115" t="s">
        <v>380</v>
      </c>
      <c r="D182" s="115" t="s">
        <v>393</v>
      </c>
      <c r="E182" s="110">
        <v>13</v>
      </c>
      <c r="F182" s="110">
        <v>2</v>
      </c>
      <c r="G182" s="116">
        <v>6818</v>
      </c>
      <c r="H182" s="116">
        <v>6817</v>
      </c>
      <c r="I182" s="116">
        <f>[Исчисленный налог]-[Удержанный налог]</f>
        <v>1</v>
      </c>
    </row>
    <row r="183" spans="1:9">
      <c r="A183" s="115">
        <v>1351992</v>
      </c>
      <c r="B183" s="115" t="s">
        <v>854</v>
      </c>
      <c r="C183" s="115" t="s">
        <v>855</v>
      </c>
      <c r="D183" s="115" t="s">
        <v>856</v>
      </c>
      <c r="E183" s="110">
        <v>13</v>
      </c>
      <c r="F183" s="110">
        <v>2</v>
      </c>
      <c r="G183" s="116">
        <v>8192</v>
      </c>
      <c r="H183" s="116">
        <v>8191</v>
      </c>
      <c r="I183" s="116">
        <f>[Исчисленный налог]-[Удержанный налог]</f>
        <v>1</v>
      </c>
    </row>
    <row r="184" spans="1:9">
      <c r="A184" s="115">
        <v>1287127</v>
      </c>
      <c r="B184" s="115" t="s">
        <v>857</v>
      </c>
      <c r="C184" s="115" t="s">
        <v>321</v>
      </c>
      <c r="D184" s="115" t="s">
        <v>349</v>
      </c>
      <c r="E184" s="110">
        <v>13</v>
      </c>
      <c r="F184" s="110">
        <v>2</v>
      </c>
      <c r="G184" s="116">
        <v>16883</v>
      </c>
      <c r="H184" s="116">
        <v>16882</v>
      </c>
      <c r="I184" s="116">
        <f>[Исчисленный налог]-[Удержанный налог]</f>
        <v>1</v>
      </c>
    </row>
    <row r="185" spans="1:9">
      <c r="A185" s="115">
        <v>1158662</v>
      </c>
      <c r="B185" s="115" t="s">
        <v>858</v>
      </c>
      <c r="C185" s="115" t="s">
        <v>321</v>
      </c>
      <c r="D185" s="115" t="s">
        <v>402</v>
      </c>
      <c r="E185" s="110">
        <v>13</v>
      </c>
      <c r="F185" s="110">
        <v>2</v>
      </c>
      <c r="G185" s="116">
        <v>5467</v>
      </c>
      <c r="H185" s="116">
        <v>5466</v>
      </c>
      <c r="I185" s="116">
        <f>[Исчисленный налог]-[Удержанный налог]</f>
        <v>1</v>
      </c>
    </row>
    <row r="186" spans="1:9">
      <c r="A186" s="115">
        <v>3059614</v>
      </c>
      <c r="B186" s="115" t="s">
        <v>859</v>
      </c>
      <c r="C186" s="115" t="s">
        <v>339</v>
      </c>
      <c r="D186" s="115" t="s">
        <v>523</v>
      </c>
      <c r="E186" s="110">
        <v>13</v>
      </c>
      <c r="F186" s="110">
        <v>2</v>
      </c>
      <c r="G186" s="116">
        <v>89465</v>
      </c>
      <c r="H186" s="116">
        <v>89464</v>
      </c>
      <c r="I186" s="116">
        <f>[Исчисленный налог]-[Удержанный налог]</f>
        <v>1</v>
      </c>
    </row>
    <row r="187" spans="1:9">
      <c r="A187" s="115">
        <v>1172651</v>
      </c>
      <c r="B187" s="115" t="s">
        <v>860</v>
      </c>
      <c r="C187" s="115" t="s">
        <v>511</v>
      </c>
      <c r="D187" s="115" t="s">
        <v>526</v>
      </c>
      <c r="E187" s="110">
        <v>13</v>
      </c>
      <c r="F187" s="110">
        <v>2</v>
      </c>
      <c r="G187" s="116">
        <v>4158</v>
      </c>
      <c r="H187" s="116">
        <v>4157</v>
      </c>
      <c r="I187" s="116">
        <f>[Исчисленный налог]-[Удержанный налог]</f>
        <v>1</v>
      </c>
    </row>
    <row r="188" spans="1:9">
      <c r="A188" s="115">
        <v>2936406</v>
      </c>
      <c r="B188" s="115" t="s">
        <v>861</v>
      </c>
      <c r="C188" s="115" t="s">
        <v>321</v>
      </c>
      <c r="D188" s="115" t="s">
        <v>346</v>
      </c>
      <c r="E188" s="110">
        <v>13</v>
      </c>
      <c r="F188" s="110">
        <v>2</v>
      </c>
      <c r="G188" s="116">
        <v>5648</v>
      </c>
      <c r="H188" s="116">
        <v>5647</v>
      </c>
      <c r="I188" s="116">
        <f>[Исчисленный налог]-[Удержанный налог]</f>
        <v>1</v>
      </c>
    </row>
    <row r="189" spans="1:9">
      <c r="A189" s="115">
        <v>3027731</v>
      </c>
      <c r="B189" s="115" t="s">
        <v>862</v>
      </c>
      <c r="C189" s="115" t="s">
        <v>366</v>
      </c>
      <c r="D189" s="115" t="s">
        <v>771</v>
      </c>
      <c r="E189" s="110">
        <v>13</v>
      </c>
      <c r="F189" s="110">
        <v>2</v>
      </c>
      <c r="G189" s="116">
        <v>5438</v>
      </c>
      <c r="H189" s="116">
        <v>5437</v>
      </c>
      <c r="I189" s="116">
        <f>[Исчисленный налог]-[Удержанный налог]</f>
        <v>1</v>
      </c>
    </row>
    <row r="190" spans="1:9">
      <c r="A190" s="115">
        <v>2965222</v>
      </c>
      <c r="B190" s="115" t="s">
        <v>863</v>
      </c>
      <c r="C190" s="115" t="s">
        <v>321</v>
      </c>
      <c r="D190" s="115" t="s">
        <v>343</v>
      </c>
      <c r="E190" s="110">
        <v>13</v>
      </c>
      <c r="F190" s="110">
        <v>2</v>
      </c>
      <c r="G190" s="116">
        <v>2490</v>
      </c>
      <c r="H190" s="116">
        <v>2489</v>
      </c>
      <c r="I190" s="116">
        <f>[Исчисленный налог]-[Удержанный налог]</f>
        <v>1</v>
      </c>
    </row>
    <row r="191" spans="1:9">
      <c r="A191" s="115">
        <v>1393960</v>
      </c>
      <c r="B191" s="115" t="s">
        <v>864</v>
      </c>
      <c r="C191" s="115" t="s">
        <v>759</v>
      </c>
      <c r="D191" s="115" t="s">
        <v>383</v>
      </c>
      <c r="E191" s="110">
        <v>13</v>
      </c>
      <c r="F191" s="110">
        <v>2</v>
      </c>
      <c r="G191" s="116">
        <v>14583</v>
      </c>
      <c r="H191" s="116">
        <v>14582</v>
      </c>
      <c r="I191" s="116">
        <f>[Исчисленный налог]-[Удержанный налог]</f>
        <v>1</v>
      </c>
    </row>
    <row r="192" spans="1:9">
      <c r="A192" s="115">
        <v>2984967</v>
      </c>
      <c r="B192" s="115" t="s">
        <v>865</v>
      </c>
      <c r="C192" s="115" t="s">
        <v>866</v>
      </c>
      <c r="D192" s="115" t="s">
        <v>601</v>
      </c>
      <c r="E192" s="110">
        <v>13</v>
      </c>
      <c r="F192" s="110">
        <v>2</v>
      </c>
      <c r="G192" s="116">
        <v>2389</v>
      </c>
      <c r="H192" s="116">
        <v>2388</v>
      </c>
      <c r="I192" s="116">
        <f>[Исчисленный налог]-[Удержанный налог]</f>
        <v>1</v>
      </c>
    </row>
    <row r="193" spans="1:9">
      <c r="A193" s="115">
        <v>1381203</v>
      </c>
      <c r="B193" s="115" t="s">
        <v>867</v>
      </c>
      <c r="C193" s="115" t="s">
        <v>477</v>
      </c>
      <c r="D193" s="115" t="s">
        <v>346</v>
      </c>
      <c r="E193" s="110">
        <v>13</v>
      </c>
      <c r="F193" s="110">
        <v>2</v>
      </c>
      <c r="G193" s="116">
        <v>4733</v>
      </c>
      <c r="H193" s="116">
        <v>4732</v>
      </c>
      <c r="I193" s="116">
        <f>[Исчисленный налог]-[Удержанный налог]</f>
        <v>1</v>
      </c>
    </row>
    <row r="194" spans="1:9">
      <c r="A194" s="115">
        <v>2907328</v>
      </c>
      <c r="B194" s="115" t="s">
        <v>868</v>
      </c>
      <c r="C194" s="115" t="s">
        <v>354</v>
      </c>
      <c r="D194" s="115" t="s">
        <v>869</v>
      </c>
      <c r="E194" s="110">
        <v>13</v>
      </c>
      <c r="F194" s="110">
        <v>2</v>
      </c>
      <c r="G194" s="116">
        <v>27996</v>
      </c>
      <c r="H194" s="116">
        <v>27995</v>
      </c>
      <c r="I194" s="116">
        <f>[Исчисленный налог]-[Удержанный налог]</f>
        <v>1</v>
      </c>
    </row>
    <row r="195" spans="1:9">
      <c r="A195" s="115">
        <v>1218525</v>
      </c>
      <c r="B195" s="115" t="s">
        <v>870</v>
      </c>
      <c r="C195" s="115" t="s">
        <v>327</v>
      </c>
      <c r="D195" s="115" t="s">
        <v>349</v>
      </c>
      <c r="E195" s="110">
        <v>13</v>
      </c>
      <c r="F195" s="110">
        <v>2</v>
      </c>
      <c r="G195" s="116">
        <v>3011</v>
      </c>
      <c r="H195" s="116">
        <v>3010</v>
      </c>
      <c r="I195" s="116">
        <f>[Исчисленный налог]-[Удержанный налог]</f>
        <v>1</v>
      </c>
    </row>
    <row r="196" spans="1:9">
      <c r="A196" s="115">
        <v>1054573</v>
      </c>
      <c r="B196" s="115" t="s">
        <v>871</v>
      </c>
      <c r="C196" s="115" t="s">
        <v>872</v>
      </c>
      <c r="D196" s="115" t="s">
        <v>873</v>
      </c>
      <c r="E196" s="110">
        <v>13</v>
      </c>
      <c r="F196" s="110">
        <v>2</v>
      </c>
      <c r="G196" s="116">
        <v>3289</v>
      </c>
      <c r="H196" s="116">
        <v>3288</v>
      </c>
      <c r="I196" s="116">
        <f>[Исчисленный налог]-[Удержанный налог]</f>
        <v>1</v>
      </c>
    </row>
    <row r="197" spans="1:9">
      <c r="A197" s="115">
        <v>2896038</v>
      </c>
      <c r="B197" s="115" t="s">
        <v>874</v>
      </c>
      <c r="C197" s="115" t="s">
        <v>517</v>
      </c>
      <c r="D197" s="115" t="s">
        <v>381</v>
      </c>
      <c r="E197" s="110">
        <v>13</v>
      </c>
      <c r="F197" s="110">
        <v>2</v>
      </c>
      <c r="G197" s="116">
        <v>28188</v>
      </c>
      <c r="H197" s="116">
        <v>28187</v>
      </c>
      <c r="I197" s="116">
        <f>[Исчисленный налог]-[Удержанный налог]</f>
        <v>1</v>
      </c>
    </row>
    <row r="198" spans="1:9">
      <c r="A198" s="115">
        <v>2960654</v>
      </c>
      <c r="B198" s="115" t="s">
        <v>875</v>
      </c>
      <c r="C198" s="115" t="s">
        <v>387</v>
      </c>
      <c r="D198" s="115" t="s">
        <v>523</v>
      </c>
      <c r="E198" s="110">
        <v>13</v>
      </c>
      <c r="F198" s="110">
        <v>2</v>
      </c>
      <c r="G198" s="116">
        <v>4505</v>
      </c>
      <c r="H198" s="116">
        <v>4504</v>
      </c>
      <c r="I198" s="116">
        <f>[Исчисленный налог]-[Удержанный налог]</f>
        <v>1</v>
      </c>
    </row>
    <row r="199" spans="1:9">
      <c r="A199" s="115">
        <v>2979183</v>
      </c>
      <c r="B199" s="115" t="s">
        <v>876</v>
      </c>
      <c r="C199" s="115" t="s">
        <v>354</v>
      </c>
      <c r="D199" s="115" t="s">
        <v>385</v>
      </c>
      <c r="E199" s="110">
        <v>13</v>
      </c>
      <c r="F199" s="110">
        <v>2</v>
      </c>
      <c r="G199" s="116">
        <v>9298</v>
      </c>
      <c r="H199" s="116">
        <v>9297</v>
      </c>
      <c r="I199" s="116">
        <f>[Исчисленный налог]-[Удержанный налог]</f>
        <v>1</v>
      </c>
    </row>
    <row r="200" spans="1:9">
      <c r="A200" s="115">
        <v>1536018</v>
      </c>
      <c r="B200" s="115" t="s">
        <v>877</v>
      </c>
      <c r="C200" s="115" t="s">
        <v>387</v>
      </c>
      <c r="D200" s="115" t="s">
        <v>367</v>
      </c>
      <c r="E200" s="110">
        <v>13</v>
      </c>
      <c r="F200" s="110">
        <v>2</v>
      </c>
      <c r="G200" s="116">
        <v>12762</v>
      </c>
      <c r="H200" s="116">
        <v>12761</v>
      </c>
      <c r="I200" s="116">
        <f>[Исчисленный налог]-[Удержанный налог]</f>
        <v>1</v>
      </c>
    </row>
    <row r="201" spans="1:9">
      <c r="A201" s="115">
        <v>1482977</v>
      </c>
      <c r="B201" s="115" t="s">
        <v>878</v>
      </c>
      <c r="C201" s="115" t="s">
        <v>537</v>
      </c>
      <c r="D201" s="115" t="s">
        <v>328</v>
      </c>
      <c r="E201" s="110">
        <v>13</v>
      </c>
      <c r="F201" s="110">
        <v>2</v>
      </c>
      <c r="G201" s="116">
        <v>7797</v>
      </c>
      <c r="H201" s="116">
        <v>7796</v>
      </c>
      <c r="I201" s="116">
        <f>[Исчисленный налог]-[Удержанный налог]</f>
        <v>1</v>
      </c>
    </row>
    <row r="202" spans="1:9">
      <c r="A202" s="115">
        <v>1569784</v>
      </c>
      <c r="B202" s="115" t="s">
        <v>879</v>
      </c>
      <c r="C202" s="115" t="s">
        <v>345</v>
      </c>
      <c r="D202" s="115" t="s">
        <v>665</v>
      </c>
      <c r="E202" s="110">
        <v>13</v>
      </c>
      <c r="F202" s="110">
        <v>2</v>
      </c>
      <c r="G202" s="116">
        <v>5082</v>
      </c>
      <c r="H202" s="116">
        <v>5081</v>
      </c>
      <c r="I202" s="116">
        <f>[Исчисленный налог]-[Удержанный налог]</f>
        <v>1</v>
      </c>
    </row>
    <row r="203" spans="1:9">
      <c r="A203" s="115">
        <v>2887269</v>
      </c>
      <c r="B203" s="115" t="s">
        <v>880</v>
      </c>
      <c r="C203" s="115" t="s">
        <v>471</v>
      </c>
      <c r="D203" s="115" t="s">
        <v>577</v>
      </c>
      <c r="E203" s="110">
        <v>13</v>
      </c>
      <c r="F203" s="110">
        <v>2</v>
      </c>
      <c r="G203" s="116">
        <v>5219</v>
      </c>
      <c r="H203" s="116">
        <v>5218</v>
      </c>
      <c r="I203" s="116">
        <f>[Исчисленный налог]-[Удержанный налог]</f>
        <v>1</v>
      </c>
    </row>
    <row r="204" spans="1:9">
      <c r="A204" s="115">
        <v>1404505</v>
      </c>
      <c r="B204" s="115" t="s">
        <v>881</v>
      </c>
      <c r="C204" s="115" t="s">
        <v>600</v>
      </c>
      <c r="D204" s="115" t="s">
        <v>479</v>
      </c>
      <c r="E204" s="110">
        <v>13</v>
      </c>
      <c r="F204" s="110">
        <v>2</v>
      </c>
      <c r="G204" s="116">
        <v>5449</v>
      </c>
      <c r="H204" s="116">
        <v>5448</v>
      </c>
      <c r="I204" s="116">
        <f>[Исчисленный налог]-[Удержанный налог]</f>
        <v>1</v>
      </c>
    </row>
    <row r="205" spans="1:9">
      <c r="A205" s="115">
        <v>2889289</v>
      </c>
      <c r="B205" s="115" t="s">
        <v>882</v>
      </c>
      <c r="C205" s="115" t="s">
        <v>883</v>
      </c>
      <c r="D205" s="115" t="s">
        <v>884</v>
      </c>
      <c r="E205" s="110">
        <v>13</v>
      </c>
      <c r="F205" s="110">
        <v>2</v>
      </c>
      <c r="G205" s="116">
        <v>8246</v>
      </c>
      <c r="H205" s="116">
        <v>8245</v>
      </c>
      <c r="I205" s="116">
        <f>[Исчисленный налог]-[Удержанный налог]</f>
        <v>1</v>
      </c>
    </row>
    <row r="206" spans="1:9">
      <c r="A206" s="115">
        <v>3069531</v>
      </c>
      <c r="B206" s="115" t="s">
        <v>885</v>
      </c>
      <c r="C206" s="115" t="s">
        <v>699</v>
      </c>
      <c r="D206" s="115" t="s">
        <v>523</v>
      </c>
      <c r="E206" s="110">
        <v>13</v>
      </c>
      <c r="F206" s="110">
        <v>2</v>
      </c>
      <c r="G206" s="116">
        <v>20959</v>
      </c>
      <c r="H206" s="116">
        <v>20958</v>
      </c>
      <c r="I206" s="116">
        <f>[Исчисленный налог]-[Удержанный налог]</f>
        <v>1</v>
      </c>
    </row>
    <row r="207" spans="1:9">
      <c r="A207" s="115">
        <v>2932591</v>
      </c>
      <c r="B207" s="115" t="s">
        <v>886</v>
      </c>
      <c r="C207" s="115" t="s">
        <v>417</v>
      </c>
      <c r="D207" s="115" t="s">
        <v>364</v>
      </c>
      <c r="E207" s="110">
        <v>13</v>
      </c>
      <c r="F207" s="110">
        <v>2</v>
      </c>
      <c r="G207" s="116">
        <v>27650</v>
      </c>
      <c r="H207" s="116">
        <v>27649</v>
      </c>
      <c r="I207" s="116">
        <f>[Исчисленный налог]-[Удержанный налог]</f>
        <v>1</v>
      </c>
    </row>
    <row r="208" spans="1:9">
      <c r="A208" s="115">
        <v>2920243</v>
      </c>
      <c r="B208" s="115" t="s">
        <v>887</v>
      </c>
      <c r="C208" s="115" t="s">
        <v>321</v>
      </c>
      <c r="D208" s="115" t="s">
        <v>449</v>
      </c>
      <c r="E208" s="110">
        <v>13</v>
      </c>
      <c r="F208" s="110">
        <v>2</v>
      </c>
      <c r="G208" s="116">
        <v>3752</v>
      </c>
      <c r="H208" s="116">
        <v>3751</v>
      </c>
      <c r="I208" s="116">
        <f>[Исчисленный налог]-[Удержанный налог]</f>
        <v>1</v>
      </c>
    </row>
    <row r="209" spans="1:9">
      <c r="A209" s="115">
        <v>2963117</v>
      </c>
      <c r="B209" s="115" t="s">
        <v>888</v>
      </c>
      <c r="C209" s="115" t="s">
        <v>380</v>
      </c>
      <c r="D209" s="115" t="s">
        <v>385</v>
      </c>
      <c r="E209" s="110">
        <v>13</v>
      </c>
      <c r="F209" s="110">
        <v>2</v>
      </c>
      <c r="G209" s="116">
        <v>9724</v>
      </c>
      <c r="H209" s="116">
        <v>9723</v>
      </c>
      <c r="I209" s="116">
        <f>[Исчисленный налог]-[Удержанный налог]</f>
        <v>1</v>
      </c>
    </row>
    <row r="210" spans="1:9">
      <c r="A210" s="115">
        <v>1514538</v>
      </c>
      <c r="B210" s="115" t="s">
        <v>889</v>
      </c>
      <c r="C210" s="115" t="s">
        <v>742</v>
      </c>
      <c r="D210" s="115" t="s">
        <v>383</v>
      </c>
      <c r="E210" s="110">
        <v>13</v>
      </c>
      <c r="F210" s="110">
        <v>2</v>
      </c>
      <c r="G210" s="116">
        <v>7257</v>
      </c>
      <c r="H210" s="116">
        <v>7256</v>
      </c>
      <c r="I210" s="116">
        <f>[Исчисленный налог]-[Удержанный налог]</f>
        <v>1</v>
      </c>
    </row>
    <row r="211" spans="1:9">
      <c r="A211" s="115">
        <v>2907644</v>
      </c>
      <c r="B211" s="115" t="s">
        <v>890</v>
      </c>
      <c r="C211" s="115" t="s">
        <v>555</v>
      </c>
      <c r="D211" s="115" t="s">
        <v>396</v>
      </c>
      <c r="E211" s="110">
        <v>13</v>
      </c>
      <c r="F211" s="110">
        <v>2</v>
      </c>
      <c r="G211" s="116">
        <v>5123</v>
      </c>
      <c r="H211" s="116">
        <v>5122</v>
      </c>
      <c r="I211" s="116">
        <f>[Исчисленный налог]-[Удержанный налог]</f>
        <v>1</v>
      </c>
    </row>
    <row r="212" spans="1:9">
      <c r="A212" s="115">
        <v>2907524</v>
      </c>
      <c r="B212" s="115" t="s">
        <v>891</v>
      </c>
      <c r="C212" s="115" t="s">
        <v>321</v>
      </c>
      <c r="D212" s="115" t="s">
        <v>355</v>
      </c>
      <c r="E212" s="110">
        <v>13</v>
      </c>
      <c r="F212" s="110">
        <v>2</v>
      </c>
      <c r="G212" s="116">
        <v>8523</v>
      </c>
      <c r="H212" s="116">
        <v>8522</v>
      </c>
      <c r="I212" s="116">
        <f>[Исчисленный налог]-[Удержанный налог]</f>
        <v>1</v>
      </c>
    </row>
    <row r="213" spans="1:9">
      <c r="A213" s="115">
        <v>2977676</v>
      </c>
      <c r="B213" s="115" t="s">
        <v>892</v>
      </c>
      <c r="C213" s="115" t="s">
        <v>354</v>
      </c>
      <c r="D213" s="115" t="s">
        <v>343</v>
      </c>
      <c r="E213" s="110">
        <v>13</v>
      </c>
      <c r="F213" s="110">
        <v>2</v>
      </c>
      <c r="G213" s="116">
        <v>21556</v>
      </c>
      <c r="H213" s="116">
        <v>21555</v>
      </c>
      <c r="I213" s="116">
        <f>[Исчисленный налог]-[Удержанный налог]</f>
        <v>1</v>
      </c>
    </row>
    <row r="214" spans="1:9">
      <c r="A214" s="115">
        <v>1395854</v>
      </c>
      <c r="B214" s="115" t="s">
        <v>893</v>
      </c>
      <c r="C214" s="115" t="s">
        <v>456</v>
      </c>
      <c r="D214" s="115" t="s">
        <v>325</v>
      </c>
      <c r="E214" s="110">
        <v>13</v>
      </c>
      <c r="F214" s="110">
        <v>2</v>
      </c>
      <c r="G214" s="116">
        <v>7929</v>
      </c>
      <c r="H214" s="116">
        <v>7928</v>
      </c>
      <c r="I214" s="116">
        <f>[Исчисленный налог]-[Удержанный налог]</f>
        <v>1</v>
      </c>
    </row>
    <row r="215" spans="1:9">
      <c r="A215" s="115">
        <v>2998720</v>
      </c>
      <c r="B215" s="115" t="s">
        <v>894</v>
      </c>
      <c r="C215" s="115" t="s">
        <v>482</v>
      </c>
      <c r="D215" s="115" t="s">
        <v>367</v>
      </c>
      <c r="E215" s="110">
        <v>13</v>
      </c>
      <c r="F215" s="110">
        <v>3</v>
      </c>
      <c r="G215" s="116">
        <v>11296</v>
      </c>
      <c r="H215" s="116">
        <v>11295</v>
      </c>
      <c r="I215" s="116">
        <f>[Исчисленный налог]-[Удержанный налог]</f>
        <v>1</v>
      </c>
    </row>
    <row r="216" spans="1:9">
      <c r="A216" s="115">
        <v>1401126</v>
      </c>
      <c r="B216" s="115" t="s">
        <v>895</v>
      </c>
      <c r="C216" s="115" t="s">
        <v>354</v>
      </c>
      <c r="D216" s="115" t="s">
        <v>896</v>
      </c>
      <c r="E216" s="110">
        <v>13</v>
      </c>
      <c r="F216" s="110">
        <v>2</v>
      </c>
      <c r="G216" s="116">
        <v>6106</v>
      </c>
      <c r="H216" s="116">
        <v>6105</v>
      </c>
      <c r="I216" s="116">
        <f>[Исчисленный налог]-[Удержанный налог]</f>
        <v>1</v>
      </c>
    </row>
    <row r="217" spans="1:9">
      <c r="A217" s="115">
        <v>2951179</v>
      </c>
      <c r="B217" s="115" t="s">
        <v>897</v>
      </c>
      <c r="C217" s="115" t="s">
        <v>459</v>
      </c>
      <c r="D217" s="115" t="s">
        <v>898</v>
      </c>
      <c r="E217" s="110">
        <v>13</v>
      </c>
      <c r="F217" s="110">
        <v>2</v>
      </c>
      <c r="G217" s="116">
        <v>5227</v>
      </c>
      <c r="H217" s="116">
        <v>5226</v>
      </c>
      <c r="I217" s="116">
        <f>[Исчисленный налог]-[Удержанный налог]</f>
        <v>1</v>
      </c>
    </row>
    <row r="218" spans="1:9">
      <c r="A218" s="115">
        <v>3047647</v>
      </c>
      <c r="B218" s="115" t="s">
        <v>899</v>
      </c>
      <c r="C218" s="115" t="s">
        <v>742</v>
      </c>
      <c r="D218" s="115" t="s">
        <v>613</v>
      </c>
      <c r="E218" s="110">
        <v>13</v>
      </c>
      <c r="F218" s="110">
        <v>2</v>
      </c>
      <c r="G218" s="116">
        <v>19558</v>
      </c>
      <c r="H218" s="116">
        <v>19557</v>
      </c>
      <c r="I218" s="116">
        <f>[Исчисленный налог]-[Удержанный налог]</f>
        <v>1</v>
      </c>
    </row>
    <row r="219" spans="1:9">
      <c r="A219" s="115">
        <v>2975618</v>
      </c>
      <c r="B219" s="115" t="s">
        <v>900</v>
      </c>
      <c r="C219" s="115" t="s">
        <v>656</v>
      </c>
      <c r="D219" s="115" t="s">
        <v>901</v>
      </c>
      <c r="E219" s="110">
        <v>13</v>
      </c>
      <c r="F219" s="110">
        <v>2</v>
      </c>
      <c r="G219" s="116">
        <v>19042</v>
      </c>
      <c r="H219" s="116">
        <v>19041</v>
      </c>
      <c r="I219" s="116">
        <f>[Исчисленный налог]-[Удержанный налог]</f>
        <v>1</v>
      </c>
    </row>
    <row r="220" spans="1:9">
      <c r="A220" s="115">
        <v>1181653</v>
      </c>
      <c r="B220" s="115" t="s">
        <v>902</v>
      </c>
      <c r="C220" s="115" t="s">
        <v>345</v>
      </c>
      <c r="D220" s="115" t="s">
        <v>633</v>
      </c>
      <c r="E220" s="110">
        <v>13</v>
      </c>
      <c r="F220" s="110">
        <v>2</v>
      </c>
      <c r="G220" s="116">
        <v>9064</v>
      </c>
      <c r="H220" s="116">
        <v>9063</v>
      </c>
      <c r="I220" s="116">
        <f>[Исчисленный налог]-[Удержанный налог]</f>
        <v>1</v>
      </c>
    </row>
    <row r="221" spans="1:9">
      <c r="A221" s="115">
        <v>1656208</v>
      </c>
      <c r="B221" s="115" t="s">
        <v>903</v>
      </c>
      <c r="C221" s="115" t="s">
        <v>321</v>
      </c>
      <c r="D221" s="115" t="s">
        <v>370</v>
      </c>
      <c r="E221" s="110">
        <v>13</v>
      </c>
      <c r="F221" s="110">
        <v>2</v>
      </c>
      <c r="G221" s="116">
        <v>7062</v>
      </c>
      <c r="H221" s="116">
        <v>7061</v>
      </c>
      <c r="I221" s="116">
        <f>[Исчисленный налог]-[Удержанный налог]</f>
        <v>1</v>
      </c>
    </row>
    <row r="222" spans="1:9">
      <c r="A222" s="115">
        <v>3069977</v>
      </c>
      <c r="B222" s="115" t="s">
        <v>904</v>
      </c>
      <c r="C222" s="115" t="s">
        <v>342</v>
      </c>
      <c r="D222" s="115" t="s">
        <v>543</v>
      </c>
      <c r="E222" s="110">
        <v>13</v>
      </c>
      <c r="F222" s="110">
        <v>2</v>
      </c>
      <c r="G222" s="116">
        <v>9538</v>
      </c>
      <c r="H222" s="116">
        <v>9537</v>
      </c>
      <c r="I222" s="116">
        <f>[Исчисленный налог]-[Удержанный налог]</f>
        <v>1</v>
      </c>
    </row>
    <row r="223" spans="1:9">
      <c r="A223" s="115">
        <v>1307016</v>
      </c>
      <c r="B223" s="115" t="s">
        <v>719</v>
      </c>
      <c r="C223" s="115" t="s">
        <v>401</v>
      </c>
      <c r="D223" s="115" t="s">
        <v>328</v>
      </c>
      <c r="E223" s="110">
        <v>13</v>
      </c>
      <c r="F223" s="110">
        <v>2</v>
      </c>
      <c r="G223" s="116">
        <v>6638</v>
      </c>
      <c r="H223" s="116">
        <v>6637</v>
      </c>
      <c r="I223" s="116">
        <f>[Исчисленный налог]-[Удержанный налог]</f>
        <v>1</v>
      </c>
    </row>
    <row r="224" spans="1:9">
      <c r="A224" s="115">
        <v>2889352</v>
      </c>
      <c r="B224" s="115" t="s">
        <v>905</v>
      </c>
      <c r="C224" s="115" t="s">
        <v>600</v>
      </c>
      <c r="D224" s="115" t="s">
        <v>367</v>
      </c>
      <c r="E224" s="110">
        <v>13</v>
      </c>
      <c r="F224" s="110">
        <v>2</v>
      </c>
      <c r="G224" s="116">
        <v>3698</v>
      </c>
      <c r="H224" s="116">
        <v>3697</v>
      </c>
      <c r="I224" s="116">
        <f>[Исчисленный налог]-[Удержанный налог]</f>
        <v>1</v>
      </c>
    </row>
    <row r="225" spans="1:9">
      <c r="A225" s="115">
        <v>1731759</v>
      </c>
      <c r="B225" s="115" t="s">
        <v>906</v>
      </c>
      <c r="C225" s="115" t="s">
        <v>583</v>
      </c>
      <c r="D225" s="115" t="s">
        <v>523</v>
      </c>
      <c r="E225" s="110">
        <v>13</v>
      </c>
      <c r="F225" s="110">
        <v>2</v>
      </c>
      <c r="G225" s="116">
        <v>9670</v>
      </c>
      <c r="H225" s="116">
        <v>9669</v>
      </c>
      <c r="I225" s="116">
        <f>[Исчисленный налог]-[Удержанный налог]</f>
        <v>1</v>
      </c>
    </row>
    <row r="226" spans="1:9">
      <c r="A226" s="115">
        <v>3003413</v>
      </c>
      <c r="B226" s="115" t="s">
        <v>907</v>
      </c>
      <c r="C226" s="115" t="s">
        <v>369</v>
      </c>
      <c r="D226" s="115" t="s">
        <v>385</v>
      </c>
      <c r="E226" s="110">
        <v>13</v>
      </c>
      <c r="F226" s="110">
        <v>2</v>
      </c>
      <c r="G226" s="116">
        <v>9345</v>
      </c>
      <c r="H226" s="116">
        <v>9344</v>
      </c>
      <c r="I226" s="116">
        <f>[Исчисленный налог]-[Удержанный налог]</f>
        <v>1</v>
      </c>
    </row>
    <row r="227" spans="1:9">
      <c r="A227" s="115">
        <v>2896201</v>
      </c>
      <c r="B227" s="115" t="s">
        <v>908</v>
      </c>
      <c r="C227" s="115" t="s">
        <v>909</v>
      </c>
      <c r="D227" s="115" t="s">
        <v>355</v>
      </c>
      <c r="E227" s="110">
        <v>13</v>
      </c>
      <c r="F227" s="110">
        <v>2</v>
      </c>
      <c r="G227" s="116">
        <v>8319</v>
      </c>
      <c r="H227" s="116">
        <v>8318</v>
      </c>
      <c r="I227" s="116">
        <f>[Исчисленный налог]-[Удержанный налог]</f>
        <v>1</v>
      </c>
    </row>
    <row r="228" spans="1:9">
      <c r="A228" s="115">
        <v>1360081</v>
      </c>
      <c r="B228" s="115" t="s">
        <v>598</v>
      </c>
      <c r="C228" s="115" t="s">
        <v>583</v>
      </c>
      <c r="D228" s="115" t="s">
        <v>337</v>
      </c>
      <c r="E228" s="110">
        <v>13</v>
      </c>
      <c r="F228" s="110">
        <v>2</v>
      </c>
      <c r="G228" s="116">
        <v>3414</v>
      </c>
      <c r="H228" s="116">
        <v>3413</v>
      </c>
      <c r="I228" s="116">
        <f>[Исчисленный налог]-[Удержанный налог]</f>
        <v>1</v>
      </c>
    </row>
    <row r="229" spans="1:9">
      <c r="A229" s="115">
        <v>3069614</v>
      </c>
      <c r="B229" s="115" t="s">
        <v>910</v>
      </c>
      <c r="C229" s="115" t="s">
        <v>354</v>
      </c>
      <c r="D229" s="115" t="s">
        <v>381</v>
      </c>
      <c r="E229" s="110">
        <v>13</v>
      </c>
      <c r="F229" s="110">
        <v>2</v>
      </c>
      <c r="G229" s="116">
        <v>4919</v>
      </c>
      <c r="H229" s="116">
        <v>4918</v>
      </c>
      <c r="I229" s="116">
        <f>[Исчисленный налог]-[Удержанный налог]</f>
        <v>1</v>
      </c>
    </row>
    <row r="230" spans="1:9">
      <c r="A230" s="115">
        <v>3070597</v>
      </c>
      <c r="B230" s="115" t="s">
        <v>911</v>
      </c>
      <c r="C230" s="115" t="s">
        <v>321</v>
      </c>
      <c r="D230" s="115" t="s">
        <v>328</v>
      </c>
      <c r="E230" s="110">
        <v>13</v>
      </c>
      <c r="F230" s="110">
        <v>2</v>
      </c>
      <c r="G230" s="116">
        <v>4993</v>
      </c>
      <c r="H230" s="116">
        <v>4992</v>
      </c>
      <c r="I230" s="116">
        <f>[Исчисленный налог]-[Удержанный налог]</f>
        <v>1</v>
      </c>
    </row>
    <row r="231" spans="1:9">
      <c r="A231" s="115">
        <v>2964714</v>
      </c>
      <c r="B231" s="115" t="s">
        <v>912</v>
      </c>
      <c r="C231" s="115" t="s">
        <v>913</v>
      </c>
      <c r="D231" s="115" t="s">
        <v>343</v>
      </c>
      <c r="E231" s="110">
        <v>13</v>
      </c>
      <c r="F231" s="110">
        <v>2</v>
      </c>
      <c r="G231" s="116">
        <v>13928</v>
      </c>
      <c r="H231" s="116">
        <v>13927</v>
      </c>
      <c r="I231" s="116">
        <f>[Исчисленный налог]-[Удержанный налог]</f>
        <v>1</v>
      </c>
    </row>
    <row r="232" spans="1:9">
      <c r="A232" s="115">
        <v>3022732</v>
      </c>
      <c r="B232" s="115" t="s">
        <v>914</v>
      </c>
      <c r="C232" s="115" t="s">
        <v>327</v>
      </c>
      <c r="D232" s="115" t="s">
        <v>915</v>
      </c>
      <c r="E232" s="110">
        <v>13</v>
      </c>
      <c r="F232" s="110">
        <v>2</v>
      </c>
      <c r="G232" s="116">
        <v>26977</v>
      </c>
      <c r="H232" s="116">
        <v>26976</v>
      </c>
      <c r="I232" s="116">
        <f>[Исчисленный налог]-[Удержанный налог]</f>
        <v>1</v>
      </c>
    </row>
    <row r="233" spans="1:9">
      <c r="A233" s="115">
        <v>2933501</v>
      </c>
      <c r="B233" s="115" t="s">
        <v>822</v>
      </c>
      <c r="C233" s="115" t="s">
        <v>354</v>
      </c>
      <c r="D233" s="115" t="s">
        <v>343</v>
      </c>
      <c r="E233" s="110">
        <v>13</v>
      </c>
      <c r="F233" s="110">
        <v>2</v>
      </c>
      <c r="G233" s="116">
        <v>3949</v>
      </c>
      <c r="H233" s="116">
        <v>3948</v>
      </c>
      <c r="I233" s="116">
        <f>[Исчисленный налог]-[Удержанный налог]</f>
        <v>1</v>
      </c>
    </row>
    <row r="234" spans="1:9">
      <c r="A234" s="115">
        <v>2888080</v>
      </c>
      <c r="B234" s="115" t="s">
        <v>916</v>
      </c>
      <c r="C234" s="115" t="s">
        <v>699</v>
      </c>
      <c r="D234" s="115" t="s">
        <v>601</v>
      </c>
      <c r="E234" s="110">
        <v>13</v>
      </c>
      <c r="F234" s="110">
        <v>2</v>
      </c>
      <c r="G234" s="116">
        <v>15098</v>
      </c>
      <c r="H234" s="116">
        <v>15097</v>
      </c>
      <c r="I234" s="116">
        <f>[Исчисленный налог]-[Удержанный налог]</f>
        <v>1</v>
      </c>
    </row>
    <row r="235" spans="1:9">
      <c r="A235" s="115">
        <v>2897700</v>
      </c>
      <c r="B235" s="115" t="s">
        <v>917</v>
      </c>
      <c r="C235" s="115" t="s">
        <v>342</v>
      </c>
      <c r="D235" s="115" t="s">
        <v>328</v>
      </c>
      <c r="E235" s="110">
        <v>13</v>
      </c>
      <c r="F235" s="110">
        <v>2</v>
      </c>
      <c r="G235" s="116">
        <v>11229</v>
      </c>
      <c r="H235" s="116">
        <v>11228</v>
      </c>
      <c r="I235" s="116">
        <f>[Исчисленный налог]-[Удержанный налог]</f>
        <v>1</v>
      </c>
    </row>
    <row r="236" spans="1:9">
      <c r="A236" s="115">
        <v>1724433</v>
      </c>
      <c r="B236" s="115" t="s">
        <v>918</v>
      </c>
      <c r="C236" s="115" t="s">
        <v>380</v>
      </c>
      <c r="D236" s="115" t="s">
        <v>402</v>
      </c>
      <c r="E236" s="110">
        <v>13</v>
      </c>
      <c r="F236" s="110">
        <v>2</v>
      </c>
      <c r="G236" s="116">
        <v>17941</v>
      </c>
      <c r="H236" s="116">
        <v>17940</v>
      </c>
      <c r="I236" s="116">
        <f>[Исчисленный налог]-[Удержанный налог]</f>
        <v>1</v>
      </c>
    </row>
    <row r="237" spans="1:9">
      <c r="A237" s="115">
        <v>1249358</v>
      </c>
      <c r="B237" s="115" t="s">
        <v>919</v>
      </c>
      <c r="C237" s="115" t="s">
        <v>321</v>
      </c>
      <c r="D237" s="115" t="s">
        <v>349</v>
      </c>
      <c r="E237" s="110">
        <v>13</v>
      </c>
      <c r="F237" s="110">
        <v>2</v>
      </c>
      <c r="G237" s="116">
        <v>12481</v>
      </c>
      <c r="H237" s="116">
        <v>12480</v>
      </c>
      <c r="I237" s="116">
        <f>[Исчисленный налог]-[Удержанный налог]</f>
        <v>1</v>
      </c>
    </row>
    <row r="238" spans="1:9">
      <c r="A238" s="115">
        <v>2889323</v>
      </c>
      <c r="B238" s="115" t="s">
        <v>920</v>
      </c>
      <c r="C238" s="115" t="s">
        <v>921</v>
      </c>
      <c r="D238" s="115" t="s">
        <v>922</v>
      </c>
      <c r="E238" s="110">
        <v>13</v>
      </c>
      <c r="F238" s="110">
        <v>2</v>
      </c>
      <c r="G238" s="116">
        <v>98576</v>
      </c>
      <c r="H238" s="116">
        <v>98575</v>
      </c>
      <c r="I238" s="116">
        <f>[Исчисленный налог]-[Удержанный налог]</f>
        <v>1</v>
      </c>
    </row>
    <row r="239" spans="1:9">
      <c r="A239" s="115">
        <v>1364650</v>
      </c>
      <c r="B239" s="115" t="s">
        <v>923</v>
      </c>
      <c r="C239" s="115" t="s">
        <v>372</v>
      </c>
      <c r="D239" s="115" t="s">
        <v>519</v>
      </c>
      <c r="E239" s="110">
        <v>13</v>
      </c>
      <c r="F239" s="110">
        <v>2</v>
      </c>
      <c r="G239" s="116">
        <v>9031</v>
      </c>
      <c r="H239" s="116">
        <v>9030</v>
      </c>
      <c r="I239" s="116">
        <f>[Исчисленный налог]-[Удержанный налог]</f>
        <v>1</v>
      </c>
    </row>
    <row r="240" spans="1:9">
      <c r="A240" s="115">
        <v>1565514</v>
      </c>
      <c r="B240" s="115" t="s">
        <v>924</v>
      </c>
      <c r="C240" s="115" t="s">
        <v>471</v>
      </c>
      <c r="D240" s="115" t="s">
        <v>328</v>
      </c>
      <c r="E240" s="110">
        <v>13</v>
      </c>
      <c r="F240" s="110">
        <v>2</v>
      </c>
      <c r="G240" s="116">
        <v>7101</v>
      </c>
      <c r="H240" s="116">
        <v>7100</v>
      </c>
      <c r="I240" s="116">
        <f>[Исчисленный налог]-[Удержанный налог]</f>
        <v>1</v>
      </c>
    </row>
    <row r="241" spans="1:9">
      <c r="A241" s="115">
        <v>1298703</v>
      </c>
      <c r="B241" s="115" t="s">
        <v>925</v>
      </c>
      <c r="C241" s="115" t="s">
        <v>321</v>
      </c>
      <c r="D241" s="115" t="s">
        <v>370</v>
      </c>
      <c r="E241" s="110">
        <v>13</v>
      </c>
      <c r="F241" s="110">
        <v>2</v>
      </c>
      <c r="G241" s="116">
        <v>8248</v>
      </c>
      <c r="H241" s="116">
        <v>8247</v>
      </c>
      <c r="I241" s="116">
        <f>[Исчисленный налог]-[Удержанный налог]</f>
        <v>1</v>
      </c>
    </row>
    <row r="242" spans="1:9">
      <c r="A242" s="115">
        <v>2928933</v>
      </c>
      <c r="B242" s="115" t="s">
        <v>926</v>
      </c>
      <c r="C242" s="115" t="s">
        <v>568</v>
      </c>
      <c r="D242" s="115" t="s">
        <v>457</v>
      </c>
      <c r="E242" s="110">
        <v>13</v>
      </c>
      <c r="F242" s="110">
        <v>2</v>
      </c>
      <c r="G242" s="116">
        <v>10979</v>
      </c>
      <c r="H242" s="116">
        <v>10978</v>
      </c>
      <c r="I242" s="116">
        <f>[Исчисленный налог]-[Удержанный налог]</f>
        <v>1</v>
      </c>
    </row>
    <row r="243" spans="1:9">
      <c r="A243" s="115">
        <v>2974913</v>
      </c>
      <c r="B243" s="115" t="s">
        <v>927</v>
      </c>
      <c r="C243" s="115" t="s">
        <v>477</v>
      </c>
      <c r="D243" s="115" t="s">
        <v>665</v>
      </c>
      <c r="E243" s="110">
        <v>13</v>
      </c>
      <c r="F243" s="110">
        <v>2</v>
      </c>
      <c r="G243" s="116">
        <v>118788</v>
      </c>
      <c r="H243" s="116">
        <v>118787</v>
      </c>
      <c r="I243" s="116">
        <f>[Исчисленный налог]-[Удержанный налог]</f>
        <v>1</v>
      </c>
    </row>
    <row r="244" spans="1:9">
      <c r="A244" s="115">
        <v>2975301</v>
      </c>
      <c r="B244" s="115" t="s">
        <v>928</v>
      </c>
      <c r="C244" s="115" t="s">
        <v>929</v>
      </c>
      <c r="D244" s="115" t="s">
        <v>930</v>
      </c>
      <c r="E244" s="110">
        <v>13</v>
      </c>
      <c r="F244" s="110">
        <v>2</v>
      </c>
      <c r="G244" s="116">
        <v>50694</v>
      </c>
      <c r="H244" s="116">
        <v>50693</v>
      </c>
      <c r="I244" s="116">
        <f>[Исчисленный налог]-[Удержанный налог]</f>
        <v>1</v>
      </c>
    </row>
    <row r="245" spans="1:9">
      <c r="A245" s="115">
        <v>2964449</v>
      </c>
      <c r="B245" s="115" t="s">
        <v>931</v>
      </c>
      <c r="C245" s="115" t="s">
        <v>321</v>
      </c>
      <c r="D245" s="115" t="s">
        <v>346</v>
      </c>
      <c r="E245" s="110">
        <v>13</v>
      </c>
      <c r="F245" s="110">
        <v>2</v>
      </c>
      <c r="G245" s="116">
        <v>54970</v>
      </c>
      <c r="H245" s="116">
        <v>54969</v>
      </c>
      <c r="I245" s="116">
        <f>[Исчисленный налог]-[Удержанный налог]</f>
        <v>1</v>
      </c>
    </row>
    <row r="246" spans="1:9">
      <c r="A246" s="115">
        <v>1409433</v>
      </c>
      <c r="B246" s="115" t="s">
        <v>932</v>
      </c>
      <c r="C246" s="115" t="s">
        <v>548</v>
      </c>
      <c r="D246" s="115" t="s">
        <v>523</v>
      </c>
      <c r="E246" s="110">
        <v>13</v>
      </c>
      <c r="F246" s="110">
        <v>2</v>
      </c>
      <c r="G246" s="116">
        <v>3440</v>
      </c>
      <c r="H246" s="116">
        <v>3439</v>
      </c>
      <c r="I246" s="116">
        <f>[Исчисленный налог]-[Удержанный налог]</f>
        <v>1</v>
      </c>
    </row>
    <row r="247" spans="1:9">
      <c r="A247" s="115">
        <v>1780310</v>
      </c>
      <c r="B247" s="115" t="s">
        <v>933</v>
      </c>
      <c r="C247" s="115" t="s">
        <v>327</v>
      </c>
      <c r="D247" s="115" t="s">
        <v>577</v>
      </c>
      <c r="E247" s="110">
        <v>13</v>
      </c>
      <c r="F247" s="110">
        <v>2</v>
      </c>
      <c r="G247" s="116">
        <v>5837</v>
      </c>
      <c r="H247" s="116">
        <v>5836</v>
      </c>
      <c r="I247" s="116">
        <f>[Исчисленный налог]-[Удержанный налог]</f>
        <v>1</v>
      </c>
    </row>
    <row r="248" spans="1:9">
      <c r="A248" s="115">
        <v>2972151</v>
      </c>
      <c r="B248" s="115" t="s">
        <v>514</v>
      </c>
      <c r="C248" s="115" t="s">
        <v>380</v>
      </c>
      <c r="D248" s="115" t="s">
        <v>385</v>
      </c>
      <c r="E248" s="110">
        <v>13</v>
      </c>
      <c r="F248" s="110">
        <v>2</v>
      </c>
      <c r="G248" s="116">
        <v>13074</v>
      </c>
      <c r="H248" s="116">
        <v>13073</v>
      </c>
      <c r="I248" s="116">
        <f>[Исчисленный налог]-[Удержанный налог]</f>
        <v>1</v>
      </c>
    </row>
    <row r="249" spans="1:9">
      <c r="A249" s="115">
        <v>1600573</v>
      </c>
      <c r="B249" s="115" t="s">
        <v>934</v>
      </c>
      <c r="C249" s="115" t="s">
        <v>935</v>
      </c>
      <c r="D249" s="115" t="s">
        <v>364</v>
      </c>
      <c r="E249" s="110">
        <v>13</v>
      </c>
      <c r="F249" s="110">
        <v>2</v>
      </c>
      <c r="G249" s="116">
        <v>46147</v>
      </c>
      <c r="H249" s="116">
        <v>46146</v>
      </c>
      <c r="I249" s="116">
        <f>[Исчисленный налог]-[Удержанный налог]</f>
        <v>1</v>
      </c>
    </row>
    <row r="250" spans="1:9">
      <c r="A250" s="115">
        <v>3032496</v>
      </c>
      <c r="B250" s="115" t="s">
        <v>936</v>
      </c>
      <c r="C250" s="115" t="s">
        <v>321</v>
      </c>
      <c r="D250" s="115" t="s">
        <v>349</v>
      </c>
      <c r="E250" s="110">
        <v>13</v>
      </c>
      <c r="F250" s="110">
        <v>2</v>
      </c>
      <c r="G250" s="116">
        <v>4419</v>
      </c>
      <c r="H250" s="116">
        <v>4418</v>
      </c>
      <c r="I250" s="116">
        <f>[Исчисленный налог]-[Удержанный налог]</f>
        <v>1</v>
      </c>
    </row>
    <row r="251" spans="1:9">
      <c r="A251" s="115">
        <v>1150097</v>
      </c>
      <c r="B251" s="115" t="s">
        <v>937</v>
      </c>
      <c r="C251" s="115" t="s">
        <v>354</v>
      </c>
      <c r="D251" s="115" t="s">
        <v>385</v>
      </c>
      <c r="E251" s="110">
        <v>13</v>
      </c>
      <c r="F251" s="110">
        <v>2</v>
      </c>
      <c r="G251" s="116">
        <v>10994</v>
      </c>
      <c r="H251" s="116">
        <v>10993</v>
      </c>
      <c r="I251" s="116">
        <f>[Исчисленный налог]-[Удержанный налог]</f>
        <v>1</v>
      </c>
    </row>
    <row r="252" spans="1:9">
      <c r="A252" s="115">
        <v>1160772</v>
      </c>
      <c r="B252" s="115" t="s">
        <v>938</v>
      </c>
      <c r="C252" s="115" t="s">
        <v>354</v>
      </c>
      <c r="D252" s="115" t="s">
        <v>665</v>
      </c>
      <c r="E252" s="110">
        <v>13</v>
      </c>
      <c r="F252" s="110">
        <v>2</v>
      </c>
      <c r="G252" s="116">
        <v>11492</v>
      </c>
      <c r="H252" s="116">
        <v>11491</v>
      </c>
      <c r="I252" s="116">
        <f>[Исчисленный налог]-[Удержанный налог]</f>
        <v>1</v>
      </c>
    </row>
    <row r="253" spans="1:9">
      <c r="A253" s="115">
        <v>1486426</v>
      </c>
      <c r="B253" s="115" t="s">
        <v>939</v>
      </c>
      <c r="C253" s="115" t="s">
        <v>369</v>
      </c>
      <c r="D253" s="115" t="s">
        <v>370</v>
      </c>
      <c r="E253" s="110">
        <v>13</v>
      </c>
      <c r="F253" s="110">
        <v>2</v>
      </c>
      <c r="G253" s="116">
        <v>8177</v>
      </c>
      <c r="H253" s="116">
        <v>8176</v>
      </c>
      <c r="I253" s="116">
        <f>[Исчисленный налог]-[Удержанный налог]</f>
        <v>1</v>
      </c>
    </row>
    <row r="254" spans="1:9">
      <c r="A254" s="115">
        <v>1515903</v>
      </c>
      <c r="B254" s="115" t="s">
        <v>940</v>
      </c>
      <c r="C254" s="115" t="s">
        <v>342</v>
      </c>
      <c r="D254" s="115" t="s">
        <v>552</v>
      </c>
      <c r="E254" s="110">
        <v>13</v>
      </c>
      <c r="F254" s="110">
        <v>2</v>
      </c>
      <c r="G254" s="116">
        <v>5836</v>
      </c>
      <c r="H254" s="116">
        <v>5835</v>
      </c>
      <c r="I254" s="116">
        <f>[Исчисленный налог]-[Удержанный налог]</f>
        <v>1</v>
      </c>
    </row>
    <row r="255" spans="1:9">
      <c r="A255" s="115">
        <v>2911436</v>
      </c>
      <c r="B255" s="115" t="s">
        <v>941</v>
      </c>
      <c r="C255" s="115" t="s">
        <v>372</v>
      </c>
      <c r="D255" s="115" t="s">
        <v>457</v>
      </c>
      <c r="E255" s="110">
        <v>13</v>
      </c>
      <c r="F255" s="110">
        <v>2</v>
      </c>
      <c r="G255" s="116">
        <v>23311</v>
      </c>
      <c r="H255" s="116">
        <v>23310</v>
      </c>
      <c r="I255" s="116">
        <f>[Исчисленный налог]-[Удержанный налог]</f>
        <v>1</v>
      </c>
    </row>
    <row r="256" spans="1:9">
      <c r="A256" s="115">
        <v>1561369</v>
      </c>
      <c r="B256" s="115" t="s">
        <v>942</v>
      </c>
      <c r="C256" s="115" t="s">
        <v>321</v>
      </c>
      <c r="D256" s="115" t="s">
        <v>451</v>
      </c>
      <c r="E256" s="110">
        <v>13</v>
      </c>
      <c r="F256" s="110">
        <v>2</v>
      </c>
      <c r="G256" s="116">
        <v>6156</v>
      </c>
      <c r="H256" s="116">
        <v>6155</v>
      </c>
      <c r="I256" s="116">
        <f>[Исчисленный налог]-[Удержанный налог]</f>
        <v>1</v>
      </c>
    </row>
    <row r="257" spans="1:9">
      <c r="A257" s="115">
        <v>2933139</v>
      </c>
      <c r="B257" s="115" t="s">
        <v>943</v>
      </c>
      <c r="C257" s="115" t="s">
        <v>453</v>
      </c>
      <c r="D257" s="115" t="s">
        <v>385</v>
      </c>
      <c r="E257" s="110">
        <v>13</v>
      </c>
      <c r="F257" s="110">
        <v>2</v>
      </c>
      <c r="G257" s="116">
        <v>3713</v>
      </c>
      <c r="H257" s="116">
        <v>3712</v>
      </c>
      <c r="I257" s="116">
        <f>[Исчисленный налог]-[Удержанный налог]</f>
        <v>1</v>
      </c>
    </row>
    <row r="258" spans="1:9">
      <c r="A258" s="115">
        <v>2891240</v>
      </c>
      <c r="B258" s="115" t="s">
        <v>944</v>
      </c>
      <c r="C258" s="115" t="s">
        <v>417</v>
      </c>
      <c r="D258" s="115" t="s">
        <v>367</v>
      </c>
      <c r="E258" s="110">
        <v>13</v>
      </c>
      <c r="F258" s="110">
        <v>2</v>
      </c>
      <c r="G258" s="116">
        <v>2799</v>
      </c>
      <c r="H258" s="116">
        <v>2798</v>
      </c>
      <c r="I258" s="116">
        <f>[Исчисленный налог]-[Удержанный налог]</f>
        <v>1</v>
      </c>
    </row>
    <row r="259" spans="1:9">
      <c r="A259" s="115">
        <v>2962654</v>
      </c>
      <c r="B259" s="115" t="s">
        <v>878</v>
      </c>
      <c r="C259" s="115" t="s">
        <v>401</v>
      </c>
      <c r="D259" s="115" t="s">
        <v>633</v>
      </c>
      <c r="E259" s="110">
        <v>13</v>
      </c>
      <c r="F259" s="110">
        <v>2</v>
      </c>
      <c r="G259" s="116">
        <v>4357</v>
      </c>
      <c r="H259" s="116">
        <v>4356</v>
      </c>
      <c r="I259" s="116">
        <f>[Исчисленный налог]-[Удержанный налог]</f>
        <v>1</v>
      </c>
    </row>
    <row r="260" spans="1:9">
      <c r="A260" s="115">
        <v>2931835</v>
      </c>
      <c r="B260" s="115" t="s">
        <v>418</v>
      </c>
      <c r="C260" s="115" t="s">
        <v>354</v>
      </c>
      <c r="D260" s="115" t="s">
        <v>532</v>
      </c>
      <c r="E260" s="110">
        <v>13</v>
      </c>
      <c r="F260" s="110">
        <v>2</v>
      </c>
      <c r="G260" s="116">
        <v>620</v>
      </c>
      <c r="H260" s="116">
        <v>619</v>
      </c>
      <c r="I260" s="116">
        <f>[Исчисленный налог]-[Удержанный налог]</f>
        <v>1</v>
      </c>
    </row>
    <row r="261" spans="1:9">
      <c r="A261" s="184">
        <v>2997632</v>
      </c>
      <c r="B261" s="184" t="s">
        <v>945</v>
      </c>
      <c r="C261" s="184" t="s">
        <v>354</v>
      </c>
      <c r="D261" s="184" t="s">
        <v>328</v>
      </c>
      <c r="E261" s="185">
        <v>13</v>
      </c>
      <c r="F261" s="185">
        <v>2</v>
      </c>
      <c r="G261" s="186">
        <v>13408</v>
      </c>
      <c r="H261" s="186">
        <v>13407</v>
      </c>
      <c r="I261" s="186">
        <f>[Исчисленный налог]-[Удержанный налог]</f>
        <v>1</v>
      </c>
    </row>
    <row r="262" spans="1:9">
      <c r="A262" s="115">
        <v>1335074</v>
      </c>
      <c r="B262" s="115" t="s">
        <v>946</v>
      </c>
      <c r="C262" s="115" t="s">
        <v>436</v>
      </c>
      <c r="D262" s="115" t="s">
        <v>543</v>
      </c>
      <c r="E262" s="110">
        <v>13</v>
      </c>
      <c r="F262" s="110">
        <v>2</v>
      </c>
      <c r="G262" s="116">
        <v>8407</v>
      </c>
      <c r="H262" s="116">
        <v>8406</v>
      </c>
      <c r="I262" s="116">
        <f>[Исчисленный налог]-[Удержанный налог]</f>
        <v>1</v>
      </c>
    </row>
    <row r="263" spans="1:9">
      <c r="A263" s="115">
        <v>2952014</v>
      </c>
      <c r="B263" s="115" t="s">
        <v>947</v>
      </c>
      <c r="C263" s="115" t="s">
        <v>656</v>
      </c>
      <c r="D263" s="115" t="s">
        <v>948</v>
      </c>
      <c r="E263" s="110">
        <v>13</v>
      </c>
      <c r="F263" s="110">
        <v>2</v>
      </c>
      <c r="G263" s="116">
        <v>15207</v>
      </c>
      <c r="H263" s="116">
        <v>15206</v>
      </c>
      <c r="I263" s="116">
        <f>[Исчисленный налог]-[Удержанный налог]</f>
        <v>1</v>
      </c>
    </row>
    <row r="264" spans="1:9">
      <c r="A264" s="115">
        <v>1478564</v>
      </c>
      <c r="B264" s="115" t="s">
        <v>949</v>
      </c>
      <c r="C264" s="115" t="s">
        <v>366</v>
      </c>
      <c r="D264" s="115" t="s">
        <v>337</v>
      </c>
      <c r="E264" s="110">
        <v>13</v>
      </c>
      <c r="F264" s="110">
        <v>2</v>
      </c>
      <c r="G264" s="116">
        <v>44618</v>
      </c>
      <c r="H264" s="116">
        <v>44617</v>
      </c>
      <c r="I264" s="116">
        <f>[Исчисленный налог]-[Удержанный налог]</f>
        <v>1</v>
      </c>
    </row>
    <row r="265" spans="1:9">
      <c r="A265" s="115">
        <v>2989733</v>
      </c>
      <c r="B265" s="115" t="s">
        <v>950</v>
      </c>
      <c r="C265" s="115" t="s">
        <v>401</v>
      </c>
      <c r="D265" s="115" t="s">
        <v>343</v>
      </c>
      <c r="E265" s="110">
        <v>13</v>
      </c>
      <c r="F265" s="110">
        <v>2</v>
      </c>
      <c r="G265" s="116">
        <v>15024</v>
      </c>
      <c r="H265" s="116">
        <v>15023</v>
      </c>
      <c r="I265" s="116">
        <f>[Исчисленный налог]-[Удержанный налог]</f>
        <v>1</v>
      </c>
    </row>
    <row r="266" spans="1:9">
      <c r="A266" s="115">
        <v>2934164</v>
      </c>
      <c r="B266" s="115" t="s">
        <v>951</v>
      </c>
      <c r="C266" s="115" t="s">
        <v>339</v>
      </c>
      <c r="D266" s="115" t="s">
        <v>523</v>
      </c>
      <c r="E266" s="110">
        <v>13</v>
      </c>
      <c r="F266" s="110">
        <v>2</v>
      </c>
      <c r="G266" s="116">
        <v>12394</v>
      </c>
      <c r="H266" s="116">
        <v>12393</v>
      </c>
      <c r="I266" s="116">
        <f>[Исчисленный налог]-[Удержанный налог]</f>
        <v>1</v>
      </c>
    </row>
    <row r="267" spans="1:9">
      <c r="A267" s="115">
        <v>3065499</v>
      </c>
      <c r="B267" s="115" t="s">
        <v>952</v>
      </c>
      <c r="C267" s="115" t="s">
        <v>327</v>
      </c>
      <c r="D267" s="115" t="s">
        <v>953</v>
      </c>
      <c r="E267" s="110">
        <v>13</v>
      </c>
      <c r="F267" s="110">
        <v>2</v>
      </c>
      <c r="G267" s="116">
        <v>3037523</v>
      </c>
      <c r="H267" s="116">
        <v>3037522</v>
      </c>
      <c r="I267" s="116">
        <f>[Исчисленный налог]-[Удержанный налог]</f>
        <v>1</v>
      </c>
    </row>
    <row r="268" spans="1:9">
      <c r="A268" s="115">
        <v>1463656</v>
      </c>
      <c r="B268" s="115" t="s">
        <v>954</v>
      </c>
      <c r="C268" s="115" t="s">
        <v>955</v>
      </c>
      <c r="D268" s="115" t="s">
        <v>956</v>
      </c>
      <c r="E268" s="110">
        <v>13</v>
      </c>
      <c r="F268" s="110">
        <v>2</v>
      </c>
      <c r="G268" s="116">
        <v>10846</v>
      </c>
      <c r="H268" s="116">
        <v>10845</v>
      </c>
      <c r="I268" s="116">
        <f>[Исчисленный налог]-[Удержанный налог]</f>
        <v>1</v>
      </c>
    </row>
    <row r="269" spans="1:9">
      <c r="A269" s="115">
        <v>2976503</v>
      </c>
      <c r="B269" s="115" t="s">
        <v>957</v>
      </c>
      <c r="C269" s="115" t="s">
        <v>342</v>
      </c>
      <c r="D269" s="115" t="s">
        <v>343</v>
      </c>
      <c r="E269" s="110">
        <v>13</v>
      </c>
      <c r="F269" s="110">
        <v>2</v>
      </c>
      <c r="G269" s="116">
        <v>29017</v>
      </c>
      <c r="H269" s="116">
        <v>29016</v>
      </c>
      <c r="I269" s="116">
        <f>[Исчисленный налог]-[Удержанный налог]</f>
        <v>1</v>
      </c>
    </row>
    <row r="270" spans="1:9">
      <c r="A270" s="115">
        <v>3024102</v>
      </c>
      <c r="B270" s="115" t="s">
        <v>958</v>
      </c>
      <c r="C270" s="115" t="s">
        <v>419</v>
      </c>
      <c r="D270" s="115" t="s">
        <v>532</v>
      </c>
      <c r="E270" s="110">
        <v>13</v>
      </c>
      <c r="F270" s="110">
        <v>2</v>
      </c>
      <c r="G270" s="116">
        <v>10367</v>
      </c>
      <c r="H270" s="116">
        <v>10366</v>
      </c>
      <c r="I270" s="116">
        <f>[Исчисленный налог]-[Удержанный налог]</f>
        <v>1</v>
      </c>
    </row>
    <row r="271" spans="1:9">
      <c r="A271" s="115">
        <v>1674156</v>
      </c>
      <c r="B271" s="115" t="s">
        <v>793</v>
      </c>
      <c r="C271" s="115" t="s">
        <v>471</v>
      </c>
      <c r="D271" s="115" t="s">
        <v>552</v>
      </c>
      <c r="E271" s="110">
        <v>13</v>
      </c>
      <c r="F271" s="110">
        <v>2</v>
      </c>
      <c r="G271" s="116">
        <v>10366</v>
      </c>
      <c r="H271" s="116">
        <v>10365</v>
      </c>
      <c r="I271" s="116">
        <f>[Исчисленный налог]-[Удержанный налог]</f>
        <v>1</v>
      </c>
    </row>
    <row r="272" spans="1:9">
      <c r="A272" s="115">
        <v>3066132</v>
      </c>
      <c r="B272" s="115" t="s">
        <v>959</v>
      </c>
      <c r="C272" s="115" t="s">
        <v>321</v>
      </c>
      <c r="D272" s="115" t="s">
        <v>848</v>
      </c>
      <c r="E272" s="110">
        <v>13</v>
      </c>
      <c r="F272" s="110">
        <v>2</v>
      </c>
      <c r="G272" s="116">
        <v>4845</v>
      </c>
      <c r="H272" s="116">
        <v>4844</v>
      </c>
      <c r="I272" s="116">
        <f>[Исчисленный налог]-[Удержанный налог]</f>
        <v>1</v>
      </c>
    </row>
    <row r="273" spans="1:9">
      <c r="A273" s="115">
        <v>2918086</v>
      </c>
      <c r="B273" s="115" t="s">
        <v>960</v>
      </c>
      <c r="C273" s="115" t="s">
        <v>961</v>
      </c>
      <c r="D273" s="115" t="s">
        <v>543</v>
      </c>
      <c r="E273" s="110">
        <v>13</v>
      </c>
      <c r="F273" s="110">
        <v>2</v>
      </c>
      <c r="G273" s="116">
        <v>17297</v>
      </c>
      <c r="H273" s="116">
        <v>17296</v>
      </c>
      <c r="I273" s="116">
        <f>[Исчисленный налог]-[Удержанный налог]</f>
        <v>1</v>
      </c>
    </row>
    <row r="274" spans="1:9">
      <c r="A274" s="115">
        <v>1767496</v>
      </c>
      <c r="B274" s="115" t="s">
        <v>962</v>
      </c>
      <c r="C274" s="115" t="s">
        <v>493</v>
      </c>
      <c r="D274" s="115" t="s">
        <v>370</v>
      </c>
      <c r="E274" s="110">
        <v>13</v>
      </c>
      <c r="F274" s="110">
        <v>2</v>
      </c>
      <c r="G274" s="116">
        <v>6774</v>
      </c>
      <c r="H274" s="116">
        <v>6773</v>
      </c>
      <c r="I274" s="116">
        <f>[Исчисленный налог]-[Удержанный налог]</f>
        <v>1</v>
      </c>
    </row>
    <row r="275" spans="1:9">
      <c r="A275" s="115">
        <v>1466037</v>
      </c>
      <c r="B275" s="115" t="s">
        <v>963</v>
      </c>
      <c r="C275" s="115" t="s">
        <v>372</v>
      </c>
      <c r="D275" s="115" t="s">
        <v>613</v>
      </c>
      <c r="E275" s="110">
        <v>13</v>
      </c>
      <c r="F275" s="110">
        <v>2</v>
      </c>
      <c r="G275" s="116">
        <v>13690</v>
      </c>
      <c r="H275" s="116">
        <v>13689</v>
      </c>
      <c r="I275" s="116">
        <f>[Исчисленный налог]-[Удержанный налог]</f>
        <v>1</v>
      </c>
    </row>
    <row r="276" spans="1:9">
      <c r="A276" s="115">
        <v>1136524</v>
      </c>
      <c r="B276" s="115" t="s">
        <v>964</v>
      </c>
      <c r="C276" s="115" t="s">
        <v>354</v>
      </c>
      <c r="D276" s="115" t="s">
        <v>965</v>
      </c>
      <c r="E276" s="110">
        <v>13</v>
      </c>
      <c r="F276" s="110">
        <v>2</v>
      </c>
      <c r="G276" s="116">
        <v>5770</v>
      </c>
      <c r="H276" s="116">
        <v>5769</v>
      </c>
      <c r="I276" s="116">
        <f>[Исчисленный налог]-[Удержанный налог]</f>
        <v>1</v>
      </c>
    </row>
    <row r="277" spans="1:9">
      <c r="A277" s="115">
        <v>1461314</v>
      </c>
      <c r="B277" s="115" t="s">
        <v>966</v>
      </c>
      <c r="C277" s="115" t="s">
        <v>967</v>
      </c>
      <c r="D277" s="115" t="s">
        <v>968</v>
      </c>
      <c r="E277" s="110">
        <v>13</v>
      </c>
      <c r="F277" s="110">
        <v>2</v>
      </c>
      <c r="G277" s="116">
        <v>5609</v>
      </c>
      <c r="H277" s="116">
        <v>5608</v>
      </c>
      <c r="I277" s="116">
        <f>[Исчисленный налог]-[Удержанный налог]</f>
        <v>1</v>
      </c>
    </row>
    <row r="278" spans="1:9">
      <c r="A278" s="115">
        <v>3036289</v>
      </c>
      <c r="B278" s="115" t="s">
        <v>969</v>
      </c>
      <c r="C278" s="115" t="s">
        <v>354</v>
      </c>
      <c r="D278" s="115" t="s">
        <v>532</v>
      </c>
      <c r="E278" s="110">
        <v>13</v>
      </c>
      <c r="F278" s="110">
        <v>2</v>
      </c>
      <c r="G278" s="116">
        <v>5324</v>
      </c>
      <c r="H278" s="116">
        <v>5323</v>
      </c>
      <c r="I278" s="116">
        <f>[Исчисленный налог]-[Удержанный налог]</f>
        <v>1</v>
      </c>
    </row>
    <row r="279" spans="1:9">
      <c r="A279" s="115">
        <v>2916837</v>
      </c>
      <c r="B279" s="115" t="s">
        <v>970</v>
      </c>
      <c r="C279" s="115" t="s">
        <v>401</v>
      </c>
      <c r="D279" s="115" t="s">
        <v>343</v>
      </c>
      <c r="E279" s="110">
        <v>13</v>
      </c>
      <c r="F279" s="110">
        <v>2</v>
      </c>
      <c r="G279" s="116">
        <v>5457</v>
      </c>
      <c r="H279" s="116">
        <v>5456</v>
      </c>
      <c r="I279" s="116">
        <f>[Исчисленный налог]-[Удержанный налог]</f>
        <v>1</v>
      </c>
    </row>
    <row r="280" spans="1:9">
      <c r="A280" s="115">
        <v>2992585</v>
      </c>
      <c r="B280" s="115" t="s">
        <v>971</v>
      </c>
      <c r="C280" s="115" t="s">
        <v>366</v>
      </c>
      <c r="D280" s="115" t="s">
        <v>523</v>
      </c>
      <c r="E280" s="110">
        <v>13</v>
      </c>
      <c r="F280" s="110">
        <v>2</v>
      </c>
      <c r="G280" s="116">
        <v>9796</v>
      </c>
      <c r="H280" s="116">
        <v>9795</v>
      </c>
      <c r="I280" s="116">
        <f>[Исчисленный налог]-[Удержанный налог]</f>
        <v>1</v>
      </c>
    </row>
    <row r="281" spans="1:9">
      <c r="A281" s="115">
        <v>2908654</v>
      </c>
      <c r="B281" s="115" t="s">
        <v>972</v>
      </c>
      <c r="C281" s="115" t="s">
        <v>973</v>
      </c>
      <c r="D281" s="115" t="s">
        <v>974</v>
      </c>
      <c r="E281" s="110">
        <v>13</v>
      </c>
      <c r="F281" s="110">
        <v>2</v>
      </c>
      <c r="G281" s="116">
        <v>3966</v>
      </c>
      <c r="H281" s="116">
        <v>3965</v>
      </c>
      <c r="I281" s="116">
        <f>[Исчисленный налог]-[Удержанный налог]</f>
        <v>1</v>
      </c>
    </row>
    <row r="282" spans="1:9">
      <c r="A282" s="115">
        <v>2913646</v>
      </c>
      <c r="B282" s="115" t="s">
        <v>975</v>
      </c>
      <c r="C282" s="115" t="s">
        <v>342</v>
      </c>
      <c r="D282" s="115" t="s">
        <v>343</v>
      </c>
      <c r="E282" s="110">
        <v>13</v>
      </c>
      <c r="F282" s="110">
        <v>2</v>
      </c>
      <c r="G282" s="116">
        <v>9086</v>
      </c>
      <c r="H282" s="116">
        <v>9085</v>
      </c>
      <c r="I282" s="116">
        <f>[Исчисленный налог]-[Удержанный налог]</f>
        <v>1</v>
      </c>
    </row>
    <row r="283" spans="1:9">
      <c r="A283" s="115">
        <v>1756751</v>
      </c>
      <c r="B283" s="115" t="s">
        <v>976</v>
      </c>
      <c r="C283" s="115" t="s">
        <v>591</v>
      </c>
      <c r="D283" s="115" t="s">
        <v>977</v>
      </c>
      <c r="E283" s="110">
        <v>13</v>
      </c>
      <c r="F283" s="110">
        <v>2</v>
      </c>
      <c r="G283" s="116">
        <v>5020</v>
      </c>
      <c r="H283" s="116">
        <v>5019</v>
      </c>
      <c r="I283" s="116">
        <f>[Исчисленный налог]-[Удержанный налог]</f>
        <v>1</v>
      </c>
    </row>
    <row r="284" spans="1:9">
      <c r="A284" s="115">
        <v>2928734</v>
      </c>
      <c r="B284" s="115" t="s">
        <v>978</v>
      </c>
      <c r="C284" s="115" t="s">
        <v>387</v>
      </c>
      <c r="D284" s="115" t="s">
        <v>325</v>
      </c>
      <c r="E284" s="110">
        <v>13</v>
      </c>
      <c r="F284" s="110">
        <v>2</v>
      </c>
      <c r="G284" s="116">
        <v>130080</v>
      </c>
      <c r="H284" s="116">
        <v>130079</v>
      </c>
      <c r="I284" s="116">
        <f>[Исчисленный налог]-[Удержанный налог]</f>
        <v>1</v>
      </c>
    </row>
    <row r="285" spans="1:9">
      <c r="A285" s="115">
        <v>1131784</v>
      </c>
      <c r="B285" s="115" t="s">
        <v>979</v>
      </c>
      <c r="C285" s="115" t="s">
        <v>354</v>
      </c>
      <c r="D285" s="115" t="s">
        <v>980</v>
      </c>
      <c r="E285" s="110">
        <v>13</v>
      </c>
      <c r="F285" s="110">
        <v>2</v>
      </c>
      <c r="G285" s="116">
        <v>24925</v>
      </c>
      <c r="H285" s="116">
        <v>24924</v>
      </c>
      <c r="I285" s="116">
        <f>[Исчисленный налог]-[Удержанный налог]</f>
        <v>1</v>
      </c>
    </row>
    <row r="286" spans="1:9">
      <c r="A286" s="115">
        <v>3027183</v>
      </c>
      <c r="B286" s="115" t="s">
        <v>981</v>
      </c>
      <c r="C286" s="115" t="s">
        <v>372</v>
      </c>
      <c r="D286" s="115" t="s">
        <v>679</v>
      </c>
      <c r="E286" s="110">
        <v>30</v>
      </c>
      <c r="F286" s="110">
        <v>2</v>
      </c>
      <c r="G286" s="116">
        <v>30446</v>
      </c>
      <c r="H286" s="116">
        <v>30445</v>
      </c>
      <c r="I286" s="116">
        <f>[Исчисленный налог]-[Удержанный налог]</f>
        <v>1</v>
      </c>
    </row>
    <row r="287" spans="1:9">
      <c r="A287" s="115">
        <v>2906258</v>
      </c>
      <c r="B287" s="115" t="s">
        <v>982</v>
      </c>
      <c r="C287" s="115" t="s">
        <v>517</v>
      </c>
      <c r="D287" s="115" t="s">
        <v>657</v>
      </c>
      <c r="E287" s="110">
        <v>13</v>
      </c>
      <c r="F287" s="110">
        <v>2</v>
      </c>
      <c r="G287" s="116">
        <v>35500</v>
      </c>
      <c r="H287" s="116">
        <v>35499</v>
      </c>
      <c r="I287" s="116">
        <f>[Исчисленный налог]-[Удержанный налог]</f>
        <v>1</v>
      </c>
    </row>
    <row r="288" spans="1:9">
      <c r="A288" s="115">
        <v>1171502</v>
      </c>
      <c r="B288" s="115" t="s">
        <v>983</v>
      </c>
      <c r="C288" s="115" t="s">
        <v>984</v>
      </c>
      <c r="D288" s="115" t="s">
        <v>432</v>
      </c>
      <c r="E288" s="110">
        <v>13</v>
      </c>
      <c r="F288" s="110">
        <v>2</v>
      </c>
      <c r="G288" s="116">
        <v>8549</v>
      </c>
      <c r="H288" s="116">
        <v>8548</v>
      </c>
      <c r="I288" s="116">
        <f>[Исчисленный налог]-[Удержанный налог]</f>
        <v>1</v>
      </c>
    </row>
    <row r="289" spans="1:9">
      <c r="A289" s="115">
        <v>1015331</v>
      </c>
      <c r="B289" s="115" t="s">
        <v>985</v>
      </c>
      <c r="C289" s="115" t="s">
        <v>417</v>
      </c>
      <c r="D289" s="115" t="s">
        <v>507</v>
      </c>
      <c r="E289" s="110">
        <v>13</v>
      </c>
      <c r="F289" s="110">
        <v>2</v>
      </c>
      <c r="G289" s="116">
        <v>6937</v>
      </c>
      <c r="H289" s="116">
        <v>6936</v>
      </c>
      <c r="I289" s="116">
        <f>[Исчисленный налог]-[Удержанный налог]</f>
        <v>1</v>
      </c>
    </row>
    <row r="290" spans="1:9">
      <c r="A290" s="115">
        <v>2974131</v>
      </c>
      <c r="B290" s="115" t="s">
        <v>986</v>
      </c>
      <c r="C290" s="115" t="s">
        <v>417</v>
      </c>
      <c r="D290" s="115" t="s">
        <v>412</v>
      </c>
      <c r="E290" s="110">
        <v>13</v>
      </c>
      <c r="F290" s="110">
        <v>2</v>
      </c>
      <c r="G290" s="116">
        <v>5563</v>
      </c>
      <c r="H290" s="116">
        <v>5562</v>
      </c>
      <c r="I290" s="116">
        <f>[Исчисленный налог]-[Удержанный налог]</f>
        <v>1</v>
      </c>
    </row>
    <row r="291" spans="1:9">
      <c r="A291" s="115">
        <v>2927891</v>
      </c>
      <c r="B291" s="115" t="s">
        <v>987</v>
      </c>
      <c r="C291" s="115" t="s">
        <v>342</v>
      </c>
      <c r="D291" s="115" t="s">
        <v>322</v>
      </c>
      <c r="E291" s="110">
        <v>13</v>
      </c>
      <c r="F291" s="110">
        <v>2</v>
      </c>
      <c r="G291" s="116">
        <v>6065</v>
      </c>
      <c r="H291" s="116">
        <v>6064</v>
      </c>
      <c r="I291" s="116">
        <f>[Исчисленный налог]-[Удержанный налог]</f>
        <v>1</v>
      </c>
    </row>
    <row r="292" spans="1:9">
      <c r="A292" s="115">
        <v>1192154</v>
      </c>
      <c r="B292" s="115" t="s">
        <v>841</v>
      </c>
      <c r="C292" s="115" t="s">
        <v>486</v>
      </c>
      <c r="D292" s="115" t="s">
        <v>449</v>
      </c>
      <c r="E292" s="110">
        <v>13</v>
      </c>
      <c r="F292" s="110">
        <v>2</v>
      </c>
      <c r="G292" s="116">
        <v>11688</v>
      </c>
      <c r="H292" s="116">
        <v>11687</v>
      </c>
      <c r="I292" s="116">
        <f>[Исчисленный налог]-[Удержанный налог]</f>
        <v>1</v>
      </c>
    </row>
    <row r="293" spans="1:9">
      <c r="A293" s="115">
        <v>1272143</v>
      </c>
      <c r="B293" s="115" t="s">
        <v>502</v>
      </c>
      <c r="C293" s="115" t="s">
        <v>503</v>
      </c>
      <c r="D293" s="115" t="s">
        <v>504</v>
      </c>
      <c r="E293" s="110">
        <v>13</v>
      </c>
      <c r="F293" s="110">
        <v>2</v>
      </c>
      <c r="G293" s="116">
        <v>10225</v>
      </c>
      <c r="H293" s="116">
        <v>10224</v>
      </c>
      <c r="I293" s="116">
        <f>[Исчисленный налог]-[Удержанный налог]</f>
        <v>1</v>
      </c>
    </row>
    <row r="294" spans="1:9">
      <c r="A294" s="115">
        <v>2925807</v>
      </c>
      <c r="B294" s="115" t="s">
        <v>988</v>
      </c>
      <c r="C294" s="115" t="s">
        <v>354</v>
      </c>
      <c r="D294" s="115" t="s">
        <v>577</v>
      </c>
      <c r="E294" s="110">
        <v>13</v>
      </c>
      <c r="F294" s="110">
        <v>2</v>
      </c>
      <c r="G294" s="116">
        <v>15143</v>
      </c>
      <c r="H294" s="116">
        <v>15142</v>
      </c>
      <c r="I294" s="116">
        <f>[Исчисленный налог]-[Удержанный налог]</f>
        <v>1</v>
      </c>
    </row>
    <row r="295" spans="1:9">
      <c r="A295" s="115">
        <v>2911561</v>
      </c>
      <c r="B295" s="115" t="s">
        <v>989</v>
      </c>
      <c r="C295" s="115" t="s">
        <v>327</v>
      </c>
      <c r="D295" s="115" t="s">
        <v>322</v>
      </c>
      <c r="E295" s="110">
        <v>13</v>
      </c>
      <c r="F295" s="110">
        <v>2</v>
      </c>
      <c r="G295" s="116">
        <v>28171</v>
      </c>
      <c r="H295" s="116">
        <v>28170</v>
      </c>
      <c r="I295" s="116">
        <f>[Исчисленный налог]-[Удержанный налог]</f>
        <v>1</v>
      </c>
    </row>
    <row r="296" spans="1:9">
      <c r="A296" s="115">
        <v>3031108</v>
      </c>
      <c r="B296" s="115" t="s">
        <v>990</v>
      </c>
      <c r="C296" s="115" t="s">
        <v>477</v>
      </c>
      <c r="D296" s="115" t="s">
        <v>385</v>
      </c>
      <c r="E296" s="110">
        <v>13</v>
      </c>
      <c r="F296" s="110">
        <v>2</v>
      </c>
      <c r="G296" s="116">
        <v>3339</v>
      </c>
      <c r="H296" s="116">
        <v>3338</v>
      </c>
      <c r="I296" s="116">
        <f>[Исчисленный налог]-[Удержанный налог]</f>
        <v>1</v>
      </c>
    </row>
    <row r="297" spans="1:9">
      <c r="A297" s="115">
        <v>1745786</v>
      </c>
      <c r="B297" s="115" t="s">
        <v>991</v>
      </c>
      <c r="C297" s="115" t="s">
        <v>401</v>
      </c>
      <c r="D297" s="115" t="s">
        <v>385</v>
      </c>
      <c r="E297" s="110">
        <v>13</v>
      </c>
      <c r="F297" s="110">
        <v>2</v>
      </c>
      <c r="G297" s="116">
        <v>6334</v>
      </c>
      <c r="H297" s="116">
        <v>6333</v>
      </c>
      <c r="I297" s="116">
        <f>[Исчисленный налог]-[Удержанный налог]</f>
        <v>1</v>
      </c>
    </row>
    <row r="298" spans="1:9">
      <c r="A298" s="115">
        <v>1747203</v>
      </c>
      <c r="B298" s="115" t="s">
        <v>992</v>
      </c>
      <c r="C298" s="115" t="s">
        <v>546</v>
      </c>
      <c r="D298" s="115" t="s">
        <v>552</v>
      </c>
      <c r="E298" s="110">
        <v>13</v>
      </c>
      <c r="F298" s="110">
        <v>2</v>
      </c>
      <c r="G298" s="116">
        <v>7388</v>
      </c>
      <c r="H298" s="116">
        <v>7387</v>
      </c>
      <c r="I298" s="116">
        <f>[Исчисленный налог]-[Удержанный налог]</f>
        <v>1</v>
      </c>
    </row>
    <row r="299" spans="1:9">
      <c r="A299" s="115">
        <v>1059907</v>
      </c>
      <c r="B299" s="115" t="s">
        <v>993</v>
      </c>
      <c r="C299" s="115" t="s">
        <v>339</v>
      </c>
      <c r="D299" s="115" t="s">
        <v>367</v>
      </c>
      <c r="E299" s="110">
        <v>13</v>
      </c>
      <c r="F299" s="110">
        <v>2</v>
      </c>
      <c r="G299" s="116">
        <v>8792</v>
      </c>
      <c r="H299" s="116">
        <v>8791</v>
      </c>
      <c r="I299" s="116">
        <f>[Исчисленный налог]-[Удержанный налог]</f>
        <v>1</v>
      </c>
    </row>
    <row r="300" spans="1:9">
      <c r="A300" s="115">
        <v>1677134</v>
      </c>
      <c r="B300" s="115" t="s">
        <v>994</v>
      </c>
      <c r="C300" s="115" t="s">
        <v>453</v>
      </c>
      <c r="D300" s="115" t="s">
        <v>385</v>
      </c>
      <c r="E300" s="110">
        <v>13</v>
      </c>
      <c r="F300" s="110">
        <v>2</v>
      </c>
      <c r="G300" s="116">
        <v>6185</v>
      </c>
      <c r="H300" s="116">
        <v>6184</v>
      </c>
      <c r="I300" s="116">
        <f>[Исчисленный налог]-[Удержанный налог]</f>
        <v>1</v>
      </c>
    </row>
    <row r="301" spans="1:9">
      <c r="A301" s="115">
        <v>3006550</v>
      </c>
      <c r="B301" s="115" t="s">
        <v>995</v>
      </c>
      <c r="C301" s="115" t="s">
        <v>436</v>
      </c>
      <c r="D301" s="115" t="s">
        <v>532</v>
      </c>
      <c r="E301" s="110">
        <v>13</v>
      </c>
      <c r="F301" s="110">
        <v>2</v>
      </c>
      <c r="G301" s="116">
        <v>9173</v>
      </c>
      <c r="H301" s="116">
        <v>9172</v>
      </c>
      <c r="I301" s="116">
        <f>[Исчисленный налог]-[Удержанный налог]</f>
        <v>1</v>
      </c>
    </row>
    <row r="302" spans="1:9">
      <c r="A302" s="115">
        <v>1450057</v>
      </c>
      <c r="B302" s="115" t="s">
        <v>996</v>
      </c>
      <c r="C302" s="115" t="s">
        <v>434</v>
      </c>
      <c r="D302" s="115" t="s">
        <v>601</v>
      </c>
      <c r="E302" s="110">
        <v>13</v>
      </c>
      <c r="F302" s="110">
        <v>2</v>
      </c>
      <c r="G302" s="116">
        <v>25531</v>
      </c>
      <c r="H302" s="116">
        <v>25530</v>
      </c>
      <c r="I302" s="116">
        <f>[Исчисленный налог]-[Удержанный налог]</f>
        <v>1</v>
      </c>
    </row>
    <row r="303" spans="1:9">
      <c r="A303" s="115">
        <v>3032533</v>
      </c>
      <c r="B303" s="115" t="s">
        <v>997</v>
      </c>
      <c r="C303" s="115" t="s">
        <v>321</v>
      </c>
      <c r="D303" s="115" t="s">
        <v>343</v>
      </c>
      <c r="E303" s="110">
        <v>13</v>
      </c>
      <c r="F303" s="110">
        <v>2</v>
      </c>
      <c r="G303" s="116">
        <v>7392</v>
      </c>
      <c r="H303" s="116">
        <v>7391</v>
      </c>
      <c r="I303" s="116">
        <f>[Исчисленный налог]-[Удержанный налог]</f>
        <v>1</v>
      </c>
    </row>
    <row r="304" spans="1:9">
      <c r="A304" s="115">
        <v>2934411</v>
      </c>
      <c r="B304" s="115" t="s">
        <v>998</v>
      </c>
      <c r="C304" s="115" t="s">
        <v>548</v>
      </c>
      <c r="D304" s="115" t="s">
        <v>999</v>
      </c>
      <c r="E304" s="110">
        <v>13</v>
      </c>
      <c r="F304" s="110">
        <v>2</v>
      </c>
      <c r="G304" s="116">
        <v>1137</v>
      </c>
      <c r="H304" s="116">
        <v>1136</v>
      </c>
      <c r="I304" s="116">
        <f>[Исчисленный налог]-[Удержанный налог]</f>
        <v>1</v>
      </c>
    </row>
    <row r="305" spans="1:9">
      <c r="A305" s="115">
        <v>2939776</v>
      </c>
      <c r="B305" s="115" t="s">
        <v>1000</v>
      </c>
      <c r="C305" s="115" t="s">
        <v>327</v>
      </c>
      <c r="D305" s="115" t="s">
        <v>349</v>
      </c>
      <c r="E305" s="110">
        <v>13</v>
      </c>
      <c r="F305" s="110">
        <v>2</v>
      </c>
      <c r="G305" s="116">
        <v>662249</v>
      </c>
      <c r="H305" s="116">
        <v>662248</v>
      </c>
      <c r="I305" s="116">
        <f>[Исчисленный налог]-[Удержанный налог]</f>
        <v>1</v>
      </c>
    </row>
    <row r="306" spans="1:9">
      <c r="A306" s="115">
        <v>1417853</v>
      </c>
      <c r="B306" s="115" t="s">
        <v>1001</v>
      </c>
      <c r="C306" s="115" t="s">
        <v>417</v>
      </c>
      <c r="D306" s="115" t="s">
        <v>1002</v>
      </c>
      <c r="E306" s="110">
        <v>13</v>
      </c>
      <c r="F306" s="110">
        <v>2</v>
      </c>
      <c r="G306" s="116">
        <v>11877</v>
      </c>
      <c r="H306" s="116">
        <v>11876</v>
      </c>
      <c r="I306" s="116">
        <f>[Исчисленный налог]-[Удержанный налог]</f>
        <v>1</v>
      </c>
    </row>
    <row r="307" spans="1:9">
      <c r="A307" s="115">
        <v>2908627</v>
      </c>
      <c r="B307" s="115" t="s">
        <v>1003</v>
      </c>
      <c r="C307" s="115" t="s">
        <v>401</v>
      </c>
      <c r="D307" s="115" t="s">
        <v>343</v>
      </c>
      <c r="E307" s="110">
        <v>13</v>
      </c>
      <c r="F307" s="110">
        <v>2</v>
      </c>
      <c r="G307" s="116">
        <v>6261</v>
      </c>
      <c r="H307" s="116">
        <v>6260</v>
      </c>
      <c r="I307" s="116">
        <f>[Исчисленный налог]-[Удержанный налог]</f>
        <v>1</v>
      </c>
    </row>
    <row r="308" spans="1:9">
      <c r="A308" s="115">
        <v>2917994</v>
      </c>
      <c r="B308" s="115" t="s">
        <v>1004</v>
      </c>
      <c r="C308" s="115" t="s">
        <v>583</v>
      </c>
      <c r="D308" s="115" t="s">
        <v>1005</v>
      </c>
      <c r="E308" s="110">
        <v>13</v>
      </c>
      <c r="F308" s="110">
        <v>2</v>
      </c>
      <c r="G308" s="116">
        <v>6083</v>
      </c>
      <c r="H308" s="116">
        <v>6082</v>
      </c>
      <c r="I308" s="116">
        <f>[Исчисленный налог]-[Удержанный налог]</f>
        <v>1</v>
      </c>
    </row>
    <row r="309" spans="1:9">
      <c r="A309" s="115">
        <v>2901910</v>
      </c>
      <c r="B309" s="115" t="s">
        <v>573</v>
      </c>
      <c r="C309" s="115" t="s">
        <v>366</v>
      </c>
      <c r="D309" s="115" t="s">
        <v>337</v>
      </c>
      <c r="E309" s="110">
        <v>13</v>
      </c>
      <c r="F309" s="110">
        <v>2</v>
      </c>
      <c r="G309" s="116">
        <v>3593</v>
      </c>
      <c r="H309" s="116">
        <v>3592</v>
      </c>
      <c r="I309" s="116">
        <f>[Исчисленный налог]-[Удержанный налог]</f>
        <v>1</v>
      </c>
    </row>
    <row r="310" spans="1:9">
      <c r="A310" s="115">
        <v>2938260</v>
      </c>
      <c r="B310" s="115" t="s">
        <v>1006</v>
      </c>
      <c r="C310" s="115" t="s">
        <v>321</v>
      </c>
      <c r="D310" s="115" t="s">
        <v>346</v>
      </c>
      <c r="E310" s="110">
        <v>13</v>
      </c>
      <c r="F310" s="110">
        <v>2</v>
      </c>
      <c r="G310" s="116">
        <v>5483</v>
      </c>
      <c r="H310" s="116">
        <v>5482</v>
      </c>
      <c r="I310" s="116">
        <f>[Исчисленный налог]-[Удержанный налог]</f>
        <v>1</v>
      </c>
    </row>
    <row r="311" spans="1:9">
      <c r="A311" s="115">
        <v>1131875</v>
      </c>
      <c r="B311" s="115" t="s">
        <v>441</v>
      </c>
      <c r="C311" s="115" t="s">
        <v>1007</v>
      </c>
      <c r="D311" s="115" t="s">
        <v>1008</v>
      </c>
      <c r="E311" s="110">
        <v>13</v>
      </c>
      <c r="F311" s="110">
        <v>2</v>
      </c>
      <c r="G311" s="116">
        <v>12995</v>
      </c>
      <c r="H311" s="116">
        <v>12994</v>
      </c>
      <c r="I311" s="116">
        <f>[Исчисленный налог]-[Удержанный налог]</f>
        <v>1</v>
      </c>
    </row>
    <row r="312" spans="1:9">
      <c r="A312" s="115">
        <v>1294806</v>
      </c>
      <c r="B312" s="115" t="s">
        <v>1009</v>
      </c>
      <c r="C312" s="115" t="s">
        <v>1010</v>
      </c>
      <c r="D312" s="115" t="s">
        <v>1011</v>
      </c>
      <c r="E312" s="110">
        <v>13</v>
      </c>
      <c r="F312" s="110">
        <v>2</v>
      </c>
      <c r="G312" s="116">
        <v>9271</v>
      </c>
      <c r="H312" s="116">
        <v>9270</v>
      </c>
      <c r="I312" s="116">
        <f>[Исчисленный налог]-[Удержанный налог]</f>
        <v>1</v>
      </c>
    </row>
    <row r="313" spans="1:9">
      <c r="A313" s="115">
        <v>1591035</v>
      </c>
      <c r="B313" s="115" t="s">
        <v>1012</v>
      </c>
      <c r="C313" s="115" t="s">
        <v>330</v>
      </c>
      <c r="D313" s="115" t="s">
        <v>523</v>
      </c>
      <c r="E313" s="110">
        <v>13</v>
      </c>
      <c r="F313" s="110">
        <v>2</v>
      </c>
      <c r="G313" s="116">
        <v>9674</v>
      </c>
      <c r="H313" s="116">
        <v>9673</v>
      </c>
      <c r="I313" s="116">
        <f>[Исчисленный налог]-[Удержанный налог]</f>
        <v>1</v>
      </c>
    </row>
    <row r="314" spans="1:9">
      <c r="A314" s="115">
        <v>1583306</v>
      </c>
      <c r="B314" s="115" t="s">
        <v>1013</v>
      </c>
      <c r="C314" s="115" t="s">
        <v>342</v>
      </c>
      <c r="D314" s="115" t="s">
        <v>322</v>
      </c>
      <c r="E314" s="110">
        <v>13</v>
      </c>
      <c r="F314" s="110">
        <v>2</v>
      </c>
      <c r="G314" s="116">
        <v>12612</v>
      </c>
      <c r="H314" s="116">
        <v>12611</v>
      </c>
      <c r="I314" s="116">
        <f>[Исчисленный налог]-[Удержанный налог]</f>
        <v>1</v>
      </c>
    </row>
    <row r="315" spans="1:9">
      <c r="A315" s="115">
        <v>2975440</v>
      </c>
      <c r="B315" s="115" t="s">
        <v>1014</v>
      </c>
      <c r="C315" s="115" t="s">
        <v>1015</v>
      </c>
      <c r="D315" s="115" t="s">
        <v>1016</v>
      </c>
      <c r="E315" s="110">
        <v>13</v>
      </c>
      <c r="F315" s="110">
        <v>2</v>
      </c>
      <c r="G315" s="116">
        <v>3053</v>
      </c>
      <c r="H315" s="116">
        <v>3052</v>
      </c>
      <c r="I315" s="116">
        <f>[Исчисленный налог]-[Удержанный налог]</f>
        <v>1</v>
      </c>
    </row>
    <row r="316" spans="1:9">
      <c r="A316" s="115">
        <v>1027142</v>
      </c>
      <c r="B316" s="115" t="s">
        <v>1017</v>
      </c>
      <c r="C316" s="115" t="s">
        <v>516</v>
      </c>
      <c r="D316" s="115" t="s">
        <v>552</v>
      </c>
      <c r="E316" s="110">
        <v>13</v>
      </c>
      <c r="F316" s="110">
        <v>2</v>
      </c>
      <c r="G316" s="116">
        <v>13008</v>
      </c>
      <c r="H316" s="116">
        <v>13007</v>
      </c>
      <c r="I316" s="116">
        <f>[Исчисленный налог]-[Удержанный налог]</f>
        <v>1</v>
      </c>
    </row>
    <row r="317" spans="1:9">
      <c r="A317" s="115">
        <v>1475312</v>
      </c>
      <c r="B317" s="115" t="s">
        <v>1018</v>
      </c>
      <c r="C317" s="115" t="s">
        <v>477</v>
      </c>
      <c r="D317" s="115" t="s">
        <v>349</v>
      </c>
      <c r="E317" s="110">
        <v>13</v>
      </c>
      <c r="F317" s="110">
        <v>2</v>
      </c>
      <c r="G317" s="116">
        <v>12146</v>
      </c>
      <c r="H317" s="116">
        <v>12145</v>
      </c>
      <c r="I317" s="116">
        <f>[Исчисленный налог]-[Удержанный налог]</f>
        <v>1</v>
      </c>
    </row>
    <row r="318" spans="1:9">
      <c r="A318" s="115">
        <v>2931093</v>
      </c>
      <c r="B318" s="115" t="s">
        <v>1019</v>
      </c>
      <c r="C318" s="115" t="s">
        <v>401</v>
      </c>
      <c r="D318" s="115" t="s">
        <v>328</v>
      </c>
      <c r="E318" s="110">
        <v>13</v>
      </c>
      <c r="F318" s="110">
        <v>2</v>
      </c>
      <c r="G318" s="116">
        <v>12612</v>
      </c>
      <c r="H318" s="116">
        <v>12611</v>
      </c>
      <c r="I318" s="116">
        <f>[Исчисленный налог]-[Удержанный налог]</f>
        <v>1</v>
      </c>
    </row>
    <row r="319" spans="1:9">
      <c r="A319" s="115">
        <v>3076024</v>
      </c>
      <c r="B319" s="115" t="s">
        <v>1020</v>
      </c>
      <c r="C319" s="115" t="s">
        <v>1021</v>
      </c>
      <c r="D319" s="115" t="s">
        <v>1022</v>
      </c>
      <c r="E319" s="110">
        <v>13</v>
      </c>
      <c r="F319" s="110">
        <v>2</v>
      </c>
      <c r="G319" s="116">
        <v>61130</v>
      </c>
      <c r="H319" s="116">
        <v>61129</v>
      </c>
      <c r="I319" s="116">
        <f>[Исчисленный налог]-[Удержанный налог]</f>
        <v>1</v>
      </c>
    </row>
    <row r="320" spans="1:9">
      <c r="A320" s="115">
        <v>2907895</v>
      </c>
      <c r="B320" s="115" t="s">
        <v>1023</v>
      </c>
      <c r="C320" s="115" t="s">
        <v>546</v>
      </c>
      <c r="D320" s="115" t="s">
        <v>393</v>
      </c>
      <c r="E320" s="110">
        <v>13</v>
      </c>
      <c r="F320" s="110">
        <v>2</v>
      </c>
      <c r="G320" s="116">
        <v>5756</v>
      </c>
      <c r="H320" s="116">
        <v>5755</v>
      </c>
      <c r="I320" s="116">
        <f>[Исчисленный налог]-[Удержанный налог]</f>
        <v>1</v>
      </c>
    </row>
    <row r="321" spans="1:9">
      <c r="A321" s="115">
        <v>2946550</v>
      </c>
      <c r="B321" s="115" t="s">
        <v>1024</v>
      </c>
      <c r="C321" s="115" t="s">
        <v>354</v>
      </c>
      <c r="D321" s="115" t="s">
        <v>633</v>
      </c>
      <c r="E321" s="110">
        <v>13</v>
      </c>
      <c r="F321" s="110">
        <v>3</v>
      </c>
      <c r="G321" s="116">
        <v>72936</v>
      </c>
      <c r="H321" s="116">
        <v>72935</v>
      </c>
      <c r="I321" s="116">
        <f>[Исчисленный налог]-[Удержанный налог]</f>
        <v>1</v>
      </c>
    </row>
    <row r="322" spans="1:9">
      <c r="A322" s="115">
        <v>3067274</v>
      </c>
      <c r="B322" s="115" t="s">
        <v>1025</v>
      </c>
      <c r="C322" s="115" t="s">
        <v>342</v>
      </c>
      <c r="D322" s="115" t="s">
        <v>343</v>
      </c>
      <c r="E322" s="110">
        <v>13</v>
      </c>
      <c r="F322" s="110">
        <v>2</v>
      </c>
      <c r="G322" s="116">
        <v>6361</v>
      </c>
      <c r="H322" s="116">
        <v>6360</v>
      </c>
      <c r="I322" s="116">
        <f>[Исчисленный налог]-[Удержанный налог]</f>
        <v>1</v>
      </c>
    </row>
    <row r="323" spans="1:9">
      <c r="A323" s="115">
        <v>1726247</v>
      </c>
      <c r="B323" s="115" t="s">
        <v>1026</v>
      </c>
      <c r="C323" s="115" t="s">
        <v>1027</v>
      </c>
      <c r="D323" s="115" t="s">
        <v>1028</v>
      </c>
      <c r="E323" s="110">
        <v>13</v>
      </c>
      <c r="F323" s="110">
        <v>2</v>
      </c>
      <c r="G323" s="116">
        <v>11648</v>
      </c>
      <c r="H323" s="116">
        <v>11647</v>
      </c>
      <c r="I323" s="116">
        <f>[Исчисленный налог]-[Удержанный налог]</f>
        <v>1</v>
      </c>
    </row>
    <row r="324" spans="1:9">
      <c r="A324" s="115">
        <v>2960682</v>
      </c>
      <c r="B324" s="115" t="s">
        <v>1029</v>
      </c>
      <c r="C324" s="115" t="s">
        <v>342</v>
      </c>
      <c r="D324" s="115" t="s">
        <v>343</v>
      </c>
      <c r="E324" s="110">
        <v>13</v>
      </c>
      <c r="F324" s="110">
        <v>2</v>
      </c>
      <c r="G324" s="116">
        <v>9908</v>
      </c>
      <c r="H324" s="116">
        <v>9907</v>
      </c>
      <c r="I324" s="116">
        <f>[Исчисленный налог]-[Удержанный налог]</f>
        <v>1</v>
      </c>
    </row>
    <row r="325" spans="1:9">
      <c r="A325" s="115">
        <v>3071333</v>
      </c>
      <c r="B325" s="115" t="s">
        <v>1030</v>
      </c>
      <c r="C325" s="115" t="s">
        <v>477</v>
      </c>
      <c r="D325" s="115" t="s">
        <v>322</v>
      </c>
      <c r="E325" s="110">
        <v>13</v>
      </c>
      <c r="F325" s="110">
        <v>2</v>
      </c>
      <c r="G325" s="116">
        <v>23430</v>
      </c>
      <c r="H325" s="116">
        <v>23429</v>
      </c>
      <c r="I325" s="116">
        <f>[Исчисленный налог]-[Удержанный налог]</f>
        <v>1</v>
      </c>
    </row>
    <row r="326" spans="1:9">
      <c r="A326" s="115">
        <v>2914476</v>
      </c>
      <c r="B326" s="115" t="s">
        <v>1031</v>
      </c>
      <c r="C326" s="115" t="s">
        <v>456</v>
      </c>
      <c r="D326" s="115" t="s">
        <v>421</v>
      </c>
      <c r="E326" s="110">
        <v>13</v>
      </c>
      <c r="F326" s="110">
        <v>2</v>
      </c>
      <c r="G326" s="116">
        <v>4225</v>
      </c>
      <c r="H326" s="116">
        <v>4224</v>
      </c>
      <c r="I326" s="116">
        <f>[Исчисленный налог]-[Удержанный налог]</f>
        <v>1</v>
      </c>
    </row>
    <row r="327" spans="1:9">
      <c r="A327" s="115">
        <v>2918488</v>
      </c>
      <c r="B327" s="115" t="s">
        <v>1032</v>
      </c>
      <c r="C327" s="115" t="s">
        <v>428</v>
      </c>
      <c r="D327" s="115" t="s">
        <v>457</v>
      </c>
      <c r="E327" s="110">
        <v>13</v>
      </c>
      <c r="F327" s="110">
        <v>2</v>
      </c>
      <c r="G327" s="116">
        <v>3630</v>
      </c>
      <c r="H327" s="116">
        <v>3629</v>
      </c>
      <c r="I327" s="116">
        <f>[Исчисленный налог]-[Удержанный налог]</f>
        <v>1</v>
      </c>
    </row>
    <row r="328" spans="1:9">
      <c r="A328" s="115">
        <v>1112549</v>
      </c>
      <c r="B328" s="115" t="s">
        <v>539</v>
      </c>
      <c r="C328" s="115" t="s">
        <v>366</v>
      </c>
      <c r="D328" s="115" t="s">
        <v>464</v>
      </c>
      <c r="E328" s="110">
        <v>13</v>
      </c>
      <c r="F328" s="110">
        <v>2</v>
      </c>
      <c r="G328" s="116">
        <v>8092</v>
      </c>
      <c r="H328" s="116">
        <v>8091</v>
      </c>
      <c r="I328" s="116">
        <f>[Исчисленный налог]-[Удержанный налог]</f>
        <v>1</v>
      </c>
    </row>
    <row r="329" spans="1:9">
      <c r="A329" s="115">
        <v>3007673</v>
      </c>
      <c r="B329" s="115" t="s">
        <v>1033</v>
      </c>
      <c r="C329" s="115" t="s">
        <v>327</v>
      </c>
      <c r="D329" s="115" t="s">
        <v>370</v>
      </c>
      <c r="E329" s="110">
        <v>13</v>
      </c>
      <c r="F329" s="110">
        <v>2</v>
      </c>
      <c r="G329" s="116">
        <v>6068</v>
      </c>
      <c r="H329" s="116">
        <v>6067</v>
      </c>
      <c r="I329" s="116">
        <f>[Исчисленный налог]-[Удержанный налог]</f>
        <v>1</v>
      </c>
    </row>
    <row r="330" spans="1:9">
      <c r="A330" s="115">
        <v>2962463</v>
      </c>
      <c r="B330" s="115" t="s">
        <v>560</v>
      </c>
      <c r="C330" s="115" t="s">
        <v>493</v>
      </c>
      <c r="D330" s="115" t="s">
        <v>322</v>
      </c>
      <c r="E330" s="110">
        <v>13</v>
      </c>
      <c r="F330" s="110">
        <v>2</v>
      </c>
      <c r="G330" s="116">
        <v>3379</v>
      </c>
      <c r="H330" s="116">
        <v>3378</v>
      </c>
      <c r="I330" s="116">
        <f>[Исчисленный налог]-[Удержанный налог]</f>
        <v>1</v>
      </c>
    </row>
    <row r="331" spans="1:9">
      <c r="A331" s="115">
        <v>2912946</v>
      </c>
      <c r="B331" s="115" t="s">
        <v>1034</v>
      </c>
      <c r="C331" s="115" t="s">
        <v>516</v>
      </c>
      <c r="D331" s="115" t="s">
        <v>633</v>
      </c>
      <c r="E331" s="110">
        <v>13</v>
      </c>
      <c r="F331" s="110">
        <v>2</v>
      </c>
      <c r="G331" s="116">
        <v>17857</v>
      </c>
      <c r="H331" s="116">
        <v>17856</v>
      </c>
      <c r="I331" s="116">
        <f>[Исчисленный налог]-[Удержанный налог]</f>
        <v>1</v>
      </c>
    </row>
    <row r="332" spans="1:9">
      <c r="A332" s="115">
        <v>2891171</v>
      </c>
      <c r="B332" s="115" t="s">
        <v>1035</v>
      </c>
      <c r="C332" s="115" t="s">
        <v>453</v>
      </c>
      <c r="D332" s="115" t="s">
        <v>543</v>
      </c>
      <c r="E332" s="110">
        <v>13</v>
      </c>
      <c r="F332" s="110">
        <v>2</v>
      </c>
      <c r="G332" s="116">
        <v>29059</v>
      </c>
      <c r="H332" s="116">
        <v>29058</v>
      </c>
      <c r="I332" s="116">
        <f>[Исчисленный налог]-[Удержанный налог]</f>
        <v>1</v>
      </c>
    </row>
    <row r="333" spans="1:9">
      <c r="A333" s="115">
        <v>2935325</v>
      </c>
      <c r="B333" s="115" t="s">
        <v>1036</v>
      </c>
      <c r="C333" s="115" t="s">
        <v>909</v>
      </c>
      <c r="D333" s="115" t="s">
        <v>633</v>
      </c>
      <c r="E333" s="110">
        <v>13</v>
      </c>
      <c r="F333" s="110">
        <v>2</v>
      </c>
      <c r="G333" s="116">
        <v>183457</v>
      </c>
      <c r="H333" s="116">
        <v>183456</v>
      </c>
      <c r="I333" s="116">
        <f>[Исчисленный налог]-[Удержанный налог]</f>
        <v>1</v>
      </c>
    </row>
    <row r="334" spans="1:9">
      <c r="A334" s="115">
        <v>1129815</v>
      </c>
      <c r="B334" s="115" t="s">
        <v>1037</v>
      </c>
      <c r="C334" s="115" t="s">
        <v>366</v>
      </c>
      <c r="D334" s="115" t="s">
        <v>613</v>
      </c>
      <c r="E334" s="110">
        <v>13</v>
      </c>
      <c r="F334" s="110">
        <v>2</v>
      </c>
      <c r="G334" s="116">
        <v>4701</v>
      </c>
      <c r="H334" s="116">
        <v>4700</v>
      </c>
      <c r="I334" s="116">
        <f>[Исчисленный налог]-[Удержанный налог]</f>
        <v>1</v>
      </c>
    </row>
    <row r="335" spans="1:9">
      <c r="A335" s="115">
        <v>2891891</v>
      </c>
      <c r="B335" s="115" t="s">
        <v>1038</v>
      </c>
      <c r="C335" s="115" t="s">
        <v>568</v>
      </c>
      <c r="D335" s="115" t="s">
        <v>412</v>
      </c>
      <c r="E335" s="110">
        <v>30</v>
      </c>
      <c r="F335" s="110">
        <v>1</v>
      </c>
      <c r="G335" s="116">
        <v>10655</v>
      </c>
      <c r="H335" s="116">
        <v>10456</v>
      </c>
      <c r="I335" s="116">
        <f>[Исчисленный налог]-[Удержанный налог]</f>
        <v>199</v>
      </c>
    </row>
    <row r="336" spans="1:9">
      <c r="A336" s="115">
        <v>3036395</v>
      </c>
      <c r="B336" s="115" t="s">
        <v>1039</v>
      </c>
      <c r="C336" s="115" t="s">
        <v>1040</v>
      </c>
      <c r="D336" s="115" t="s">
        <v>848</v>
      </c>
      <c r="E336" s="110">
        <v>30</v>
      </c>
      <c r="F336" s="110">
        <v>1</v>
      </c>
      <c r="G336" s="116">
        <v>12312</v>
      </c>
      <c r="H336" s="116">
        <v>12085</v>
      </c>
      <c r="I336" s="116">
        <f>[Исчисленный налог]-[Удержанный налог]</f>
        <v>227</v>
      </c>
    </row>
    <row r="337" spans="1:9">
      <c r="A337" s="115">
        <v>2898148</v>
      </c>
      <c r="B337" s="115" t="s">
        <v>1041</v>
      </c>
      <c r="C337" s="115" t="s">
        <v>685</v>
      </c>
      <c r="D337" s="115" t="s">
        <v>552</v>
      </c>
      <c r="E337" s="110">
        <v>30</v>
      </c>
      <c r="F337" s="110">
        <v>1</v>
      </c>
      <c r="G337" s="116">
        <v>24444</v>
      </c>
      <c r="H337" s="116">
        <v>23989</v>
      </c>
      <c r="I337" s="116">
        <f>[Исчисленный налог]-[Удержанный налог]</f>
        <v>455</v>
      </c>
    </row>
    <row r="338" spans="1:9">
      <c r="A338" s="115">
        <v>2966973</v>
      </c>
      <c r="B338" s="115" t="s">
        <v>1042</v>
      </c>
      <c r="C338" s="115" t="s">
        <v>345</v>
      </c>
      <c r="D338" s="115" t="s">
        <v>848</v>
      </c>
      <c r="E338" s="110">
        <v>30</v>
      </c>
      <c r="F338" s="110">
        <v>1</v>
      </c>
      <c r="G338" s="116">
        <v>26253</v>
      </c>
      <c r="H338" s="116">
        <v>25439</v>
      </c>
      <c r="I338" s="116">
        <f>[Исчисленный налог]-[Удержанный налог]</f>
        <v>814</v>
      </c>
    </row>
    <row r="339" spans="1:9">
      <c r="A339" s="115">
        <v>2968371</v>
      </c>
      <c r="B339" s="115" t="s">
        <v>1043</v>
      </c>
      <c r="C339" s="115" t="s">
        <v>372</v>
      </c>
      <c r="D339" s="115" t="s">
        <v>523</v>
      </c>
      <c r="E339" s="110">
        <v>13</v>
      </c>
      <c r="F339" s="110">
        <v>1</v>
      </c>
      <c r="G339" s="116">
        <v>5845</v>
      </c>
      <c r="H339" s="116">
        <v>4780</v>
      </c>
      <c r="I339" s="116">
        <f>[Исчисленный налог]-[Удержанный налог]</f>
        <v>1065</v>
      </c>
    </row>
    <row r="340" spans="1:9">
      <c r="A340" s="115">
        <v>1099541</v>
      </c>
      <c r="B340" s="115" t="s">
        <v>1044</v>
      </c>
      <c r="C340" s="115" t="s">
        <v>1045</v>
      </c>
      <c r="D340" s="115" t="s">
        <v>751</v>
      </c>
      <c r="E340" s="110">
        <v>30</v>
      </c>
      <c r="F340" s="110">
        <v>1</v>
      </c>
      <c r="G340" s="116">
        <v>12033</v>
      </c>
      <c r="H340" s="116">
        <v>10156</v>
      </c>
      <c r="I340" s="116">
        <f>[Исчисленный налог]-[Удержанный налог]</f>
        <v>1877</v>
      </c>
    </row>
    <row r="341" spans="1:9">
      <c r="A341" s="115">
        <v>2925604</v>
      </c>
      <c r="B341" s="115" t="s">
        <v>1046</v>
      </c>
      <c r="C341" s="115" t="s">
        <v>548</v>
      </c>
      <c r="D341" s="115" t="s">
        <v>523</v>
      </c>
      <c r="E341" s="110">
        <v>30</v>
      </c>
      <c r="F341" s="110">
        <v>1</v>
      </c>
      <c r="G341" s="116">
        <v>8082</v>
      </c>
      <c r="H341" s="116">
        <v>5716</v>
      </c>
      <c r="I341" s="116">
        <f>[Исчисленный налог]-[Удержанный налог]</f>
        <v>2366</v>
      </c>
    </row>
    <row r="342" spans="1:9">
      <c r="A342" s="115">
        <v>3010452</v>
      </c>
      <c r="B342" s="115" t="s">
        <v>1047</v>
      </c>
      <c r="C342" s="115" t="s">
        <v>436</v>
      </c>
      <c r="D342" s="115" t="s">
        <v>1048</v>
      </c>
      <c r="E342" s="110">
        <v>30</v>
      </c>
      <c r="F342" s="110">
        <v>1</v>
      </c>
      <c r="G342" s="116">
        <v>16902</v>
      </c>
      <c r="H342" s="116">
        <v>13575</v>
      </c>
      <c r="I342" s="116">
        <f>[Исчисленный налог]-[Удержанный налог]</f>
        <v>3327</v>
      </c>
    </row>
    <row r="343" spans="1:9">
      <c r="A343" s="184">
        <v>2930866</v>
      </c>
      <c r="B343" s="184" t="s">
        <v>1049</v>
      </c>
      <c r="C343" s="184" t="s">
        <v>345</v>
      </c>
      <c r="D343" s="184" t="s">
        <v>552</v>
      </c>
      <c r="E343" s="185">
        <v>30</v>
      </c>
      <c r="F343" s="185">
        <v>1</v>
      </c>
      <c r="G343" s="186">
        <v>12285</v>
      </c>
      <c r="H343" s="186">
        <v>8688</v>
      </c>
      <c r="I343" s="186">
        <f>[Исчисленный налог]-[Удержанный налог]</f>
        <v>3597</v>
      </c>
    </row>
  </sheetData>
  <mergeCells count="2">
    <mergeCell ref="A1:I1"/>
    <mergeCell ref="A3:H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3"/>
  <dimension ref="A1:R392"/>
  <sheetViews>
    <sheetView workbookViewId="0">
      <selection activeCell="A4" sqref="A4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24" t="s">
        <v>319</v>
      </c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</row>
    <row r="2" spans="1:18" ht="31.5" customHeight="1">
      <c r="A2" s="199" t="s">
        <v>59</v>
      </c>
      <c r="B2" s="199"/>
      <c r="C2" s="199"/>
      <c r="D2" s="199"/>
      <c r="E2" s="199" t="s">
        <v>58</v>
      </c>
      <c r="F2" s="199"/>
      <c r="G2" s="199"/>
      <c r="H2" s="199"/>
      <c r="I2" s="199"/>
      <c r="J2" s="199"/>
      <c r="K2" s="225" t="s">
        <v>52</v>
      </c>
      <c r="L2" s="225" t="s">
        <v>53</v>
      </c>
      <c r="M2" s="225" t="s">
        <v>38</v>
      </c>
      <c r="N2" s="225" t="s">
        <v>54</v>
      </c>
      <c r="O2" s="199" t="s">
        <v>60</v>
      </c>
      <c r="P2" s="199"/>
      <c r="Q2" s="199"/>
      <c r="R2" s="199"/>
    </row>
    <row r="3" spans="1:18" ht="31.5">
      <c r="A3" s="166" t="s">
        <v>51</v>
      </c>
      <c r="B3" s="166" t="s">
        <v>57</v>
      </c>
      <c r="C3" s="166" t="s">
        <v>47</v>
      </c>
      <c r="D3" s="166" t="s">
        <v>61</v>
      </c>
      <c r="E3" s="166" t="s">
        <v>50</v>
      </c>
      <c r="F3" s="166" t="s">
        <v>51</v>
      </c>
      <c r="G3" s="166" t="s">
        <v>47</v>
      </c>
      <c r="H3" s="166" t="s">
        <v>61</v>
      </c>
      <c r="I3" s="166" t="s">
        <v>55</v>
      </c>
      <c r="J3" s="166" t="s">
        <v>56</v>
      </c>
      <c r="K3" s="225"/>
      <c r="L3" s="225"/>
      <c r="M3" s="225"/>
      <c r="N3" s="225"/>
      <c r="O3" s="166" t="s">
        <v>62</v>
      </c>
      <c r="P3" s="166" t="s">
        <v>63</v>
      </c>
      <c r="Q3" s="166" t="s">
        <v>64</v>
      </c>
      <c r="R3" s="166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>
        <v>1</v>
      </c>
      <c r="B5" s="30">
        <v>1</v>
      </c>
      <c r="C5" s="1">
        <v>42755</v>
      </c>
      <c r="D5" s="27">
        <v>743355</v>
      </c>
      <c r="E5" s="30">
        <v>2016</v>
      </c>
      <c r="F5" s="30">
        <v>4</v>
      </c>
      <c r="G5" s="1">
        <v>42720</v>
      </c>
      <c r="H5" s="27">
        <v>736840</v>
      </c>
      <c r="I5" s="24">
        <v>53000</v>
      </c>
      <c r="J5" s="24">
        <v>-53000</v>
      </c>
      <c r="K5" s="30">
        <v>991</v>
      </c>
      <c r="L5" s="30">
        <v>11353</v>
      </c>
      <c r="M5" s="30">
        <v>55</v>
      </c>
      <c r="N5" s="30">
        <v>1</v>
      </c>
      <c r="O5" s="30">
        <v>194095</v>
      </c>
      <c r="P5" s="29" t="s">
        <v>320</v>
      </c>
      <c r="Q5" s="29" t="s">
        <v>321</v>
      </c>
      <c r="R5" s="29" t="s">
        <v>322</v>
      </c>
    </row>
    <row r="6" spans="1:18">
      <c r="A6" s="177">
        <v>1</v>
      </c>
      <c r="B6" s="30">
        <v>1</v>
      </c>
      <c r="C6" s="1">
        <v>42755</v>
      </c>
      <c r="D6" s="27">
        <v>743355</v>
      </c>
      <c r="E6" s="30">
        <v>2016</v>
      </c>
      <c r="F6" s="30">
        <v>4</v>
      </c>
      <c r="G6" s="1">
        <v>42720</v>
      </c>
      <c r="H6" s="27">
        <v>736840</v>
      </c>
      <c r="I6" s="24">
        <v>9392</v>
      </c>
      <c r="J6" s="24">
        <v>-6890</v>
      </c>
      <c r="K6" s="30">
        <v>991</v>
      </c>
      <c r="L6" s="30">
        <v>11353</v>
      </c>
      <c r="M6" s="30">
        <v>85</v>
      </c>
      <c r="N6" s="30">
        <v>2</v>
      </c>
      <c r="O6" s="30">
        <v>194095</v>
      </c>
      <c r="P6" s="29" t="s">
        <v>320</v>
      </c>
      <c r="Q6" s="29" t="s">
        <v>321</v>
      </c>
      <c r="R6" s="178" t="s">
        <v>322</v>
      </c>
    </row>
    <row r="7" spans="1:18">
      <c r="A7" s="177">
        <v>1</v>
      </c>
      <c r="B7" s="30">
        <v>1</v>
      </c>
      <c r="C7" s="1">
        <v>42755</v>
      </c>
      <c r="D7" s="27">
        <v>743356</v>
      </c>
      <c r="E7" s="30">
        <v>2016</v>
      </c>
      <c r="F7" s="30">
        <v>3</v>
      </c>
      <c r="G7" s="1">
        <v>42643</v>
      </c>
      <c r="H7" s="27">
        <v>722594</v>
      </c>
      <c r="I7" s="24">
        <v>82000</v>
      </c>
      <c r="J7" s="24">
        <v>-82000</v>
      </c>
      <c r="K7" s="30">
        <v>991</v>
      </c>
      <c r="L7" s="30">
        <v>6614</v>
      </c>
      <c r="M7" s="30">
        <v>55</v>
      </c>
      <c r="N7" s="30">
        <v>1</v>
      </c>
      <c r="O7" s="30">
        <v>181587</v>
      </c>
      <c r="P7" s="29" t="s">
        <v>323</v>
      </c>
      <c r="Q7" s="29" t="s">
        <v>324</v>
      </c>
      <c r="R7" s="178" t="s">
        <v>325</v>
      </c>
    </row>
    <row r="8" spans="1:18">
      <c r="A8" s="177">
        <v>1</v>
      </c>
      <c r="B8" s="30">
        <v>1</v>
      </c>
      <c r="C8" s="1">
        <v>42755</v>
      </c>
      <c r="D8" s="27">
        <v>743356</v>
      </c>
      <c r="E8" s="30">
        <v>2016</v>
      </c>
      <c r="F8" s="30">
        <v>3</v>
      </c>
      <c r="G8" s="1">
        <v>42643</v>
      </c>
      <c r="H8" s="27">
        <v>722594</v>
      </c>
      <c r="I8" s="24">
        <v>15283</v>
      </c>
      <c r="J8" s="24">
        <v>-10660</v>
      </c>
      <c r="K8" s="30">
        <v>991</v>
      </c>
      <c r="L8" s="30">
        <v>6614</v>
      </c>
      <c r="M8" s="30">
        <v>85</v>
      </c>
      <c r="N8" s="30">
        <v>2</v>
      </c>
      <c r="O8" s="30">
        <v>181587</v>
      </c>
      <c r="P8" s="29" t="s">
        <v>323</v>
      </c>
      <c r="Q8" s="29" t="s">
        <v>324</v>
      </c>
      <c r="R8" s="178" t="s">
        <v>325</v>
      </c>
    </row>
    <row r="9" spans="1:18">
      <c r="A9" s="177">
        <v>1</v>
      </c>
      <c r="B9" s="30">
        <v>1</v>
      </c>
      <c r="C9" s="1">
        <v>42755</v>
      </c>
      <c r="D9" s="27">
        <v>743354</v>
      </c>
      <c r="E9" s="30">
        <v>2016</v>
      </c>
      <c r="F9" s="30">
        <v>4</v>
      </c>
      <c r="G9" s="1">
        <v>42706</v>
      </c>
      <c r="H9" s="27">
        <v>733154</v>
      </c>
      <c r="I9" s="24">
        <v>53000</v>
      </c>
      <c r="J9" s="24">
        <v>-45000</v>
      </c>
      <c r="K9" s="30">
        <v>991</v>
      </c>
      <c r="L9" s="30">
        <v>55852</v>
      </c>
      <c r="M9" s="30">
        <v>55</v>
      </c>
      <c r="N9" s="30">
        <v>1</v>
      </c>
      <c r="O9" s="30">
        <v>970213</v>
      </c>
      <c r="P9" s="29" t="s">
        <v>326</v>
      </c>
      <c r="Q9" s="29" t="s">
        <v>327</v>
      </c>
      <c r="R9" s="178" t="s">
        <v>328</v>
      </c>
    </row>
    <row r="10" spans="1:18">
      <c r="A10" s="177">
        <v>1</v>
      </c>
      <c r="B10" s="30">
        <v>1</v>
      </c>
      <c r="C10" s="1">
        <v>42755</v>
      </c>
      <c r="D10" s="27">
        <v>743354</v>
      </c>
      <c r="E10" s="30">
        <v>2016</v>
      </c>
      <c r="F10" s="30">
        <v>4</v>
      </c>
      <c r="G10" s="1">
        <v>42706</v>
      </c>
      <c r="H10" s="27">
        <v>733154</v>
      </c>
      <c r="I10" s="24">
        <v>7799</v>
      </c>
      <c r="J10" s="24">
        <v>-5850</v>
      </c>
      <c r="K10" s="30">
        <v>991</v>
      </c>
      <c r="L10" s="30">
        <v>55852</v>
      </c>
      <c r="M10" s="30">
        <v>85</v>
      </c>
      <c r="N10" s="30">
        <v>2</v>
      </c>
      <c r="O10" s="30">
        <v>970213</v>
      </c>
      <c r="P10" s="29" t="s">
        <v>326</v>
      </c>
      <c r="Q10" s="29" t="s">
        <v>327</v>
      </c>
      <c r="R10" s="178" t="s">
        <v>328</v>
      </c>
    </row>
    <row r="11" spans="1:18">
      <c r="A11" s="177">
        <v>1</v>
      </c>
      <c r="B11" s="30">
        <v>1</v>
      </c>
      <c r="C11" s="1">
        <v>42762</v>
      </c>
      <c r="D11" s="27">
        <v>743790</v>
      </c>
      <c r="E11" s="30">
        <v>2016</v>
      </c>
      <c r="F11" s="30">
        <v>4</v>
      </c>
      <c r="G11" s="1">
        <v>42671</v>
      </c>
      <c r="H11" s="27">
        <v>727669</v>
      </c>
      <c r="I11" s="24">
        <v>72000</v>
      </c>
      <c r="J11" s="24">
        <v>-66000</v>
      </c>
      <c r="K11" s="30">
        <v>991</v>
      </c>
      <c r="L11" s="30">
        <v>56937</v>
      </c>
      <c r="M11" s="30">
        <v>55</v>
      </c>
      <c r="N11" s="30">
        <v>1</v>
      </c>
      <c r="O11" s="30">
        <v>996784</v>
      </c>
      <c r="P11" s="29" t="s">
        <v>329</v>
      </c>
      <c r="Q11" s="29" t="s">
        <v>330</v>
      </c>
      <c r="R11" s="178" t="s">
        <v>331</v>
      </c>
    </row>
    <row r="12" spans="1:18">
      <c r="A12" s="177">
        <v>1</v>
      </c>
      <c r="B12" s="30">
        <v>1</v>
      </c>
      <c r="C12" s="1">
        <v>42762</v>
      </c>
      <c r="D12" s="27">
        <v>743790</v>
      </c>
      <c r="E12" s="30">
        <v>2016</v>
      </c>
      <c r="F12" s="30">
        <v>4</v>
      </c>
      <c r="G12" s="1">
        <v>42671</v>
      </c>
      <c r="H12" s="27">
        <v>727669</v>
      </c>
      <c r="I12" s="24">
        <v>10664</v>
      </c>
      <c r="J12" s="24">
        <v>-8580</v>
      </c>
      <c r="K12" s="30">
        <v>991</v>
      </c>
      <c r="L12" s="30">
        <v>56937</v>
      </c>
      <c r="M12" s="30">
        <v>85</v>
      </c>
      <c r="N12" s="30">
        <v>2</v>
      </c>
      <c r="O12" s="30">
        <v>996784</v>
      </c>
      <c r="P12" s="29" t="s">
        <v>329</v>
      </c>
      <c r="Q12" s="29" t="s">
        <v>330</v>
      </c>
      <c r="R12" s="178" t="s">
        <v>331</v>
      </c>
    </row>
    <row r="13" spans="1:18">
      <c r="A13" s="177">
        <v>1</v>
      </c>
      <c r="B13" s="30">
        <v>1</v>
      </c>
      <c r="C13" s="1">
        <v>42762</v>
      </c>
      <c r="D13" s="27">
        <v>743775</v>
      </c>
      <c r="E13" s="30">
        <v>2016</v>
      </c>
      <c r="F13" s="30">
        <v>4</v>
      </c>
      <c r="G13" s="1">
        <v>42727</v>
      </c>
      <c r="H13" s="27">
        <v>738309</v>
      </c>
      <c r="I13" s="24">
        <v>26000</v>
      </c>
      <c r="J13" s="24">
        <v>-26000</v>
      </c>
      <c r="K13" s="30">
        <v>991</v>
      </c>
      <c r="L13" s="30">
        <v>59036</v>
      </c>
      <c r="M13" s="30">
        <v>55</v>
      </c>
      <c r="N13" s="30">
        <v>1</v>
      </c>
      <c r="O13" s="30">
        <v>999444</v>
      </c>
      <c r="P13" s="29" t="s">
        <v>332</v>
      </c>
      <c r="Q13" s="29" t="s">
        <v>333</v>
      </c>
      <c r="R13" s="178" t="s">
        <v>334</v>
      </c>
    </row>
    <row r="14" spans="1:18">
      <c r="A14" s="177">
        <v>1</v>
      </c>
      <c r="B14" s="30">
        <v>1</v>
      </c>
      <c r="C14" s="1">
        <v>42762</v>
      </c>
      <c r="D14" s="27">
        <v>743775</v>
      </c>
      <c r="E14" s="30">
        <v>2016</v>
      </c>
      <c r="F14" s="30">
        <v>4</v>
      </c>
      <c r="G14" s="1">
        <v>42727</v>
      </c>
      <c r="H14" s="27">
        <v>738309</v>
      </c>
      <c r="I14" s="24">
        <v>3817</v>
      </c>
      <c r="J14" s="24">
        <v>-3380</v>
      </c>
      <c r="K14" s="30">
        <v>991</v>
      </c>
      <c r="L14" s="30">
        <v>59036</v>
      </c>
      <c r="M14" s="30">
        <v>85</v>
      </c>
      <c r="N14" s="30">
        <v>2</v>
      </c>
      <c r="O14" s="30">
        <v>999444</v>
      </c>
      <c r="P14" s="29" t="s">
        <v>332</v>
      </c>
      <c r="Q14" s="29" t="s">
        <v>333</v>
      </c>
      <c r="R14" s="178" t="s">
        <v>334</v>
      </c>
    </row>
    <row r="15" spans="1:18">
      <c r="A15" s="177">
        <v>1</v>
      </c>
      <c r="B15" s="30">
        <v>1</v>
      </c>
      <c r="C15" s="1">
        <v>42762</v>
      </c>
      <c r="D15" s="27">
        <v>743776</v>
      </c>
      <c r="E15" s="30">
        <v>2016</v>
      </c>
      <c r="F15" s="30">
        <v>4</v>
      </c>
      <c r="G15" s="1">
        <v>42727</v>
      </c>
      <c r="H15" s="27">
        <v>738311</v>
      </c>
      <c r="I15" s="24">
        <v>23500</v>
      </c>
      <c r="J15" s="24">
        <v>-23500</v>
      </c>
      <c r="K15" s="30">
        <v>991</v>
      </c>
      <c r="L15" s="30">
        <v>61713</v>
      </c>
      <c r="M15" s="30">
        <v>55</v>
      </c>
      <c r="N15" s="30">
        <v>1</v>
      </c>
      <c r="O15" s="30">
        <v>1005499</v>
      </c>
      <c r="P15" s="29" t="s">
        <v>332</v>
      </c>
      <c r="Q15" s="29" t="s">
        <v>333</v>
      </c>
      <c r="R15" s="178" t="s">
        <v>334</v>
      </c>
    </row>
    <row r="16" spans="1:18">
      <c r="A16" s="177">
        <v>1</v>
      </c>
      <c r="B16" s="30">
        <v>1</v>
      </c>
      <c r="C16" s="1">
        <v>42762</v>
      </c>
      <c r="D16" s="27">
        <v>743776</v>
      </c>
      <c r="E16" s="30">
        <v>2016</v>
      </c>
      <c r="F16" s="30">
        <v>4</v>
      </c>
      <c r="G16" s="1">
        <v>42727</v>
      </c>
      <c r="H16" s="27">
        <v>738311</v>
      </c>
      <c r="I16" s="24">
        <v>3410</v>
      </c>
      <c r="J16" s="24">
        <v>-3055</v>
      </c>
      <c r="K16" s="30">
        <v>991</v>
      </c>
      <c r="L16" s="30">
        <v>61713</v>
      </c>
      <c r="M16" s="30">
        <v>85</v>
      </c>
      <c r="N16" s="30">
        <v>2</v>
      </c>
      <c r="O16" s="30">
        <v>1005499</v>
      </c>
      <c r="P16" s="29" t="s">
        <v>332</v>
      </c>
      <c r="Q16" s="29" t="s">
        <v>333</v>
      </c>
      <c r="R16" s="178" t="s">
        <v>334</v>
      </c>
    </row>
    <row r="17" spans="1:18">
      <c r="A17" s="177">
        <v>1</v>
      </c>
      <c r="B17" s="30">
        <v>1</v>
      </c>
      <c r="C17" s="1">
        <v>42762</v>
      </c>
      <c r="D17" s="27">
        <v>743786</v>
      </c>
      <c r="E17" s="30">
        <v>2016</v>
      </c>
      <c r="F17" s="30">
        <v>4</v>
      </c>
      <c r="G17" s="1">
        <v>42716</v>
      </c>
      <c r="H17" s="27">
        <v>735511</v>
      </c>
      <c r="I17" s="24">
        <v>71000</v>
      </c>
      <c r="J17" s="24">
        <v>-62000</v>
      </c>
      <c r="K17" s="30">
        <v>991</v>
      </c>
      <c r="L17" s="30">
        <v>40081</v>
      </c>
      <c r="M17" s="30">
        <v>55</v>
      </c>
      <c r="N17" s="30">
        <v>1</v>
      </c>
      <c r="O17" s="30">
        <v>572227</v>
      </c>
      <c r="P17" s="29" t="s">
        <v>335</v>
      </c>
      <c r="Q17" s="29" t="s">
        <v>336</v>
      </c>
      <c r="R17" s="178" t="s">
        <v>337</v>
      </c>
    </row>
    <row r="18" spans="1:18">
      <c r="A18" s="177">
        <v>1</v>
      </c>
      <c r="B18" s="30">
        <v>1</v>
      </c>
      <c r="C18" s="1">
        <v>42762</v>
      </c>
      <c r="D18" s="27">
        <v>743786</v>
      </c>
      <c r="E18" s="30">
        <v>2016</v>
      </c>
      <c r="F18" s="30">
        <v>4</v>
      </c>
      <c r="G18" s="1">
        <v>42716</v>
      </c>
      <c r="H18" s="27">
        <v>735511</v>
      </c>
      <c r="I18" s="24">
        <v>10787</v>
      </c>
      <c r="J18" s="24">
        <v>-8060</v>
      </c>
      <c r="K18" s="30">
        <v>991</v>
      </c>
      <c r="L18" s="30">
        <v>40081</v>
      </c>
      <c r="M18" s="30">
        <v>85</v>
      </c>
      <c r="N18" s="30">
        <v>2</v>
      </c>
      <c r="O18" s="30">
        <v>572227</v>
      </c>
      <c r="P18" s="29" t="s">
        <v>335</v>
      </c>
      <c r="Q18" s="29" t="s">
        <v>336</v>
      </c>
      <c r="R18" s="178" t="s">
        <v>337</v>
      </c>
    </row>
    <row r="19" spans="1:18">
      <c r="A19" s="177">
        <v>1</v>
      </c>
      <c r="B19" s="30">
        <v>1</v>
      </c>
      <c r="C19" s="1">
        <v>42766</v>
      </c>
      <c r="D19" s="27">
        <v>742033</v>
      </c>
      <c r="E19" s="30">
        <v>2017</v>
      </c>
      <c r="F19" s="30">
        <v>1</v>
      </c>
      <c r="G19" s="1">
        <v>42745</v>
      </c>
      <c r="H19" s="27">
        <v>740284</v>
      </c>
      <c r="I19" s="24">
        <v>6400</v>
      </c>
      <c r="J19" s="24">
        <v>-6400</v>
      </c>
      <c r="K19" s="30">
        <v>573</v>
      </c>
      <c r="L19" s="30">
        <v>259</v>
      </c>
      <c r="M19" s="30">
        <v>60</v>
      </c>
      <c r="N19" s="30">
        <v>0</v>
      </c>
      <c r="O19" s="30">
        <v>799626</v>
      </c>
      <c r="P19" s="29" t="s">
        <v>338</v>
      </c>
      <c r="Q19" s="29" t="s">
        <v>339</v>
      </c>
      <c r="R19" s="178" t="s">
        <v>340</v>
      </c>
    </row>
    <row r="20" spans="1:18">
      <c r="A20" s="177">
        <v>1</v>
      </c>
      <c r="B20" s="30">
        <v>1</v>
      </c>
      <c r="C20" s="1">
        <v>42766</v>
      </c>
      <c r="D20" s="27">
        <v>742033</v>
      </c>
      <c r="E20" s="30">
        <v>2017</v>
      </c>
      <c r="F20" s="30">
        <v>1</v>
      </c>
      <c r="G20" s="1">
        <v>42745</v>
      </c>
      <c r="H20" s="27">
        <v>740284</v>
      </c>
      <c r="I20" s="24">
        <v>832</v>
      </c>
      <c r="J20" s="24">
        <v>-832</v>
      </c>
      <c r="K20" s="30">
        <v>573</v>
      </c>
      <c r="L20" s="30">
        <v>259</v>
      </c>
      <c r="M20" s="30">
        <v>85</v>
      </c>
      <c r="N20" s="30">
        <v>0</v>
      </c>
      <c r="O20" s="30">
        <v>799626</v>
      </c>
      <c r="P20" s="29" t="s">
        <v>338</v>
      </c>
      <c r="Q20" s="29" t="s">
        <v>339</v>
      </c>
      <c r="R20" s="178" t="s">
        <v>340</v>
      </c>
    </row>
    <row r="21" spans="1:18">
      <c r="A21" s="177">
        <v>1</v>
      </c>
      <c r="B21" s="30">
        <v>1</v>
      </c>
      <c r="C21" s="1">
        <v>42766</v>
      </c>
      <c r="D21" s="27">
        <v>742033</v>
      </c>
      <c r="E21" s="30">
        <v>2017</v>
      </c>
      <c r="F21" s="30">
        <v>1</v>
      </c>
      <c r="G21" s="1">
        <v>42745</v>
      </c>
      <c r="H21" s="27">
        <v>740282</v>
      </c>
      <c r="I21" s="24">
        <v>5102.1099999999997</v>
      </c>
      <c r="J21" s="24">
        <v>-5102.1099999999997</v>
      </c>
      <c r="K21" s="30">
        <v>13</v>
      </c>
      <c r="L21" s="30">
        <v>120</v>
      </c>
      <c r="M21" s="30">
        <v>60</v>
      </c>
      <c r="N21" s="30">
        <v>0</v>
      </c>
      <c r="O21" s="30">
        <v>15410</v>
      </c>
      <c r="P21" s="29" t="s">
        <v>341</v>
      </c>
      <c r="Q21" s="29" t="s">
        <v>342</v>
      </c>
      <c r="R21" s="178" t="s">
        <v>343</v>
      </c>
    </row>
    <row r="22" spans="1:18">
      <c r="A22" s="177">
        <v>1</v>
      </c>
      <c r="B22" s="30">
        <v>1</v>
      </c>
      <c r="C22" s="1">
        <v>42766</v>
      </c>
      <c r="D22" s="27">
        <v>742033</v>
      </c>
      <c r="E22" s="30">
        <v>2017</v>
      </c>
      <c r="F22" s="30">
        <v>1</v>
      </c>
      <c r="G22" s="1">
        <v>42745</v>
      </c>
      <c r="H22" s="27">
        <v>740282</v>
      </c>
      <c r="I22" s="24">
        <v>663</v>
      </c>
      <c r="J22" s="24">
        <v>-663</v>
      </c>
      <c r="K22" s="30">
        <v>13</v>
      </c>
      <c r="L22" s="30">
        <v>120</v>
      </c>
      <c r="M22" s="30">
        <v>85</v>
      </c>
      <c r="N22" s="30">
        <v>0</v>
      </c>
      <c r="O22" s="30">
        <v>15410</v>
      </c>
      <c r="P22" s="29" t="s">
        <v>341</v>
      </c>
      <c r="Q22" s="29" t="s">
        <v>342</v>
      </c>
      <c r="R22" s="178" t="s">
        <v>343</v>
      </c>
    </row>
    <row r="23" spans="1:18">
      <c r="A23" s="177">
        <v>1</v>
      </c>
      <c r="B23" s="30">
        <v>1</v>
      </c>
      <c r="C23" s="1">
        <v>42766</v>
      </c>
      <c r="D23" s="27">
        <v>742033</v>
      </c>
      <c r="E23" s="30">
        <v>2017</v>
      </c>
      <c r="F23" s="30">
        <v>1</v>
      </c>
      <c r="G23" s="1">
        <v>42745</v>
      </c>
      <c r="H23" s="27">
        <v>740282</v>
      </c>
      <c r="I23" s="24">
        <v>4023.71</v>
      </c>
      <c r="J23" s="24">
        <v>-4023.71</v>
      </c>
      <c r="K23" s="30">
        <v>7</v>
      </c>
      <c r="L23" s="30">
        <v>2354</v>
      </c>
      <c r="M23" s="30">
        <v>60</v>
      </c>
      <c r="N23" s="30">
        <v>0</v>
      </c>
      <c r="O23" s="30">
        <v>4914</v>
      </c>
      <c r="P23" s="29" t="s">
        <v>344</v>
      </c>
      <c r="Q23" s="29" t="s">
        <v>345</v>
      </c>
      <c r="R23" s="178" t="s">
        <v>346</v>
      </c>
    </row>
    <row r="24" spans="1:18">
      <c r="A24" s="177">
        <v>1</v>
      </c>
      <c r="B24" s="30">
        <v>1</v>
      </c>
      <c r="C24" s="1">
        <v>42766</v>
      </c>
      <c r="D24" s="27">
        <v>742033</v>
      </c>
      <c r="E24" s="30">
        <v>2017</v>
      </c>
      <c r="F24" s="30">
        <v>1</v>
      </c>
      <c r="G24" s="1">
        <v>42745</v>
      </c>
      <c r="H24" s="27">
        <v>740282</v>
      </c>
      <c r="I24" s="24">
        <v>523</v>
      </c>
      <c r="J24" s="24">
        <v>-523</v>
      </c>
      <c r="K24" s="30">
        <v>7</v>
      </c>
      <c r="L24" s="30">
        <v>2354</v>
      </c>
      <c r="M24" s="30">
        <v>85</v>
      </c>
      <c r="N24" s="30">
        <v>0</v>
      </c>
      <c r="O24" s="30">
        <v>4914</v>
      </c>
      <c r="P24" s="29" t="s">
        <v>344</v>
      </c>
      <c r="Q24" s="29" t="s">
        <v>345</v>
      </c>
      <c r="R24" s="178" t="s">
        <v>346</v>
      </c>
    </row>
    <row r="25" spans="1:18">
      <c r="A25" s="177">
        <v>1</v>
      </c>
      <c r="B25" s="30">
        <v>1</v>
      </c>
      <c r="C25" s="1">
        <v>42766</v>
      </c>
      <c r="D25" s="27">
        <v>742033</v>
      </c>
      <c r="E25" s="30">
        <v>2017</v>
      </c>
      <c r="F25" s="30">
        <v>1</v>
      </c>
      <c r="G25" s="1">
        <v>42745</v>
      </c>
      <c r="H25" s="27">
        <v>740571</v>
      </c>
      <c r="I25" s="24">
        <v>5031.5</v>
      </c>
      <c r="J25" s="24">
        <v>-5031.5</v>
      </c>
      <c r="K25" s="30">
        <v>104</v>
      </c>
      <c r="L25" s="30">
        <v>1381</v>
      </c>
      <c r="M25" s="30">
        <v>60</v>
      </c>
      <c r="N25" s="30">
        <v>0</v>
      </c>
      <c r="O25" s="30">
        <v>141730</v>
      </c>
      <c r="P25" s="29" t="s">
        <v>347</v>
      </c>
      <c r="Q25" s="29" t="s">
        <v>348</v>
      </c>
      <c r="R25" s="178" t="s">
        <v>349</v>
      </c>
    </row>
    <row r="26" spans="1:18">
      <c r="A26" s="177">
        <v>1</v>
      </c>
      <c r="B26" s="30">
        <v>1</v>
      </c>
      <c r="C26" s="1">
        <v>42766</v>
      </c>
      <c r="D26" s="27">
        <v>742033</v>
      </c>
      <c r="E26" s="30">
        <v>2017</v>
      </c>
      <c r="F26" s="30">
        <v>1</v>
      </c>
      <c r="G26" s="1">
        <v>42745</v>
      </c>
      <c r="H26" s="27">
        <v>740571</v>
      </c>
      <c r="I26" s="24">
        <v>654</v>
      </c>
      <c r="J26" s="24">
        <v>-654</v>
      </c>
      <c r="K26" s="30">
        <v>104</v>
      </c>
      <c r="L26" s="30">
        <v>1381</v>
      </c>
      <c r="M26" s="30">
        <v>85</v>
      </c>
      <c r="N26" s="30">
        <v>0</v>
      </c>
      <c r="O26" s="30">
        <v>141730</v>
      </c>
      <c r="P26" s="29" t="s">
        <v>347</v>
      </c>
      <c r="Q26" s="29" t="s">
        <v>348</v>
      </c>
      <c r="R26" s="178" t="s">
        <v>349</v>
      </c>
    </row>
    <row r="27" spans="1:18">
      <c r="A27" s="177">
        <v>1</v>
      </c>
      <c r="B27" s="30">
        <v>1</v>
      </c>
      <c r="C27" s="1">
        <v>42766</v>
      </c>
      <c r="D27" s="27">
        <v>742033</v>
      </c>
      <c r="E27" s="30">
        <v>2017</v>
      </c>
      <c r="F27" s="30">
        <v>1</v>
      </c>
      <c r="G27" s="1">
        <v>42745</v>
      </c>
      <c r="H27" s="27">
        <v>740276</v>
      </c>
      <c r="I27" s="24">
        <v>6437.7</v>
      </c>
      <c r="J27" s="24">
        <v>-6437.7</v>
      </c>
      <c r="K27" s="30">
        <v>6</v>
      </c>
      <c r="L27" s="30">
        <v>2489</v>
      </c>
      <c r="M27" s="30">
        <v>60</v>
      </c>
      <c r="N27" s="30">
        <v>0</v>
      </c>
      <c r="O27" s="30">
        <v>59831</v>
      </c>
      <c r="P27" s="29" t="s">
        <v>350</v>
      </c>
      <c r="Q27" s="29" t="s">
        <v>351</v>
      </c>
      <c r="R27" s="178" t="s">
        <v>352</v>
      </c>
    </row>
    <row r="28" spans="1:18">
      <c r="A28" s="177">
        <v>1</v>
      </c>
      <c r="B28" s="30">
        <v>1</v>
      </c>
      <c r="C28" s="1">
        <v>42766</v>
      </c>
      <c r="D28" s="27">
        <v>742033</v>
      </c>
      <c r="E28" s="30">
        <v>2017</v>
      </c>
      <c r="F28" s="30">
        <v>1</v>
      </c>
      <c r="G28" s="1">
        <v>42745</v>
      </c>
      <c r="H28" s="27">
        <v>740276</v>
      </c>
      <c r="I28" s="24">
        <v>772</v>
      </c>
      <c r="J28" s="24">
        <v>-772</v>
      </c>
      <c r="K28" s="30">
        <v>6</v>
      </c>
      <c r="L28" s="30">
        <v>2489</v>
      </c>
      <c r="M28" s="30">
        <v>85</v>
      </c>
      <c r="N28" s="30">
        <v>0</v>
      </c>
      <c r="O28" s="30">
        <v>59831</v>
      </c>
      <c r="P28" s="29" t="s">
        <v>350</v>
      </c>
      <c r="Q28" s="29" t="s">
        <v>351</v>
      </c>
      <c r="R28" s="178" t="s">
        <v>352</v>
      </c>
    </row>
    <row r="29" spans="1:18">
      <c r="A29" s="177">
        <v>1</v>
      </c>
      <c r="B29" s="30">
        <v>1</v>
      </c>
      <c r="C29" s="1">
        <v>42766</v>
      </c>
      <c r="D29" s="27">
        <v>742033</v>
      </c>
      <c r="E29" s="30">
        <v>2017</v>
      </c>
      <c r="F29" s="30">
        <v>1</v>
      </c>
      <c r="G29" s="1">
        <v>42745</v>
      </c>
      <c r="H29" s="27">
        <v>740276</v>
      </c>
      <c r="I29" s="24">
        <v>500</v>
      </c>
      <c r="J29" s="24">
        <v>-500</v>
      </c>
      <c r="K29" s="30">
        <v>6</v>
      </c>
      <c r="L29" s="30">
        <v>2489</v>
      </c>
      <c r="M29" s="30">
        <v>1025</v>
      </c>
      <c r="N29" s="30">
        <v>0</v>
      </c>
      <c r="O29" s="30">
        <v>59831</v>
      </c>
      <c r="P29" s="29" t="s">
        <v>350</v>
      </c>
      <c r="Q29" s="29" t="s">
        <v>351</v>
      </c>
      <c r="R29" s="178" t="s">
        <v>352</v>
      </c>
    </row>
    <row r="30" spans="1:18">
      <c r="A30" s="177">
        <v>1</v>
      </c>
      <c r="B30" s="30">
        <v>2</v>
      </c>
      <c r="C30" s="1">
        <v>42769</v>
      </c>
      <c r="D30" s="27">
        <v>744291</v>
      </c>
      <c r="E30" s="30">
        <v>2016</v>
      </c>
      <c r="F30" s="30">
        <v>4</v>
      </c>
      <c r="G30" s="1">
        <v>42731</v>
      </c>
      <c r="H30" s="27">
        <v>738786</v>
      </c>
      <c r="I30" s="24">
        <v>222000</v>
      </c>
      <c r="J30" s="24">
        <v>-210000</v>
      </c>
      <c r="K30" s="30">
        <v>991</v>
      </c>
      <c r="L30" s="30">
        <v>7843</v>
      </c>
      <c r="M30" s="30">
        <v>55</v>
      </c>
      <c r="N30" s="30">
        <v>1</v>
      </c>
      <c r="O30" s="30">
        <v>185549</v>
      </c>
      <c r="P30" s="29" t="s">
        <v>353</v>
      </c>
      <c r="Q30" s="29" t="s">
        <v>354</v>
      </c>
      <c r="R30" s="178" t="s">
        <v>355</v>
      </c>
    </row>
    <row r="31" spans="1:18">
      <c r="A31" s="177">
        <v>1</v>
      </c>
      <c r="B31" s="30">
        <v>2</v>
      </c>
      <c r="C31" s="1">
        <v>42769</v>
      </c>
      <c r="D31" s="27">
        <v>744291</v>
      </c>
      <c r="E31" s="30">
        <v>2016</v>
      </c>
      <c r="F31" s="30">
        <v>4</v>
      </c>
      <c r="G31" s="1">
        <v>42731</v>
      </c>
      <c r="H31" s="27">
        <v>738786</v>
      </c>
      <c r="I31" s="24">
        <v>44937</v>
      </c>
      <c r="J31" s="24">
        <v>-27300</v>
      </c>
      <c r="K31" s="30">
        <v>991</v>
      </c>
      <c r="L31" s="30">
        <v>7843</v>
      </c>
      <c r="M31" s="30">
        <v>85</v>
      </c>
      <c r="N31" s="30">
        <v>2</v>
      </c>
      <c r="O31" s="30">
        <v>185549</v>
      </c>
      <c r="P31" s="29" t="s">
        <v>353</v>
      </c>
      <c r="Q31" s="29" t="s">
        <v>354</v>
      </c>
      <c r="R31" s="178" t="s">
        <v>355</v>
      </c>
    </row>
    <row r="32" spans="1:18">
      <c r="A32" s="177">
        <v>1</v>
      </c>
      <c r="B32" s="30">
        <v>2</v>
      </c>
      <c r="C32" s="1">
        <v>42776</v>
      </c>
      <c r="D32" s="27">
        <v>744371</v>
      </c>
      <c r="E32" s="30">
        <v>2017</v>
      </c>
      <c r="F32" s="30">
        <v>1</v>
      </c>
      <c r="G32" s="1">
        <v>42745</v>
      </c>
      <c r="H32" s="27">
        <v>740276</v>
      </c>
      <c r="I32" s="24">
        <v>3504</v>
      </c>
      <c r="J32" s="24">
        <v>-3504</v>
      </c>
      <c r="K32" s="30">
        <v>164</v>
      </c>
      <c r="L32" s="30">
        <v>189</v>
      </c>
      <c r="M32" s="30">
        <v>85</v>
      </c>
      <c r="N32" s="30">
        <v>1</v>
      </c>
      <c r="O32" s="30">
        <v>492265</v>
      </c>
      <c r="P32" s="29" t="s">
        <v>356</v>
      </c>
      <c r="Q32" s="29" t="s">
        <v>324</v>
      </c>
      <c r="R32" s="178" t="s">
        <v>340</v>
      </c>
    </row>
    <row r="33" spans="1:18">
      <c r="A33" s="177">
        <v>1</v>
      </c>
      <c r="B33" s="30">
        <v>2</v>
      </c>
      <c r="C33" s="1">
        <v>42779</v>
      </c>
      <c r="D33" s="27">
        <v>746294</v>
      </c>
      <c r="E33" s="30">
        <v>2016</v>
      </c>
      <c r="F33" s="30">
        <v>4</v>
      </c>
      <c r="G33" s="1">
        <v>42727</v>
      </c>
      <c r="H33" s="27">
        <v>738307</v>
      </c>
      <c r="I33" s="24">
        <v>28500</v>
      </c>
      <c r="J33" s="24">
        <v>-28500</v>
      </c>
      <c r="K33" s="30">
        <v>991</v>
      </c>
      <c r="L33" s="30">
        <v>42506</v>
      </c>
      <c r="M33" s="30">
        <v>55</v>
      </c>
      <c r="N33" s="30">
        <v>1</v>
      </c>
      <c r="O33" s="30">
        <v>578713</v>
      </c>
      <c r="P33" s="29" t="s">
        <v>357</v>
      </c>
      <c r="Q33" s="29" t="s">
        <v>358</v>
      </c>
      <c r="R33" s="178" t="s">
        <v>359</v>
      </c>
    </row>
    <row r="34" spans="1:18">
      <c r="A34" s="177">
        <v>1</v>
      </c>
      <c r="B34" s="30">
        <v>2</v>
      </c>
      <c r="C34" s="1">
        <v>42779</v>
      </c>
      <c r="D34" s="27">
        <v>746294</v>
      </c>
      <c r="E34" s="30">
        <v>2016</v>
      </c>
      <c r="F34" s="30">
        <v>4</v>
      </c>
      <c r="G34" s="1">
        <v>42727</v>
      </c>
      <c r="H34" s="27">
        <v>738307</v>
      </c>
      <c r="I34" s="24">
        <v>4449</v>
      </c>
      <c r="J34" s="24">
        <v>-3705</v>
      </c>
      <c r="K34" s="30">
        <v>991</v>
      </c>
      <c r="L34" s="30">
        <v>42506</v>
      </c>
      <c r="M34" s="30">
        <v>85</v>
      </c>
      <c r="N34" s="30">
        <v>2</v>
      </c>
      <c r="O34" s="30">
        <v>578713</v>
      </c>
      <c r="P34" s="29" t="s">
        <v>357</v>
      </c>
      <c r="Q34" s="29" t="s">
        <v>358</v>
      </c>
      <c r="R34" s="178" t="s">
        <v>359</v>
      </c>
    </row>
    <row r="35" spans="1:18">
      <c r="A35" s="177">
        <v>1</v>
      </c>
      <c r="B35" s="30">
        <v>2</v>
      </c>
      <c r="C35" s="1">
        <v>42779</v>
      </c>
      <c r="D35" s="27">
        <v>746355</v>
      </c>
      <c r="E35" s="30">
        <v>2016</v>
      </c>
      <c r="F35" s="30">
        <v>4</v>
      </c>
      <c r="G35" s="1">
        <v>42692</v>
      </c>
      <c r="H35" s="27">
        <v>732167</v>
      </c>
      <c r="I35" s="24">
        <v>40000</v>
      </c>
      <c r="J35" s="24">
        <v>-40000</v>
      </c>
      <c r="K35" s="30">
        <v>991</v>
      </c>
      <c r="L35" s="30">
        <v>49332</v>
      </c>
      <c r="M35" s="30">
        <v>55</v>
      </c>
      <c r="N35" s="30">
        <v>1</v>
      </c>
      <c r="O35" s="30">
        <v>790010</v>
      </c>
      <c r="P35" s="29" t="s">
        <v>360</v>
      </c>
      <c r="Q35" s="29" t="s">
        <v>361</v>
      </c>
      <c r="R35" s="178" t="s">
        <v>362</v>
      </c>
    </row>
    <row r="36" spans="1:18">
      <c r="A36" s="177">
        <v>1</v>
      </c>
      <c r="B36" s="30">
        <v>2</v>
      </c>
      <c r="C36" s="1">
        <v>42779</v>
      </c>
      <c r="D36" s="27">
        <v>746355</v>
      </c>
      <c r="E36" s="30">
        <v>2016</v>
      </c>
      <c r="F36" s="30">
        <v>4</v>
      </c>
      <c r="G36" s="1">
        <v>42692</v>
      </c>
      <c r="H36" s="27">
        <v>732167</v>
      </c>
      <c r="I36" s="24">
        <v>6354</v>
      </c>
      <c r="J36" s="24">
        <v>-5200</v>
      </c>
      <c r="K36" s="30">
        <v>991</v>
      </c>
      <c r="L36" s="30">
        <v>49332</v>
      </c>
      <c r="M36" s="30">
        <v>85</v>
      </c>
      <c r="N36" s="30">
        <v>2</v>
      </c>
      <c r="O36" s="30">
        <v>790010</v>
      </c>
      <c r="P36" s="29" t="s">
        <v>360</v>
      </c>
      <c r="Q36" s="29" t="s">
        <v>361</v>
      </c>
      <c r="R36" s="178" t="s">
        <v>362</v>
      </c>
    </row>
    <row r="37" spans="1:18">
      <c r="A37" s="177">
        <v>1</v>
      </c>
      <c r="B37" s="30">
        <v>2</v>
      </c>
      <c r="C37" s="1">
        <v>42779</v>
      </c>
      <c r="D37" s="27">
        <v>746339</v>
      </c>
      <c r="E37" s="30">
        <v>2016</v>
      </c>
      <c r="F37" s="30">
        <v>4</v>
      </c>
      <c r="G37" s="1">
        <v>42702</v>
      </c>
      <c r="H37" s="27">
        <v>732739</v>
      </c>
      <c r="I37" s="24">
        <v>118000</v>
      </c>
      <c r="J37" s="24">
        <v>-104000</v>
      </c>
      <c r="K37" s="30">
        <v>991</v>
      </c>
      <c r="L37" s="30">
        <v>47788</v>
      </c>
      <c r="M37" s="30">
        <v>55</v>
      </c>
      <c r="N37" s="30">
        <v>1</v>
      </c>
      <c r="O37" s="30">
        <v>786686</v>
      </c>
      <c r="P37" s="29" t="s">
        <v>363</v>
      </c>
      <c r="Q37" s="29" t="s">
        <v>324</v>
      </c>
      <c r="R37" s="178" t="s">
        <v>364</v>
      </c>
    </row>
    <row r="38" spans="1:18">
      <c r="A38" s="177">
        <v>1</v>
      </c>
      <c r="B38" s="30">
        <v>2</v>
      </c>
      <c r="C38" s="1">
        <v>42779</v>
      </c>
      <c r="D38" s="27">
        <v>746339</v>
      </c>
      <c r="E38" s="30">
        <v>2016</v>
      </c>
      <c r="F38" s="30">
        <v>4</v>
      </c>
      <c r="G38" s="1">
        <v>42702</v>
      </c>
      <c r="H38" s="27">
        <v>732739</v>
      </c>
      <c r="I38" s="24">
        <v>17686</v>
      </c>
      <c r="J38" s="24">
        <v>-13520</v>
      </c>
      <c r="K38" s="30">
        <v>991</v>
      </c>
      <c r="L38" s="30">
        <v>47788</v>
      </c>
      <c r="M38" s="30">
        <v>85</v>
      </c>
      <c r="N38" s="30">
        <v>2</v>
      </c>
      <c r="O38" s="30">
        <v>786686</v>
      </c>
      <c r="P38" s="29" t="s">
        <v>363</v>
      </c>
      <c r="Q38" s="29" t="s">
        <v>324</v>
      </c>
      <c r="R38" s="178" t="s">
        <v>364</v>
      </c>
    </row>
    <row r="39" spans="1:18">
      <c r="A39" s="177">
        <v>1</v>
      </c>
      <c r="B39" s="30">
        <v>2</v>
      </c>
      <c r="C39" s="1">
        <v>42779</v>
      </c>
      <c r="D39" s="27">
        <v>746338</v>
      </c>
      <c r="E39" s="30">
        <v>2016</v>
      </c>
      <c r="F39" s="30">
        <v>4</v>
      </c>
      <c r="G39" s="1">
        <v>42657</v>
      </c>
      <c r="H39" s="27">
        <v>725690</v>
      </c>
      <c r="I39" s="24">
        <v>10000</v>
      </c>
      <c r="J39" s="24">
        <v>-10000</v>
      </c>
      <c r="K39" s="30">
        <v>991</v>
      </c>
      <c r="L39" s="30">
        <v>49426</v>
      </c>
      <c r="M39" s="30">
        <v>55</v>
      </c>
      <c r="N39" s="30">
        <v>1</v>
      </c>
      <c r="O39" s="30">
        <v>790165</v>
      </c>
      <c r="P39" s="29" t="s">
        <v>365</v>
      </c>
      <c r="Q39" s="29" t="s">
        <v>366</v>
      </c>
      <c r="R39" s="178" t="s">
        <v>367</v>
      </c>
    </row>
    <row r="40" spans="1:18">
      <c r="A40" s="177">
        <v>1</v>
      </c>
      <c r="B40" s="30">
        <v>2</v>
      </c>
      <c r="C40" s="1">
        <v>42779</v>
      </c>
      <c r="D40" s="27">
        <v>746338</v>
      </c>
      <c r="E40" s="30">
        <v>2016</v>
      </c>
      <c r="F40" s="30">
        <v>4</v>
      </c>
      <c r="G40" s="1">
        <v>42657</v>
      </c>
      <c r="H40" s="27">
        <v>725690</v>
      </c>
      <c r="I40" s="24">
        <v>1642</v>
      </c>
      <c r="J40" s="24">
        <v>-1300</v>
      </c>
      <c r="K40" s="30">
        <v>991</v>
      </c>
      <c r="L40" s="30">
        <v>49426</v>
      </c>
      <c r="M40" s="30">
        <v>85</v>
      </c>
      <c r="N40" s="30">
        <v>2</v>
      </c>
      <c r="O40" s="30">
        <v>790165</v>
      </c>
      <c r="P40" s="29" t="s">
        <v>365</v>
      </c>
      <c r="Q40" s="29" t="s">
        <v>366</v>
      </c>
      <c r="R40" s="178" t="s">
        <v>367</v>
      </c>
    </row>
    <row r="41" spans="1:18">
      <c r="A41" s="177">
        <v>1</v>
      </c>
      <c r="B41" s="30">
        <v>2</v>
      </c>
      <c r="C41" s="1">
        <v>42794</v>
      </c>
      <c r="D41" s="27">
        <v>744371</v>
      </c>
      <c r="E41" s="30">
        <v>2017</v>
      </c>
      <c r="F41" s="30">
        <v>1</v>
      </c>
      <c r="G41" s="1">
        <v>42745</v>
      </c>
      <c r="H41" s="27">
        <v>740276</v>
      </c>
      <c r="I41" s="24">
        <v>7233.1</v>
      </c>
      <c r="J41" s="24">
        <v>-7233.1</v>
      </c>
      <c r="K41" s="30">
        <v>12</v>
      </c>
      <c r="L41" s="30">
        <v>15187</v>
      </c>
      <c r="M41" s="30">
        <v>60</v>
      </c>
      <c r="N41" s="30">
        <v>0</v>
      </c>
      <c r="O41" s="30">
        <v>234020</v>
      </c>
      <c r="P41" s="29" t="s">
        <v>368</v>
      </c>
      <c r="Q41" s="29" t="s">
        <v>369</v>
      </c>
      <c r="R41" s="178" t="s">
        <v>370</v>
      </c>
    </row>
    <row r="42" spans="1:18">
      <c r="A42" s="177">
        <v>1</v>
      </c>
      <c r="B42" s="30">
        <v>2</v>
      </c>
      <c r="C42" s="1">
        <v>42794</v>
      </c>
      <c r="D42" s="27">
        <v>744371</v>
      </c>
      <c r="E42" s="30">
        <v>2017</v>
      </c>
      <c r="F42" s="30">
        <v>1</v>
      </c>
      <c r="G42" s="1">
        <v>42745</v>
      </c>
      <c r="H42" s="27">
        <v>740276</v>
      </c>
      <c r="I42" s="24">
        <v>940</v>
      </c>
      <c r="J42" s="24">
        <v>-940</v>
      </c>
      <c r="K42" s="30">
        <v>12</v>
      </c>
      <c r="L42" s="30">
        <v>15187</v>
      </c>
      <c r="M42" s="30">
        <v>85</v>
      </c>
      <c r="N42" s="30">
        <v>0</v>
      </c>
      <c r="O42" s="30">
        <v>234020</v>
      </c>
      <c r="P42" s="29" t="s">
        <v>368</v>
      </c>
      <c r="Q42" s="29" t="s">
        <v>369</v>
      </c>
      <c r="R42" s="178" t="s">
        <v>370</v>
      </c>
    </row>
    <row r="43" spans="1:18">
      <c r="A43" s="177">
        <v>1</v>
      </c>
      <c r="B43" s="30">
        <v>2</v>
      </c>
      <c r="C43" s="1">
        <v>42794</v>
      </c>
      <c r="D43" s="27">
        <v>744371</v>
      </c>
      <c r="E43" s="30">
        <v>2017</v>
      </c>
      <c r="F43" s="30">
        <v>1</v>
      </c>
      <c r="G43" s="1">
        <v>42745</v>
      </c>
      <c r="H43" s="27">
        <v>740276</v>
      </c>
      <c r="I43" s="24">
        <v>2331.2800000000002</v>
      </c>
      <c r="J43" s="24">
        <v>-2331.2800000000002</v>
      </c>
      <c r="K43" s="30">
        <v>12</v>
      </c>
      <c r="L43" s="30">
        <v>2119</v>
      </c>
      <c r="M43" s="30">
        <v>60</v>
      </c>
      <c r="N43" s="30">
        <v>0</v>
      </c>
      <c r="O43" s="30">
        <v>22688</v>
      </c>
      <c r="P43" s="29" t="s">
        <v>371</v>
      </c>
      <c r="Q43" s="29" t="s">
        <v>372</v>
      </c>
      <c r="R43" s="178" t="s">
        <v>373</v>
      </c>
    </row>
    <row r="44" spans="1:18">
      <c r="A44" s="177">
        <v>1</v>
      </c>
      <c r="B44" s="30">
        <v>2</v>
      </c>
      <c r="C44" s="1">
        <v>42794</v>
      </c>
      <c r="D44" s="27">
        <v>744371</v>
      </c>
      <c r="E44" s="30">
        <v>2017</v>
      </c>
      <c r="F44" s="30">
        <v>1</v>
      </c>
      <c r="G44" s="1">
        <v>42745</v>
      </c>
      <c r="H44" s="27">
        <v>740276</v>
      </c>
      <c r="I44" s="24">
        <v>303</v>
      </c>
      <c r="J44" s="24">
        <v>-303</v>
      </c>
      <c r="K44" s="30">
        <v>12</v>
      </c>
      <c r="L44" s="30">
        <v>2119</v>
      </c>
      <c r="M44" s="30">
        <v>85</v>
      </c>
      <c r="N44" s="30">
        <v>0</v>
      </c>
      <c r="O44" s="30">
        <v>22688</v>
      </c>
      <c r="P44" s="29" t="s">
        <v>371</v>
      </c>
      <c r="Q44" s="29" t="s">
        <v>372</v>
      </c>
      <c r="R44" s="178" t="s">
        <v>373</v>
      </c>
    </row>
    <row r="45" spans="1:18">
      <c r="A45" s="177">
        <v>1</v>
      </c>
      <c r="B45" s="30">
        <v>2</v>
      </c>
      <c r="C45" s="1">
        <v>42794</v>
      </c>
      <c r="D45" s="27">
        <v>744371</v>
      </c>
      <c r="E45" s="30">
        <v>2017</v>
      </c>
      <c r="F45" s="30">
        <v>1</v>
      </c>
      <c r="G45" s="1">
        <v>42776</v>
      </c>
      <c r="H45" s="27">
        <v>744978</v>
      </c>
      <c r="I45" s="24">
        <v>2687.8</v>
      </c>
      <c r="J45" s="24">
        <v>-2687.8</v>
      </c>
      <c r="K45" s="30">
        <v>9</v>
      </c>
      <c r="L45" s="30">
        <v>4818</v>
      </c>
      <c r="M45" s="30">
        <v>60</v>
      </c>
      <c r="N45" s="30">
        <v>0</v>
      </c>
      <c r="O45" s="30">
        <v>132656</v>
      </c>
      <c r="P45" s="29" t="s">
        <v>374</v>
      </c>
      <c r="Q45" s="29" t="s">
        <v>375</v>
      </c>
      <c r="R45" s="178" t="s">
        <v>362</v>
      </c>
    </row>
    <row r="46" spans="1:18">
      <c r="A46" s="177">
        <v>1</v>
      </c>
      <c r="B46" s="30">
        <v>2</v>
      </c>
      <c r="C46" s="1">
        <v>42794</v>
      </c>
      <c r="D46" s="27">
        <v>744371</v>
      </c>
      <c r="E46" s="30">
        <v>2017</v>
      </c>
      <c r="F46" s="30">
        <v>1</v>
      </c>
      <c r="G46" s="1">
        <v>42776</v>
      </c>
      <c r="H46" s="27">
        <v>744978</v>
      </c>
      <c r="I46" s="24">
        <v>350</v>
      </c>
      <c r="J46" s="24">
        <v>-350</v>
      </c>
      <c r="K46" s="30">
        <v>9</v>
      </c>
      <c r="L46" s="30">
        <v>4818</v>
      </c>
      <c r="M46" s="30">
        <v>85</v>
      </c>
      <c r="N46" s="30">
        <v>0</v>
      </c>
      <c r="O46" s="30">
        <v>132656</v>
      </c>
      <c r="P46" s="29" t="s">
        <v>374</v>
      </c>
      <c r="Q46" s="29" t="s">
        <v>375</v>
      </c>
      <c r="R46" s="178" t="s">
        <v>362</v>
      </c>
    </row>
    <row r="47" spans="1:18">
      <c r="A47" s="177">
        <v>1</v>
      </c>
      <c r="B47" s="30">
        <v>2</v>
      </c>
      <c r="C47" s="1">
        <v>42794</v>
      </c>
      <c r="D47" s="27">
        <v>744371</v>
      </c>
      <c r="E47" s="30">
        <v>2017</v>
      </c>
      <c r="F47" s="30">
        <v>1</v>
      </c>
      <c r="G47" s="1">
        <v>42776</v>
      </c>
      <c r="H47" s="27">
        <v>744978</v>
      </c>
      <c r="I47" s="24">
        <v>6247.25</v>
      </c>
      <c r="J47" s="24">
        <v>-6247.25</v>
      </c>
      <c r="K47" s="30">
        <v>37</v>
      </c>
      <c r="L47" s="30">
        <v>16</v>
      </c>
      <c r="M47" s="30">
        <v>60</v>
      </c>
      <c r="N47" s="30">
        <v>0</v>
      </c>
      <c r="O47" s="30">
        <v>32799</v>
      </c>
      <c r="P47" s="29" t="s">
        <v>376</v>
      </c>
      <c r="Q47" s="29" t="s">
        <v>377</v>
      </c>
      <c r="R47" s="178" t="s">
        <v>378</v>
      </c>
    </row>
    <row r="48" spans="1:18">
      <c r="A48" s="177">
        <v>1</v>
      </c>
      <c r="B48" s="30">
        <v>2</v>
      </c>
      <c r="C48" s="1">
        <v>42794</v>
      </c>
      <c r="D48" s="27">
        <v>744371</v>
      </c>
      <c r="E48" s="30">
        <v>2017</v>
      </c>
      <c r="F48" s="30">
        <v>1</v>
      </c>
      <c r="G48" s="1">
        <v>42776</v>
      </c>
      <c r="H48" s="27">
        <v>744978</v>
      </c>
      <c r="I48" s="24">
        <v>812</v>
      </c>
      <c r="J48" s="24">
        <v>-812</v>
      </c>
      <c r="K48" s="30">
        <v>37</v>
      </c>
      <c r="L48" s="30">
        <v>16</v>
      </c>
      <c r="M48" s="30">
        <v>85</v>
      </c>
      <c r="N48" s="30">
        <v>0</v>
      </c>
      <c r="O48" s="30">
        <v>32799</v>
      </c>
      <c r="P48" s="29" t="s">
        <v>376</v>
      </c>
      <c r="Q48" s="29" t="s">
        <v>377</v>
      </c>
      <c r="R48" s="178" t="s">
        <v>378</v>
      </c>
    </row>
    <row r="49" spans="1:18">
      <c r="A49" s="177">
        <v>1</v>
      </c>
      <c r="B49" s="30">
        <v>2</v>
      </c>
      <c r="C49" s="1">
        <v>42794</v>
      </c>
      <c r="D49" s="27">
        <v>744371</v>
      </c>
      <c r="E49" s="30">
        <v>2017</v>
      </c>
      <c r="F49" s="30">
        <v>1</v>
      </c>
      <c r="G49" s="1">
        <v>42745</v>
      </c>
      <c r="H49" s="27">
        <v>740276</v>
      </c>
      <c r="I49" s="24">
        <v>5548.3</v>
      </c>
      <c r="J49" s="24">
        <v>-5548.3</v>
      </c>
      <c r="K49" s="30">
        <v>22</v>
      </c>
      <c r="L49" s="30">
        <v>1106</v>
      </c>
      <c r="M49" s="30">
        <v>60</v>
      </c>
      <c r="N49" s="30">
        <v>0</v>
      </c>
      <c r="O49" s="30">
        <v>49235</v>
      </c>
      <c r="P49" s="29" t="s">
        <v>379</v>
      </c>
      <c r="Q49" s="29" t="s">
        <v>380</v>
      </c>
      <c r="R49" s="178" t="s">
        <v>381</v>
      </c>
    </row>
    <row r="50" spans="1:18">
      <c r="A50" s="177">
        <v>1</v>
      </c>
      <c r="B50" s="30">
        <v>2</v>
      </c>
      <c r="C50" s="1">
        <v>42794</v>
      </c>
      <c r="D50" s="27">
        <v>744371</v>
      </c>
      <c r="E50" s="30">
        <v>2017</v>
      </c>
      <c r="F50" s="30">
        <v>1</v>
      </c>
      <c r="G50" s="1">
        <v>42745</v>
      </c>
      <c r="H50" s="27">
        <v>740276</v>
      </c>
      <c r="I50" s="24">
        <v>656</v>
      </c>
      <c r="J50" s="24">
        <v>-656</v>
      </c>
      <c r="K50" s="30">
        <v>22</v>
      </c>
      <c r="L50" s="30">
        <v>1106</v>
      </c>
      <c r="M50" s="30">
        <v>85</v>
      </c>
      <c r="N50" s="30">
        <v>0</v>
      </c>
      <c r="O50" s="30">
        <v>49235</v>
      </c>
      <c r="P50" s="29" t="s">
        <v>379</v>
      </c>
      <c r="Q50" s="29" t="s">
        <v>380</v>
      </c>
      <c r="R50" s="178" t="s">
        <v>381</v>
      </c>
    </row>
    <row r="51" spans="1:18">
      <c r="A51" s="177">
        <v>1</v>
      </c>
      <c r="B51" s="30">
        <v>2</v>
      </c>
      <c r="C51" s="1">
        <v>42794</v>
      </c>
      <c r="D51" s="27">
        <v>744371</v>
      </c>
      <c r="E51" s="30">
        <v>2017</v>
      </c>
      <c r="F51" s="30">
        <v>1</v>
      </c>
      <c r="G51" s="1">
        <v>42745</v>
      </c>
      <c r="H51" s="27">
        <v>740276</v>
      </c>
      <c r="I51" s="24">
        <v>500</v>
      </c>
      <c r="J51" s="24">
        <v>-500</v>
      </c>
      <c r="K51" s="30">
        <v>22</v>
      </c>
      <c r="L51" s="30">
        <v>1106</v>
      </c>
      <c r="M51" s="30">
        <v>1025</v>
      </c>
      <c r="N51" s="30">
        <v>0</v>
      </c>
      <c r="O51" s="30">
        <v>49235</v>
      </c>
      <c r="P51" s="29" t="s">
        <v>379</v>
      </c>
      <c r="Q51" s="29" t="s">
        <v>380</v>
      </c>
      <c r="R51" s="178" t="s">
        <v>381</v>
      </c>
    </row>
    <row r="52" spans="1:18">
      <c r="A52" s="177">
        <v>1</v>
      </c>
      <c r="B52" s="30">
        <v>3</v>
      </c>
      <c r="C52" s="1">
        <v>42811</v>
      </c>
      <c r="D52" s="27">
        <v>752697</v>
      </c>
      <c r="E52" s="30">
        <v>2016</v>
      </c>
      <c r="F52" s="30">
        <v>3</v>
      </c>
      <c r="G52" s="1">
        <v>42587</v>
      </c>
      <c r="H52" s="27">
        <v>712731</v>
      </c>
      <c r="I52" s="24">
        <v>50000</v>
      </c>
      <c r="J52" s="24">
        <v>-50000</v>
      </c>
      <c r="K52" s="30">
        <v>991</v>
      </c>
      <c r="L52" s="30">
        <v>13164</v>
      </c>
      <c r="M52" s="30">
        <v>55</v>
      </c>
      <c r="N52" s="30">
        <v>1</v>
      </c>
      <c r="O52" s="30">
        <v>218213</v>
      </c>
      <c r="P52" s="29" t="s">
        <v>382</v>
      </c>
      <c r="Q52" s="29" t="s">
        <v>366</v>
      </c>
      <c r="R52" s="178" t="s">
        <v>383</v>
      </c>
    </row>
    <row r="53" spans="1:18">
      <c r="A53" s="177">
        <v>1</v>
      </c>
      <c r="B53" s="30">
        <v>3</v>
      </c>
      <c r="C53" s="1">
        <v>42811</v>
      </c>
      <c r="D53" s="27">
        <v>752697</v>
      </c>
      <c r="E53" s="30">
        <v>2016</v>
      </c>
      <c r="F53" s="30">
        <v>3</v>
      </c>
      <c r="G53" s="1">
        <v>42587</v>
      </c>
      <c r="H53" s="27">
        <v>712731</v>
      </c>
      <c r="I53" s="24">
        <v>10155</v>
      </c>
      <c r="J53" s="24">
        <v>-6500</v>
      </c>
      <c r="K53" s="30">
        <v>991</v>
      </c>
      <c r="L53" s="30">
        <v>13164</v>
      </c>
      <c r="M53" s="30">
        <v>85</v>
      </c>
      <c r="N53" s="30">
        <v>2</v>
      </c>
      <c r="O53" s="30">
        <v>218213</v>
      </c>
      <c r="P53" s="29" t="s">
        <v>382</v>
      </c>
      <c r="Q53" s="29" t="s">
        <v>366</v>
      </c>
      <c r="R53" s="178" t="s">
        <v>383</v>
      </c>
    </row>
    <row r="54" spans="1:18">
      <c r="A54" s="177">
        <v>1</v>
      </c>
      <c r="B54" s="30">
        <v>3</v>
      </c>
      <c r="C54" s="1">
        <v>42821</v>
      </c>
      <c r="D54" s="27">
        <v>753656</v>
      </c>
      <c r="E54" s="30">
        <v>2016</v>
      </c>
      <c r="F54" s="30">
        <v>4</v>
      </c>
      <c r="G54" s="1">
        <v>42650</v>
      </c>
      <c r="H54" s="27">
        <v>723414</v>
      </c>
      <c r="I54" s="24">
        <v>35000</v>
      </c>
      <c r="J54" s="24">
        <v>-35000</v>
      </c>
      <c r="K54" s="30">
        <v>991</v>
      </c>
      <c r="L54" s="30">
        <v>37891</v>
      </c>
      <c r="M54" s="30">
        <v>55</v>
      </c>
      <c r="N54" s="30">
        <v>1</v>
      </c>
      <c r="O54" s="30">
        <v>568201</v>
      </c>
      <c r="P54" s="29" t="s">
        <v>384</v>
      </c>
      <c r="Q54" s="29" t="s">
        <v>380</v>
      </c>
      <c r="R54" s="178" t="s">
        <v>385</v>
      </c>
    </row>
    <row r="55" spans="1:18">
      <c r="A55" s="177">
        <v>1</v>
      </c>
      <c r="B55" s="30">
        <v>3</v>
      </c>
      <c r="C55" s="1">
        <v>42821</v>
      </c>
      <c r="D55" s="27">
        <v>753656</v>
      </c>
      <c r="E55" s="30">
        <v>2016</v>
      </c>
      <c r="F55" s="30">
        <v>4</v>
      </c>
      <c r="G55" s="1">
        <v>42650</v>
      </c>
      <c r="H55" s="27">
        <v>723414</v>
      </c>
      <c r="I55" s="24">
        <v>5382</v>
      </c>
      <c r="J55" s="24">
        <v>-4550</v>
      </c>
      <c r="K55" s="30">
        <v>991</v>
      </c>
      <c r="L55" s="30">
        <v>37891</v>
      </c>
      <c r="M55" s="30">
        <v>85</v>
      </c>
      <c r="N55" s="30">
        <v>2</v>
      </c>
      <c r="O55" s="30">
        <v>568201</v>
      </c>
      <c r="P55" s="29" t="s">
        <v>384</v>
      </c>
      <c r="Q55" s="29" t="s">
        <v>380</v>
      </c>
      <c r="R55" s="178" t="s">
        <v>385</v>
      </c>
    </row>
    <row r="56" spans="1:18">
      <c r="A56" s="177">
        <v>1</v>
      </c>
      <c r="B56" s="30">
        <v>3</v>
      </c>
      <c r="C56" s="1">
        <v>42825</v>
      </c>
      <c r="D56" s="27">
        <v>748988</v>
      </c>
      <c r="E56" s="30">
        <v>2017</v>
      </c>
      <c r="F56" s="30">
        <v>1</v>
      </c>
      <c r="G56" s="1">
        <v>42745</v>
      </c>
      <c r="H56" s="27">
        <v>740276</v>
      </c>
      <c r="I56" s="24">
        <v>2092.92</v>
      </c>
      <c r="J56" s="24">
        <v>-2092.92</v>
      </c>
      <c r="K56" s="30">
        <v>15</v>
      </c>
      <c r="L56" s="30">
        <v>2836</v>
      </c>
      <c r="M56" s="30">
        <v>60</v>
      </c>
      <c r="N56" s="30">
        <v>0</v>
      </c>
      <c r="O56" s="30">
        <v>36710</v>
      </c>
      <c r="P56" s="29" t="s">
        <v>386</v>
      </c>
      <c r="Q56" s="29" t="s">
        <v>387</v>
      </c>
      <c r="R56" s="178" t="s">
        <v>388</v>
      </c>
    </row>
    <row r="57" spans="1:18">
      <c r="A57" s="177">
        <v>1</v>
      </c>
      <c r="B57" s="30">
        <v>3</v>
      </c>
      <c r="C57" s="1">
        <v>42825</v>
      </c>
      <c r="D57" s="27">
        <v>748988</v>
      </c>
      <c r="E57" s="30">
        <v>2017</v>
      </c>
      <c r="F57" s="30">
        <v>1</v>
      </c>
      <c r="G57" s="1">
        <v>42745</v>
      </c>
      <c r="H57" s="27">
        <v>740276</v>
      </c>
      <c r="I57" s="24">
        <v>272</v>
      </c>
      <c r="J57" s="24">
        <v>-272</v>
      </c>
      <c r="K57" s="30">
        <v>15</v>
      </c>
      <c r="L57" s="30">
        <v>2836</v>
      </c>
      <c r="M57" s="30">
        <v>85</v>
      </c>
      <c r="N57" s="30">
        <v>0</v>
      </c>
      <c r="O57" s="30">
        <v>36710</v>
      </c>
      <c r="P57" s="29" t="s">
        <v>386</v>
      </c>
      <c r="Q57" s="29" t="s">
        <v>387</v>
      </c>
      <c r="R57" s="178" t="s">
        <v>388</v>
      </c>
    </row>
    <row r="58" spans="1:18">
      <c r="A58" s="177">
        <v>1</v>
      </c>
      <c r="B58" s="30">
        <v>3</v>
      </c>
      <c r="C58" s="1">
        <v>42825</v>
      </c>
      <c r="D58" s="27">
        <v>748988</v>
      </c>
      <c r="E58" s="30">
        <v>2017</v>
      </c>
      <c r="F58" s="30">
        <v>1</v>
      </c>
      <c r="G58" s="1">
        <v>42776</v>
      </c>
      <c r="H58" s="27">
        <v>744978</v>
      </c>
      <c r="I58" s="24">
        <v>2093.3000000000002</v>
      </c>
      <c r="J58" s="24">
        <v>-2093.3000000000002</v>
      </c>
      <c r="K58" s="30">
        <v>16</v>
      </c>
      <c r="L58" s="30">
        <v>514</v>
      </c>
      <c r="M58" s="30">
        <v>60</v>
      </c>
      <c r="N58" s="30">
        <v>0</v>
      </c>
      <c r="O58" s="30">
        <v>38140</v>
      </c>
      <c r="P58" s="29" t="s">
        <v>389</v>
      </c>
      <c r="Q58" s="29" t="s">
        <v>390</v>
      </c>
      <c r="R58" s="178" t="s">
        <v>391</v>
      </c>
    </row>
    <row r="59" spans="1:18">
      <c r="A59" s="177">
        <v>1</v>
      </c>
      <c r="B59" s="30">
        <v>3</v>
      </c>
      <c r="C59" s="1">
        <v>42825</v>
      </c>
      <c r="D59" s="27">
        <v>748988</v>
      </c>
      <c r="E59" s="30">
        <v>2017</v>
      </c>
      <c r="F59" s="30">
        <v>1</v>
      </c>
      <c r="G59" s="1">
        <v>42776</v>
      </c>
      <c r="H59" s="27">
        <v>744978</v>
      </c>
      <c r="I59" s="24">
        <v>272</v>
      </c>
      <c r="J59" s="24">
        <v>-272</v>
      </c>
      <c r="K59" s="30">
        <v>16</v>
      </c>
      <c r="L59" s="30">
        <v>514</v>
      </c>
      <c r="M59" s="30">
        <v>85</v>
      </c>
      <c r="N59" s="30">
        <v>0</v>
      </c>
      <c r="O59" s="30">
        <v>38140</v>
      </c>
      <c r="P59" s="29" t="s">
        <v>389</v>
      </c>
      <c r="Q59" s="29" t="s">
        <v>390</v>
      </c>
      <c r="R59" s="178" t="s">
        <v>391</v>
      </c>
    </row>
    <row r="60" spans="1:18">
      <c r="A60" s="177">
        <v>1</v>
      </c>
      <c r="B60" s="30">
        <v>3</v>
      </c>
      <c r="C60" s="1">
        <v>42825</v>
      </c>
      <c r="D60" s="27">
        <v>748988</v>
      </c>
      <c r="E60" s="30">
        <v>2017</v>
      </c>
      <c r="F60" s="30">
        <v>1</v>
      </c>
      <c r="G60" s="1">
        <v>42804</v>
      </c>
      <c r="H60" s="27">
        <v>749816</v>
      </c>
      <c r="I60" s="24">
        <v>3738.4</v>
      </c>
      <c r="J60" s="24">
        <v>-3738.4</v>
      </c>
      <c r="K60" s="30">
        <v>12</v>
      </c>
      <c r="L60" s="30">
        <v>5516</v>
      </c>
      <c r="M60" s="30">
        <v>60</v>
      </c>
      <c r="N60" s="30">
        <v>0</v>
      </c>
      <c r="O60" s="30">
        <v>57277</v>
      </c>
      <c r="P60" s="29" t="s">
        <v>392</v>
      </c>
      <c r="Q60" s="29" t="s">
        <v>342</v>
      </c>
      <c r="R60" s="178" t="s">
        <v>393</v>
      </c>
    </row>
    <row r="61" spans="1:18">
      <c r="A61" s="177">
        <v>1</v>
      </c>
      <c r="B61" s="30">
        <v>3</v>
      </c>
      <c r="C61" s="1">
        <v>42825</v>
      </c>
      <c r="D61" s="27">
        <v>748988</v>
      </c>
      <c r="E61" s="30">
        <v>2017</v>
      </c>
      <c r="F61" s="30">
        <v>1</v>
      </c>
      <c r="G61" s="1">
        <v>42804</v>
      </c>
      <c r="H61" s="27">
        <v>749816</v>
      </c>
      <c r="I61" s="24">
        <v>486</v>
      </c>
      <c r="J61" s="24">
        <v>-486</v>
      </c>
      <c r="K61" s="30">
        <v>12</v>
      </c>
      <c r="L61" s="30">
        <v>5516</v>
      </c>
      <c r="M61" s="30">
        <v>85</v>
      </c>
      <c r="N61" s="30">
        <v>0</v>
      </c>
      <c r="O61" s="30">
        <v>57277</v>
      </c>
      <c r="P61" s="29" t="s">
        <v>392</v>
      </c>
      <c r="Q61" s="29" t="s">
        <v>342</v>
      </c>
      <c r="R61" s="178" t="s">
        <v>393</v>
      </c>
    </row>
    <row r="62" spans="1:18">
      <c r="A62" s="177">
        <v>1</v>
      </c>
      <c r="B62" s="30">
        <v>3</v>
      </c>
      <c r="C62" s="1">
        <v>42825</v>
      </c>
      <c r="D62" s="27">
        <v>748988</v>
      </c>
      <c r="E62" s="30">
        <v>2017</v>
      </c>
      <c r="F62" s="30">
        <v>1</v>
      </c>
      <c r="G62" s="1">
        <v>42776</v>
      </c>
      <c r="H62" s="27">
        <v>744984</v>
      </c>
      <c r="I62" s="24">
        <v>2534.9699999999998</v>
      </c>
      <c r="J62" s="24">
        <v>-2534.9699999999998</v>
      </c>
      <c r="K62" s="30">
        <v>57</v>
      </c>
      <c r="L62" s="30">
        <v>246</v>
      </c>
      <c r="M62" s="30">
        <v>60</v>
      </c>
      <c r="N62" s="30">
        <v>0</v>
      </c>
      <c r="O62" s="30">
        <v>40981</v>
      </c>
      <c r="P62" s="29" t="s">
        <v>394</v>
      </c>
      <c r="Q62" s="29" t="s">
        <v>395</v>
      </c>
      <c r="R62" s="178" t="s">
        <v>396</v>
      </c>
    </row>
    <row r="63" spans="1:18">
      <c r="A63" s="177">
        <v>1</v>
      </c>
      <c r="B63" s="30">
        <v>3</v>
      </c>
      <c r="C63" s="1">
        <v>42825</v>
      </c>
      <c r="D63" s="27">
        <v>748988</v>
      </c>
      <c r="E63" s="30">
        <v>2017</v>
      </c>
      <c r="F63" s="30">
        <v>1</v>
      </c>
      <c r="G63" s="1">
        <v>42776</v>
      </c>
      <c r="H63" s="27">
        <v>744984</v>
      </c>
      <c r="I63" s="24">
        <v>329</v>
      </c>
      <c r="J63" s="24">
        <v>-329</v>
      </c>
      <c r="K63" s="30">
        <v>57</v>
      </c>
      <c r="L63" s="30">
        <v>246</v>
      </c>
      <c r="M63" s="30">
        <v>85</v>
      </c>
      <c r="N63" s="30">
        <v>0</v>
      </c>
      <c r="O63" s="30">
        <v>40981</v>
      </c>
      <c r="P63" s="29" t="s">
        <v>394</v>
      </c>
      <c r="Q63" s="29" t="s">
        <v>395</v>
      </c>
      <c r="R63" s="178" t="s">
        <v>396</v>
      </c>
    </row>
    <row r="64" spans="1:18">
      <c r="A64" s="177">
        <v>1</v>
      </c>
      <c r="B64" s="30">
        <v>3</v>
      </c>
      <c r="C64" s="1">
        <v>42825</v>
      </c>
      <c r="D64" s="27">
        <v>748988</v>
      </c>
      <c r="E64" s="30">
        <v>2017</v>
      </c>
      <c r="F64" s="30">
        <v>1</v>
      </c>
      <c r="G64" s="1">
        <v>42776</v>
      </c>
      <c r="H64" s="27">
        <v>744984</v>
      </c>
      <c r="I64" s="24">
        <v>4436.5</v>
      </c>
      <c r="J64" s="24">
        <v>-4436.5</v>
      </c>
      <c r="K64" s="30">
        <v>5</v>
      </c>
      <c r="L64" s="30">
        <v>199</v>
      </c>
      <c r="M64" s="30">
        <v>60</v>
      </c>
      <c r="N64" s="30">
        <v>0</v>
      </c>
      <c r="O64" s="30">
        <v>6471</v>
      </c>
      <c r="P64" s="29" t="s">
        <v>397</v>
      </c>
      <c r="Q64" s="29" t="s">
        <v>398</v>
      </c>
      <c r="R64" s="178" t="s">
        <v>399</v>
      </c>
    </row>
    <row r="65" spans="1:18">
      <c r="A65" s="177">
        <v>1</v>
      </c>
      <c r="B65" s="30">
        <v>3</v>
      </c>
      <c r="C65" s="1">
        <v>42825</v>
      </c>
      <c r="D65" s="27">
        <v>748988</v>
      </c>
      <c r="E65" s="30">
        <v>2017</v>
      </c>
      <c r="F65" s="30">
        <v>1</v>
      </c>
      <c r="G65" s="1">
        <v>42776</v>
      </c>
      <c r="H65" s="27">
        <v>744984</v>
      </c>
      <c r="I65" s="24">
        <v>576</v>
      </c>
      <c r="J65" s="24">
        <v>-576</v>
      </c>
      <c r="K65" s="30">
        <v>5</v>
      </c>
      <c r="L65" s="30">
        <v>199</v>
      </c>
      <c r="M65" s="30">
        <v>85</v>
      </c>
      <c r="N65" s="30">
        <v>0</v>
      </c>
      <c r="O65" s="30">
        <v>6471</v>
      </c>
      <c r="P65" s="29" t="s">
        <v>397</v>
      </c>
      <c r="Q65" s="29" t="s">
        <v>398</v>
      </c>
      <c r="R65" s="178" t="s">
        <v>399</v>
      </c>
    </row>
    <row r="66" spans="1:18">
      <c r="A66" s="177">
        <v>1</v>
      </c>
      <c r="B66" s="30">
        <v>3</v>
      </c>
      <c r="C66" s="1">
        <v>42825</v>
      </c>
      <c r="D66" s="27">
        <v>748988</v>
      </c>
      <c r="E66" s="30">
        <v>2017</v>
      </c>
      <c r="F66" s="30">
        <v>1</v>
      </c>
      <c r="G66" s="1">
        <v>42745</v>
      </c>
      <c r="H66" s="27">
        <v>740276</v>
      </c>
      <c r="I66" s="24">
        <v>2097.86</v>
      </c>
      <c r="J66" s="24">
        <v>-2097.86</v>
      </c>
      <c r="K66" s="30">
        <v>63</v>
      </c>
      <c r="L66" s="30">
        <v>6</v>
      </c>
      <c r="M66" s="30">
        <v>60</v>
      </c>
      <c r="N66" s="30">
        <v>0</v>
      </c>
      <c r="O66" s="30">
        <v>41976</v>
      </c>
      <c r="P66" s="29" t="s">
        <v>400</v>
      </c>
      <c r="Q66" s="29" t="s">
        <v>401</v>
      </c>
      <c r="R66" s="178" t="s">
        <v>402</v>
      </c>
    </row>
    <row r="67" spans="1:18">
      <c r="A67" s="177">
        <v>1</v>
      </c>
      <c r="B67" s="30">
        <v>3</v>
      </c>
      <c r="C67" s="1">
        <v>42825</v>
      </c>
      <c r="D67" s="27">
        <v>748988</v>
      </c>
      <c r="E67" s="30">
        <v>2017</v>
      </c>
      <c r="F67" s="30">
        <v>1</v>
      </c>
      <c r="G67" s="1">
        <v>42745</v>
      </c>
      <c r="H67" s="27">
        <v>740276</v>
      </c>
      <c r="I67" s="24">
        <v>208</v>
      </c>
      <c r="J67" s="24">
        <v>-208</v>
      </c>
      <c r="K67" s="30">
        <v>63</v>
      </c>
      <c r="L67" s="30">
        <v>6</v>
      </c>
      <c r="M67" s="30">
        <v>85</v>
      </c>
      <c r="N67" s="30">
        <v>0</v>
      </c>
      <c r="O67" s="30">
        <v>41976</v>
      </c>
      <c r="P67" s="29" t="s">
        <v>400</v>
      </c>
      <c r="Q67" s="29" t="s">
        <v>401</v>
      </c>
      <c r="R67" s="178" t="s">
        <v>402</v>
      </c>
    </row>
    <row r="68" spans="1:18">
      <c r="A68" s="177">
        <v>1</v>
      </c>
      <c r="B68" s="30">
        <v>3</v>
      </c>
      <c r="C68" s="1">
        <v>42825</v>
      </c>
      <c r="D68" s="27">
        <v>748988</v>
      </c>
      <c r="E68" s="30">
        <v>2017</v>
      </c>
      <c r="F68" s="30">
        <v>1</v>
      </c>
      <c r="G68" s="1">
        <v>42745</v>
      </c>
      <c r="H68" s="27">
        <v>740276</v>
      </c>
      <c r="I68" s="24">
        <v>500</v>
      </c>
      <c r="J68" s="24">
        <v>-500</v>
      </c>
      <c r="K68" s="30">
        <v>63</v>
      </c>
      <c r="L68" s="30">
        <v>6</v>
      </c>
      <c r="M68" s="30">
        <v>1025</v>
      </c>
      <c r="N68" s="30">
        <v>0</v>
      </c>
      <c r="O68" s="30">
        <v>41976</v>
      </c>
      <c r="P68" s="29" t="s">
        <v>400</v>
      </c>
      <c r="Q68" s="29" t="s">
        <v>401</v>
      </c>
      <c r="R68" s="178" t="s">
        <v>402</v>
      </c>
    </row>
    <row r="69" spans="1:18">
      <c r="A69" s="177">
        <v>1</v>
      </c>
      <c r="B69" s="30">
        <v>3</v>
      </c>
      <c r="C69" s="1">
        <v>42825</v>
      </c>
      <c r="D69" s="27">
        <v>748988</v>
      </c>
      <c r="E69" s="30">
        <v>2017</v>
      </c>
      <c r="F69" s="30">
        <v>1</v>
      </c>
      <c r="G69" s="1">
        <v>42776</v>
      </c>
      <c r="H69" s="27">
        <v>744978</v>
      </c>
      <c r="I69" s="24">
        <v>2097.86</v>
      </c>
      <c r="J69" s="24">
        <v>-2097.86</v>
      </c>
      <c r="K69" s="30">
        <v>63</v>
      </c>
      <c r="L69" s="30">
        <v>6</v>
      </c>
      <c r="M69" s="30">
        <v>60</v>
      </c>
      <c r="N69" s="30">
        <v>0</v>
      </c>
      <c r="O69" s="30">
        <v>41976</v>
      </c>
      <c r="P69" s="29" t="s">
        <v>400</v>
      </c>
      <c r="Q69" s="29" t="s">
        <v>401</v>
      </c>
      <c r="R69" s="178" t="s">
        <v>402</v>
      </c>
    </row>
    <row r="70" spans="1:18">
      <c r="A70" s="177">
        <v>1</v>
      </c>
      <c r="B70" s="30">
        <v>3</v>
      </c>
      <c r="C70" s="1">
        <v>42825</v>
      </c>
      <c r="D70" s="27">
        <v>748988</v>
      </c>
      <c r="E70" s="30">
        <v>2017</v>
      </c>
      <c r="F70" s="30">
        <v>1</v>
      </c>
      <c r="G70" s="1">
        <v>42776</v>
      </c>
      <c r="H70" s="27">
        <v>744978</v>
      </c>
      <c r="I70" s="24">
        <v>207</v>
      </c>
      <c r="J70" s="24">
        <v>-207</v>
      </c>
      <c r="K70" s="30">
        <v>63</v>
      </c>
      <c r="L70" s="30">
        <v>6</v>
      </c>
      <c r="M70" s="30">
        <v>85</v>
      </c>
      <c r="N70" s="30">
        <v>0</v>
      </c>
      <c r="O70" s="30">
        <v>41976</v>
      </c>
      <c r="P70" s="29" t="s">
        <v>400</v>
      </c>
      <c r="Q70" s="29" t="s">
        <v>401</v>
      </c>
      <c r="R70" s="178" t="s">
        <v>402</v>
      </c>
    </row>
    <row r="71" spans="1:18">
      <c r="A71" s="177">
        <v>1</v>
      </c>
      <c r="B71" s="30">
        <v>3</v>
      </c>
      <c r="C71" s="1">
        <v>42825</v>
      </c>
      <c r="D71" s="27">
        <v>748988</v>
      </c>
      <c r="E71" s="30">
        <v>2017</v>
      </c>
      <c r="F71" s="30">
        <v>1</v>
      </c>
      <c r="G71" s="1">
        <v>42776</v>
      </c>
      <c r="H71" s="27">
        <v>744978</v>
      </c>
      <c r="I71" s="24">
        <v>500</v>
      </c>
      <c r="J71" s="24">
        <v>-500</v>
      </c>
      <c r="K71" s="30">
        <v>63</v>
      </c>
      <c r="L71" s="30">
        <v>6</v>
      </c>
      <c r="M71" s="30">
        <v>1025</v>
      </c>
      <c r="N71" s="30">
        <v>0</v>
      </c>
      <c r="O71" s="30">
        <v>41976</v>
      </c>
      <c r="P71" s="29" t="s">
        <v>400</v>
      </c>
      <c r="Q71" s="29" t="s">
        <v>401</v>
      </c>
      <c r="R71" s="178" t="s">
        <v>402</v>
      </c>
    </row>
    <row r="72" spans="1:18">
      <c r="A72" s="177">
        <v>1</v>
      </c>
      <c r="B72" s="30">
        <v>3</v>
      </c>
      <c r="C72" s="1">
        <v>42825</v>
      </c>
      <c r="D72" s="27">
        <v>748988</v>
      </c>
      <c r="E72" s="30">
        <v>2017</v>
      </c>
      <c r="F72" s="30">
        <v>1</v>
      </c>
      <c r="G72" s="1">
        <v>42776</v>
      </c>
      <c r="H72" s="27">
        <v>744984</v>
      </c>
      <c r="I72" s="24">
        <v>12889.2</v>
      </c>
      <c r="J72" s="24">
        <v>-12889.2</v>
      </c>
      <c r="K72" s="30">
        <v>6</v>
      </c>
      <c r="L72" s="30">
        <v>2557</v>
      </c>
      <c r="M72" s="30">
        <v>60</v>
      </c>
      <c r="N72" s="30">
        <v>0</v>
      </c>
      <c r="O72" s="30">
        <v>65652</v>
      </c>
      <c r="P72" s="29" t="s">
        <v>403</v>
      </c>
      <c r="Q72" s="29" t="s">
        <v>321</v>
      </c>
      <c r="R72" s="178" t="s">
        <v>370</v>
      </c>
    </row>
    <row r="73" spans="1:18">
      <c r="A73" s="177">
        <v>1</v>
      </c>
      <c r="B73" s="30">
        <v>3</v>
      </c>
      <c r="C73" s="1">
        <v>42825</v>
      </c>
      <c r="D73" s="27">
        <v>748988</v>
      </c>
      <c r="E73" s="30">
        <v>2017</v>
      </c>
      <c r="F73" s="30">
        <v>1</v>
      </c>
      <c r="G73" s="1">
        <v>42776</v>
      </c>
      <c r="H73" s="27">
        <v>744984</v>
      </c>
      <c r="I73" s="24">
        <v>1610</v>
      </c>
      <c r="J73" s="24">
        <v>-1610</v>
      </c>
      <c r="K73" s="30">
        <v>6</v>
      </c>
      <c r="L73" s="30">
        <v>2557</v>
      </c>
      <c r="M73" s="30">
        <v>85</v>
      </c>
      <c r="N73" s="30">
        <v>0</v>
      </c>
      <c r="O73" s="30">
        <v>65652</v>
      </c>
      <c r="P73" s="29" t="s">
        <v>403</v>
      </c>
      <c r="Q73" s="29" t="s">
        <v>321</v>
      </c>
      <c r="R73" s="178" t="s">
        <v>370</v>
      </c>
    </row>
    <row r="74" spans="1:18">
      <c r="A74" s="177">
        <v>1</v>
      </c>
      <c r="B74" s="30">
        <v>3</v>
      </c>
      <c r="C74" s="1">
        <v>42825</v>
      </c>
      <c r="D74" s="27">
        <v>748988</v>
      </c>
      <c r="E74" s="30">
        <v>2017</v>
      </c>
      <c r="F74" s="30">
        <v>1</v>
      </c>
      <c r="G74" s="1">
        <v>42776</v>
      </c>
      <c r="H74" s="27">
        <v>744984</v>
      </c>
      <c r="I74" s="24">
        <v>500</v>
      </c>
      <c r="J74" s="24">
        <v>-500</v>
      </c>
      <c r="K74" s="30">
        <v>6</v>
      </c>
      <c r="L74" s="30">
        <v>2557</v>
      </c>
      <c r="M74" s="30">
        <v>1025</v>
      </c>
      <c r="N74" s="30">
        <v>0</v>
      </c>
      <c r="O74" s="30">
        <v>65652</v>
      </c>
      <c r="P74" s="29" t="s">
        <v>403</v>
      </c>
      <c r="Q74" s="29" t="s">
        <v>321</v>
      </c>
      <c r="R74" s="178" t="s">
        <v>370</v>
      </c>
    </row>
    <row r="75" spans="1:18">
      <c r="A75" s="177">
        <v>1</v>
      </c>
      <c r="B75" s="30">
        <v>3</v>
      </c>
      <c r="C75" s="1">
        <v>42825</v>
      </c>
      <c r="D75" s="27">
        <v>748988</v>
      </c>
      <c r="E75" s="30">
        <v>2017</v>
      </c>
      <c r="F75" s="30">
        <v>1</v>
      </c>
      <c r="G75" s="1">
        <v>42745</v>
      </c>
      <c r="H75" s="27">
        <v>740276</v>
      </c>
      <c r="I75" s="24">
        <v>5900.21</v>
      </c>
      <c r="J75" s="24">
        <v>-5900.21</v>
      </c>
      <c r="K75" s="30">
        <v>12</v>
      </c>
      <c r="L75" s="30">
        <v>2925</v>
      </c>
      <c r="M75" s="30">
        <v>60</v>
      </c>
      <c r="N75" s="30">
        <v>0</v>
      </c>
      <c r="O75" s="30">
        <v>23494</v>
      </c>
      <c r="P75" s="29" t="s">
        <v>404</v>
      </c>
      <c r="Q75" s="29" t="s">
        <v>354</v>
      </c>
      <c r="R75" s="178" t="s">
        <v>405</v>
      </c>
    </row>
    <row r="76" spans="1:18">
      <c r="A76" s="177">
        <v>1</v>
      </c>
      <c r="B76" s="30">
        <v>3</v>
      </c>
      <c r="C76" s="1">
        <v>42825</v>
      </c>
      <c r="D76" s="27">
        <v>748988</v>
      </c>
      <c r="E76" s="30">
        <v>2017</v>
      </c>
      <c r="F76" s="30">
        <v>1</v>
      </c>
      <c r="G76" s="1">
        <v>42745</v>
      </c>
      <c r="H76" s="27">
        <v>740276</v>
      </c>
      <c r="I76" s="24">
        <v>767</v>
      </c>
      <c r="J76" s="24">
        <v>-767</v>
      </c>
      <c r="K76" s="30">
        <v>12</v>
      </c>
      <c r="L76" s="30">
        <v>2925</v>
      </c>
      <c r="M76" s="30">
        <v>85</v>
      </c>
      <c r="N76" s="30">
        <v>0</v>
      </c>
      <c r="O76" s="30">
        <v>23494</v>
      </c>
      <c r="P76" s="29" t="s">
        <v>404</v>
      </c>
      <c r="Q76" s="29" t="s">
        <v>354</v>
      </c>
      <c r="R76" s="178" t="s">
        <v>405</v>
      </c>
    </row>
    <row r="77" spans="1:18">
      <c r="A77" s="177">
        <v>1</v>
      </c>
      <c r="B77" s="30">
        <v>3</v>
      </c>
      <c r="C77" s="1">
        <v>42825</v>
      </c>
      <c r="D77" s="27">
        <v>748988</v>
      </c>
      <c r="E77" s="30">
        <v>2017</v>
      </c>
      <c r="F77" s="30">
        <v>1</v>
      </c>
      <c r="G77" s="1">
        <v>42776</v>
      </c>
      <c r="H77" s="27">
        <v>744978</v>
      </c>
      <c r="I77" s="24">
        <v>5900.21</v>
      </c>
      <c r="J77" s="24">
        <v>-5900.21</v>
      </c>
      <c r="K77" s="30">
        <v>12</v>
      </c>
      <c r="L77" s="30">
        <v>2925</v>
      </c>
      <c r="M77" s="30">
        <v>60</v>
      </c>
      <c r="N77" s="30">
        <v>0</v>
      </c>
      <c r="O77" s="30">
        <v>23494</v>
      </c>
      <c r="P77" s="29" t="s">
        <v>404</v>
      </c>
      <c r="Q77" s="29" t="s">
        <v>354</v>
      </c>
      <c r="R77" s="178" t="s">
        <v>405</v>
      </c>
    </row>
    <row r="78" spans="1:18">
      <c r="A78" s="177">
        <v>1</v>
      </c>
      <c r="B78" s="30">
        <v>3</v>
      </c>
      <c r="C78" s="1">
        <v>42825</v>
      </c>
      <c r="D78" s="27">
        <v>748988</v>
      </c>
      <c r="E78" s="30">
        <v>2017</v>
      </c>
      <c r="F78" s="30">
        <v>1</v>
      </c>
      <c r="G78" s="1">
        <v>42776</v>
      </c>
      <c r="H78" s="27">
        <v>744978</v>
      </c>
      <c r="I78" s="24">
        <v>767</v>
      </c>
      <c r="J78" s="24">
        <v>-767</v>
      </c>
      <c r="K78" s="30">
        <v>12</v>
      </c>
      <c r="L78" s="30">
        <v>2925</v>
      </c>
      <c r="M78" s="30">
        <v>85</v>
      </c>
      <c r="N78" s="30">
        <v>0</v>
      </c>
      <c r="O78" s="30">
        <v>23494</v>
      </c>
      <c r="P78" s="29" t="s">
        <v>404</v>
      </c>
      <c r="Q78" s="29" t="s">
        <v>354</v>
      </c>
      <c r="R78" s="178" t="s">
        <v>405</v>
      </c>
    </row>
    <row r="79" spans="1:18">
      <c r="A79" s="177">
        <v>1</v>
      </c>
      <c r="B79" s="30">
        <v>3</v>
      </c>
      <c r="C79" s="1">
        <v>42825</v>
      </c>
      <c r="D79" s="27">
        <v>748988</v>
      </c>
      <c r="E79" s="30">
        <v>2017</v>
      </c>
      <c r="F79" s="30">
        <v>1</v>
      </c>
      <c r="G79" s="1">
        <v>42776</v>
      </c>
      <c r="H79" s="27">
        <v>744984</v>
      </c>
      <c r="I79" s="24">
        <v>2088.8000000000002</v>
      </c>
      <c r="J79" s="24">
        <v>-2088.8000000000002</v>
      </c>
      <c r="K79" s="30">
        <v>37</v>
      </c>
      <c r="L79" s="30">
        <v>163</v>
      </c>
      <c r="M79" s="30">
        <v>60</v>
      </c>
      <c r="N79" s="30">
        <v>0</v>
      </c>
      <c r="O79" s="30">
        <v>50771</v>
      </c>
      <c r="P79" s="29" t="s">
        <v>406</v>
      </c>
      <c r="Q79" s="29" t="s">
        <v>407</v>
      </c>
      <c r="R79" s="178" t="s">
        <v>408</v>
      </c>
    </row>
    <row r="80" spans="1:18">
      <c r="A80" s="177">
        <v>1</v>
      </c>
      <c r="B80" s="30">
        <v>3</v>
      </c>
      <c r="C80" s="1">
        <v>42825</v>
      </c>
      <c r="D80" s="27">
        <v>748988</v>
      </c>
      <c r="E80" s="30">
        <v>2017</v>
      </c>
      <c r="F80" s="30">
        <v>1</v>
      </c>
      <c r="G80" s="1">
        <v>42776</v>
      </c>
      <c r="H80" s="27">
        <v>744984</v>
      </c>
      <c r="I80" s="24">
        <v>271</v>
      </c>
      <c r="J80" s="24">
        <v>-271</v>
      </c>
      <c r="K80" s="30">
        <v>37</v>
      </c>
      <c r="L80" s="30">
        <v>163</v>
      </c>
      <c r="M80" s="30">
        <v>85</v>
      </c>
      <c r="N80" s="30">
        <v>0</v>
      </c>
      <c r="O80" s="30">
        <v>50771</v>
      </c>
      <c r="P80" s="29" t="s">
        <v>406</v>
      </c>
      <c r="Q80" s="29" t="s">
        <v>407</v>
      </c>
      <c r="R80" s="178" t="s">
        <v>408</v>
      </c>
    </row>
    <row r="81" spans="1:18">
      <c r="A81" s="177">
        <v>1</v>
      </c>
      <c r="B81" s="30">
        <v>3</v>
      </c>
      <c r="C81" s="1">
        <v>42825</v>
      </c>
      <c r="D81" s="27">
        <v>748988</v>
      </c>
      <c r="E81" s="30">
        <v>2017</v>
      </c>
      <c r="F81" s="30">
        <v>1</v>
      </c>
      <c r="G81" s="1">
        <v>42776</v>
      </c>
      <c r="H81" s="27">
        <v>744978</v>
      </c>
      <c r="I81" s="24">
        <v>2097.9699999999998</v>
      </c>
      <c r="J81" s="24">
        <v>-2097.9699999999998</v>
      </c>
      <c r="K81" s="30">
        <v>12</v>
      </c>
      <c r="L81" s="30">
        <v>1201</v>
      </c>
      <c r="M81" s="30">
        <v>60</v>
      </c>
      <c r="N81" s="30">
        <v>0</v>
      </c>
      <c r="O81" s="30">
        <v>14574</v>
      </c>
      <c r="P81" s="29" t="s">
        <v>409</v>
      </c>
      <c r="Q81" s="29" t="s">
        <v>339</v>
      </c>
      <c r="R81" s="178" t="s">
        <v>410</v>
      </c>
    </row>
    <row r="82" spans="1:18">
      <c r="A82" s="177">
        <v>1</v>
      </c>
      <c r="B82" s="30">
        <v>3</v>
      </c>
      <c r="C82" s="1">
        <v>42825</v>
      </c>
      <c r="D82" s="27">
        <v>748988</v>
      </c>
      <c r="E82" s="30">
        <v>2017</v>
      </c>
      <c r="F82" s="30">
        <v>1</v>
      </c>
      <c r="G82" s="1">
        <v>42776</v>
      </c>
      <c r="H82" s="27">
        <v>744978</v>
      </c>
      <c r="I82" s="24">
        <v>272</v>
      </c>
      <c r="J82" s="24">
        <v>-272</v>
      </c>
      <c r="K82" s="30">
        <v>12</v>
      </c>
      <c r="L82" s="30">
        <v>1201</v>
      </c>
      <c r="M82" s="30">
        <v>85</v>
      </c>
      <c r="N82" s="30">
        <v>0</v>
      </c>
      <c r="O82" s="30">
        <v>14574</v>
      </c>
      <c r="P82" s="29" t="s">
        <v>409</v>
      </c>
      <c r="Q82" s="29" t="s">
        <v>339</v>
      </c>
      <c r="R82" s="178" t="s">
        <v>410</v>
      </c>
    </row>
    <row r="83" spans="1:18">
      <c r="A83" s="177">
        <v>2</v>
      </c>
      <c r="B83" s="30">
        <v>4</v>
      </c>
      <c r="C83" s="1">
        <v>42832</v>
      </c>
      <c r="D83" s="27">
        <v>755072</v>
      </c>
      <c r="E83" s="30">
        <v>2016</v>
      </c>
      <c r="F83" s="30">
        <v>4</v>
      </c>
      <c r="G83" s="1">
        <v>42727</v>
      </c>
      <c r="H83" s="27">
        <v>738354</v>
      </c>
      <c r="I83" s="24">
        <v>7000</v>
      </c>
      <c r="J83" s="24">
        <v>-7000</v>
      </c>
      <c r="K83" s="30">
        <v>991</v>
      </c>
      <c r="L83" s="30">
        <v>72333</v>
      </c>
      <c r="M83" s="30">
        <v>55</v>
      </c>
      <c r="N83" s="30">
        <v>1</v>
      </c>
      <c r="O83" s="30">
        <v>1196704</v>
      </c>
      <c r="P83" s="29" t="s">
        <v>411</v>
      </c>
      <c r="Q83" s="29" t="s">
        <v>372</v>
      </c>
      <c r="R83" s="178" t="s">
        <v>412</v>
      </c>
    </row>
    <row r="84" spans="1:18">
      <c r="A84" s="177">
        <v>2</v>
      </c>
      <c r="B84" s="30">
        <v>4</v>
      </c>
      <c r="C84" s="1">
        <v>42832</v>
      </c>
      <c r="D84" s="27">
        <v>755072</v>
      </c>
      <c r="E84" s="30">
        <v>2016</v>
      </c>
      <c r="F84" s="30">
        <v>4</v>
      </c>
      <c r="G84" s="1">
        <v>42727</v>
      </c>
      <c r="H84" s="27">
        <v>738354</v>
      </c>
      <c r="I84" s="24">
        <v>987</v>
      </c>
      <c r="J84" s="24">
        <v>-910</v>
      </c>
      <c r="K84" s="30">
        <v>991</v>
      </c>
      <c r="L84" s="30">
        <v>72333</v>
      </c>
      <c r="M84" s="30">
        <v>85</v>
      </c>
      <c r="N84" s="30">
        <v>2</v>
      </c>
      <c r="O84" s="30">
        <v>1196704</v>
      </c>
      <c r="P84" s="29" t="s">
        <v>411</v>
      </c>
      <c r="Q84" s="29" t="s">
        <v>372</v>
      </c>
      <c r="R84" s="178" t="s">
        <v>412</v>
      </c>
    </row>
    <row r="85" spans="1:18">
      <c r="A85" s="177">
        <v>2</v>
      </c>
      <c r="B85" s="30">
        <v>4</v>
      </c>
      <c r="C85" s="1">
        <v>42839</v>
      </c>
      <c r="D85" s="27">
        <v>757568</v>
      </c>
      <c r="E85" s="30">
        <v>2017</v>
      </c>
      <c r="F85" s="30">
        <v>2</v>
      </c>
      <c r="G85" s="1">
        <v>42832</v>
      </c>
      <c r="H85" s="27">
        <v>755063</v>
      </c>
      <c r="I85" s="24">
        <v>50000</v>
      </c>
      <c r="J85" s="24">
        <v>-50000</v>
      </c>
      <c r="K85" s="30">
        <v>991</v>
      </c>
      <c r="L85" s="30">
        <v>24739</v>
      </c>
      <c r="M85" s="30">
        <v>55</v>
      </c>
      <c r="N85" s="30">
        <v>1</v>
      </c>
      <c r="O85" s="30">
        <v>304842</v>
      </c>
      <c r="P85" s="29" t="s">
        <v>413</v>
      </c>
      <c r="Q85" s="29" t="s">
        <v>401</v>
      </c>
      <c r="R85" s="178" t="s">
        <v>328</v>
      </c>
    </row>
    <row r="86" spans="1:18">
      <c r="A86" s="177">
        <v>2</v>
      </c>
      <c r="B86" s="30">
        <v>4</v>
      </c>
      <c r="C86" s="1">
        <v>42839</v>
      </c>
      <c r="D86" s="27">
        <v>757568</v>
      </c>
      <c r="E86" s="30">
        <v>2017</v>
      </c>
      <c r="F86" s="30">
        <v>2</v>
      </c>
      <c r="G86" s="1">
        <v>42832</v>
      </c>
      <c r="H86" s="27">
        <v>755063</v>
      </c>
      <c r="I86" s="24">
        <v>9086</v>
      </c>
      <c r="J86" s="24">
        <v>-6500</v>
      </c>
      <c r="K86" s="30">
        <v>991</v>
      </c>
      <c r="L86" s="30">
        <v>24739</v>
      </c>
      <c r="M86" s="30">
        <v>85</v>
      </c>
      <c r="N86" s="30">
        <v>2</v>
      </c>
      <c r="O86" s="30">
        <v>304842</v>
      </c>
      <c r="P86" s="29" t="s">
        <v>413</v>
      </c>
      <c r="Q86" s="29" t="s">
        <v>401</v>
      </c>
      <c r="R86" s="178" t="s">
        <v>328</v>
      </c>
    </row>
    <row r="87" spans="1:18">
      <c r="A87" s="177">
        <v>2</v>
      </c>
      <c r="B87" s="30">
        <v>4</v>
      </c>
      <c r="C87" s="1">
        <v>42839</v>
      </c>
      <c r="D87" s="27">
        <v>757558</v>
      </c>
      <c r="E87" s="30">
        <v>2016</v>
      </c>
      <c r="F87" s="30">
        <v>4</v>
      </c>
      <c r="G87" s="1">
        <v>42702</v>
      </c>
      <c r="H87" s="27">
        <v>732729</v>
      </c>
      <c r="I87" s="24">
        <v>20000</v>
      </c>
      <c r="J87" s="24">
        <v>-20000</v>
      </c>
      <c r="K87" s="30">
        <v>991</v>
      </c>
      <c r="L87" s="30">
        <v>36197</v>
      </c>
      <c r="M87" s="30">
        <v>55</v>
      </c>
      <c r="N87" s="30">
        <v>1</v>
      </c>
      <c r="O87" s="30">
        <v>560223</v>
      </c>
      <c r="P87" s="29" t="s">
        <v>414</v>
      </c>
      <c r="Q87" s="29" t="s">
        <v>415</v>
      </c>
      <c r="R87" s="178" t="s">
        <v>416</v>
      </c>
    </row>
    <row r="88" spans="1:18">
      <c r="A88" s="177">
        <v>2</v>
      </c>
      <c r="B88" s="30">
        <v>4</v>
      </c>
      <c r="C88" s="1">
        <v>42839</v>
      </c>
      <c r="D88" s="27">
        <v>757558</v>
      </c>
      <c r="E88" s="30">
        <v>2016</v>
      </c>
      <c r="F88" s="30">
        <v>4</v>
      </c>
      <c r="G88" s="1">
        <v>42702</v>
      </c>
      <c r="H88" s="27">
        <v>732729</v>
      </c>
      <c r="I88" s="24">
        <v>6397</v>
      </c>
      <c r="J88" s="24">
        <v>-2600</v>
      </c>
      <c r="K88" s="30">
        <v>991</v>
      </c>
      <c r="L88" s="30">
        <v>36197</v>
      </c>
      <c r="M88" s="30">
        <v>85</v>
      </c>
      <c r="N88" s="30">
        <v>2</v>
      </c>
      <c r="O88" s="30">
        <v>560223</v>
      </c>
      <c r="P88" s="29" t="s">
        <v>414</v>
      </c>
      <c r="Q88" s="29" t="s">
        <v>415</v>
      </c>
      <c r="R88" s="178" t="s">
        <v>416</v>
      </c>
    </row>
    <row r="89" spans="1:18">
      <c r="A89" s="177">
        <v>2</v>
      </c>
      <c r="B89" s="30">
        <v>4</v>
      </c>
      <c r="C89" s="1">
        <v>42839</v>
      </c>
      <c r="D89" s="27">
        <v>757559</v>
      </c>
      <c r="E89" s="30">
        <v>2016</v>
      </c>
      <c r="F89" s="30">
        <v>4</v>
      </c>
      <c r="G89" s="1">
        <v>42716</v>
      </c>
      <c r="H89" s="27">
        <v>735484</v>
      </c>
      <c r="I89" s="24">
        <v>10000</v>
      </c>
      <c r="J89" s="24">
        <v>-10000</v>
      </c>
      <c r="K89" s="30">
        <v>991</v>
      </c>
      <c r="L89" s="30">
        <v>36195</v>
      </c>
      <c r="M89" s="30">
        <v>55</v>
      </c>
      <c r="N89" s="30">
        <v>1</v>
      </c>
      <c r="O89" s="30">
        <v>560224</v>
      </c>
      <c r="P89" s="29" t="s">
        <v>414</v>
      </c>
      <c r="Q89" s="29" t="s">
        <v>417</v>
      </c>
      <c r="R89" s="178" t="s">
        <v>337</v>
      </c>
    </row>
    <row r="90" spans="1:18">
      <c r="A90" s="177">
        <v>2</v>
      </c>
      <c r="B90" s="30">
        <v>4</v>
      </c>
      <c r="C90" s="1">
        <v>42839</v>
      </c>
      <c r="D90" s="27">
        <v>757559</v>
      </c>
      <c r="E90" s="30">
        <v>2016</v>
      </c>
      <c r="F90" s="30">
        <v>4</v>
      </c>
      <c r="G90" s="1">
        <v>42716</v>
      </c>
      <c r="H90" s="27">
        <v>735484</v>
      </c>
      <c r="I90" s="24">
        <v>3281</v>
      </c>
      <c r="J90" s="24">
        <v>-1300</v>
      </c>
      <c r="K90" s="30">
        <v>991</v>
      </c>
      <c r="L90" s="30">
        <v>36195</v>
      </c>
      <c r="M90" s="30">
        <v>85</v>
      </c>
      <c r="N90" s="30">
        <v>2</v>
      </c>
      <c r="O90" s="30">
        <v>560224</v>
      </c>
      <c r="P90" s="29" t="s">
        <v>414</v>
      </c>
      <c r="Q90" s="29" t="s">
        <v>417</v>
      </c>
      <c r="R90" s="178" t="s">
        <v>337</v>
      </c>
    </row>
    <row r="91" spans="1:18">
      <c r="A91" s="177">
        <v>2</v>
      </c>
      <c r="B91" s="30">
        <v>4</v>
      </c>
      <c r="C91" s="1">
        <v>42839</v>
      </c>
      <c r="D91" s="27">
        <v>757562</v>
      </c>
      <c r="E91" s="30">
        <v>2017</v>
      </c>
      <c r="F91" s="30">
        <v>2</v>
      </c>
      <c r="G91" s="1">
        <v>42832</v>
      </c>
      <c r="H91" s="27">
        <v>755034</v>
      </c>
      <c r="I91" s="24">
        <v>51000</v>
      </c>
      <c r="J91" s="24">
        <v>-51000</v>
      </c>
      <c r="K91" s="30">
        <v>991</v>
      </c>
      <c r="L91" s="30">
        <v>23578</v>
      </c>
      <c r="M91" s="30">
        <v>55</v>
      </c>
      <c r="N91" s="30">
        <v>1</v>
      </c>
      <c r="O91" s="30">
        <v>300685</v>
      </c>
      <c r="P91" s="29" t="s">
        <v>418</v>
      </c>
      <c r="Q91" s="29" t="s">
        <v>419</v>
      </c>
      <c r="R91" s="178" t="s">
        <v>322</v>
      </c>
    </row>
    <row r="92" spans="1:18">
      <c r="A92" s="177">
        <v>2</v>
      </c>
      <c r="B92" s="30">
        <v>4</v>
      </c>
      <c r="C92" s="1">
        <v>42839</v>
      </c>
      <c r="D92" s="27">
        <v>757562</v>
      </c>
      <c r="E92" s="30">
        <v>2017</v>
      </c>
      <c r="F92" s="30">
        <v>2</v>
      </c>
      <c r="G92" s="1">
        <v>42832</v>
      </c>
      <c r="H92" s="27">
        <v>755034</v>
      </c>
      <c r="I92" s="24">
        <v>9348</v>
      </c>
      <c r="J92" s="24">
        <v>-6630</v>
      </c>
      <c r="K92" s="30">
        <v>991</v>
      </c>
      <c r="L92" s="30">
        <v>23578</v>
      </c>
      <c r="M92" s="30">
        <v>85</v>
      </c>
      <c r="N92" s="30">
        <v>2</v>
      </c>
      <c r="O92" s="30">
        <v>300685</v>
      </c>
      <c r="P92" s="29" t="s">
        <v>418</v>
      </c>
      <c r="Q92" s="29" t="s">
        <v>419</v>
      </c>
      <c r="R92" s="178" t="s">
        <v>322</v>
      </c>
    </row>
    <row r="93" spans="1:18">
      <c r="A93" s="177">
        <v>2</v>
      </c>
      <c r="B93" s="30">
        <v>4</v>
      </c>
      <c r="C93" s="1">
        <v>42839</v>
      </c>
      <c r="D93" s="27">
        <v>757567</v>
      </c>
      <c r="E93" s="30">
        <v>2015</v>
      </c>
      <c r="F93" s="30">
        <v>3</v>
      </c>
      <c r="G93" s="1">
        <v>42216</v>
      </c>
      <c r="H93" s="27">
        <v>640071</v>
      </c>
      <c r="I93" s="24">
        <v>24000</v>
      </c>
      <c r="J93" s="24">
        <v>-24000</v>
      </c>
      <c r="K93" s="30">
        <v>991</v>
      </c>
      <c r="L93" s="30">
        <v>50993</v>
      </c>
      <c r="M93" s="30">
        <v>55</v>
      </c>
      <c r="N93" s="30">
        <v>1</v>
      </c>
      <c r="O93" s="30">
        <v>797736</v>
      </c>
      <c r="P93" s="29" t="s">
        <v>420</v>
      </c>
      <c r="Q93" s="29" t="s">
        <v>372</v>
      </c>
      <c r="R93" s="178" t="s">
        <v>421</v>
      </c>
    </row>
    <row r="94" spans="1:18">
      <c r="A94" s="177">
        <v>2</v>
      </c>
      <c r="B94" s="30">
        <v>4</v>
      </c>
      <c r="C94" s="1">
        <v>42839</v>
      </c>
      <c r="D94" s="27">
        <v>757567</v>
      </c>
      <c r="E94" s="30">
        <v>2015</v>
      </c>
      <c r="F94" s="30">
        <v>3</v>
      </c>
      <c r="G94" s="1">
        <v>42216</v>
      </c>
      <c r="H94" s="27">
        <v>640071</v>
      </c>
      <c r="I94" s="24">
        <v>3319</v>
      </c>
      <c r="J94" s="24">
        <v>-3120</v>
      </c>
      <c r="K94" s="30">
        <v>991</v>
      </c>
      <c r="L94" s="30">
        <v>50993</v>
      </c>
      <c r="M94" s="30">
        <v>85</v>
      </c>
      <c r="N94" s="30">
        <v>2</v>
      </c>
      <c r="O94" s="30">
        <v>797736</v>
      </c>
      <c r="P94" s="29" t="s">
        <v>420</v>
      </c>
      <c r="Q94" s="29" t="s">
        <v>372</v>
      </c>
      <c r="R94" s="178" t="s">
        <v>421</v>
      </c>
    </row>
    <row r="95" spans="1:18">
      <c r="A95" s="177">
        <v>2</v>
      </c>
      <c r="B95" s="30">
        <v>4</v>
      </c>
      <c r="C95" s="1">
        <v>42839</v>
      </c>
      <c r="D95" s="27">
        <v>757560</v>
      </c>
      <c r="E95" s="30">
        <v>2017</v>
      </c>
      <c r="F95" s="30">
        <v>2</v>
      </c>
      <c r="G95" s="1">
        <v>42832</v>
      </c>
      <c r="H95" s="27">
        <v>755031</v>
      </c>
      <c r="I95" s="24">
        <v>51000</v>
      </c>
      <c r="J95" s="24">
        <v>-51000</v>
      </c>
      <c r="K95" s="30">
        <v>991</v>
      </c>
      <c r="L95" s="30">
        <v>7462</v>
      </c>
      <c r="M95" s="30">
        <v>55</v>
      </c>
      <c r="N95" s="30">
        <v>1</v>
      </c>
      <c r="O95" s="30">
        <v>185082</v>
      </c>
      <c r="P95" s="29" t="s">
        <v>422</v>
      </c>
      <c r="Q95" s="29" t="s">
        <v>417</v>
      </c>
      <c r="R95" s="178" t="s">
        <v>423</v>
      </c>
    </row>
    <row r="96" spans="1:18">
      <c r="A96" s="177">
        <v>2</v>
      </c>
      <c r="B96" s="30">
        <v>4</v>
      </c>
      <c r="C96" s="1">
        <v>42839</v>
      </c>
      <c r="D96" s="27">
        <v>757560</v>
      </c>
      <c r="E96" s="30">
        <v>2017</v>
      </c>
      <c r="F96" s="30">
        <v>2</v>
      </c>
      <c r="G96" s="1">
        <v>42832</v>
      </c>
      <c r="H96" s="27">
        <v>755031</v>
      </c>
      <c r="I96" s="24">
        <v>10727</v>
      </c>
      <c r="J96" s="24">
        <v>-6630</v>
      </c>
      <c r="K96" s="30">
        <v>991</v>
      </c>
      <c r="L96" s="30">
        <v>7462</v>
      </c>
      <c r="M96" s="30">
        <v>85</v>
      </c>
      <c r="N96" s="30">
        <v>2</v>
      </c>
      <c r="O96" s="30">
        <v>185082</v>
      </c>
      <c r="P96" s="29" t="s">
        <v>422</v>
      </c>
      <c r="Q96" s="29" t="s">
        <v>417</v>
      </c>
      <c r="R96" s="178" t="s">
        <v>423</v>
      </c>
    </row>
    <row r="97" spans="1:18">
      <c r="A97" s="177">
        <v>2</v>
      </c>
      <c r="B97" s="30">
        <v>4</v>
      </c>
      <c r="C97" s="1">
        <v>42839</v>
      </c>
      <c r="D97" s="27">
        <v>757579</v>
      </c>
      <c r="E97" s="30">
        <v>2017</v>
      </c>
      <c r="F97" s="30">
        <v>2</v>
      </c>
      <c r="G97" s="1">
        <v>42832</v>
      </c>
      <c r="H97" s="27">
        <v>755079</v>
      </c>
      <c r="I97" s="24">
        <v>5500</v>
      </c>
      <c r="J97" s="24">
        <v>-5500</v>
      </c>
      <c r="K97" s="30">
        <v>991</v>
      </c>
      <c r="L97" s="30">
        <v>60575</v>
      </c>
      <c r="M97" s="30">
        <v>55</v>
      </c>
      <c r="N97" s="30">
        <v>1</v>
      </c>
      <c r="O97" s="30">
        <v>1003384</v>
      </c>
      <c r="P97" s="29" t="s">
        <v>424</v>
      </c>
      <c r="Q97" s="29" t="s">
        <v>425</v>
      </c>
      <c r="R97" s="178" t="s">
        <v>426</v>
      </c>
    </row>
    <row r="98" spans="1:18">
      <c r="A98" s="177">
        <v>2</v>
      </c>
      <c r="B98" s="30">
        <v>4</v>
      </c>
      <c r="C98" s="1">
        <v>42839</v>
      </c>
      <c r="D98" s="27">
        <v>757579</v>
      </c>
      <c r="E98" s="30">
        <v>2017</v>
      </c>
      <c r="F98" s="30">
        <v>2</v>
      </c>
      <c r="G98" s="1">
        <v>42832</v>
      </c>
      <c r="H98" s="27">
        <v>755079</v>
      </c>
      <c r="I98" s="24">
        <v>979</v>
      </c>
      <c r="J98" s="24">
        <v>-715</v>
      </c>
      <c r="K98" s="30">
        <v>991</v>
      </c>
      <c r="L98" s="30">
        <v>60575</v>
      </c>
      <c r="M98" s="30">
        <v>85</v>
      </c>
      <c r="N98" s="30">
        <v>2</v>
      </c>
      <c r="O98" s="30">
        <v>1003384</v>
      </c>
      <c r="P98" s="29" t="s">
        <v>424</v>
      </c>
      <c r="Q98" s="29" t="s">
        <v>425</v>
      </c>
      <c r="R98" s="178" t="s">
        <v>426</v>
      </c>
    </row>
    <row r="99" spans="1:18">
      <c r="A99" s="177">
        <v>2</v>
      </c>
      <c r="B99" s="30">
        <v>4</v>
      </c>
      <c r="C99" s="1">
        <v>42839</v>
      </c>
      <c r="D99" s="27">
        <v>757580</v>
      </c>
      <c r="E99" s="30">
        <v>2017</v>
      </c>
      <c r="F99" s="30">
        <v>2</v>
      </c>
      <c r="G99" s="1">
        <v>42832</v>
      </c>
      <c r="H99" s="27">
        <v>755080</v>
      </c>
      <c r="I99" s="24">
        <v>6500</v>
      </c>
      <c r="J99" s="24">
        <v>-6500</v>
      </c>
      <c r="K99" s="30">
        <v>991</v>
      </c>
      <c r="L99" s="30">
        <v>62444</v>
      </c>
      <c r="M99" s="30">
        <v>55</v>
      </c>
      <c r="N99" s="30">
        <v>1</v>
      </c>
      <c r="O99" s="30">
        <v>1006423</v>
      </c>
      <c r="P99" s="29" t="s">
        <v>424</v>
      </c>
      <c r="Q99" s="29" t="s">
        <v>425</v>
      </c>
      <c r="R99" s="178" t="s">
        <v>426</v>
      </c>
    </row>
    <row r="100" spans="1:18">
      <c r="A100" s="177">
        <v>2</v>
      </c>
      <c r="B100" s="30">
        <v>4</v>
      </c>
      <c r="C100" s="1">
        <v>42839</v>
      </c>
      <c r="D100" s="27">
        <v>757580</v>
      </c>
      <c r="E100" s="30">
        <v>2017</v>
      </c>
      <c r="F100" s="30">
        <v>2</v>
      </c>
      <c r="G100" s="1">
        <v>42832</v>
      </c>
      <c r="H100" s="27">
        <v>755080</v>
      </c>
      <c r="I100" s="24">
        <v>1131</v>
      </c>
      <c r="J100" s="24">
        <v>-845</v>
      </c>
      <c r="K100" s="30">
        <v>991</v>
      </c>
      <c r="L100" s="30">
        <v>62444</v>
      </c>
      <c r="M100" s="30">
        <v>85</v>
      </c>
      <c r="N100" s="30">
        <v>2</v>
      </c>
      <c r="O100" s="30">
        <v>1006423</v>
      </c>
      <c r="P100" s="29" t="s">
        <v>424</v>
      </c>
      <c r="Q100" s="29" t="s">
        <v>425</v>
      </c>
      <c r="R100" s="178" t="s">
        <v>426</v>
      </c>
    </row>
    <row r="101" spans="1:18">
      <c r="A101" s="177">
        <v>2</v>
      </c>
      <c r="B101" s="30">
        <v>4</v>
      </c>
      <c r="C101" s="1">
        <v>42846</v>
      </c>
      <c r="D101" s="27">
        <v>759158</v>
      </c>
      <c r="E101" s="30">
        <v>2017</v>
      </c>
      <c r="F101" s="30">
        <v>2</v>
      </c>
      <c r="G101" s="1">
        <v>42839</v>
      </c>
      <c r="H101" s="27">
        <v>757549</v>
      </c>
      <c r="I101" s="24">
        <v>26000</v>
      </c>
      <c r="J101" s="24">
        <v>-25500</v>
      </c>
      <c r="K101" s="30">
        <v>991</v>
      </c>
      <c r="L101" s="30">
        <v>49876</v>
      </c>
      <c r="M101" s="30">
        <v>55</v>
      </c>
      <c r="N101" s="30">
        <v>1</v>
      </c>
      <c r="O101" s="30">
        <v>793618</v>
      </c>
      <c r="P101" s="29" t="s">
        <v>427</v>
      </c>
      <c r="Q101" s="29" t="s">
        <v>428</v>
      </c>
      <c r="R101" s="178" t="s">
        <v>412</v>
      </c>
    </row>
    <row r="102" spans="1:18">
      <c r="A102" s="177">
        <v>2</v>
      </c>
      <c r="B102" s="30">
        <v>4</v>
      </c>
      <c r="C102" s="1">
        <v>42846</v>
      </c>
      <c r="D102" s="27">
        <v>759158</v>
      </c>
      <c r="E102" s="30">
        <v>2017</v>
      </c>
      <c r="F102" s="30">
        <v>2</v>
      </c>
      <c r="G102" s="1">
        <v>42839</v>
      </c>
      <c r="H102" s="27">
        <v>757549</v>
      </c>
      <c r="I102" s="24">
        <v>4436</v>
      </c>
      <c r="J102" s="24">
        <v>-3315</v>
      </c>
      <c r="K102" s="30">
        <v>991</v>
      </c>
      <c r="L102" s="30">
        <v>49876</v>
      </c>
      <c r="M102" s="30">
        <v>85</v>
      </c>
      <c r="N102" s="30">
        <v>2</v>
      </c>
      <c r="O102" s="30">
        <v>793618</v>
      </c>
      <c r="P102" s="29" t="s">
        <v>427</v>
      </c>
      <c r="Q102" s="29" t="s">
        <v>428</v>
      </c>
      <c r="R102" s="178" t="s">
        <v>412</v>
      </c>
    </row>
    <row r="103" spans="1:18">
      <c r="A103" s="177">
        <v>2</v>
      </c>
      <c r="B103" s="30">
        <v>4</v>
      </c>
      <c r="C103" s="1">
        <v>42846</v>
      </c>
      <c r="D103" s="27">
        <v>759159</v>
      </c>
      <c r="E103" s="30">
        <v>2017</v>
      </c>
      <c r="F103" s="30">
        <v>2</v>
      </c>
      <c r="G103" s="1">
        <v>42839</v>
      </c>
      <c r="H103" s="27">
        <v>757550</v>
      </c>
      <c r="I103" s="24">
        <v>30500</v>
      </c>
      <c r="J103" s="24">
        <v>-30000</v>
      </c>
      <c r="K103" s="30">
        <v>991</v>
      </c>
      <c r="L103" s="30">
        <v>49875</v>
      </c>
      <c r="M103" s="30">
        <v>55</v>
      </c>
      <c r="N103" s="30">
        <v>1</v>
      </c>
      <c r="O103" s="30">
        <v>793630</v>
      </c>
      <c r="P103" s="29" t="s">
        <v>429</v>
      </c>
      <c r="Q103" s="29" t="s">
        <v>327</v>
      </c>
      <c r="R103" s="178" t="s">
        <v>430</v>
      </c>
    </row>
    <row r="104" spans="1:18">
      <c r="A104" s="177">
        <v>2</v>
      </c>
      <c r="B104" s="30">
        <v>4</v>
      </c>
      <c r="C104" s="1">
        <v>42846</v>
      </c>
      <c r="D104" s="27">
        <v>759159</v>
      </c>
      <c r="E104" s="30">
        <v>2017</v>
      </c>
      <c r="F104" s="30">
        <v>2</v>
      </c>
      <c r="G104" s="1">
        <v>42839</v>
      </c>
      <c r="H104" s="27">
        <v>757550</v>
      </c>
      <c r="I104" s="24">
        <v>5021</v>
      </c>
      <c r="J104" s="24">
        <v>-3900</v>
      </c>
      <c r="K104" s="30">
        <v>991</v>
      </c>
      <c r="L104" s="30">
        <v>49875</v>
      </c>
      <c r="M104" s="30">
        <v>85</v>
      </c>
      <c r="N104" s="30">
        <v>2</v>
      </c>
      <c r="O104" s="30">
        <v>793630</v>
      </c>
      <c r="P104" s="29" t="s">
        <v>429</v>
      </c>
      <c r="Q104" s="29" t="s">
        <v>327</v>
      </c>
      <c r="R104" s="178" t="s">
        <v>430</v>
      </c>
    </row>
    <row r="105" spans="1:18">
      <c r="A105" s="177">
        <v>2</v>
      </c>
      <c r="B105" s="30">
        <v>4</v>
      </c>
      <c r="C105" s="1">
        <v>42846</v>
      </c>
      <c r="D105" s="27">
        <v>759161</v>
      </c>
      <c r="E105" s="30">
        <v>2017</v>
      </c>
      <c r="F105" s="30">
        <v>2</v>
      </c>
      <c r="G105" s="1">
        <v>42832</v>
      </c>
      <c r="H105" s="27">
        <v>755029</v>
      </c>
      <c r="I105" s="24">
        <v>121000</v>
      </c>
      <c r="J105" s="24">
        <v>-109000</v>
      </c>
      <c r="K105" s="30">
        <v>991</v>
      </c>
      <c r="L105" s="30">
        <v>2365</v>
      </c>
      <c r="M105" s="30">
        <v>55</v>
      </c>
      <c r="N105" s="30">
        <v>1</v>
      </c>
      <c r="O105" s="30">
        <v>140245</v>
      </c>
      <c r="P105" s="29" t="s">
        <v>431</v>
      </c>
      <c r="Q105" s="29" t="s">
        <v>398</v>
      </c>
      <c r="R105" s="178" t="s">
        <v>432</v>
      </c>
    </row>
    <row r="106" spans="1:18">
      <c r="A106" s="177">
        <v>2</v>
      </c>
      <c r="B106" s="30">
        <v>4</v>
      </c>
      <c r="C106" s="1">
        <v>42846</v>
      </c>
      <c r="D106" s="27">
        <v>759161</v>
      </c>
      <c r="E106" s="30">
        <v>2017</v>
      </c>
      <c r="F106" s="30">
        <v>2</v>
      </c>
      <c r="G106" s="1">
        <v>42832</v>
      </c>
      <c r="H106" s="27">
        <v>755029</v>
      </c>
      <c r="I106" s="24">
        <v>26711</v>
      </c>
      <c r="J106" s="24">
        <v>-14170</v>
      </c>
      <c r="K106" s="30">
        <v>991</v>
      </c>
      <c r="L106" s="30">
        <v>2365</v>
      </c>
      <c r="M106" s="30">
        <v>85</v>
      </c>
      <c r="N106" s="30">
        <v>2</v>
      </c>
      <c r="O106" s="30">
        <v>140245</v>
      </c>
      <c r="P106" s="29" t="s">
        <v>431</v>
      </c>
      <c r="Q106" s="29" t="s">
        <v>398</v>
      </c>
      <c r="R106" s="178" t="s">
        <v>432</v>
      </c>
    </row>
    <row r="107" spans="1:18">
      <c r="A107" s="177">
        <v>2</v>
      </c>
      <c r="B107" s="30">
        <v>4</v>
      </c>
      <c r="C107" s="1">
        <v>42853</v>
      </c>
      <c r="D107" s="27">
        <v>759641</v>
      </c>
      <c r="E107" s="30">
        <v>2016</v>
      </c>
      <c r="F107" s="30">
        <v>2</v>
      </c>
      <c r="G107" s="1">
        <v>42461</v>
      </c>
      <c r="H107" s="27">
        <v>687830</v>
      </c>
      <c r="I107" s="24">
        <v>65000</v>
      </c>
      <c r="J107" s="24">
        <v>-65000</v>
      </c>
      <c r="K107" s="30">
        <v>991</v>
      </c>
      <c r="L107" s="30">
        <v>34191</v>
      </c>
      <c r="M107" s="30">
        <v>55</v>
      </c>
      <c r="N107" s="30">
        <v>1</v>
      </c>
      <c r="O107" s="30">
        <v>500951</v>
      </c>
      <c r="P107" s="29" t="s">
        <v>433</v>
      </c>
      <c r="Q107" s="29" t="s">
        <v>434</v>
      </c>
      <c r="R107" s="178" t="s">
        <v>412</v>
      </c>
    </row>
    <row r="108" spans="1:18">
      <c r="A108" s="177">
        <v>2</v>
      </c>
      <c r="B108" s="30">
        <v>4</v>
      </c>
      <c r="C108" s="1">
        <v>42853</v>
      </c>
      <c r="D108" s="27">
        <v>759641</v>
      </c>
      <c r="E108" s="30">
        <v>2016</v>
      </c>
      <c r="F108" s="30">
        <v>2</v>
      </c>
      <c r="G108" s="1">
        <v>42461</v>
      </c>
      <c r="H108" s="27">
        <v>687830</v>
      </c>
      <c r="I108" s="24">
        <v>10443</v>
      </c>
      <c r="J108" s="24">
        <v>-8450</v>
      </c>
      <c r="K108" s="30">
        <v>991</v>
      </c>
      <c r="L108" s="30">
        <v>34191</v>
      </c>
      <c r="M108" s="30">
        <v>85</v>
      </c>
      <c r="N108" s="30">
        <v>2</v>
      </c>
      <c r="O108" s="30">
        <v>500951</v>
      </c>
      <c r="P108" s="29" t="s">
        <v>433</v>
      </c>
      <c r="Q108" s="29" t="s">
        <v>434</v>
      </c>
      <c r="R108" s="178" t="s">
        <v>412</v>
      </c>
    </row>
    <row r="109" spans="1:18">
      <c r="A109" s="177">
        <v>2</v>
      </c>
      <c r="B109" s="30">
        <v>4</v>
      </c>
      <c r="C109" s="1">
        <v>42855</v>
      </c>
      <c r="D109" s="27">
        <v>754786</v>
      </c>
      <c r="E109" s="30">
        <v>2017</v>
      </c>
      <c r="F109" s="30">
        <v>1</v>
      </c>
      <c r="G109" s="1">
        <v>42776</v>
      </c>
      <c r="H109" s="27">
        <v>744978</v>
      </c>
      <c r="I109" s="24">
        <v>2557.89</v>
      </c>
      <c r="J109" s="24">
        <v>-2557.89</v>
      </c>
      <c r="K109" s="30">
        <v>65</v>
      </c>
      <c r="L109" s="30">
        <v>1104</v>
      </c>
      <c r="M109" s="30">
        <v>60</v>
      </c>
      <c r="N109" s="30">
        <v>0</v>
      </c>
      <c r="O109" s="30">
        <v>39923</v>
      </c>
      <c r="P109" s="29" t="s">
        <v>435</v>
      </c>
      <c r="Q109" s="29" t="s">
        <v>436</v>
      </c>
      <c r="R109" s="178" t="s">
        <v>437</v>
      </c>
    </row>
    <row r="110" spans="1:18">
      <c r="A110" s="177">
        <v>2</v>
      </c>
      <c r="B110" s="30">
        <v>4</v>
      </c>
      <c r="C110" s="1">
        <v>42855</v>
      </c>
      <c r="D110" s="27">
        <v>754786</v>
      </c>
      <c r="E110" s="30">
        <v>2017</v>
      </c>
      <c r="F110" s="30">
        <v>1</v>
      </c>
      <c r="G110" s="1">
        <v>42776</v>
      </c>
      <c r="H110" s="27">
        <v>744978</v>
      </c>
      <c r="I110" s="24">
        <v>332</v>
      </c>
      <c r="J110" s="24">
        <v>-332</v>
      </c>
      <c r="K110" s="30">
        <v>65</v>
      </c>
      <c r="L110" s="30">
        <v>1104</v>
      </c>
      <c r="M110" s="30">
        <v>85</v>
      </c>
      <c r="N110" s="30">
        <v>0</v>
      </c>
      <c r="O110" s="30">
        <v>39923</v>
      </c>
      <c r="P110" s="29" t="s">
        <v>435</v>
      </c>
      <c r="Q110" s="29" t="s">
        <v>436</v>
      </c>
      <c r="R110" s="178" t="s">
        <v>437</v>
      </c>
    </row>
    <row r="111" spans="1:18">
      <c r="A111" s="177">
        <v>2</v>
      </c>
      <c r="B111" s="30">
        <v>4</v>
      </c>
      <c r="C111" s="1">
        <v>42855</v>
      </c>
      <c r="D111" s="27">
        <v>754786</v>
      </c>
      <c r="E111" s="30">
        <v>2017</v>
      </c>
      <c r="F111" s="30">
        <v>1</v>
      </c>
      <c r="G111" s="1">
        <v>42804</v>
      </c>
      <c r="H111" s="27">
        <v>749816</v>
      </c>
      <c r="I111" s="24">
        <v>3244.3</v>
      </c>
      <c r="J111" s="24">
        <v>-3244.3</v>
      </c>
      <c r="K111" s="30">
        <v>101</v>
      </c>
      <c r="L111" s="30">
        <v>506</v>
      </c>
      <c r="M111" s="30">
        <v>60</v>
      </c>
      <c r="N111" s="30">
        <v>0</v>
      </c>
      <c r="O111" s="30">
        <v>152024</v>
      </c>
      <c r="P111" s="29" t="s">
        <v>438</v>
      </c>
      <c r="Q111" s="29" t="s">
        <v>354</v>
      </c>
      <c r="R111" s="178" t="s">
        <v>439</v>
      </c>
    </row>
    <row r="112" spans="1:18">
      <c r="A112" s="177">
        <v>2</v>
      </c>
      <c r="B112" s="30">
        <v>4</v>
      </c>
      <c r="C112" s="1">
        <v>42855</v>
      </c>
      <c r="D112" s="27">
        <v>754786</v>
      </c>
      <c r="E112" s="30">
        <v>2017</v>
      </c>
      <c r="F112" s="30">
        <v>1</v>
      </c>
      <c r="G112" s="1">
        <v>42804</v>
      </c>
      <c r="H112" s="27">
        <v>749816</v>
      </c>
      <c r="I112" s="24">
        <v>421</v>
      </c>
      <c r="J112" s="24">
        <v>-421</v>
      </c>
      <c r="K112" s="30">
        <v>101</v>
      </c>
      <c r="L112" s="30">
        <v>506</v>
      </c>
      <c r="M112" s="30">
        <v>85</v>
      </c>
      <c r="N112" s="30">
        <v>0</v>
      </c>
      <c r="O112" s="30">
        <v>152024</v>
      </c>
      <c r="P112" s="29" t="s">
        <v>438</v>
      </c>
      <c r="Q112" s="29" t="s">
        <v>354</v>
      </c>
      <c r="R112" s="178" t="s">
        <v>439</v>
      </c>
    </row>
    <row r="113" spans="1:18">
      <c r="A113" s="177">
        <v>2</v>
      </c>
      <c r="B113" s="30">
        <v>4</v>
      </c>
      <c r="C113" s="1">
        <v>42855</v>
      </c>
      <c r="D113" s="27">
        <v>754786</v>
      </c>
      <c r="E113" s="30">
        <v>2017</v>
      </c>
      <c r="F113" s="30">
        <v>1</v>
      </c>
      <c r="G113" s="1">
        <v>42804</v>
      </c>
      <c r="H113" s="27">
        <v>749816</v>
      </c>
      <c r="I113" s="24">
        <v>5490.89</v>
      </c>
      <c r="J113" s="24">
        <v>-5490.89</v>
      </c>
      <c r="K113" s="30">
        <v>12</v>
      </c>
      <c r="L113" s="30">
        <v>4067</v>
      </c>
      <c r="M113" s="30">
        <v>60</v>
      </c>
      <c r="N113" s="30">
        <v>0</v>
      </c>
      <c r="O113" s="30">
        <v>41385</v>
      </c>
      <c r="P113" s="29" t="s">
        <v>440</v>
      </c>
      <c r="Q113" s="29" t="s">
        <v>387</v>
      </c>
      <c r="R113" s="178" t="s">
        <v>367</v>
      </c>
    </row>
    <row r="114" spans="1:18">
      <c r="A114" s="177">
        <v>2</v>
      </c>
      <c r="B114" s="30">
        <v>4</v>
      </c>
      <c r="C114" s="1">
        <v>42855</v>
      </c>
      <c r="D114" s="27">
        <v>754786</v>
      </c>
      <c r="E114" s="30">
        <v>2017</v>
      </c>
      <c r="F114" s="30">
        <v>1</v>
      </c>
      <c r="G114" s="1">
        <v>42804</v>
      </c>
      <c r="H114" s="27">
        <v>749816</v>
      </c>
      <c r="I114" s="24">
        <v>713</v>
      </c>
      <c r="J114" s="24">
        <v>-713</v>
      </c>
      <c r="K114" s="30">
        <v>12</v>
      </c>
      <c r="L114" s="30">
        <v>4067</v>
      </c>
      <c r="M114" s="30">
        <v>85</v>
      </c>
      <c r="N114" s="30">
        <v>0</v>
      </c>
      <c r="O114" s="30">
        <v>41385</v>
      </c>
      <c r="P114" s="29" t="s">
        <v>440</v>
      </c>
      <c r="Q114" s="29" t="s">
        <v>387</v>
      </c>
      <c r="R114" s="178" t="s">
        <v>367</v>
      </c>
    </row>
    <row r="115" spans="1:18">
      <c r="A115" s="177">
        <v>2</v>
      </c>
      <c r="B115" s="30">
        <v>4</v>
      </c>
      <c r="C115" s="1">
        <v>42855</v>
      </c>
      <c r="D115" s="27">
        <v>754786</v>
      </c>
      <c r="E115" s="30">
        <v>2017</v>
      </c>
      <c r="F115" s="30">
        <v>1</v>
      </c>
      <c r="G115" s="1">
        <v>42804</v>
      </c>
      <c r="H115" s="27">
        <v>750081</v>
      </c>
      <c r="I115" s="24">
        <v>6650.01</v>
      </c>
      <c r="J115" s="24">
        <v>-6650.01</v>
      </c>
      <c r="K115" s="30">
        <v>9</v>
      </c>
      <c r="L115" s="30">
        <v>33</v>
      </c>
      <c r="M115" s="30">
        <v>60</v>
      </c>
      <c r="N115" s="30">
        <v>0</v>
      </c>
      <c r="O115" s="30">
        <v>7372</v>
      </c>
      <c r="P115" s="29" t="s">
        <v>441</v>
      </c>
      <c r="Q115" s="29" t="s">
        <v>442</v>
      </c>
      <c r="R115" s="178" t="s">
        <v>443</v>
      </c>
    </row>
    <row r="116" spans="1:18">
      <c r="A116" s="177">
        <v>2</v>
      </c>
      <c r="B116" s="30">
        <v>4</v>
      </c>
      <c r="C116" s="1">
        <v>42855</v>
      </c>
      <c r="D116" s="27">
        <v>754786</v>
      </c>
      <c r="E116" s="30">
        <v>2017</v>
      </c>
      <c r="F116" s="30">
        <v>1</v>
      </c>
      <c r="G116" s="1">
        <v>42804</v>
      </c>
      <c r="H116" s="27">
        <v>750081</v>
      </c>
      <c r="I116" s="24">
        <v>865</v>
      </c>
      <c r="J116" s="24">
        <v>-865</v>
      </c>
      <c r="K116" s="30">
        <v>9</v>
      </c>
      <c r="L116" s="30">
        <v>33</v>
      </c>
      <c r="M116" s="30">
        <v>85</v>
      </c>
      <c r="N116" s="30">
        <v>0</v>
      </c>
      <c r="O116" s="30">
        <v>7372</v>
      </c>
      <c r="P116" s="29" t="s">
        <v>441</v>
      </c>
      <c r="Q116" s="29" t="s">
        <v>442</v>
      </c>
      <c r="R116" s="178" t="s">
        <v>443</v>
      </c>
    </row>
    <row r="117" spans="1:18">
      <c r="A117" s="177">
        <v>2</v>
      </c>
      <c r="B117" s="30">
        <v>4</v>
      </c>
      <c r="C117" s="1">
        <v>42855</v>
      </c>
      <c r="D117" s="27">
        <v>754786</v>
      </c>
      <c r="E117" s="30">
        <v>2017</v>
      </c>
      <c r="F117" s="30">
        <v>1</v>
      </c>
      <c r="G117" s="1">
        <v>42745</v>
      </c>
      <c r="H117" s="27">
        <v>740276</v>
      </c>
      <c r="I117" s="24">
        <v>11450.4</v>
      </c>
      <c r="J117" s="24">
        <v>-11450.4</v>
      </c>
      <c r="K117" s="30">
        <v>13</v>
      </c>
      <c r="L117" s="30">
        <v>6272</v>
      </c>
      <c r="M117" s="30">
        <v>60</v>
      </c>
      <c r="N117" s="30">
        <v>0</v>
      </c>
      <c r="O117" s="30">
        <v>316403</v>
      </c>
      <c r="P117" s="29" t="s">
        <v>444</v>
      </c>
      <c r="Q117" s="29" t="s">
        <v>442</v>
      </c>
      <c r="R117" s="178" t="s">
        <v>445</v>
      </c>
    </row>
    <row r="118" spans="1:18">
      <c r="A118" s="177">
        <v>2</v>
      </c>
      <c r="B118" s="30">
        <v>4</v>
      </c>
      <c r="C118" s="1">
        <v>42855</v>
      </c>
      <c r="D118" s="27">
        <v>754786</v>
      </c>
      <c r="E118" s="30">
        <v>2017</v>
      </c>
      <c r="F118" s="30">
        <v>1</v>
      </c>
      <c r="G118" s="1">
        <v>42745</v>
      </c>
      <c r="H118" s="27">
        <v>740276</v>
      </c>
      <c r="I118" s="24">
        <v>1489</v>
      </c>
      <c r="J118" s="24">
        <v>-1489</v>
      </c>
      <c r="K118" s="30">
        <v>13</v>
      </c>
      <c r="L118" s="30">
        <v>6272</v>
      </c>
      <c r="M118" s="30">
        <v>85</v>
      </c>
      <c r="N118" s="30">
        <v>0</v>
      </c>
      <c r="O118" s="30">
        <v>316403</v>
      </c>
      <c r="P118" s="29" t="s">
        <v>444</v>
      </c>
      <c r="Q118" s="29" t="s">
        <v>442</v>
      </c>
      <c r="R118" s="178" t="s">
        <v>445</v>
      </c>
    </row>
    <row r="119" spans="1:18">
      <c r="A119" s="177">
        <v>2</v>
      </c>
      <c r="B119" s="30">
        <v>4</v>
      </c>
      <c r="C119" s="1">
        <v>42855</v>
      </c>
      <c r="D119" s="27">
        <v>754786</v>
      </c>
      <c r="E119" s="30">
        <v>2017</v>
      </c>
      <c r="F119" s="30">
        <v>1</v>
      </c>
      <c r="G119" s="1">
        <v>42804</v>
      </c>
      <c r="H119" s="27">
        <v>749816</v>
      </c>
      <c r="I119" s="24">
        <v>1255.5</v>
      </c>
      <c r="J119" s="24">
        <v>-1255.5</v>
      </c>
      <c r="K119" s="30">
        <v>161</v>
      </c>
      <c r="L119" s="30">
        <v>28</v>
      </c>
      <c r="M119" s="30">
        <v>60</v>
      </c>
      <c r="N119" s="30">
        <v>0</v>
      </c>
      <c r="O119" s="30">
        <v>78981</v>
      </c>
      <c r="P119" s="29" t="s">
        <v>446</v>
      </c>
      <c r="Q119" s="29" t="s">
        <v>447</v>
      </c>
      <c r="R119" s="178" t="s">
        <v>325</v>
      </c>
    </row>
    <row r="120" spans="1:18">
      <c r="A120" s="177">
        <v>2</v>
      </c>
      <c r="B120" s="30">
        <v>4</v>
      </c>
      <c r="C120" s="1">
        <v>42855</v>
      </c>
      <c r="D120" s="27">
        <v>754786</v>
      </c>
      <c r="E120" s="30">
        <v>2017</v>
      </c>
      <c r="F120" s="30">
        <v>1</v>
      </c>
      <c r="G120" s="1">
        <v>42804</v>
      </c>
      <c r="H120" s="27">
        <v>749816</v>
      </c>
      <c r="I120" s="24">
        <v>164</v>
      </c>
      <c r="J120" s="24">
        <v>-164</v>
      </c>
      <c r="K120" s="30">
        <v>161</v>
      </c>
      <c r="L120" s="30">
        <v>28</v>
      </c>
      <c r="M120" s="30">
        <v>85</v>
      </c>
      <c r="N120" s="30">
        <v>0</v>
      </c>
      <c r="O120" s="30">
        <v>78981</v>
      </c>
      <c r="P120" s="29" t="s">
        <v>446</v>
      </c>
      <c r="Q120" s="29" t="s">
        <v>447</v>
      </c>
      <c r="R120" s="178" t="s">
        <v>325</v>
      </c>
    </row>
    <row r="121" spans="1:18">
      <c r="A121" s="177">
        <v>2</v>
      </c>
      <c r="B121" s="30">
        <v>4</v>
      </c>
      <c r="C121" s="1">
        <v>42855</v>
      </c>
      <c r="D121" s="27">
        <v>754786</v>
      </c>
      <c r="E121" s="30">
        <v>2017</v>
      </c>
      <c r="F121" s="30">
        <v>1</v>
      </c>
      <c r="G121" s="1">
        <v>42804</v>
      </c>
      <c r="H121" s="27">
        <v>749823</v>
      </c>
      <c r="I121" s="24">
        <v>2077</v>
      </c>
      <c r="J121" s="24">
        <v>-2077</v>
      </c>
      <c r="K121" s="30">
        <v>427</v>
      </c>
      <c r="L121" s="30">
        <v>563</v>
      </c>
      <c r="M121" s="30">
        <v>60</v>
      </c>
      <c r="N121" s="30">
        <v>0</v>
      </c>
      <c r="O121" s="30">
        <v>1191670</v>
      </c>
      <c r="P121" s="29" t="s">
        <v>448</v>
      </c>
      <c r="Q121" s="29" t="s">
        <v>321</v>
      </c>
      <c r="R121" s="178" t="s">
        <v>449</v>
      </c>
    </row>
    <row r="122" spans="1:18">
      <c r="A122" s="177">
        <v>2</v>
      </c>
      <c r="B122" s="30">
        <v>4</v>
      </c>
      <c r="C122" s="1">
        <v>42855</v>
      </c>
      <c r="D122" s="27">
        <v>754786</v>
      </c>
      <c r="E122" s="30">
        <v>2017</v>
      </c>
      <c r="F122" s="30">
        <v>1</v>
      </c>
      <c r="G122" s="1">
        <v>42804</v>
      </c>
      <c r="H122" s="27">
        <v>749823</v>
      </c>
      <c r="I122" s="24">
        <v>270</v>
      </c>
      <c r="J122" s="24">
        <v>-270</v>
      </c>
      <c r="K122" s="30">
        <v>427</v>
      </c>
      <c r="L122" s="30">
        <v>563</v>
      </c>
      <c r="M122" s="30">
        <v>85</v>
      </c>
      <c r="N122" s="30">
        <v>0</v>
      </c>
      <c r="O122" s="30">
        <v>1191670</v>
      </c>
      <c r="P122" s="29" t="s">
        <v>448</v>
      </c>
      <c r="Q122" s="29" t="s">
        <v>321</v>
      </c>
      <c r="R122" s="178" t="s">
        <v>449</v>
      </c>
    </row>
    <row r="123" spans="1:18">
      <c r="A123" s="177">
        <v>2</v>
      </c>
      <c r="B123" s="30">
        <v>4</v>
      </c>
      <c r="C123" s="1">
        <v>42855</v>
      </c>
      <c r="D123" s="27">
        <v>754786</v>
      </c>
      <c r="E123" s="30">
        <v>2017</v>
      </c>
      <c r="F123" s="30">
        <v>2</v>
      </c>
      <c r="G123" s="1">
        <v>42835</v>
      </c>
      <c r="H123" s="27">
        <v>755297</v>
      </c>
      <c r="I123" s="24">
        <v>8294.48</v>
      </c>
      <c r="J123" s="24">
        <v>-8294.48</v>
      </c>
      <c r="K123" s="30">
        <v>7</v>
      </c>
      <c r="L123" s="30">
        <v>857</v>
      </c>
      <c r="M123" s="30">
        <v>60</v>
      </c>
      <c r="N123" s="30">
        <v>0</v>
      </c>
      <c r="O123" s="30">
        <v>3417</v>
      </c>
      <c r="P123" s="29" t="s">
        <v>450</v>
      </c>
      <c r="Q123" s="29" t="s">
        <v>342</v>
      </c>
      <c r="R123" s="178" t="s">
        <v>451</v>
      </c>
    </row>
    <row r="124" spans="1:18">
      <c r="A124" s="177">
        <v>2</v>
      </c>
      <c r="B124" s="30">
        <v>4</v>
      </c>
      <c r="C124" s="1">
        <v>42855</v>
      </c>
      <c r="D124" s="27">
        <v>754786</v>
      </c>
      <c r="E124" s="30">
        <v>2017</v>
      </c>
      <c r="F124" s="30">
        <v>2</v>
      </c>
      <c r="G124" s="1">
        <v>42835</v>
      </c>
      <c r="H124" s="27">
        <v>755297</v>
      </c>
      <c r="I124" s="24">
        <v>1078</v>
      </c>
      <c r="J124" s="24">
        <v>-1078</v>
      </c>
      <c r="K124" s="30">
        <v>7</v>
      </c>
      <c r="L124" s="30">
        <v>857</v>
      </c>
      <c r="M124" s="30">
        <v>85</v>
      </c>
      <c r="N124" s="30">
        <v>0</v>
      </c>
      <c r="O124" s="30">
        <v>3417</v>
      </c>
      <c r="P124" s="29" t="s">
        <v>450</v>
      </c>
      <c r="Q124" s="29" t="s">
        <v>342</v>
      </c>
      <c r="R124" s="178" t="s">
        <v>451</v>
      </c>
    </row>
    <row r="125" spans="1:18">
      <c r="A125" s="177">
        <v>2</v>
      </c>
      <c r="B125" s="30">
        <v>4</v>
      </c>
      <c r="C125" s="1">
        <v>42855</v>
      </c>
      <c r="D125" s="27">
        <v>754786</v>
      </c>
      <c r="E125" s="30">
        <v>2017</v>
      </c>
      <c r="F125" s="30">
        <v>2</v>
      </c>
      <c r="G125" s="1">
        <v>42835</v>
      </c>
      <c r="H125" s="27">
        <v>755291</v>
      </c>
      <c r="I125" s="24">
        <v>4308.3999999999996</v>
      </c>
      <c r="J125" s="24">
        <v>-4308.3999999999996</v>
      </c>
      <c r="K125" s="30">
        <v>75</v>
      </c>
      <c r="L125" s="30">
        <v>2945</v>
      </c>
      <c r="M125" s="30">
        <v>60</v>
      </c>
      <c r="N125" s="30">
        <v>0</v>
      </c>
      <c r="O125" s="30">
        <v>97249</v>
      </c>
      <c r="P125" s="29" t="s">
        <v>452</v>
      </c>
      <c r="Q125" s="29" t="s">
        <v>453</v>
      </c>
      <c r="R125" s="178" t="s">
        <v>454</v>
      </c>
    </row>
    <row r="126" spans="1:18">
      <c r="A126" s="177">
        <v>2</v>
      </c>
      <c r="B126" s="30">
        <v>4</v>
      </c>
      <c r="C126" s="1">
        <v>42855</v>
      </c>
      <c r="D126" s="27">
        <v>754786</v>
      </c>
      <c r="E126" s="30">
        <v>2017</v>
      </c>
      <c r="F126" s="30">
        <v>2</v>
      </c>
      <c r="G126" s="1">
        <v>42835</v>
      </c>
      <c r="H126" s="27">
        <v>755291</v>
      </c>
      <c r="I126" s="24">
        <v>560</v>
      </c>
      <c r="J126" s="24">
        <v>-560</v>
      </c>
      <c r="K126" s="30">
        <v>75</v>
      </c>
      <c r="L126" s="30">
        <v>2945</v>
      </c>
      <c r="M126" s="30">
        <v>85</v>
      </c>
      <c r="N126" s="30">
        <v>0</v>
      </c>
      <c r="O126" s="30">
        <v>97249</v>
      </c>
      <c r="P126" s="29" t="s">
        <v>452</v>
      </c>
      <c r="Q126" s="29" t="s">
        <v>453</v>
      </c>
      <c r="R126" s="178" t="s">
        <v>454</v>
      </c>
    </row>
    <row r="127" spans="1:18">
      <c r="A127" s="177">
        <v>2</v>
      </c>
      <c r="B127" s="30">
        <v>4</v>
      </c>
      <c r="C127" s="1">
        <v>42855</v>
      </c>
      <c r="D127" s="27">
        <v>754786</v>
      </c>
      <c r="E127" s="30">
        <v>2017</v>
      </c>
      <c r="F127" s="30">
        <v>2</v>
      </c>
      <c r="G127" s="1">
        <v>42835</v>
      </c>
      <c r="H127" s="27">
        <v>755293</v>
      </c>
      <c r="I127" s="24">
        <v>41.57</v>
      </c>
      <c r="J127" s="24">
        <v>-41.57</v>
      </c>
      <c r="K127" s="30">
        <v>61</v>
      </c>
      <c r="L127" s="30">
        <v>91</v>
      </c>
      <c r="M127" s="30">
        <v>60</v>
      </c>
      <c r="N127" s="30">
        <v>0</v>
      </c>
      <c r="O127" s="30">
        <v>189442</v>
      </c>
      <c r="P127" s="29" t="s">
        <v>455</v>
      </c>
      <c r="Q127" s="29" t="s">
        <v>456</v>
      </c>
      <c r="R127" s="178" t="s">
        <v>457</v>
      </c>
    </row>
    <row r="128" spans="1:18">
      <c r="A128" s="177">
        <v>2</v>
      </c>
      <c r="B128" s="30">
        <v>4</v>
      </c>
      <c r="C128" s="1">
        <v>42855</v>
      </c>
      <c r="D128" s="27">
        <v>754786</v>
      </c>
      <c r="E128" s="30">
        <v>2017</v>
      </c>
      <c r="F128" s="30">
        <v>2</v>
      </c>
      <c r="G128" s="1">
        <v>42835</v>
      </c>
      <c r="H128" s="27">
        <v>755293</v>
      </c>
      <c r="I128" s="24">
        <v>5</v>
      </c>
      <c r="J128" s="24">
        <v>-5</v>
      </c>
      <c r="K128" s="30">
        <v>61</v>
      </c>
      <c r="L128" s="30">
        <v>91</v>
      </c>
      <c r="M128" s="30">
        <v>85</v>
      </c>
      <c r="N128" s="30">
        <v>0</v>
      </c>
      <c r="O128" s="30">
        <v>189442</v>
      </c>
      <c r="P128" s="29" t="s">
        <v>455</v>
      </c>
      <c r="Q128" s="29" t="s">
        <v>456</v>
      </c>
      <c r="R128" s="178" t="s">
        <v>457</v>
      </c>
    </row>
    <row r="129" spans="1:18">
      <c r="A129" s="177">
        <v>2</v>
      </c>
      <c r="B129" s="30">
        <v>4</v>
      </c>
      <c r="C129" s="1">
        <v>42855</v>
      </c>
      <c r="D129" s="27">
        <v>754786</v>
      </c>
      <c r="E129" s="30">
        <v>2017</v>
      </c>
      <c r="F129" s="30">
        <v>1</v>
      </c>
      <c r="G129" s="1">
        <v>42776</v>
      </c>
      <c r="H129" s="27">
        <v>744978</v>
      </c>
      <c r="I129" s="24">
        <v>4459</v>
      </c>
      <c r="J129" s="24">
        <v>-4459</v>
      </c>
      <c r="K129" s="30">
        <v>22</v>
      </c>
      <c r="L129" s="30">
        <v>2787</v>
      </c>
      <c r="M129" s="30">
        <v>60</v>
      </c>
      <c r="N129" s="30">
        <v>0</v>
      </c>
      <c r="O129" s="30">
        <v>103997</v>
      </c>
      <c r="P129" s="29" t="s">
        <v>458</v>
      </c>
      <c r="Q129" s="29" t="s">
        <v>459</v>
      </c>
      <c r="R129" s="178" t="s">
        <v>449</v>
      </c>
    </row>
    <row r="130" spans="1:18">
      <c r="A130" s="177">
        <v>2</v>
      </c>
      <c r="B130" s="30">
        <v>4</v>
      </c>
      <c r="C130" s="1">
        <v>42855</v>
      </c>
      <c r="D130" s="27">
        <v>754786</v>
      </c>
      <c r="E130" s="30">
        <v>2017</v>
      </c>
      <c r="F130" s="30">
        <v>1</v>
      </c>
      <c r="G130" s="1">
        <v>42776</v>
      </c>
      <c r="H130" s="27">
        <v>744978</v>
      </c>
      <c r="I130" s="24">
        <v>579</v>
      </c>
      <c r="J130" s="24">
        <v>-579</v>
      </c>
      <c r="K130" s="30">
        <v>22</v>
      </c>
      <c r="L130" s="30">
        <v>2787</v>
      </c>
      <c r="M130" s="30">
        <v>85</v>
      </c>
      <c r="N130" s="30">
        <v>0</v>
      </c>
      <c r="O130" s="30">
        <v>103997</v>
      </c>
      <c r="P130" s="29" t="s">
        <v>458</v>
      </c>
      <c r="Q130" s="29" t="s">
        <v>459</v>
      </c>
      <c r="R130" s="178" t="s">
        <v>449</v>
      </c>
    </row>
    <row r="131" spans="1:18">
      <c r="A131" s="177">
        <v>2</v>
      </c>
      <c r="B131" s="30">
        <v>5</v>
      </c>
      <c r="C131" s="1">
        <v>42858</v>
      </c>
      <c r="D131" s="27">
        <v>391832</v>
      </c>
      <c r="E131" s="30">
        <v>2016</v>
      </c>
      <c r="F131" s="30">
        <v>4</v>
      </c>
      <c r="G131" s="1">
        <v>42735</v>
      </c>
      <c r="H131" s="27">
        <v>736258</v>
      </c>
      <c r="I131" s="24">
        <v>0</v>
      </c>
      <c r="J131" s="24">
        <v>-2184</v>
      </c>
      <c r="K131" s="30">
        <v>37</v>
      </c>
      <c r="L131" s="30">
        <v>2120</v>
      </c>
      <c r="M131" s="30">
        <v>85</v>
      </c>
      <c r="N131" s="30">
        <v>0</v>
      </c>
      <c r="O131" s="30">
        <v>1191424</v>
      </c>
      <c r="P131" s="29" t="s">
        <v>460</v>
      </c>
      <c r="Q131" s="29" t="s">
        <v>461</v>
      </c>
      <c r="R131" s="178" t="s">
        <v>462</v>
      </c>
    </row>
    <row r="132" spans="1:18">
      <c r="A132" s="177">
        <v>2</v>
      </c>
      <c r="B132" s="30">
        <v>5</v>
      </c>
      <c r="C132" s="1">
        <v>42858</v>
      </c>
      <c r="D132" s="27">
        <v>391832</v>
      </c>
      <c r="E132" s="30">
        <v>2016</v>
      </c>
      <c r="F132" s="30">
        <v>4</v>
      </c>
      <c r="G132" s="1">
        <v>42735</v>
      </c>
      <c r="H132" s="27">
        <v>736258</v>
      </c>
      <c r="I132" s="24">
        <v>16800</v>
      </c>
      <c r="J132" s="24">
        <v>0</v>
      </c>
      <c r="K132" s="30">
        <v>37</v>
      </c>
      <c r="L132" s="30">
        <v>2120</v>
      </c>
      <c r="M132" s="30">
        <v>1021</v>
      </c>
      <c r="N132" s="30">
        <v>0</v>
      </c>
      <c r="O132" s="30">
        <v>1191424</v>
      </c>
      <c r="P132" s="29" t="s">
        <v>460</v>
      </c>
      <c r="Q132" s="29" t="s">
        <v>461</v>
      </c>
      <c r="R132" s="178" t="s">
        <v>462</v>
      </c>
    </row>
    <row r="133" spans="1:18">
      <c r="A133" s="177">
        <v>2</v>
      </c>
      <c r="B133" s="30">
        <v>5</v>
      </c>
      <c r="C133" s="1">
        <v>42881</v>
      </c>
      <c r="D133" s="27">
        <v>764462</v>
      </c>
      <c r="E133" s="30">
        <v>2017</v>
      </c>
      <c r="F133" s="30">
        <v>2</v>
      </c>
      <c r="G133" s="1">
        <v>42865</v>
      </c>
      <c r="H133" s="27">
        <v>761405</v>
      </c>
      <c r="I133" s="24">
        <v>40500</v>
      </c>
      <c r="J133" s="24">
        <v>-40000</v>
      </c>
      <c r="K133" s="30">
        <v>991</v>
      </c>
      <c r="L133" s="30">
        <v>35615</v>
      </c>
      <c r="M133" s="30">
        <v>55</v>
      </c>
      <c r="N133" s="30">
        <v>1</v>
      </c>
      <c r="O133" s="30">
        <v>552268</v>
      </c>
      <c r="P133" s="29" t="s">
        <v>463</v>
      </c>
      <c r="Q133" s="29" t="s">
        <v>417</v>
      </c>
      <c r="R133" s="178" t="s">
        <v>464</v>
      </c>
    </row>
    <row r="134" spans="1:18">
      <c r="A134" s="177">
        <v>2</v>
      </c>
      <c r="B134" s="30">
        <v>5</v>
      </c>
      <c r="C134" s="1">
        <v>42881</v>
      </c>
      <c r="D134" s="27">
        <v>764462</v>
      </c>
      <c r="E134" s="30">
        <v>2017</v>
      </c>
      <c r="F134" s="30">
        <v>2</v>
      </c>
      <c r="G134" s="1">
        <v>42865</v>
      </c>
      <c r="H134" s="27">
        <v>761405</v>
      </c>
      <c r="I134" s="24">
        <v>6877</v>
      </c>
      <c r="J134" s="24">
        <v>-5200</v>
      </c>
      <c r="K134" s="30">
        <v>991</v>
      </c>
      <c r="L134" s="30">
        <v>35615</v>
      </c>
      <c r="M134" s="30">
        <v>85</v>
      </c>
      <c r="N134" s="30">
        <v>2</v>
      </c>
      <c r="O134" s="30">
        <v>552268</v>
      </c>
      <c r="P134" s="29" t="s">
        <v>463</v>
      </c>
      <c r="Q134" s="29" t="s">
        <v>417</v>
      </c>
      <c r="R134" s="178" t="s">
        <v>464</v>
      </c>
    </row>
    <row r="135" spans="1:18">
      <c r="A135" s="177">
        <v>2</v>
      </c>
      <c r="B135" s="30">
        <v>5</v>
      </c>
      <c r="C135" s="1">
        <v>42881</v>
      </c>
      <c r="D135" s="27">
        <v>764463</v>
      </c>
      <c r="E135" s="30">
        <v>2017</v>
      </c>
      <c r="F135" s="30">
        <v>2</v>
      </c>
      <c r="G135" s="1">
        <v>42839</v>
      </c>
      <c r="H135" s="27">
        <v>757569</v>
      </c>
      <c r="I135" s="24">
        <v>56500</v>
      </c>
      <c r="J135" s="24">
        <v>-52500</v>
      </c>
      <c r="K135" s="30">
        <v>991</v>
      </c>
      <c r="L135" s="30">
        <v>2645</v>
      </c>
      <c r="M135" s="30">
        <v>55</v>
      </c>
      <c r="N135" s="30">
        <v>1</v>
      </c>
      <c r="O135" s="30">
        <v>140532</v>
      </c>
      <c r="P135" s="29" t="s">
        <v>465</v>
      </c>
      <c r="Q135" s="29" t="s">
        <v>466</v>
      </c>
      <c r="R135" s="178" t="s">
        <v>426</v>
      </c>
    </row>
    <row r="136" spans="1:18">
      <c r="A136" s="177">
        <v>2</v>
      </c>
      <c r="B136" s="30">
        <v>5</v>
      </c>
      <c r="C136" s="1">
        <v>42881</v>
      </c>
      <c r="D136" s="27">
        <v>764463</v>
      </c>
      <c r="E136" s="30">
        <v>2017</v>
      </c>
      <c r="F136" s="30">
        <v>2</v>
      </c>
      <c r="G136" s="1">
        <v>42839</v>
      </c>
      <c r="H136" s="27">
        <v>757569</v>
      </c>
      <c r="I136" s="24">
        <v>12645</v>
      </c>
      <c r="J136" s="24">
        <v>-6825</v>
      </c>
      <c r="K136" s="30">
        <v>991</v>
      </c>
      <c r="L136" s="30">
        <v>2645</v>
      </c>
      <c r="M136" s="30">
        <v>85</v>
      </c>
      <c r="N136" s="30">
        <v>2</v>
      </c>
      <c r="O136" s="30">
        <v>140532</v>
      </c>
      <c r="P136" s="29" t="s">
        <v>465</v>
      </c>
      <c r="Q136" s="29" t="s">
        <v>466</v>
      </c>
      <c r="R136" s="178" t="s">
        <v>426</v>
      </c>
    </row>
    <row r="137" spans="1:18">
      <c r="A137" s="177">
        <v>2</v>
      </c>
      <c r="B137" s="30">
        <v>5</v>
      </c>
      <c r="C137" s="1">
        <v>42886</v>
      </c>
      <c r="D137" s="27">
        <v>761448</v>
      </c>
      <c r="E137" s="30">
        <v>2017</v>
      </c>
      <c r="F137" s="30">
        <v>1</v>
      </c>
      <c r="G137" s="1">
        <v>42804</v>
      </c>
      <c r="H137" s="27">
        <v>749816</v>
      </c>
      <c r="I137" s="24">
        <v>9154.4</v>
      </c>
      <c r="J137" s="24">
        <v>-9154.4</v>
      </c>
      <c r="K137" s="30">
        <v>343</v>
      </c>
      <c r="L137" s="30">
        <v>669</v>
      </c>
      <c r="M137" s="30">
        <v>60</v>
      </c>
      <c r="N137" s="30">
        <v>0</v>
      </c>
      <c r="O137" s="30">
        <v>67615</v>
      </c>
      <c r="P137" s="29" t="s">
        <v>467</v>
      </c>
      <c r="Q137" s="29" t="s">
        <v>345</v>
      </c>
      <c r="R137" s="178" t="s">
        <v>346</v>
      </c>
    </row>
    <row r="138" spans="1:18">
      <c r="A138" s="177">
        <v>2</v>
      </c>
      <c r="B138" s="30">
        <v>5</v>
      </c>
      <c r="C138" s="1">
        <v>42886</v>
      </c>
      <c r="D138" s="27">
        <v>761448</v>
      </c>
      <c r="E138" s="30">
        <v>2017</v>
      </c>
      <c r="F138" s="30">
        <v>1</v>
      </c>
      <c r="G138" s="1">
        <v>42804</v>
      </c>
      <c r="H138" s="27">
        <v>749816</v>
      </c>
      <c r="I138" s="24">
        <v>1190</v>
      </c>
      <c r="J138" s="24">
        <v>-1190</v>
      </c>
      <c r="K138" s="30">
        <v>343</v>
      </c>
      <c r="L138" s="30">
        <v>669</v>
      </c>
      <c r="M138" s="30">
        <v>85</v>
      </c>
      <c r="N138" s="30">
        <v>0</v>
      </c>
      <c r="O138" s="30">
        <v>67615</v>
      </c>
      <c r="P138" s="29" t="s">
        <v>467</v>
      </c>
      <c r="Q138" s="29" t="s">
        <v>345</v>
      </c>
      <c r="R138" s="178" t="s">
        <v>346</v>
      </c>
    </row>
    <row r="139" spans="1:18">
      <c r="A139" s="177">
        <v>2</v>
      </c>
      <c r="B139" s="30">
        <v>5</v>
      </c>
      <c r="C139" s="1">
        <v>42886</v>
      </c>
      <c r="D139" s="27">
        <v>761448</v>
      </c>
      <c r="E139" s="30">
        <v>2017</v>
      </c>
      <c r="F139" s="30">
        <v>1</v>
      </c>
      <c r="G139" s="1">
        <v>42745</v>
      </c>
      <c r="H139" s="27">
        <v>740276</v>
      </c>
      <c r="I139" s="24">
        <v>2596.39</v>
      </c>
      <c r="J139" s="24">
        <v>-2596.39</v>
      </c>
      <c r="K139" s="30">
        <v>13</v>
      </c>
      <c r="L139" s="30">
        <v>1688</v>
      </c>
      <c r="M139" s="30">
        <v>60</v>
      </c>
      <c r="N139" s="30">
        <v>0</v>
      </c>
      <c r="O139" s="30">
        <v>33710</v>
      </c>
      <c r="P139" s="29" t="s">
        <v>468</v>
      </c>
      <c r="Q139" s="29" t="s">
        <v>327</v>
      </c>
      <c r="R139" s="178" t="s">
        <v>469</v>
      </c>
    </row>
    <row r="140" spans="1:18">
      <c r="A140" s="177">
        <v>2</v>
      </c>
      <c r="B140" s="30">
        <v>5</v>
      </c>
      <c r="C140" s="1">
        <v>42886</v>
      </c>
      <c r="D140" s="27">
        <v>761448</v>
      </c>
      <c r="E140" s="30">
        <v>2017</v>
      </c>
      <c r="F140" s="30">
        <v>1</v>
      </c>
      <c r="G140" s="1">
        <v>42745</v>
      </c>
      <c r="H140" s="27">
        <v>740276</v>
      </c>
      <c r="I140" s="24">
        <v>338</v>
      </c>
      <c r="J140" s="24">
        <v>-338</v>
      </c>
      <c r="K140" s="30">
        <v>13</v>
      </c>
      <c r="L140" s="30">
        <v>1688</v>
      </c>
      <c r="M140" s="30">
        <v>85</v>
      </c>
      <c r="N140" s="30">
        <v>0</v>
      </c>
      <c r="O140" s="30">
        <v>33710</v>
      </c>
      <c r="P140" s="29" t="s">
        <v>468</v>
      </c>
      <c r="Q140" s="29" t="s">
        <v>327</v>
      </c>
      <c r="R140" s="178" t="s">
        <v>469</v>
      </c>
    </row>
    <row r="141" spans="1:18">
      <c r="A141" s="177">
        <v>2</v>
      </c>
      <c r="B141" s="30">
        <v>5</v>
      </c>
      <c r="C141" s="1">
        <v>42886</v>
      </c>
      <c r="D141" s="27">
        <v>761448</v>
      </c>
      <c r="E141" s="30">
        <v>2017</v>
      </c>
      <c r="F141" s="30">
        <v>1</v>
      </c>
      <c r="G141" s="1">
        <v>42776</v>
      </c>
      <c r="H141" s="27">
        <v>744978</v>
      </c>
      <c r="I141" s="24">
        <v>2596.39</v>
      </c>
      <c r="J141" s="24">
        <v>-2596.39</v>
      </c>
      <c r="K141" s="30">
        <v>13</v>
      </c>
      <c r="L141" s="30">
        <v>1688</v>
      </c>
      <c r="M141" s="30">
        <v>60</v>
      </c>
      <c r="N141" s="30">
        <v>0</v>
      </c>
      <c r="O141" s="30">
        <v>33710</v>
      </c>
      <c r="P141" s="29" t="s">
        <v>468</v>
      </c>
      <c r="Q141" s="29" t="s">
        <v>327</v>
      </c>
      <c r="R141" s="178" t="s">
        <v>469</v>
      </c>
    </row>
    <row r="142" spans="1:18">
      <c r="A142" s="177">
        <v>2</v>
      </c>
      <c r="B142" s="30">
        <v>5</v>
      </c>
      <c r="C142" s="1">
        <v>42886</v>
      </c>
      <c r="D142" s="27">
        <v>761448</v>
      </c>
      <c r="E142" s="30">
        <v>2017</v>
      </c>
      <c r="F142" s="30">
        <v>1</v>
      </c>
      <c r="G142" s="1">
        <v>42776</v>
      </c>
      <c r="H142" s="27">
        <v>744978</v>
      </c>
      <c r="I142" s="24">
        <v>337</v>
      </c>
      <c r="J142" s="24">
        <v>-337</v>
      </c>
      <c r="K142" s="30">
        <v>13</v>
      </c>
      <c r="L142" s="30">
        <v>1688</v>
      </c>
      <c r="M142" s="30">
        <v>85</v>
      </c>
      <c r="N142" s="30">
        <v>0</v>
      </c>
      <c r="O142" s="30">
        <v>33710</v>
      </c>
      <c r="P142" s="29" t="s">
        <v>468</v>
      </c>
      <c r="Q142" s="29" t="s">
        <v>327</v>
      </c>
      <c r="R142" s="178" t="s">
        <v>469</v>
      </c>
    </row>
    <row r="143" spans="1:18">
      <c r="A143" s="177">
        <v>2</v>
      </c>
      <c r="B143" s="30">
        <v>5</v>
      </c>
      <c r="C143" s="1">
        <v>42886</v>
      </c>
      <c r="D143" s="27">
        <v>761448</v>
      </c>
      <c r="E143" s="30">
        <v>2017</v>
      </c>
      <c r="F143" s="30">
        <v>1</v>
      </c>
      <c r="G143" s="1">
        <v>42804</v>
      </c>
      <c r="H143" s="27">
        <v>749816</v>
      </c>
      <c r="I143" s="24">
        <v>2596.39</v>
      </c>
      <c r="J143" s="24">
        <v>-2596.39</v>
      </c>
      <c r="K143" s="30">
        <v>13</v>
      </c>
      <c r="L143" s="30">
        <v>1688</v>
      </c>
      <c r="M143" s="30">
        <v>60</v>
      </c>
      <c r="N143" s="30">
        <v>0</v>
      </c>
      <c r="O143" s="30">
        <v>33710</v>
      </c>
      <c r="P143" s="29" t="s">
        <v>468</v>
      </c>
      <c r="Q143" s="29" t="s">
        <v>327</v>
      </c>
      <c r="R143" s="178" t="s">
        <v>469</v>
      </c>
    </row>
    <row r="144" spans="1:18">
      <c r="A144" s="177">
        <v>2</v>
      </c>
      <c r="B144" s="30">
        <v>5</v>
      </c>
      <c r="C144" s="1">
        <v>42886</v>
      </c>
      <c r="D144" s="27">
        <v>761448</v>
      </c>
      <c r="E144" s="30">
        <v>2017</v>
      </c>
      <c r="F144" s="30">
        <v>1</v>
      </c>
      <c r="G144" s="1">
        <v>42804</v>
      </c>
      <c r="H144" s="27">
        <v>749816</v>
      </c>
      <c r="I144" s="24">
        <v>338</v>
      </c>
      <c r="J144" s="24">
        <v>-338</v>
      </c>
      <c r="K144" s="30">
        <v>13</v>
      </c>
      <c r="L144" s="30">
        <v>1688</v>
      </c>
      <c r="M144" s="30">
        <v>85</v>
      </c>
      <c r="N144" s="30">
        <v>0</v>
      </c>
      <c r="O144" s="30">
        <v>33710</v>
      </c>
      <c r="P144" s="29" t="s">
        <v>468</v>
      </c>
      <c r="Q144" s="29" t="s">
        <v>327</v>
      </c>
      <c r="R144" s="178" t="s">
        <v>469</v>
      </c>
    </row>
    <row r="145" spans="1:18">
      <c r="A145" s="177">
        <v>2</v>
      </c>
      <c r="B145" s="30">
        <v>5</v>
      </c>
      <c r="C145" s="1">
        <v>42886</v>
      </c>
      <c r="D145" s="27">
        <v>761448</v>
      </c>
      <c r="E145" s="30">
        <v>2017</v>
      </c>
      <c r="F145" s="30">
        <v>2</v>
      </c>
      <c r="G145" s="1">
        <v>42835</v>
      </c>
      <c r="H145" s="27">
        <v>755291</v>
      </c>
      <c r="I145" s="24">
        <v>2596.39</v>
      </c>
      <c r="J145" s="24">
        <v>-2596.39</v>
      </c>
      <c r="K145" s="30">
        <v>13</v>
      </c>
      <c r="L145" s="30">
        <v>1688</v>
      </c>
      <c r="M145" s="30">
        <v>60</v>
      </c>
      <c r="N145" s="30">
        <v>0</v>
      </c>
      <c r="O145" s="30">
        <v>33710</v>
      </c>
      <c r="P145" s="29" t="s">
        <v>468</v>
      </c>
      <c r="Q145" s="29" t="s">
        <v>327</v>
      </c>
      <c r="R145" s="178" t="s">
        <v>469</v>
      </c>
    </row>
    <row r="146" spans="1:18">
      <c r="A146" s="177">
        <v>2</v>
      </c>
      <c r="B146" s="30">
        <v>5</v>
      </c>
      <c r="C146" s="1">
        <v>42886</v>
      </c>
      <c r="D146" s="27">
        <v>761448</v>
      </c>
      <c r="E146" s="30">
        <v>2017</v>
      </c>
      <c r="F146" s="30">
        <v>2</v>
      </c>
      <c r="G146" s="1">
        <v>42835</v>
      </c>
      <c r="H146" s="27">
        <v>755291</v>
      </c>
      <c r="I146" s="24">
        <v>337</v>
      </c>
      <c r="J146" s="24">
        <v>-337</v>
      </c>
      <c r="K146" s="30">
        <v>13</v>
      </c>
      <c r="L146" s="30">
        <v>1688</v>
      </c>
      <c r="M146" s="30">
        <v>85</v>
      </c>
      <c r="N146" s="30">
        <v>0</v>
      </c>
      <c r="O146" s="30">
        <v>33710</v>
      </c>
      <c r="P146" s="29" t="s">
        <v>468</v>
      </c>
      <c r="Q146" s="29" t="s">
        <v>327</v>
      </c>
      <c r="R146" s="178" t="s">
        <v>469</v>
      </c>
    </row>
    <row r="147" spans="1:18">
      <c r="A147" s="177">
        <v>2</v>
      </c>
      <c r="B147" s="30">
        <v>5</v>
      </c>
      <c r="C147" s="1">
        <v>42886</v>
      </c>
      <c r="D147" s="27">
        <v>761448</v>
      </c>
      <c r="E147" s="30">
        <v>2017</v>
      </c>
      <c r="F147" s="30">
        <v>2</v>
      </c>
      <c r="G147" s="1">
        <v>42835</v>
      </c>
      <c r="H147" s="27">
        <v>755297</v>
      </c>
      <c r="I147" s="24">
        <v>9099.2000000000007</v>
      </c>
      <c r="J147" s="24">
        <v>-9099.2000000000007</v>
      </c>
      <c r="K147" s="30">
        <v>37</v>
      </c>
      <c r="L147" s="30">
        <v>462</v>
      </c>
      <c r="M147" s="30">
        <v>60</v>
      </c>
      <c r="N147" s="30">
        <v>0</v>
      </c>
      <c r="O147" s="30">
        <v>77664</v>
      </c>
      <c r="P147" s="29" t="s">
        <v>470</v>
      </c>
      <c r="Q147" s="29" t="s">
        <v>471</v>
      </c>
      <c r="R147" s="178" t="s">
        <v>355</v>
      </c>
    </row>
    <row r="148" spans="1:18">
      <c r="A148" s="177">
        <v>2</v>
      </c>
      <c r="B148" s="30">
        <v>5</v>
      </c>
      <c r="C148" s="1">
        <v>42886</v>
      </c>
      <c r="D148" s="27">
        <v>761448</v>
      </c>
      <c r="E148" s="30">
        <v>2017</v>
      </c>
      <c r="F148" s="30">
        <v>2</v>
      </c>
      <c r="G148" s="1">
        <v>42835</v>
      </c>
      <c r="H148" s="27">
        <v>755297</v>
      </c>
      <c r="I148" s="24">
        <v>1183</v>
      </c>
      <c r="J148" s="24">
        <v>-1183</v>
      </c>
      <c r="K148" s="30">
        <v>37</v>
      </c>
      <c r="L148" s="30">
        <v>462</v>
      </c>
      <c r="M148" s="30">
        <v>85</v>
      </c>
      <c r="N148" s="30">
        <v>0</v>
      </c>
      <c r="O148" s="30">
        <v>77664</v>
      </c>
      <c r="P148" s="29" t="s">
        <v>470</v>
      </c>
      <c r="Q148" s="29" t="s">
        <v>471</v>
      </c>
      <c r="R148" s="178" t="s">
        <v>355</v>
      </c>
    </row>
    <row r="149" spans="1:18">
      <c r="A149" s="177">
        <v>2</v>
      </c>
      <c r="B149" s="30">
        <v>5</v>
      </c>
      <c r="C149" s="1">
        <v>42886</v>
      </c>
      <c r="D149" s="27">
        <v>761448</v>
      </c>
      <c r="E149" s="30">
        <v>2017</v>
      </c>
      <c r="F149" s="30">
        <v>2</v>
      </c>
      <c r="G149" s="1">
        <v>42835</v>
      </c>
      <c r="H149" s="27">
        <v>755299</v>
      </c>
      <c r="I149" s="24">
        <v>1880.9</v>
      </c>
      <c r="J149" s="24">
        <v>-1880.9</v>
      </c>
      <c r="K149" s="30">
        <v>297</v>
      </c>
      <c r="L149" s="30">
        <v>175</v>
      </c>
      <c r="M149" s="30">
        <v>60</v>
      </c>
      <c r="N149" s="30">
        <v>0</v>
      </c>
      <c r="O149" s="30">
        <v>798044</v>
      </c>
      <c r="P149" s="29" t="s">
        <v>472</v>
      </c>
      <c r="Q149" s="29" t="s">
        <v>380</v>
      </c>
      <c r="R149" s="178" t="s">
        <v>385</v>
      </c>
    </row>
    <row r="150" spans="1:18">
      <c r="A150" s="177">
        <v>2</v>
      </c>
      <c r="B150" s="30">
        <v>5</v>
      </c>
      <c r="C150" s="1">
        <v>42886</v>
      </c>
      <c r="D150" s="27">
        <v>761448</v>
      </c>
      <c r="E150" s="30">
        <v>2017</v>
      </c>
      <c r="F150" s="30">
        <v>2</v>
      </c>
      <c r="G150" s="1">
        <v>42835</v>
      </c>
      <c r="H150" s="27">
        <v>755299</v>
      </c>
      <c r="I150" s="24">
        <v>245</v>
      </c>
      <c r="J150" s="24">
        <v>-245</v>
      </c>
      <c r="K150" s="30">
        <v>297</v>
      </c>
      <c r="L150" s="30">
        <v>175</v>
      </c>
      <c r="M150" s="30">
        <v>85</v>
      </c>
      <c r="N150" s="30">
        <v>0</v>
      </c>
      <c r="O150" s="30">
        <v>798044</v>
      </c>
      <c r="P150" s="29" t="s">
        <v>472</v>
      </c>
      <c r="Q150" s="29" t="s">
        <v>380</v>
      </c>
      <c r="R150" s="178" t="s">
        <v>385</v>
      </c>
    </row>
    <row r="151" spans="1:18">
      <c r="A151" s="177">
        <v>2</v>
      </c>
      <c r="B151" s="30">
        <v>5</v>
      </c>
      <c r="C151" s="1">
        <v>42886</v>
      </c>
      <c r="D151" s="27">
        <v>761448</v>
      </c>
      <c r="E151" s="30">
        <v>2017</v>
      </c>
      <c r="F151" s="30">
        <v>1</v>
      </c>
      <c r="G151" s="1">
        <v>42745</v>
      </c>
      <c r="H151" s="27">
        <v>740276</v>
      </c>
      <c r="I151" s="24">
        <v>5490.89</v>
      </c>
      <c r="J151" s="24">
        <v>-5490.89</v>
      </c>
      <c r="K151" s="30">
        <v>12</v>
      </c>
      <c r="L151" s="30">
        <v>4067</v>
      </c>
      <c r="M151" s="30">
        <v>60</v>
      </c>
      <c r="N151" s="30">
        <v>0</v>
      </c>
      <c r="O151" s="30">
        <v>41385</v>
      </c>
      <c r="P151" s="29" t="s">
        <v>440</v>
      </c>
      <c r="Q151" s="29" t="s">
        <v>387</v>
      </c>
      <c r="R151" s="178" t="s">
        <v>367</v>
      </c>
    </row>
    <row r="152" spans="1:18">
      <c r="A152" s="177">
        <v>2</v>
      </c>
      <c r="B152" s="30">
        <v>5</v>
      </c>
      <c r="C152" s="1">
        <v>42886</v>
      </c>
      <c r="D152" s="27">
        <v>761448</v>
      </c>
      <c r="E152" s="30">
        <v>2017</v>
      </c>
      <c r="F152" s="30">
        <v>1</v>
      </c>
      <c r="G152" s="1">
        <v>42745</v>
      </c>
      <c r="H152" s="27">
        <v>740276</v>
      </c>
      <c r="I152" s="24">
        <v>714</v>
      </c>
      <c r="J152" s="24">
        <v>-714</v>
      </c>
      <c r="K152" s="30">
        <v>12</v>
      </c>
      <c r="L152" s="30">
        <v>4067</v>
      </c>
      <c r="M152" s="30">
        <v>85</v>
      </c>
      <c r="N152" s="30">
        <v>0</v>
      </c>
      <c r="O152" s="30">
        <v>41385</v>
      </c>
      <c r="P152" s="29" t="s">
        <v>440</v>
      </c>
      <c r="Q152" s="29" t="s">
        <v>387</v>
      </c>
      <c r="R152" s="178" t="s">
        <v>367</v>
      </c>
    </row>
    <row r="153" spans="1:18">
      <c r="A153" s="177">
        <v>2</v>
      </c>
      <c r="B153" s="30">
        <v>5</v>
      </c>
      <c r="C153" s="1">
        <v>42886</v>
      </c>
      <c r="D153" s="27">
        <v>761448</v>
      </c>
      <c r="E153" s="30">
        <v>2017</v>
      </c>
      <c r="F153" s="30">
        <v>1</v>
      </c>
      <c r="G153" s="1">
        <v>42776</v>
      </c>
      <c r="H153" s="27">
        <v>744978</v>
      </c>
      <c r="I153" s="24">
        <v>5490.89</v>
      </c>
      <c r="J153" s="24">
        <v>-5490.89</v>
      </c>
      <c r="K153" s="30">
        <v>12</v>
      </c>
      <c r="L153" s="30">
        <v>4067</v>
      </c>
      <c r="M153" s="30">
        <v>60</v>
      </c>
      <c r="N153" s="30">
        <v>0</v>
      </c>
      <c r="O153" s="30">
        <v>41385</v>
      </c>
      <c r="P153" s="29" t="s">
        <v>440</v>
      </c>
      <c r="Q153" s="29" t="s">
        <v>387</v>
      </c>
      <c r="R153" s="178" t="s">
        <v>367</v>
      </c>
    </row>
    <row r="154" spans="1:18">
      <c r="A154" s="177">
        <v>2</v>
      </c>
      <c r="B154" s="30">
        <v>5</v>
      </c>
      <c r="C154" s="1">
        <v>42886</v>
      </c>
      <c r="D154" s="27">
        <v>761448</v>
      </c>
      <c r="E154" s="30">
        <v>2017</v>
      </c>
      <c r="F154" s="30">
        <v>1</v>
      </c>
      <c r="G154" s="1">
        <v>42776</v>
      </c>
      <c r="H154" s="27">
        <v>744978</v>
      </c>
      <c r="I154" s="24">
        <v>714</v>
      </c>
      <c r="J154" s="24">
        <v>-714</v>
      </c>
      <c r="K154" s="30">
        <v>12</v>
      </c>
      <c r="L154" s="30">
        <v>4067</v>
      </c>
      <c r="M154" s="30">
        <v>85</v>
      </c>
      <c r="N154" s="30">
        <v>0</v>
      </c>
      <c r="O154" s="30">
        <v>41385</v>
      </c>
      <c r="P154" s="29" t="s">
        <v>440</v>
      </c>
      <c r="Q154" s="29" t="s">
        <v>387</v>
      </c>
      <c r="R154" s="178" t="s">
        <v>367</v>
      </c>
    </row>
    <row r="155" spans="1:18">
      <c r="A155" s="177">
        <v>2</v>
      </c>
      <c r="B155" s="30">
        <v>5</v>
      </c>
      <c r="C155" s="1">
        <v>42886</v>
      </c>
      <c r="D155" s="27">
        <v>761448</v>
      </c>
      <c r="E155" s="30">
        <v>2017</v>
      </c>
      <c r="F155" s="30">
        <v>2</v>
      </c>
      <c r="G155" s="1">
        <v>42835</v>
      </c>
      <c r="H155" s="27">
        <v>755291</v>
      </c>
      <c r="I155" s="24">
        <v>1328.4</v>
      </c>
      <c r="J155" s="24">
        <v>-1328.4</v>
      </c>
      <c r="K155" s="30">
        <v>15</v>
      </c>
      <c r="L155" s="30">
        <v>460</v>
      </c>
      <c r="M155" s="30">
        <v>60</v>
      </c>
      <c r="N155" s="30">
        <v>0</v>
      </c>
      <c r="O155" s="30">
        <v>8790</v>
      </c>
      <c r="P155" s="29" t="s">
        <v>473</v>
      </c>
      <c r="Q155" s="29" t="s">
        <v>354</v>
      </c>
      <c r="R155" s="178" t="s">
        <v>322</v>
      </c>
    </row>
    <row r="156" spans="1:18">
      <c r="A156" s="177">
        <v>2</v>
      </c>
      <c r="B156" s="30">
        <v>5</v>
      </c>
      <c r="C156" s="1">
        <v>42886</v>
      </c>
      <c r="D156" s="27">
        <v>761448</v>
      </c>
      <c r="E156" s="30">
        <v>2017</v>
      </c>
      <c r="F156" s="30">
        <v>2</v>
      </c>
      <c r="G156" s="1">
        <v>42835</v>
      </c>
      <c r="H156" s="27">
        <v>755291</v>
      </c>
      <c r="I156" s="24">
        <v>173</v>
      </c>
      <c r="J156" s="24">
        <v>-173</v>
      </c>
      <c r="K156" s="30">
        <v>15</v>
      </c>
      <c r="L156" s="30">
        <v>460</v>
      </c>
      <c r="M156" s="30">
        <v>85</v>
      </c>
      <c r="N156" s="30">
        <v>0</v>
      </c>
      <c r="O156" s="30">
        <v>8790</v>
      </c>
      <c r="P156" s="29" t="s">
        <v>473</v>
      </c>
      <c r="Q156" s="29" t="s">
        <v>354</v>
      </c>
      <c r="R156" s="178" t="s">
        <v>322</v>
      </c>
    </row>
    <row r="157" spans="1:18">
      <c r="A157" s="177">
        <v>2</v>
      </c>
      <c r="B157" s="30">
        <v>5</v>
      </c>
      <c r="C157" s="1">
        <v>42886</v>
      </c>
      <c r="D157" s="27">
        <v>761448</v>
      </c>
      <c r="E157" s="30">
        <v>2017</v>
      </c>
      <c r="F157" s="30">
        <v>1</v>
      </c>
      <c r="G157" s="1">
        <v>42745</v>
      </c>
      <c r="H157" s="27">
        <v>740276</v>
      </c>
      <c r="I157" s="24">
        <v>1255.5</v>
      </c>
      <c r="J157" s="24">
        <v>-1255.5</v>
      </c>
      <c r="K157" s="30">
        <v>161</v>
      </c>
      <c r="L157" s="30">
        <v>28</v>
      </c>
      <c r="M157" s="30">
        <v>60</v>
      </c>
      <c r="N157" s="30">
        <v>0</v>
      </c>
      <c r="O157" s="30">
        <v>78981</v>
      </c>
      <c r="P157" s="29" t="s">
        <v>446</v>
      </c>
      <c r="Q157" s="29" t="s">
        <v>447</v>
      </c>
      <c r="R157" s="178" t="s">
        <v>325</v>
      </c>
    </row>
    <row r="158" spans="1:18">
      <c r="A158" s="177">
        <v>2</v>
      </c>
      <c r="B158" s="30">
        <v>5</v>
      </c>
      <c r="C158" s="1">
        <v>42886</v>
      </c>
      <c r="D158" s="27">
        <v>761448</v>
      </c>
      <c r="E158" s="30">
        <v>2017</v>
      </c>
      <c r="F158" s="30">
        <v>1</v>
      </c>
      <c r="G158" s="1">
        <v>42745</v>
      </c>
      <c r="H158" s="27">
        <v>740276</v>
      </c>
      <c r="I158" s="24">
        <v>163</v>
      </c>
      <c r="J158" s="24">
        <v>-163</v>
      </c>
      <c r="K158" s="30">
        <v>161</v>
      </c>
      <c r="L158" s="30">
        <v>28</v>
      </c>
      <c r="M158" s="30">
        <v>85</v>
      </c>
      <c r="N158" s="30">
        <v>0</v>
      </c>
      <c r="O158" s="30">
        <v>78981</v>
      </c>
      <c r="P158" s="29" t="s">
        <v>446</v>
      </c>
      <c r="Q158" s="29" t="s">
        <v>447</v>
      </c>
      <c r="R158" s="178" t="s">
        <v>325</v>
      </c>
    </row>
    <row r="159" spans="1:18">
      <c r="A159" s="177">
        <v>2</v>
      </c>
      <c r="B159" s="30">
        <v>5</v>
      </c>
      <c r="C159" s="1">
        <v>42886</v>
      </c>
      <c r="D159" s="27">
        <v>761448</v>
      </c>
      <c r="E159" s="30">
        <v>2017</v>
      </c>
      <c r="F159" s="30">
        <v>1</v>
      </c>
      <c r="G159" s="1">
        <v>42776</v>
      </c>
      <c r="H159" s="27">
        <v>744978</v>
      </c>
      <c r="I159" s="24">
        <v>1255.5</v>
      </c>
      <c r="J159" s="24">
        <v>-1255.5</v>
      </c>
      <c r="K159" s="30">
        <v>161</v>
      </c>
      <c r="L159" s="30">
        <v>28</v>
      </c>
      <c r="M159" s="30">
        <v>60</v>
      </c>
      <c r="N159" s="30">
        <v>0</v>
      </c>
      <c r="O159" s="30">
        <v>78981</v>
      </c>
      <c r="P159" s="29" t="s">
        <v>446</v>
      </c>
      <c r="Q159" s="29" t="s">
        <v>447</v>
      </c>
      <c r="R159" s="178" t="s">
        <v>325</v>
      </c>
    </row>
    <row r="160" spans="1:18">
      <c r="A160" s="177">
        <v>2</v>
      </c>
      <c r="B160" s="30">
        <v>5</v>
      </c>
      <c r="C160" s="1">
        <v>42886</v>
      </c>
      <c r="D160" s="27">
        <v>761448</v>
      </c>
      <c r="E160" s="30">
        <v>2017</v>
      </c>
      <c r="F160" s="30">
        <v>1</v>
      </c>
      <c r="G160" s="1">
        <v>42776</v>
      </c>
      <c r="H160" s="27">
        <v>744978</v>
      </c>
      <c r="I160" s="24">
        <v>163</v>
      </c>
      <c r="J160" s="24">
        <v>-163</v>
      </c>
      <c r="K160" s="30">
        <v>161</v>
      </c>
      <c r="L160" s="30">
        <v>28</v>
      </c>
      <c r="M160" s="30">
        <v>85</v>
      </c>
      <c r="N160" s="30">
        <v>0</v>
      </c>
      <c r="O160" s="30">
        <v>78981</v>
      </c>
      <c r="P160" s="29" t="s">
        <v>446</v>
      </c>
      <c r="Q160" s="29" t="s">
        <v>447</v>
      </c>
      <c r="R160" s="178" t="s">
        <v>325</v>
      </c>
    </row>
    <row r="161" spans="1:18">
      <c r="A161" s="177">
        <v>2</v>
      </c>
      <c r="B161" s="30">
        <v>5</v>
      </c>
      <c r="C161" s="1">
        <v>42886</v>
      </c>
      <c r="D161" s="27">
        <v>761448</v>
      </c>
      <c r="E161" s="30">
        <v>2017</v>
      </c>
      <c r="F161" s="30">
        <v>2</v>
      </c>
      <c r="G161" s="1">
        <v>42835</v>
      </c>
      <c r="H161" s="27">
        <v>755291</v>
      </c>
      <c r="I161" s="24">
        <v>19381.98</v>
      </c>
      <c r="J161" s="24">
        <v>-19381.98</v>
      </c>
      <c r="K161" s="30">
        <v>9</v>
      </c>
      <c r="L161" s="30">
        <v>80</v>
      </c>
      <c r="M161" s="30">
        <v>60</v>
      </c>
      <c r="N161" s="30">
        <v>0</v>
      </c>
      <c r="O161" s="30">
        <v>7419</v>
      </c>
      <c r="P161" s="29" t="s">
        <v>474</v>
      </c>
      <c r="Q161" s="29" t="s">
        <v>354</v>
      </c>
      <c r="R161" s="178" t="s">
        <v>343</v>
      </c>
    </row>
    <row r="162" spans="1:18">
      <c r="A162" s="177">
        <v>2</v>
      </c>
      <c r="B162" s="30">
        <v>5</v>
      </c>
      <c r="C162" s="1">
        <v>42886</v>
      </c>
      <c r="D162" s="27">
        <v>761448</v>
      </c>
      <c r="E162" s="30">
        <v>2017</v>
      </c>
      <c r="F162" s="30">
        <v>2</v>
      </c>
      <c r="G162" s="1">
        <v>42835</v>
      </c>
      <c r="H162" s="27">
        <v>755291</v>
      </c>
      <c r="I162" s="24">
        <v>2520</v>
      </c>
      <c r="J162" s="24">
        <v>-2520</v>
      </c>
      <c r="K162" s="30">
        <v>9</v>
      </c>
      <c r="L162" s="30">
        <v>80</v>
      </c>
      <c r="M162" s="30">
        <v>85</v>
      </c>
      <c r="N162" s="30">
        <v>0</v>
      </c>
      <c r="O162" s="30">
        <v>7419</v>
      </c>
      <c r="P162" s="29" t="s">
        <v>474</v>
      </c>
      <c r="Q162" s="29" t="s">
        <v>354</v>
      </c>
      <c r="R162" s="178" t="s">
        <v>343</v>
      </c>
    </row>
    <row r="163" spans="1:18">
      <c r="A163" s="177">
        <v>2</v>
      </c>
      <c r="B163" s="30">
        <v>5</v>
      </c>
      <c r="C163" s="1">
        <v>42886</v>
      </c>
      <c r="D163" s="27">
        <v>761448</v>
      </c>
      <c r="E163" s="30">
        <v>2017</v>
      </c>
      <c r="F163" s="30">
        <v>1</v>
      </c>
      <c r="G163" s="1">
        <v>42745</v>
      </c>
      <c r="H163" s="27">
        <v>740276</v>
      </c>
      <c r="I163" s="24">
        <v>5002.6000000000004</v>
      </c>
      <c r="J163" s="24">
        <v>-5002.6000000000004</v>
      </c>
      <c r="K163" s="30">
        <v>13</v>
      </c>
      <c r="L163" s="30">
        <v>3324</v>
      </c>
      <c r="M163" s="30">
        <v>60</v>
      </c>
      <c r="N163" s="30">
        <v>0</v>
      </c>
      <c r="O163" s="30">
        <v>69070</v>
      </c>
      <c r="P163" s="29" t="s">
        <v>475</v>
      </c>
      <c r="Q163" s="29" t="s">
        <v>456</v>
      </c>
      <c r="R163" s="178" t="s">
        <v>423</v>
      </c>
    </row>
    <row r="164" spans="1:18">
      <c r="A164" s="177">
        <v>2</v>
      </c>
      <c r="B164" s="30">
        <v>5</v>
      </c>
      <c r="C164" s="1">
        <v>42886</v>
      </c>
      <c r="D164" s="27">
        <v>761448</v>
      </c>
      <c r="E164" s="30">
        <v>2017</v>
      </c>
      <c r="F164" s="30">
        <v>1</v>
      </c>
      <c r="G164" s="1">
        <v>42745</v>
      </c>
      <c r="H164" s="27">
        <v>740276</v>
      </c>
      <c r="I164" s="24">
        <v>650</v>
      </c>
      <c r="J164" s="24">
        <v>-650</v>
      </c>
      <c r="K164" s="30">
        <v>13</v>
      </c>
      <c r="L164" s="30">
        <v>3324</v>
      </c>
      <c r="M164" s="30">
        <v>85</v>
      </c>
      <c r="N164" s="30">
        <v>0</v>
      </c>
      <c r="O164" s="30">
        <v>69070</v>
      </c>
      <c r="P164" s="29" t="s">
        <v>475</v>
      </c>
      <c r="Q164" s="29" t="s">
        <v>456</v>
      </c>
      <c r="R164" s="178" t="s">
        <v>423</v>
      </c>
    </row>
    <row r="165" spans="1:18">
      <c r="A165" s="177">
        <v>2</v>
      </c>
      <c r="B165" s="30">
        <v>5</v>
      </c>
      <c r="C165" s="1">
        <v>42886</v>
      </c>
      <c r="D165" s="27">
        <v>761448</v>
      </c>
      <c r="E165" s="30">
        <v>2017</v>
      </c>
      <c r="F165" s="30">
        <v>1</v>
      </c>
      <c r="G165" s="1">
        <v>42776</v>
      </c>
      <c r="H165" s="27">
        <v>744978</v>
      </c>
      <c r="I165" s="24">
        <v>5002.6000000000004</v>
      </c>
      <c r="J165" s="24">
        <v>-5002.6000000000004</v>
      </c>
      <c r="K165" s="30">
        <v>13</v>
      </c>
      <c r="L165" s="30">
        <v>3324</v>
      </c>
      <c r="M165" s="30">
        <v>60</v>
      </c>
      <c r="N165" s="30">
        <v>0</v>
      </c>
      <c r="O165" s="30">
        <v>69070</v>
      </c>
      <c r="P165" s="29" t="s">
        <v>475</v>
      </c>
      <c r="Q165" s="29" t="s">
        <v>456</v>
      </c>
      <c r="R165" s="178" t="s">
        <v>423</v>
      </c>
    </row>
    <row r="166" spans="1:18">
      <c r="A166" s="177">
        <v>2</v>
      </c>
      <c r="B166" s="30">
        <v>5</v>
      </c>
      <c r="C166" s="1">
        <v>42886</v>
      </c>
      <c r="D166" s="27">
        <v>761448</v>
      </c>
      <c r="E166" s="30">
        <v>2017</v>
      </c>
      <c r="F166" s="30">
        <v>1</v>
      </c>
      <c r="G166" s="1">
        <v>42776</v>
      </c>
      <c r="H166" s="27">
        <v>744978</v>
      </c>
      <c r="I166" s="24">
        <v>651</v>
      </c>
      <c r="J166" s="24">
        <v>-651</v>
      </c>
      <c r="K166" s="30">
        <v>13</v>
      </c>
      <c r="L166" s="30">
        <v>3324</v>
      </c>
      <c r="M166" s="30">
        <v>85</v>
      </c>
      <c r="N166" s="30">
        <v>0</v>
      </c>
      <c r="O166" s="30">
        <v>69070</v>
      </c>
      <c r="P166" s="29" t="s">
        <v>475</v>
      </c>
      <c r="Q166" s="29" t="s">
        <v>456</v>
      </c>
      <c r="R166" s="178" t="s">
        <v>423</v>
      </c>
    </row>
    <row r="167" spans="1:18">
      <c r="A167" s="177">
        <v>2</v>
      </c>
      <c r="B167" s="30">
        <v>5</v>
      </c>
      <c r="C167" s="1">
        <v>42886</v>
      </c>
      <c r="D167" s="27">
        <v>761448</v>
      </c>
      <c r="E167" s="30">
        <v>2017</v>
      </c>
      <c r="F167" s="30">
        <v>1</v>
      </c>
      <c r="G167" s="1">
        <v>42804</v>
      </c>
      <c r="H167" s="27">
        <v>749816</v>
      </c>
      <c r="I167" s="24">
        <v>5002.6000000000004</v>
      </c>
      <c r="J167" s="24">
        <v>-5002.6000000000004</v>
      </c>
      <c r="K167" s="30">
        <v>13</v>
      </c>
      <c r="L167" s="30">
        <v>3324</v>
      </c>
      <c r="M167" s="30">
        <v>60</v>
      </c>
      <c r="N167" s="30">
        <v>0</v>
      </c>
      <c r="O167" s="30">
        <v>69070</v>
      </c>
      <c r="P167" s="29" t="s">
        <v>475</v>
      </c>
      <c r="Q167" s="29" t="s">
        <v>456</v>
      </c>
      <c r="R167" s="178" t="s">
        <v>423</v>
      </c>
    </row>
    <row r="168" spans="1:18">
      <c r="A168" s="177">
        <v>2</v>
      </c>
      <c r="B168" s="30">
        <v>5</v>
      </c>
      <c r="C168" s="1">
        <v>42886</v>
      </c>
      <c r="D168" s="27">
        <v>761448</v>
      </c>
      <c r="E168" s="30">
        <v>2017</v>
      </c>
      <c r="F168" s="30">
        <v>1</v>
      </c>
      <c r="G168" s="1">
        <v>42804</v>
      </c>
      <c r="H168" s="27">
        <v>749816</v>
      </c>
      <c r="I168" s="24">
        <v>650</v>
      </c>
      <c r="J168" s="24">
        <v>-650</v>
      </c>
      <c r="K168" s="30">
        <v>13</v>
      </c>
      <c r="L168" s="30">
        <v>3324</v>
      </c>
      <c r="M168" s="30">
        <v>85</v>
      </c>
      <c r="N168" s="30">
        <v>0</v>
      </c>
      <c r="O168" s="30">
        <v>69070</v>
      </c>
      <c r="P168" s="29" t="s">
        <v>475</v>
      </c>
      <c r="Q168" s="29" t="s">
        <v>456</v>
      </c>
      <c r="R168" s="178" t="s">
        <v>423</v>
      </c>
    </row>
    <row r="169" spans="1:18">
      <c r="A169" s="177">
        <v>2</v>
      </c>
      <c r="B169" s="30">
        <v>5</v>
      </c>
      <c r="C169" s="1">
        <v>42886</v>
      </c>
      <c r="D169" s="27">
        <v>761448</v>
      </c>
      <c r="E169" s="30">
        <v>2017</v>
      </c>
      <c r="F169" s="30">
        <v>2</v>
      </c>
      <c r="G169" s="1">
        <v>42835</v>
      </c>
      <c r="H169" s="27">
        <v>755291</v>
      </c>
      <c r="I169" s="24">
        <v>5002.6000000000004</v>
      </c>
      <c r="J169" s="24">
        <v>-5002.6000000000004</v>
      </c>
      <c r="K169" s="30">
        <v>13</v>
      </c>
      <c r="L169" s="30">
        <v>3324</v>
      </c>
      <c r="M169" s="30">
        <v>60</v>
      </c>
      <c r="N169" s="30">
        <v>0</v>
      </c>
      <c r="O169" s="30">
        <v>69070</v>
      </c>
      <c r="P169" s="29" t="s">
        <v>475</v>
      </c>
      <c r="Q169" s="29" t="s">
        <v>456</v>
      </c>
      <c r="R169" s="178" t="s">
        <v>423</v>
      </c>
    </row>
    <row r="170" spans="1:18">
      <c r="A170" s="177">
        <v>2</v>
      </c>
      <c r="B170" s="30">
        <v>5</v>
      </c>
      <c r="C170" s="1">
        <v>42886</v>
      </c>
      <c r="D170" s="27">
        <v>761448</v>
      </c>
      <c r="E170" s="30">
        <v>2017</v>
      </c>
      <c r="F170" s="30">
        <v>2</v>
      </c>
      <c r="G170" s="1">
        <v>42835</v>
      </c>
      <c r="H170" s="27">
        <v>755291</v>
      </c>
      <c r="I170" s="24">
        <v>650</v>
      </c>
      <c r="J170" s="24">
        <v>-650</v>
      </c>
      <c r="K170" s="30">
        <v>13</v>
      </c>
      <c r="L170" s="30">
        <v>3324</v>
      </c>
      <c r="M170" s="30">
        <v>85</v>
      </c>
      <c r="N170" s="30">
        <v>0</v>
      </c>
      <c r="O170" s="30">
        <v>69070</v>
      </c>
      <c r="P170" s="29" t="s">
        <v>475</v>
      </c>
      <c r="Q170" s="29" t="s">
        <v>456</v>
      </c>
      <c r="R170" s="178" t="s">
        <v>423</v>
      </c>
    </row>
    <row r="171" spans="1:18">
      <c r="A171" s="177">
        <v>2</v>
      </c>
      <c r="B171" s="30">
        <v>5</v>
      </c>
      <c r="C171" s="1">
        <v>42886</v>
      </c>
      <c r="D171" s="27">
        <v>761448</v>
      </c>
      <c r="E171" s="30">
        <v>2017</v>
      </c>
      <c r="F171" s="30">
        <v>2</v>
      </c>
      <c r="G171" s="1">
        <v>42835</v>
      </c>
      <c r="H171" s="27">
        <v>755297</v>
      </c>
      <c r="I171" s="24">
        <v>3416.76</v>
      </c>
      <c r="J171" s="24">
        <v>-3416.76</v>
      </c>
      <c r="K171" s="30">
        <v>24</v>
      </c>
      <c r="L171" s="30">
        <v>1692</v>
      </c>
      <c r="M171" s="30">
        <v>60</v>
      </c>
      <c r="N171" s="30">
        <v>0</v>
      </c>
      <c r="O171" s="30">
        <v>28502</v>
      </c>
      <c r="P171" s="29" t="s">
        <v>476</v>
      </c>
      <c r="Q171" s="29" t="s">
        <v>477</v>
      </c>
      <c r="R171" s="178" t="s">
        <v>381</v>
      </c>
    </row>
    <row r="172" spans="1:18">
      <c r="A172" s="177">
        <v>2</v>
      </c>
      <c r="B172" s="30">
        <v>5</v>
      </c>
      <c r="C172" s="1">
        <v>42886</v>
      </c>
      <c r="D172" s="27">
        <v>761448</v>
      </c>
      <c r="E172" s="30">
        <v>2017</v>
      </c>
      <c r="F172" s="30">
        <v>2</v>
      </c>
      <c r="G172" s="1">
        <v>42835</v>
      </c>
      <c r="H172" s="27">
        <v>755297</v>
      </c>
      <c r="I172" s="24">
        <v>444</v>
      </c>
      <c r="J172" s="24">
        <v>-444</v>
      </c>
      <c r="K172" s="30">
        <v>24</v>
      </c>
      <c r="L172" s="30">
        <v>1692</v>
      </c>
      <c r="M172" s="30">
        <v>85</v>
      </c>
      <c r="N172" s="30">
        <v>0</v>
      </c>
      <c r="O172" s="30">
        <v>28502</v>
      </c>
      <c r="P172" s="29" t="s">
        <v>476</v>
      </c>
      <c r="Q172" s="29" t="s">
        <v>477</v>
      </c>
      <c r="R172" s="178" t="s">
        <v>381</v>
      </c>
    </row>
    <row r="173" spans="1:18">
      <c r="A173" s="177">
        <v>2</v>
      </c>
      <c r="B173" s="30">
        <v>5</v>
      </c>
      <c r="C173" s="1">
        <v>42886</v>
      </c>
      <c r="D173" s="27">
        <v>761448</v>
      </c>
      <c r="E173" s="30">
        <v>2017</v>
      </c>
      <c r="F173" s="30">
        <v>2</v>
      </c>
      <c r="G173" s="1">
        <v>42858</v>
      </c>
      <c r="H173" s="27">
        <v>759733</v>
      </c>
      <c r="I173" s="24">
        <v>5440.1</v>
      </c>
      <c r="J173" s="24">
        <v>-5440.1</v>
      </c>
      <c r="K173" s="30">
        <v>140</v>
      </c>
      <c r="L173" s="30">
        <v>1057</v>
      </c>
      <c r="M173" s="30">
        <v>60</v>
      </c>
      <c r="N173" s="30">
        <v>0</v>
      </c>
      <c r="O173" s="30">
        <v>63756</v>
      </c>
      <c r="P173" s="29" t="s">
        <v>478</v>
      </c>
      <c r="Q173" s="29" t="s">
        <v>387</v>
      </c>
      <c r="R173" s="178" t="s">
        <v>479</v>
      </c>
    </row>
    <row r="174" spans="1:18">
      <c r="A174" s="177">
        <v>2</v>
      </c>
      <c r="B174" s="30">
        <v>5</v>
      </c>
      <c r="C174" s="1">
        <v>42886</v>
      </c>
      <c r="D174" s="27">
        <v>761448</v>
      </c>
      <c r="E174" s="30">
        <v>2017</v>
      </c>
      <c r="F174" s="30">
        <v>2</v>
      </c>
      <c r="G174" s="1">
        <v>42858</v>
      </c>
      <c r="H174" s="27">
        <v>759733</v>
      </c>
      <c r="I174" s="24">
        <v>707</v>
      </c>
      <c r="J174" s="24">
        <v>-707</v>
      </c>
      <c r="K174" s="30">
        <v>140</v>
      </c>
      <c r="L174" s="30">
        <v>1057</v>
      </c>
      <c r="M174" s="30">
        <v>85</v>
      </c>
      <c r="N174" s="30">
        <v>0</v>
      </c>
      <c r="O174" s="30">
        <v>63756</v>
      </c>
      <c r="P174" s="29" t="s">
        <v>478</v>
      </c>
      <c r="Q174" s="29" t="s">
        <v>387</v>
      </c>
      <c r="R174" s="178" t="s">
        <v>479</v>
      </c>
    </row>
    <row r="175" spans="1:18">
      <c r="A175" s="177">
        <v>2</v>
      </c>
      <c r="B175" s="30">
        <v>5</v>
      </c>
      <c r="C175" s="1">
        <v>42886</v>
      </c>
      <c r="D175" s="27">
        <v>761448</v>
      </c>
      <c r="E175" s="30">
        <v>2017</v>
      </c>
      <c r="F175" s="30">
        <v>2</v>
      </c>
      <c r="G175" s="1">
        <v>42859</v>
      </c>
      <c r="H175" s="27">
        <v>759727</v>
      </c>
      <c r="I175" s="24">
        <v>14887.7</v>
      </c>
      <c r="J175" s="24">
        <v>-14887.7</v>
      </c>
      <c r="K175" s="30">
        <v>7</v>
      </c>
      <c r="L175" s="30">
        <v>184</v>
      </c>
      <c r="M175" s="30">
        <v>60</v>
      </c>
      <c r="N175" s="30">
        <v>0</v>
      </c>
      <c r="O175" s="30">
        <v>2744</v>
      </c>
      <c r="P175" s="29" t="s">
        <v>480</v>
      </c>
      <c r="Q175" s="29" t="s">
        <v>434</v>
      </c>
      <c r="R175" s="178" t="s">
        <v>423</v>
      </c>
    </row>
    <row r="176" spans="1:18">
      <c r="A176" s="177">
        <v>2</v>
      </c>
      <c r="B176" s="30">
        <v>5</v>
      </c>
      <c r="C176" s="1">
        <v>42886</v>
      </c>
      <c r="D176" s="27">
        <v>761448</v>
      </c>
      <c r="E176" s="30">
        <v>2017</v>
      </c>
      <c r="F176" s="30">
        <v>2</v>
      </c>
      <c r="G176" s="1">
        <v>42859</v>
      </c>
      <c r="H176" s="27">
        <v>759727</v>
      </c>
      <c r="I176" s="24">
        <v>1935</v>
      </c>
      <c r="J176" s="24">
        <v>-1935</v>
      </c>
      <c r="K176" s="30">
        <v>7</v>
      </c>
      <c r="L176" s="30">
        <v>184</v>
      </c>
      <c r="M176" s="30">
        <v>85</v>
      </c>
      <c r="N176" s="30">
        <v>0</v>
      </c>
      <c r="O176" s="30">
        <v>2744</v>
      </c>
      <c r="P176" s="29" t="s">
        <v>480</v>
      </c>
      <c r="Q176" s="29" t="s">
        <v>434</v>
      </c>
      <c r="R176" s="178" t="s">
        <v>423</v>
      </c>
    </row>
    <row r="177" spans="1:18">
      <c r="A177" s="177">
        <v>2</v>
      </c>
      <c r="B177" s="30">
        <v>5</v>
      </c>
      <c r="C177" s="1">
        <v>42886</v>
      </c>
      <c r="D177" s="27">
        <v>761448</v>
      </c>
      <c r="E177" s="30">
        <v>2017</v>
      </c>
      <c r="F177" s="30">
        <v>1</v>
      </c>
      <c r="G177" s="1">
        <v>42804</v>
      </c>
      <c r="H177" s="27">
        <v>749821</v>
      </c>
      <c r="I177" s="24">
        <v>3026.2</v>
      </c>
      <c r="J177" s="24">
        <v>-3026.2</v>
      </c>
      <c r="K177" s="30">
        <v>140</v>
      </c>
      <c r="L177" s="30">
        <v>823</v>
      </c>
      <c r="M177" s="30">
        <v>60</v>
      </c>
      <c r="N177" s="30">
        <v>0</v>
      </c>
      <c r="O177" s="30">
        <v>60290</v>
      </c>
      <c r="P177" s="29" t="s">
        <v>481</v>
      </c>
      <c r="Q177" s="29" t="s">
        <v>482</v>
      </c>
      <c r="R177" s="178" t="s">
        <v>483</v>
      </c>
    </row>
    <row r="178" spans="1:18">
      <c r="A178" s="177">
        <v>2</v>
      </c>
      <c r="B178" s="30">
        <v>5</v>
      </c>
      <c r="C178" s="1">
        <v>42886</v>
      </c>
      <c r="D178" s="27">
        <v>761448</v>
      </c>
      <c r="E178" s="30">
        <v>2017</v>
      </c>
      <c r="F178" s="30">
        <v>1</v>
      </c>
      <c r="G178" s="1">
        <v>42804</v>
      </c>
      <c r="H178" s="27">
        <v>749821</v>
      </c>
      <c r="I178" s="24">
        <v>393</v>
      </c>
      <c r="J178" s="24">
        <v>-393</v>
      </c>
      <c r="K178" s="30">
        <v>140</v>
      </c>
      <c r="L178" s="30">
        <v>823</v>
      </c>
      <c r="M178" s="30">
        <v>85</v>
      </c>
      <c r="N178" s="30">
        <v>0</v>
      </c>
      <c r="O178" s="30">
        <v>60290</v>
      </c>
      <c r="P178" s="29" t="s">
        <v>481</v>
      </c>
      <c r="Q178" s="29" t="s">
        <v>482</v>
      </c>
      <c r="R178" s="178" t="s">
        <v>483</v>
      </c>
    </row>
    <row r="179" spans="1:18">
      <c r="A179" s="177">
        <v>2</v>
      </c>
      <c r="B179" s="30">
        <v>5</v>
      </c>
      <c r="C179" s="1">
        <v>42886</v>
      </c>
      <c r="D179" s="27">
        <v>761448</v>
      </c>
      <c r="E179" s="30">
        <v>2017</v>
      </c>
      <c r="F179" s="30">
        <v>2</v>
      </c>
      <c r="G179" s="1">
        <v>42835</v>
      </c>
      <c r="H179" s="27">
        <v>755297</v>
      </c>
      <c r="I179" s="24">
        <v>2738.92</v>
      </c>
      <c r="J179" s="24">
        <v>-2738.92</v>
      </c>
      <c r="K179" s="30">
        <v>39</v>
      </c>
      <c r="L179" s="30">
        <v>45</v>
      </c>
      <c r="M179" s="30">
        <v>60</v>
      </c>
      <c r="N179" s="30">
        <v>0</v>
      </c>
      <c r="O179" s="30">
        <v>31064</v>
      </c>
      <c r="P179" s="29" t="s">
        <v>484</v>
      </c>
      <c r="Q179" s="29" t="s">
        <v>372</v>
      </c>
      <c r="R179" s="178" t="s">
        <v>325</v>
      </c>
    </row>
    <row r="180" spans="1:18">
      <c r="A180" s="177">
        <v>2</v>
      </c>
      <c r="B180" s="30">
        <v>5</v>
      </c>
      <c r="C180" s="1">
        <v>42886</v>
      </c>
      <c r="D180" s="27">
        <v>761448</v>
      </c>
      <c r="E180" s="30">
        <v>2017</v>
      </c>
      <c r="F180" s="30">
        <v>2</v>
      </c>
      <c r="G180" s="1">
        <v>42835</v>
      </c>
      <c r="H180" s="27">
        <v>755297</v>
      </c>
      <c r="I180" s="24">
        <v>291</v>
      </c>
      <c r="J180" s="24">
        <v>-291</v>
      </c>
      <c r="K180" s="30">
        <v>39</v>
      </c>
      <c r="L180" s="30">
        <v>45</v>
      </c>
      <c r="M180" s="30">
        <v>85</v>
      </c>
      <c r="N180" s="30">
        <v>0</v>
      </c>
      <c r="O180" s="30">
        <v>31064</v>
      </c>
      <c r="P180" s="29" t="s">
        <v>484</v>
      </c>
      <c r="Q180" s="29" t="s">
        <v>372</v>
      </c>
      <c r="R180" s="178" t="s">
        <v>325</v>
      </c>
    </row>
    <row r="181" spans="1:18">
      <c r="A181" s="177">
        <v>2</v>
      </c>
      <c r="B181" s="30">
        <v>5</v>
      </c>
      <c r="C181" s="1">
        <v>42886</v>
      </c>
      <c r="D181" s="27">
        <v>761448</v>
      </c>
      <c r="E181" s="30">
        <v>2017</v>
      </c>
      <c r="F181" s="30">
        <v>2</v>
      </c>
      <c r="G181" s="1">
        <v>42835</v>
      </c>
      <c r="H181" s="27">
        <v>755297</v>
      </c>
      <c r="I181" s="24">
        <v>500</v>
      </c>
      <c r="J181" s="24">
        <v>-500</v>
      </c>
      <c r="K181" s="30">
        <v>39</v>
      </c>
      <c r="L181" s="30">
        <v>45</v>
      </c>
      <c r="M181" s="30">
        <v>1025</v>
      </c>
      <c r="N181" s="30">
        <v>0</v>
      </c>
      <c r="O181" s="30">
        <v>31064</v>
      </c>
      <c r="P181" s="29" t="s">
        <v>484</v>
      </c>
      <c r="Q181" s="29" t="s">
        <v>372</v>
      </c>
      <c r="R181" s="178" t="s">
        <v>325</v>
      </c>
    </row>
    <row r="182" spans="1:18">
      <c r="A182" s="177">
        <v>2</v>
      </c>
      <c r="B182" s="30">
        <v>5</v>
      </c>
      <c r="C182" s="1">
        <v>42886</v>
      </c>
      <c r="D182" s="27">
        <v>761448</v>
      </c>
      <c r="E182" s="30">
        <v>2017</v>
      </c>
      <c r="F182" s="30">
        <v>2</v>
      </c>
      <c r="G182" s="1">
        <v>42835</v>
      </c>
      <c r="H182" s="27">
        <v>755297</v>
      </c>
      <c r="I182" s="24">
        <v>2170.06</v>
      </c>
      <c r="J182" s="24">
        <v>-2170.06</v>
      </c>
      <c r="K182" s="30">
        <v>18</v>
      </c>
      <c r="L182" s="30">
        <v>1442</v>
      </c>
      <c r="M182" s="30">
        <v>60</v>
      </c>
      <c r="N182" s="30">
        <v>0</v>
      </c>
      <c r="O182" s="30">
        <v>40340</v>
      </c>
      <c r="P182" s="29" t="s">
        <v>485</v>
      </c>
      <c r="Q182" s="29" t="s">
        <v>486</v>
      </c>
      <c r="R182" s="178" t="s">
        <v>469</v>
      </c>
    </row>
    <row r="183" spans="1:18">
      <c r="A183" s="177">
        <v>2</v>
      </c>
      <c r="B183" s="30">
        <v>5</v>
      </c>
      <c r="C183" s="1">
        <v>42886</v>
      </c>
      <c r="D183" s="27">
        <v>761448</v>
      </c>
      <c r="E183" s="30">
        <v>2017</v>
      </c>
      <c r="F183" s="30">
        <v>2</v>
      </c>
      <c r="G183" s="1">
        <v>42835</v>
      </c>
      <c r="H183" s="27">
        <v>755297</v>
      </c>
      <c r="I183" s="24">
        <v>282</v>
      </c>
      <c r="J183" s="24">
        <v>-282</v>
      </c>
      <c r="K183" s="30">
        <v>18</v>
      </c>
      <c r="L183" s="30">
        <v>1442</v>
      </c>
      <c r="M183" s="30">
        <v>85</v>
      </c>
      <c r="N183" s="30">
        <v>0</v>
      </c>
      <c r="O183" s="30">
        <v>40340</v>
      </c>
      <c r="P183" s="29" t="s">
        <v>485</v>
      </c>
      <c r="Q183" s="29" t="s">
        <v>486</v>
      </c>
      <c r="R183" s="178" t="s">
        <v>469</v>
      </c>
    </row>
    <row r="184" spans="1:18">
      <c r="A184" s="177">
        <v>2</v>
      </c>
      <c r="B184" s="30">
        <v>5</v>
      </c>
      <c r="C184" s="1">
        <v>42886</v>
      </c>
      <c r="D184" s="27">
        <v>761448</v>
      </c>
      <c r="E184" s="30">
        <v>2017</v>
      </c>
      <c r="F184" s="30">
        <v>1</v>
      </c>
      <c r="G184" s="1">
        <v>42745</v>
      </c>
      <c r="H184" s="27">
        <v>740276</v>
      </c>
      <c r="I184" s="24">
        <v>5881.7</v>
      </c>
      <c r="J184" s="24">
        <v>-5881.7</v>
      </c>
      <c r="K184" s="30">
        <v>12</v>
      </c>
      <c r="L184" s="30">
        <v>6203</v>
      </c>
      <c r="M184" s="30">
        <v>60</v>
      </c>
      <c r="N184" s="30">
        <v>0</v>
      </c>
      <c r="O184" s="30">
        <v>57964</v>
      </c>
      <c r="P184" s="29" t="s">
        <v>487</v>
      </c>
      <c r="Q184" s="29" t="s">
        <v>401</v>
      </c>
      <c r="R184" s="178" t="s">
        <v>322</v>
      </c>
    </row>
    <row r="185" spans="1:18">
      <c r="A185" s="177">
        <v>2</v>
      </c>
      <c r="B185" s="30">
        <v>5</v>
      </c>
      <c r="C185" s="1">
        <v>42886</v>
      </c>
      <c r="D185" s="27">
        <v>761448</v>
      </c>
      <c r="E185" s="30">
        <v>2017</v>
      </c>
      <c r="F185" s="30">
        <v>1</v>
      </c>
      <c r="G185" s="1">
        <v>42745</v>
      </c>
      <c r="H185" s="27">
        <v>740276</v>
      </c>
      <c r="I185" s="24">
        <v>765</v>
      </c>
      <c r="J185" s="24">
        <v>-765</v>
      </c>
      <c r="K185" s="30">
        <v>12</v>
      </c>
      <c r="L185" s="30">
        <v>6203</v>
      </c>
      <c r="M185" s="30">
        <v>85</v>
      </c>
      <c r="N185" s="30">
        <v>0</v>
      </c>
      <c r="O185" s="30">
        <v>57964</v>
      </c>
      <c r="P185" s="29" t="s">
        <v>487</v>
      </c>
      <c r="Q185" s="29" t="s">
        <v>401</v>
      </c>
      <c r="R185" s="178" t="s">
        <v>322</v>
      </c>
    </row>
    <row r="186" spans="1:18">
      <c r="A186" s="177">
        <v>2</v>
      </c>
      <c r="B186" s="30">
        <v>5</v>
      </c>
      <c r="C186" s="1">
        <v>42886</v>
      </c>
      <c r="D186" s="27">
        <v>761448</v>
      </c>
      <c r="E186" s="30">
        <v>2017</v>
      </c>
      <c r="F186" s="30">
        <v>1</v>
      </c>
      <c r="G186" s="1">
        <v>42776</v>
      </c>
      <c r="H186" s="27">
        <v>744978</v>
      </c>
      <c r="I186" s="24">
        <v>5881.7</v>
      </c>
      <c r="J186" s="24">
        <v>-5881.7</v>
      </c>
      <c r="K186" s="30">
        <v>12</v>
      </c>
      <c r="L186" s="30">
        <v>6203</v>
      </c>
      <c r="M186" s="30">
        <v>60</v>
      </c>
      <c r="N186" s="30">
        <v>0</v>
      </c>
      <c r="O186" s="30">
        <v>57964</v>
      </c>
      <c r="P186" s="29" t="s">
        <v>487</v>
      </c>
      <c r="Q186" s="29" t="s">
        <v>401</v>
      </c>
      <c r="R186" s="178" t="s">
        <v>322</v>
      </c>
    </row>
    <row r="187" spans="1:18">
      <c r="A187" s="177">
        <v>2</v>
      </c>
      <c r="B187" s="30">
        <v>5</v>
      </c>
      <c r="C187" s="1">
        <v>42886</v>
      </c>
      <c r="D187" s="27">
        <v>761448</v>
      </c>
      <c r="E187" s="30">
        <v>2017</v>
      </c>
      <c r="F187" s="30">
        <v>1</v>
      </c>
      <c r="G187" s="1">
        <v>42776</v>
      </c>
      <c r="H187" s="27">
        <v>744978</v>
      </c>
      <c r="I187" s="24">
        <v>764</v>
      </c>
      <c r="J187" s="24">
        <v>-764</v>
      </c>
      <c r="K187" s="30">
        <v>12</v>
      </c>
      <c r="L187" s="30">
        <v>6203</v>
      </c>
      <c r="M187" s="30">
        <v>85</v>
      </c>
      <c r="N187" s="30">
        <v>0</v>
      </c>
      <c r="O187" s="30">
        <v>57964</v>
      </c>
      <c r="P187" s="29" t="s">
        <v>487</v>
      </c>
      <c r="Q187" s="29" t="s">
        <v>401</v>
      </c>
      <c r="R187" s="178" t="s">
        <v>322</v>
      </c>
    </row>
    <row r="188" spans="1:18">
      <c r="A188" s="177">
        <v>2</v>
      </c>
      <c r="B188" s="30">
        <v>5</v>
      </c>
      <c r="C188" s="1">
        <v>42886</v>
      </c>
      <c r="D188" s="27">
        <v>761448</v>
      </c>
      <c r="E188" s="30">
        <v>2017</v>
      </c>
      <c r="F188" s="30">
        <v>1</v>
      </c>
      <c r="G188" s="1">
        <v>42804</v>
      </c>
      <c r="H188" s="27">
        <v>749816</v>
      </c>
      <c r="I188" s="24">
        <v>5881.7</v>
      </c>
      <c r="J188" s="24">
        <v>-5881.7</v>
      </c>
      <c r="K188" s="30">
        <v>12</v>
      </c>
      <c r="L188" s="30">
        <v>6203</v>
      </c>
      <c r="M188" s="30">
        <v>60</v>
      </c>
      <c r="N188" s="30">
        <v>0</v>
      </c>
      <c r="O188" s="30">
        <v>57964</v>
      </c>
      <c r="P188" s="29" t="s">
        <v>487</v>
      </c>
      <c r="Q188" s="29" t="s">
        <v>401</v>
      </c>
      <c r="R188" s="178" t="s">
        <v>322</v>
      </c>
    </row>
    <row r="189" spans="1:18">
      <c r="A189" s="177">
        <v>2</v>
      </c>
      <c r="B189" s="30">
        <v>5</v>
      </c>
      <c r="C189" s="1">
        <v>42886</v>
      </c>
      <c r="D189" s="27">
        <v>761448</v>
      </c>
      <c r="E189" s="30">
        <v>2017</v>
      </c>
      <c r="F189" s="30">
        <v>1</v>
      </c>
      <c r="G189" s="1">
        <v>42804</v>
      </c>
      <c r="H189" s="27">
        <v>749816</v>
      </c>
      <c r="I189" s="24">
        <v>765</v>
      </c>
      <c r="J189" s="24">
        <v>-765</v>
      </c>
      <c r="K189" s="30">
        <v>12</v>
      </c>
      <c r="L189" s="30">
        <v>6203</v>
      </c>
      <c r="M189" s="30">
        <v>85</v>
      </c>
      <c r="N189" s="30">
        <v>0</v>
      </c>
      <c r="O189" s="30">
        <v>57964</v>
      </c>
      <c r="P189" s="29" t="s">
        <v>487</v>
      </c>
      <c r="Q189" s="29" t="s">
        <v>401</v>
      </c>
      <c r="R189" s="178" t="s">
        <v>322</v>
      </c>
    </row>
    <row r="190" spans="1:18">
      <c r="A190" s="177">
        <v>2</v>
      </c>
      <c r="B190" s="30">
        <v>5</v>
      </c>
      <c r="C190" s="1">
        <v>42886</v>
      </c>
      <c r="D190" s="27">
        <v>761448</v>
      </c>
      <c r="E190" s="30">
        <v>2017</v>
      </c>
      <c r="F190" s="30">
        <v>2</v>
      </c>
      <c r="G190" s="1">
        <v>42835</v>
      </c>
      <c r="H190" s="27">
        <v>755291</v>
      </c>
      <c r="I190" s="24">
        <v>5881.7</v>
      </c>
      <c r="J190" s="24">
        <v>-5881.7</v>
      </c>
      <c r="K190" s="30">
        <v>12</v>
      </c>
      <c r="L190" s="30">
        <v>6203</v>
      </c>
      <c r="M190" s="30">
        <v>60</v>
      </c>
      <c r="N190" s="30">
        <v>0</v>
      </c>
      <c r="O190" s="30">
        <v>57964</v>
      </c>
      <c r="P190" s="29" t="s">
        <v>487</v>
      </c>
      <c r="Q190" s="29" t="s">
        <v>401</v>
      </c>
      <c r="R190" s="178" t="s">
        <v>322</v>
      </c>
    </row>
    <row r="191" spans="1:18">
      <c r="A191" s="177">
        <v>2</v>
      </c>
      <c r="B191" s="30">
        <v>5</v>
      </c>
      <c r="C191" s="1">
        <v>42886</v>
      </c>
      <c r="D191" s="27">
        <v>761448</v>
      </c>
      <c r="E191" s="30">
        <v>2017</v>
      </c>
      <c r="F191" s="30">
        <v>2</v>
      </c>
      <c r="G191" s="1">
        <v>42835</v>
      </c>
      <c r="H191" s="27">
        <v>755291</v>
      </c>
      <c r="I191" s="24">
        <v>764</v>
      </c>
      <c r="J191" s="24">
        <v>-764</v>
      </c>
      <c r="K191" s="30">
        <v>12</v>
      </c>
      <c r="L191" s="30">
        <v>6203</v>
      </c>
      <c r="M191" s="30">
        <v>85</v>
      </c>
      <c r="N191" s="30">
        <v>0</v>
      </c>
      <c r="O191" s="30">
        <v>57964</v>
      </c>
      <c r="P191" s="29" t="s">
        <v>487</v>
      </c>
      <c r="Q191" s="29" t="s">
        <v>401</v>
      </c>
      <c r="R191" s="178" t="s">
        <v>322</v>
      </c>
    </row>
    <row r="192" spans="1:18">
      <c r="A192" s="177">
        <v>2</v>
      </c>
      <c r="B192" s="30">
        <v>6</v>
      </c>
      <c r="C192" s="1">
        <v>42888</v>
      </c>
      <c r="D192" s="27">
        <v>764887</v>
      </c>
      <c r="E192" s="30">
        <v>2016</v>
      </c>
      <c r="F192" s="30">
        <v>3</v>
      </c>
      <c r="G192" s="1">
        <v>42636</v>
      </c>
      <c r="H192" s="27">
        <v>722118</v>
      </c>
      <c r="I192" s="24">
        <v>277000</v>
      </c>
      <c r="J192" s="24">
        <v>-259000</v>
      </c>
      <c r="K192" s="30">
        <v>991</v>
      </c>
      <c r="L192" s="30">
        <v>6163</v>
      </c>
      <c r="M192" s="30">
        <v>55</v>
      </c>
      <c r="N192" s="30">
        <v>1</v>
      </c>
      <c r="O192" s="30">
        <v>181196</v>
      </c>
      <c r="P192" s="29" t="s">
        <v>488</v>
      </c>
      <c r="Q192" s="29" t="s">
        <v>327</v>
      </c>
      <c r="R192" s="178" t="s">
        <v>489</v>
      </c>
    </row>
    <row r="193" spans="1:18">
      <c r="A193" s="177">
        <v>2</v>
      </c>
      <c r="B193" s="30">
        <v>6</v>
      </c>
      <c r="C193" s="1">
        <v>42888</v>
      </c>
      <c r="D193" s="27">
        <v>764887</v>
      </c>
      <c r="E193" s="30">
        <v>2016</v>
      </c>
      <c r="F193" s="30">
        <v>3</v>
      </c>
      <c r="G193" s="1">
        <v>42636</v>
      </c>
      <c r="H193" s="27">
        <v>722118</v>
      </c>
      <c r="I193" s="24">
        <v>47746</v>
      </c>
      <c r="J193" s="24">
        <v>-33670</v>
      </c>
      <c r="K193" s="30">
        <v>991</v>
      </c>
      <c r="L193" s="30">
        <v>6163</v>
      </c>
      <c r="M193" s="30">
        <v>85</v>
      </c>
      <c r="N193" s="30">
        <v>2</v>
      </c>
      <c r="O193" s="30">
        <v>181196</v>
      </c>
      <c r="P193" s="29" t="s">
        <v>488</v>
      </c>
      <c r="Q193" s="29" t="s">
        <v>327</v>
      </c>
      <c r="R193" s="178" t="s">
        <v>489</v>
      </c>
    </row>
    <row r="194" spans="1:18">
      <c r="A194" s="177">
        <v>2</v>
      </c>
      <c r="B194" s="30">
        <v>6</v>
      </c>
      <c r="C194" s="1">
        <v>42888</v>
      </c>
      <c r="D194" s="27">
        <v>764859</v>
      </c>
      <c r="E194" s="30">
        <v>2016</v>
      </c>
      <c r="F194" s="30">
        <v>3</v>
      </c>
      <c r="G194" s="1">
        <v>42580</v>
      </c>
      <c r="H194" s="27">
        <v>712095</v>
      </c>
      <c r="I194" s="24">
        <v>76000</v>
      </c>
      <c r="J194" s="24">
        <v>-6000</v>
      </c>
      <c r="K194" s="30">
        <v>991</v>
      </c>
      <c r="L194" s="30">
        <v>26626</v>
      </c>
      <c r="M194" s="30">
        <v>55</v>
      </c>
      <c r="N194" s="30">
        <v>1</v>
      </c>
      <c r="O194" s="30">
        <v>309540</v>
      </c>
      <c r="P194" s="29" t="s">
        <v>490</v>
      </c>
      <c r="Q194" s="29" t="s">
        <v>354</v>
      </c>
      <c r="R194" s="178" t="s">
        <v>322</v>
      </c>
    </row>
    <row r="195" spans="1:18">
      <c r="A195" s="177">
        <v>2</v>
      </c>
      <c r="B195" s="30">
        <v>6</v>
      </c>
      <c r="C195" s="1">
        <v>42888</v>
      </c>
      <c r="D195" s="27">
        <v>764859</v>
      </c>
      <c r="E195" s="30">
        <v>2016</v>
      </c>
      <c r="F195" s="30">
        <v>3</v>
      </c>
      <c r="G195" s="1">
        <v>42580</v>
      </c>
      <c r="H195" s="27">
        <v>712095</v>
      </c>
      <c r="I195" s="24">
        <v>15904</v>
      </c>
      <c r="J195" s="24">
        <v>-780</v>
      </c>
      <c r="K195" s="30">
        <v>991</v>
      </c>
      <c r="L195" s="30">
        <v>26626</v>
      </c>
      <c r="M195" s="30">
        <v>85</v>
      </c>
      <c r="N195" s="30">
        <v>2</v>
      </c>
      <c r="O195" s="30">
        <v>309540</v>
      </c>
      <c r="P195" s="29" t="s">
        <v>490</v>
      </c>
      <c r="Q195" s="29" t="s">
        <v>354</v>
      </c>
      <c r="R195" s="178" t="s">
        <v>322</v>
      </c>
    </row>
    <row r="196" spans="1:18">
      <c r="A196" s="177">
        <v>2</v>
      </c>
      <c r="B196" s="30">
        <v>6</v>
      </c>
      <c r="C196" s="1">
        <v>42899</v>
      </c>
      <c r="D196" s="27">
        <v>767317</v>
      </c>
      <c r="E196" s="30">
        <v>2016</v>
      </c>
      <c r="F196" s="30">
        <v>3</v>
      </c>
      <c r="G196" s="1">
        <v>42636</v>
      </c>
      <c r="H196" s="27">
        <v>722108</v>
      </c>
      <c r="I196" s="24">
        <v>445000</v>
      </c>
      <c r="J196" s="24">
        <v>-445000</v>
      </c>
      <c r="K196" s="30">
        <v>991</v>
      </c>
      <c r="L196" s="30">
        <v>2325</v>
      </c>
      <c r="M196" s="30">
        <v>55</v>
      </c>
      <c r="N196" s="30">
        <v>1</v>
      </c>
      <c r="O196" s="30">
        <v>140164</v>
      </c>
      <c r="P196" s="29" t="s">
        <v>491</v>
      </c>
      <c r="Q196" s="29" t="s">
        <v>321</v>
      </c>
      <c r="R196" s="178" t="s">
        <v>349</v>
      </c>
    </row>
    <row r="197" spans="1:18">
      <c r="A197" s="177">
        <v>2</v>
      </c>
      <c r="B197" s="30">
        <v>6</v>
      </c>
      <c r="C197" s="1">
        <v>42899</v>
      </c>
      <c r="D197" s="27">
        <v>767317</v>
      </c>
      <c r="E197" s="30">
        <v>2016</v>
      </c>
      <c r="F197" s="30">
        <v>3</v>
      </c>
      <c r="G197" s="1">
        <v>42636</v>
      </c>
      <c r="H197" s="27">
        <v>722108</v>
      </c>
      <c r="I197" s="24">
        <v>91305</v>
      </c>
      <c r="J197" s="24">
        <v>-57850</v>
      </c>
      <c r="K197" s="30">
        <v>991</v>
      </c>
      <c r="L197" s="30">
        <v>2325</v>
      </c>
      <c r="M197" s="30">
        <v>85</v>
      </c>
      <c r="N197" s="30">
        <v>2</v>
      </c>
      <c r="O197" s="30">
        <v>140164</v>
      </c>
      <c r="P197" s="29" t="s">
        <v>491</v>
      </c>
      <c r="Q197" s="29" t="s">
        <v>321</v>
      </c>
      <c r="R197" s="178" t="s">
        <v>349</v>
      </c>
    </row>
    <row r="198" spans="1:18">
      <c r="A198" s="177">
        <v>2</v>
      </c>
      <c r="B198" s="30">
        <v>6</v>
      </c>
      <c r="C198" s="1">
        <v>42902</v>
      </c>
      <c r="D198" s="27">
        <v>768422</v>
      </c>
      <c r="E198" s="30">
        <v>2016</v>
      </c>
      <c r="F198" s="30">
        <v>2</v>
      </c>
      <c r="G198" s="1">
        <v>42517</v>
      </c>
      <c r="H198" s="27">
        <v>699657</v>
      </c>
      <c r="I198" s="24">
        <v>53500</v>
      </c>
      <c r="J198" s="24">
        <v>-53500</v>
      </c>
      <c r="K198" s="30">
        <v>991</v>
      </c>
      <c r="L198" s="30">
        <v>3534</v>
      </c>
      <c r="M198" s="30">
        <v>55</v>
      </c>
      <c r="N198" s="30">
        <v>1</v>
      </c>
      <c r="O198" s="30">
        <v>145851</v>
      </c>
      <c r="P198" s="29" t="s">
        <v>492</v>
      </c>
      <c r="Q198" s="29" t="s">
        <v>493</v>
      </c>
      <c r="R198" s="178" t="s">
        <v>322</v>
      </c>
    </row>
    <row r="199" spans="1:18">
      <c r="A199" s="177">
        <v>2</v>
      </c>
      <c r="B199" s="30">
        <v>6</v>
      </c>
      <c r="C199" s="1">
        <v>42902</v>
      </c>
      <c r="D199" s="27">
        <v>768422</v>
      </c>
      <c r="E199" s="30">
        <v>2016</v>
      </c>
      <c r="F199" s="30">
        <v>2</v>
      </c>
      <c r="G199" s="1">
        <v>42517</v>
      </c>
      <c r="H199" s="27">
        <v>699657</v>
      </c>
      <c r="I199" s="24">
        <v>10809</v>
      </c>
      <c r="J199" s="24">
        <v>-6955</v>
      </c>
      <c r="K199" s="30">
        <v>991</v>
      </c>
      <c r="L199" s="30">
        <v>3534</v>
      </c>
      <c r="M199" s="30">
        <v>85</v>
      </c>
      <c r="N199" s="30">
        <v>2</v>
      </c>
      <c r="O199" s="30">
        <v>145851</v>
      </c>
      <c r="P199" s="29" t="s">
        <v>492</v>
      </c>
      <c r="Q199" s="29" t="s">
        <v>493</v>
      </c>
      <c r="R199" s="178" t="s">
        <v>322</v>
      </c>
    </row>
    <row r="200" spans="1:18">
      <c r="A200" s="177">
        <v>2</v>
      </c>
      <c r="B200" s="30">
        <v>6</v>
      </c>
      <c r="C200" s="1">
        <v>42907</v>
      </c>
      <c r="D200" s="27">
        <v>769500</v>
      </c>
      <c r="E200" s="30">
        <v>2016</v>
      </c>
      <c r="F200" s="30">
        <v>4</v>
      </c>
      <c r="G200" s="1">
        <v>42706</v>
      </c>
      <c r="H200" s="27">
        <v>733172</v>
      </c>
      <c r="I200" s="24">
        <v>4000</v>
      </c>
      <c r="J200" s="24">
        <v>-4000</v>
      </c>
      <c r="K200" s="30">
        <v>991</v>
      </c>
      <c r="L200" s="30">
        <v>64983</v>
      </c>
      <c r="M200" s="30">
        <v>55</v>
      </c>
      <c r="N200" s="30">
        <v>1</v>
      </c>
      <c r="O200" s="30">
        <v>1023212</v>
      </c>
      <c r="P200" s="29" t="s">
        <v>494</v>
      </c>
      <c r="Q200" s="29" t="s">
        <v>495</v>
      </c>
      <c r="R200" s="178" t="s">
        <v>496</v>
      </c>
    </row>
    <row r="201" spans="1:18">
      <c r="A201" s="177">
        <v>2</v>
      </c>
      <c r="B201" s="30">
        <v>6</v>
      </c>
      <c r="C201" s="1">
        <v>42907</v>
      </c>
      <c r="D201" s="27">
        <v>769500</v>
      </c>
      <c r="E201" s="30">
        <v>2016</v>
      </c>
      <c r="F201" s="30">
        <v>4</v>
      </c>
      <c r="G201" s="1">
        <v>42706</v>
      </c>
      <c r="H201" s="27">
        <v>733172</v>
      </c>
      <c r="I201" s="24">
        <v>832</v>
      </c>
      <c r="J201" s="24">
        <v>-520</v>
      </c>
      <c r="K201" s="30">
        <v>991</v>
      </c>
      <c r="L201" s="30">
        <v>64983</v>
      </c>
      <c r="M201" s="30">
        <v>85</v>
      </c>
      <c r="N201" s="30">
        <v>2</v>
      </c>
      <c r="O201" s="30">
        <v>1023212</v>
      </c>
      <c r="P201" s="29" t="s">
        <v>494</v>
      </c>
      <c r="Q201" s="29" t="s">
        <v>495</v>
      </c>
      <c r="R201" s="178" t="s">
        <v>496</v>
      </c>
    </row>
    <row r="202" spans="1:18">
      <c r="A202" s="177">
        <v>2</v>
      </c>
      <c r="B202" s="30">
        <v>6</v>
      </c>
      <c r="C202" s="1">
        <v>42907</v>
      </c>
      <c r="D202" s="27">
        <v>769482</v>
      </c>
      <c r="E202" s="30">
        <v>2017</v>
      </c>
      <c r="F202" s="30">
        <v>2</v>
      </c>
      <c r="G202" s="1">
        <v>42853</v>
      </c>
      <c r="H202" s="27">
        <v>759615</v>
      </c>
      <c r="I202" s="24">
        <v>12000</v>
      </c>
      <c r="J202" s="24">
        <v>-12000</v>
      </c>
      <c r="K202" s="30">
        <v>991</v>
      </c>
      <c r="L202" s="30">
        <v>6779</v>
      </c>
      <c r="M202" s="30">
        <v>55</v>
      </c>
      <c r="N202" s="30">
        <v>1</v>
      </c>
      <c r="O202" s="30">
        <v>183799</v>
      </c>
      <c r="P202" s="29" t="s">
        <v>497</v>
      </c>
      <c r="Q202" s="29" t="s">
        <v>366</v>
      </c>
      <c r="R202" s="178" t="s">
        <v>426</v>
      </c>
    </row>
    <row r="203" spans="1:18">
      <c r="A203" s="177">
        <v>2</v>
      </c>
      <c r="B203" s="30">
        <v>6</v>
      </c>
      <c r="C203" s="1">
        <v>42907</v>
      </c>
      <c r="D203" s="27">
        <v>769482</v>
      </c>
      <c r="E203" s="30">
        <v>2017</v>
      </c>
      <c r="F203" s="30">
        <v>2</v>
      </c>
      <c r="G203" s="1">
        <v>42853</v>
      </c>
      <c r="H203" s="27">
        <v>759615</v>
      </c>
      <c r="I203" s="24">
        <v>10316</v>
      </c>
      <c r="J203" s="24">
        <v>-1560</v>
      </c>
      <c r="K203" s="30">
        <v>991</v>
      </c>
      <c r="L203" s="30">
        <v>6779</v>
      </c>
      <c r="M203" s="30">
        <v>85</v>
      </c>
      <c r="N203" s="30">
        <v>2</v>
      </c>
      <c r="O203" s="30">
        <v>183799</v>
      </c>
      <c r="P203" s="29" t="s">
        <v>497</v>
      </c>
      <c r="Q203" s="29" t="s">
        <v>366</v>
      </c>
      <c r="R203" s="178" t="s">
        <v>426</v>
      </c>
    </row>
    <row r="204" spans="1:18">
      <c r="A204" s="177">
        <v>2</v>
      </c>
      <c r="B204" s="30">
        <v>6</v>
      </c>
      <c r="C204" s="1">
        <v>42916</v>
      </c>
      <c r="D204" s="27">
        <v>765499</v>
      </c>
      <c r="E204" s="30">
        <v>2017</v>
      </c>
      <c r="F204" s="30">
        <v>2</v>
      </c>
      <c r="G204" s="1">
        <v>42859</v>
      </c>
      <c r="H204" s="27">
        <v>759727</v>
      </c>
      <c r="I204" s="24">
        <v>5727.8</v>
      </c>
      <c r="J204" s="24">
        <v>-5727.8</v>
      </c>
      <c r="K204" s="30">
        <v>16</v>
      </c>
      <c r="L204" s="30">
        <v>982</v>
      </c>
      <c r="M204" s="30">
        <v>60</v>
      </c>
      <c r="N204" s="30">
        <v>0</v>
      </c>
      <c r="O204" s="30">
        <v>96235</v>
      </c>
      <c r="P204" s="29" t="s">
        <v>498</v>
      </c>
      <c r="Q204" s="29" t="s">
        <v>354</v>
      </c>
      <c r="R204" s="178" t="s">
        <v>328</v>
      </c>
    </row>
    <row r="205" spans="1:18">
      <c r="A205" s="177">
        <v>2</v>
      </c>
      <c r="B205" s="30">
        <v>6</v>
      </c>
      <c r="C205" s="1">
        <v>42916</v>
      </c>
      <c r="D205" s="27">
        <v>765499</v>
      </c>
      <c r="E205" s="30">
        <v>2017</v>
      </c>
      <c r="F205" s="30">
        <v>2</v>
      </c>
      <c r="G205" s="1">
        <v>42859</v>
      </c>
      <c r="H205" s="27">
        <v>759727</v>
      </c>
      <c r="I205" s="24">
        <v>745</v>
      </c>
      <c r="J205" s="24">
        <v>-745</v>
      </c>
      <c r="K205" s="30">
        <v>16</v>
      </c>
      <c r="L205" s="30">
        <v>982</v>
      </c>
      <c r="M205" s="30">
        <v>85</v>
      </c>
      <c r="N205" s="30">
        <v>0</v>
      </c>
      <c r="O205" s="30">
        <v>96235</v>
      </c>
      <c r="P205" s="29" t="s">
        <v>498</v>
      </c>
      <c r="Q205" s="29" t="s">
        <v>354</v>
      </c>
      <c r="R205" s="178" t="s">
        <v>328</v>
      </c>
    </row>
    <row r="206" spans="1:18">
      <c r="A206" s="177">
        <v>2</v>
      </c>
      <c r="B206" s="30">
        <v>6</v>
      </c>
      <c r="C206" s="1">
        <v>42916</v>
      </c>
      <c r="D206" s="27">
        <v>765499</v>
      </c>
      <c r="E206" s="30">
        <v>2017</v>
      </c>
      <c r="F206" s="30">
        <v>2</v>
      </c>
      <c r="G206" s="1">
        <v>42835</v>
      </c>
      <c r="H206" s="27">
        <v>755302</v>
      </c>
      <c r="I206" s="24">
        <v>5328.1</v>
      </c>
      <c r="J206" s="24">
        <v>-5328.1</v>
      </c>
      <c r="K206" s="30">
        <v>335</v>
      </c>
      <c r="L206" s="30">
        <v>76</v>
      </c>
      <c r="M206" s="30">
        <v>60</v>
      </c>
      <c r="N206" s="30">
        <v>0</v>
      </c>
      <c r="O206" s="30">
        <v>225423</v>
      </c>
      <c r="P206" s="29" t="s">
        <v>499</v>
      </c>
      <c r="Q206" s="29" t="s">
        <v>500</v>
      </c>
      <c r="R206" s="178" t="s">
        <v>501</v>
      </c>
    </row>
    <row r="207" spans="1:18">
      <c r="A207" s="177">
        <v>2</v>
      </c>
      <c r="B207" s="30">
        <v>6</v>
      </c>
      <c r="C207" s="1">
        <v>42916</v>
      </c>
      <c r="D207" s="27">
        <v>765499</v>
      </c>
      <c r="E207" s="30">
        <v>2017</v>
      </c>
      <c r="F207" s="30">
        <v>2</v>
      </c>
      <c r="G207" s="1">
        <v>42835</v>
      </c>
      <c r="H207" s="27">
        <v>755302</v>
      </c>
      <c r="I207" s="24">
        <v>628</v>
      </c>
      <c r="J207" s="24">
        <v>-628</v>
      </c>
      <c r="K207" s="30">
        <v>335</v>
      </c>
      <c r="L207" s="30">
        <v>76</v>
      </c>
      <c r="M207" s="30">
        <v>85</v>
      </c>
      <c r="N207" s="30">
        <v>0</v>
      </c>
      <c r="O207" s="30">
        <v>225423</v>
      </c>
      <c r="P207" s="29" t="s">
        <v>499</v>
      </c>
      <c r="Q207" s="29" t="s">
        <v>500</v>
      </c>
      <c r="R207" s="178" t="s">
        <v>501</v>
      </c>
    </row>
    <row r="208" spans="1:18">
      <c r="A208" s="177">
        <v>2</v>
      </c>
      <c r="B208" s="30">
        <v>6</v>
      </c>
      <c r="C208" s="1">
        <v>42916</v>
      </c>
      <c r="D208" s="27">
        <v>765499</v>
      </c>
      <c r="E208" s="30">
        <v>2017</v>
      </c>
      <c r="F208" s="30">
        <v>2</v>
      </c>
      <c r="G208" s="1">
        <v>42835</v>
      </c>
      <c r="H208" s="27">
        <v>755302</v>
      </c>
      <c r="I208" s="24">
        <v>500</v>
      </c>
      <c r="J208" s="24">
        <v>-500</v>
      </c>
      <c r="K208" s="30">
        <v>335</v>
      </c>
      <c r="L208" s="30">
        <v>76</v>
      </c>
      <c r="M208" s="30">
        <v>1025</v>
      </c>
      <c r="N208" s="30">
        <v>0</v>
      </c>
      <c r="O208" s="30">
        <v>225423</v>
      </c>
      <c r="P208" s="29" t="s">
        <v>499</v>
      </c>
      <c r="Q208" s="29" t="s">
        <v>500</v>
      </c>
      <c r="R208" s="178" t="s">
        <v>501</v>
      </c>
    </row>
    <row r="209" spans="1:18">
      <c r="A209" s="177">
        <v>2</v>
      </c>
      <c r="B209" s="30">
        <v>6</v>
      </c>
      <c r="C209" s="1">
        <v>42916</v>
      </c>
      <c r="D209" s="27">
        <v>770339</v>
      </c>
      <c r="E209" s="30">
        <v>2017</v>
      </c>
      <c r="F209" s="30">
        <v>2</v>
      </c>
      <c r="G209" s="1">
        <v>42907</v>
      </c>
      <c r="H209" s="27">
        <v>769491</v>
      </c>
      <c r="I209" s="24">
        <v>10000</v>
      </c>
      <c r="J209" s="24">
        <v>-10000</v>
      </c>
      <c r="K209" s="30">
        <v>991</v>
      </c>
      <c r="L209" s="30">
        <v>39098</v>
      </c>
      <c r="M209" s="30">
        <v>55</v>
      </c>
      <c r="N209" s="30">
        <v>1</v>
      </c>
      <c r="O209" s="30">
        <v>570476</v>
      </c>
      <c r="P209" s="29" t="s">
        <v>502</v>
      </c>
      <c r="Q209" s="29" t="s">
        <v>503</v>
      </c>
      <c r="R209" s="178" t="s">
        <v>504</v>
      </c>
    </row>
    <row r="210" spans="1:18">
      <c r="A210" s="177">
        <v>2</v>
      </c>
      <c r="B210" s="30">
        <v>6</v>
      </c>
      <c r="C210" s="1">
        <v>42916</v>
      </c>
      <c r="D210" s="27">
        <v>770339</v>
      </c>
      <c r="E210" s="30">
        <v>2017</v>
      </c>
      <c r="F210" s="30">
        <v>2</v>
      </c>
      <c r="G210" s="1">
        <v>42907</v>
      </c>
      <c r="H210" s="27">
        <v>769491</v>
      </c>
      <c r="I210" s="24">
        <v>4087</v>
      </c>
      <c r="J210" s="24">
        <v>-1300</v>
      </c>
      <c r="K210" s="30">
        <v>991</v>
      </c>
      <c r="L210" s="30">
        <v>39098</v>
      </c>
      <c r="M210" s="30">
        <v>85</v>
      </c>
      <c r="N210" s="30">
        <v>2</v>
      </c>
      <c r="O210" s="30">
        <v>570476</v>
      </c>
      <c r="P210" s="29" t="s">
        <v>502</v>
      </c>
      <c r="Q210" s="29" t="s">
        <v>503</v>
      </c>
      <c r="R210" s="178" t="s">
        <v>504</v>
      </c>
    </row>
    <row r="211" spans="1:18">
      <c r="A211" s="177">
        <v>2</v>
      </c>
      <c r="B211" s="30">
        <v>6</v>
      </c>
      <c r="C211" s="1">
        <v>42916</v>
      </c>
      <c r="D211" s="27">
        <v>765499</v>
      </c>
      <c r="E211" s="30">
        <v>2017</v>
      </c>
      <c r="F211" s="30">
        <v>1</v>
      </c>
      <c r="G211" s="1">
        <v>42745</v>
      </c>
      <c r="H211" s="27">
        <v>740276</v>
      </c>
      <c r="I211" s="24">
        <v>5931.8</v>
      </c>
      <c r="J211" s="24">
        <v>-5931.8</v>
      </c>
      <c r="K211" s="30">
        <v>7</v>
      </c>
      <c r="L211" s="30">
        <v>3870</v>
      </c>
      <c r="M211" s="30">
        <v>60</v>
      </c>
      <c r="N211" s="30">
        <v>0</v>
      </c>
      <c r="O211" s="30">
        <v>35430</v>
      </c>
      <c r="P211" s="29" t="s">
        <v>505</v>
      </c>
      <c r="Q211" s="29" t="s">
        <v>506</v>
      </c>
      <c r="R211" s="178" t="s">
        <v>507</v>
      </c>
    </row>
    <row r="212" spans="1:18">
      <c r="A212" s="177">
        <v>2</v>
      </c>
      <c r="B212" s="30">
        <v>6</v>
      </c>
      <c r="C212" s="1">
        <v>42916</v>
      </c>
      <c r="D212" s="27">
        <v>765499</v>
      </c>
      <c r="E212" s="30">
        <v>2017</v>
      </c>
      <c r="F212" s="30">
        <v>1</v>
      </c>
      <c r="G212" s="1">
        <v>42745</v>
      </c>
      <c r="H212" s="27">
        <v>740276</v>
      </c>
      <c r="I212" s="24">
        <v>771</v>
      </c>
      <c r="J212" s="24">
        <v>-771</v>
      </c>
      <c r="K212" s="30">
        <v>7</v>
      </c>
      <c r="L212" s="30">
        <v>3870</v>
      </c>
      <c r="M212" s="30">
        <v>85</v>
      </c>
      <c r="N212" s="30">
        <v>0</v>
      </c>
      <c r="O212" s="30">
        <v>35430</v>
      </c>
      <c r="P212" s="29" t="s">
        <v>505</v>
      </c>
      <c r="Q212" s="29" t="s">
        <v>506</v>
      </c>
      <c r="R212" s="178" t="s">
        <v>507</v>
      </c>
    </row>
    <row r="213" spans="1:18">
      <c r="A213" s="177">
        <v>2</v>
      </c>
      <c r="B213" s="30">
        <v>6</v>
      </c>
      <c r="C213" s="1">
        <v>42916</v>
      </c>
      <c r="D213" s="27">
        <v>765499</v>
      </c>
      <c r="E213" s="30">
        <v>2017</v>
      </c>
      <c r="F213" s="30">
        <v>1</v>
      </c>
      <c r="G213" s="1">
        <v>42776</v>
      </c>
      <c r="H213" s="27">
        <v>744978</v>
      </c>
      <c r="I213" s="24">
        <v>5931.8</v>
      </c>
      <c r="J213" s="24">
        <v>-5931.8</v>
      </c>
      <c r="K213" s="30">
        <v>7</v>
      </c>
      <c r="L213" s="30">
        <v>3870</v>
      </c>
      <c r="M213" s="30">
        <v>60</v>
      </c>
      <c r="N213" s="30">
        <v>0</v>
      </c>
      <c r="O213" s="30">
        <v>35430</v>
      </c>
      <c r="P213" s="29" t="s">
        <v>505</v>
      </c>
      <c r="Q213" s="29" t="s">
        <v>506</v>
      </c>
      <c r="R213" s="178" t="s">
        <v>507</v>
      </c>
    </row>
    <row r="214" spans="1:18">
      <c r="A214" s="177">
        <v>2</v>
      </c>
      <c r="B214" s="30">
        <v>6</v>
      </c>
      <c r="C214" s="1">
        <v>42916</v>
      </c>
      <c r="D214" s="27">
        <v>765499</v>
      </c>
      <c r="E214" s="30">
        <v>2017</v>
      </c>
      <c r="F214" s="30">
        <v>1</v>
      </c>
      <c r="G214" s="1">
        <v>42776</v>
      </c>
      <c r="H214" s="27">
        <v>744978</v>
      </c>
      <c r="I214" s="24">
        <v>771</v>
      </c>
      <c r="J214" s="24">
        <v>-771</v>
      </c>
      <c r="K214" s="30">
        <v>7</v>
      </c>
      <c r="L214" s="30">
        <v>3870</v>
      </c>
      <c r="M214" s="30">
        <v>85</v>
      </c>
      <c r="N214" s="30">
        <v>0</v>
      </c>
      <c r="O214" s="30">
        <v>35430</v>
      </c>
      <c r="P214" s="29" t="s">
        <v>505</v>
      </c>
      <c r="Q214" s="29" t="s">
        <v>506</v>
      </c>
      <c r="R214" s="178" t="s">
        <v>507</v>
      </c>
    </row>
    <row r="215" spans="1:18">
      <c r="A215" s="177">
        <v>2</v>
      </c>
      <c r="B215" s="30">
        <v>6</v>
      </c>
      <c r="C215" s="1">
        <v>42916</v>
      </c>
      <c r="D215" s="27">
        <v>765499</v>
      </c>
      <c r="E215" s="30">
        <v>2017</v>
      </c>
      <c r="F215" s="30">
        <v>1</v>
      </c>
      <c r="G215" s="1">
        <v>42804</v>
      </c>
      <c r="H215" s="27">
        <v>749816</v>
      </c>
      <c r="I215" s="24">
        <v>5931.8</v>
      </c>
      <c r="J215" s="24">
        <v>-5931.8</v>
      </c>
      <c r="K215" s="30">
        <v>7</v>
      </c>
      <c r="L215" s="30">
        <v>3870</v>
      </c>
      <c r="M215" s="30">
        <v>60</v>
      </c>
      <c r="N215" s="30">
        <v>0</v>
      </c>
      <c r="O215" s="30">
        <v>35430</v>
      </c>
      <c r="P215" s="29" t="s">
        <v>505</v>
      </c>
      <c r="Q215" s="29" t="s">
        <v>506</v>
      </c>
      <c r="R215" s="178" t="s">
        <v>507</v>
      </c>
    </row>
    <row r="216" spans="1:18">
      <c r="A216" s="177">
        <v>2</v>
      </c>
      <c r="B216" s="30">
        <v>6</v>
      </c>
      <c r="C216" s="1">
        <v>42916</v>
      </c>
      <c r="D216" s="27">
        <v>765499</v>
      </c>
      <c r="E216" s="30">
        <v>2017</v>
      </c>
      <c r="F216" s="30">
        <v>1</v>
      </c>
      <c r="G216" s="1">
        <v>42804</v>
      </c>
      <c r="H216" s="27">
        <v>749816</v>
      </c>
      <c r="I216" s="24">
        <v>771</v>
      </c>
      <c r="J216" s="24">
        <v>-771</v>
      </c>
      <c r="K216" s="30">
        <v>7</v>
      </c>
      <c r="L216" s="30">
        <v>3870</v>
      </c>
      <c r="M216" s="30">
        <v>85</v>
      </c>
      <c r="N216" s="30">
        <v>0</v>
      </c>
      <c r="O216" s="30">
        <v>35430</v>
      </c>
      <c r="P216" s="29" t="s">
        <v>505</v>
      </c>
      <c r="Q216" s="29" t="s">
        <v>506</v>
      </c>
      <c r="R216" s="178" t="s">
        <v>507</v>
      </c>
    </row>
    <row r="217" spans="1:18">
      <c r="A217" s="177">
        <v>2</v>
      </c>
      <c r="B217" s="30">
        <v>6</v>
      </c>
      <c r="C217" s="1">
        <v>42916</v>
      </c>
      <c r="D217" s="27">
        <v>765499</v>
      </c>
      <c r="E217" s="30">
        <v>2017</v>
      </c>
      <c r="F217" s="30">
        <v>2</v>
      </c>
      <c r="G217" s="1">
        <v>42835</v>
      </c>
      <c r="H217" s="27">
        <v>755291</v>
      </c>
      <c r="I217" s="24">
        <v>5931.8</v>
      </c>
      <c r="J217" s="24">
        <v>-5931.8</v>
      </c>
      <c r="K217" s="30">
        <v>7</v>
      </c>
      <c r="L217" s="30">
        <v>3870</v>
      </c>
      <c r="M217" s="30">
        <v>60</v>
      </c>
      <c r="N217" s="30">
        <v>0</v>
      </c>
      <c r="O217" s="30">
        <v>35430</v>
      </c>
      <c r="P217" s="29" t="s">
        <v>505</v>
      </c>
      <c r="Q217" s="29" t="s">
        <v>506</v>
      </c>
      <c r="R217" s="178" t="s">
        <v>507</v>
      </c>
    </row>
    <row r="218" spans="1:18">
      <c r="A218" s="177">
        <v>2</v>
      </c>
      <c r="B218" s="30">
        <v>6</v>
      </c>
      <c r="C218" s="1">
        <v>42916</v>
      </c>
      <c r="D218" s="27">
        <v>765499</v>
      </c>
      <c r="E218" s="30">
        <v>2017</v>
      </c>
      <c r="F218" s="30">
        <v>2</v>
      </c>
      <c r="G218" s="1">
        <v>42835</v>
      </c>
      <c r="H218" s="27">
        <v>755291</v>
      </c>
      <c r="I218" s="24">
        <v>772</v>
      </c>
      <c r="J218" s="24">
        <v>-772</v>
      </c>
      <c r="K218" s="30">
        <v>7</v>
      </c>
      <c r="L218" s="30">
        <v>3870</v>
      </c>
      <c r="M218" s="30">
        <v>85</v>
      </c>
      <c r="N218" s="30">
        <v>0</v>
      </c>
      <c r="O218" s="30">
        <v>35430</v>
      </c>
      <c r="P218" s="29" t="s">
        <v>505</v>
      </c>
      <c r="Q218" s="29" t="s">
        <v>506</v>
      </c>
      <c r="R218" s="178" t="s">
        <v>507</v>
      </c>
    </row>
    <row r="219" spans="1:18">
      <c r="A219" s="177">
        <v>2</v>
      </c>
      <c r="B219" s="30">
        <v>6</v>
      </c>
      <c r="C219" s="1">
        <v>42916</v>
      </c>
      <c r="D219" s="27">
        <v>765499</v>
      </c>
      <c r="E219" s="30">
        <v>2017</v>
      </c>
      <c r="F219" s="30">
        <v>2</v>
      </c>
      <c r="G219" s="1">
        <v>42859</v>
      </c>
      <c r="H219" s="27">
        <v>759727</v>
      </c>
      <c r="I219" s="24">
        <v>8631.41</v>
      </c>
      <c r="J219" s="24">
        <v>-8631.41</v>
      </c>
      <c r="K219" s="30">
        <v>65</v>
      </c>
      <c r="L219" s="30">
        <v>990</v>
      </c>
      <c r="M219" s="30">
        <v>60</v>
      </c>
      <c r="N219" s="30">
        <v>0</v>
      </c>
      <c r="O219" s="30">
        <v>37676</v>
      </c>
      <c r="P219" s="29" t="s">
        <v>508</v>
      </c>
      <c r="Q219" s="29" t="s">
        <v>509</v>
      </c>
      <c r="R219" s="178" t="s">
        <v>322</v>
      </c>
    </row>
    <row r="220" spans="1:18">
      <c r="A220" s="177">
        <v>2</v>
      </c>
      <c r="B220" s="30">
        <v>6</v>
      </c>
      <c r="C220" s="1">
        <v>42916</v>
      </c>
      <c r="D220" s="27">
        <v>765499</v>
      </c>
      <c r="E220" s="30">
        <v>2017</v>
      </c>
      <c r="F220" s="30">
        <v>2</v>
      </c>
      <c r="G220" s="1">
        <v>42859</v>
      </c>
      <c r="H220" s="27">
        <v>759727</v>
      </c>
      <c r="I220" s="24">
        <v>1057</v>
      </c>
      <c r="J220" s="24">
        <v>-1057</v>
      </c>
      <c r="K220" s="30">
        <v>65</v>
      </c>
      <c r="L220" s="30">
        <v>990</v>
      </c>
      <c r="M220" s="30">
        <v>85</v>
      </c>
      <c r="N220" s="30">
        <v>0</v>
      </c>
      <c r="O220" s="30">
        <v>37676</v>
      </c>
      <c r="P220" s="29" t="s">
        <v>508</v>
      </c>
      <c r="Q220" s="29" t="s">
        <v>509</v>
      </c>
      <c r="R220" s="178" t="s">
        <v>322</v>
      </c>
    </row>
    <row r="221" spans="1:18">
      <c r="A221" s="177">
        <v>2</v>
      </c>
      <c r="B221" s="30">
        <v>6</v>
      </c>
      <c r="C221" s="1">
        <v>42916</v>
      </c>
      <c r="D221" s="27">
        <v>765499</v>
      </c>
      <c r="E221" s="30">
        <v>2017</v>
      </c>
      <c r="F221" s="30">
        <v>2</v>
      </c>
      <c r="G221" s="1">
        <v>42859</v>
      </c>
      <c r="H221" s="27">
        <v>759727</v>
      </c>
      <c r="I221" s="24">
        <v>500</v>
      </c>
      <c r="J221" s="24">
        <v>-500</v>
      </c>
      <c r="K221" s="30">
        <v>65</v>
      </c>
      <c r="L221" s="30">
        <v>990</v>
      </c>
      <c r="M221" s="30">
        <v>1025</v>
      </c>
      <c r="N221" s="30">
        <v>0</v>
      </c>
      <c r="O221" s="30">
        <v>37676</v>
      </c>
      <c r="P221" s="29" t="s">
        <v>508</v>
      </c>
      <c r="Q221" s="29" t="s">
        <v>509</v>
      </c>
      <c r="R221" s="178" t="s">
        <v>322</v>
      </c>
    </row>
    <row r="222" spans="1:18">
      <c r="A222" s="177">
        <v>2</v>
      </c>
      <c r="B222" s="30">
        <v>6</v>
      </c>
      <c r="C222" s="1">
        <v>42916</v>
      </c>
      <c r="D222" s="27">
        <v>765499</v>
      </c>
      <c r="E222" s="30">
        <v>2017</v>
      </c>
      <c r="F222" s="30">
        <v>2</v>
      </c>
      <c r="G222" s="1">
        <v>42895</v>
      </c>
      <c r="H222" s="27">
        <v>765704</v>
      </c>
      <c r="I222" s="24">
        <v>8631.41</v>
      </c>
      <c r="J222" s="24">
        <v>-8631.41</v>
      </c>
      <c r="K222" s="30">
        <v>65</v>
      </c>
      <c r="L222" s="30">
        <v>990</v>
      </c>
      <c r="M222" s="30">
        <v>60</v>
      </c>
      <c r="N222" s="30">
        <v>0</v>
      </c>
      <c r="O222" s="30">
        <v>37676</v>
      </c>
      <c r="P222" s="29" t="s">
        <v>508</v>
      </c>
      <c r="Q222" s="29" t="s">
        <v>509</v>
      </c>
      <c r="R222" s="178" t="s">
        <v>322</v>
      </c>
    </row>
    <row r="223" spans="1:18">
      <c r="A223" s="177">
        <v>2</v>
      </c>
      <c r="B223" s="30">
        <v>6</v>
      </c>
      <c r="C223" s="1">
        <v>42916</v>
      </c>
      <c r="D223" s="27">
        <v>765499</v>
      </c>
      <c r="E223" s="30">
        <v>2017</v>
      </c>
      <c r="F223" s="30">
        <v>2</v>
      </c>
      <c r="G223" s="1">
        <v>42895</v>
      </c>
      <c r="H223" s="27">
        <v>765704</v>
      </c>
      <c r="I223" s="24">
        <v>1057</v>
      </c>
      <c r="J223" s="24">
        <v>-1057</v>
      </c>
      <c r="K223" s="30">
        <v>65</v>
      </c>
      <c r="L223" s="30">
        <v>990</v>
      </c>
      <c r="M223" s="30">
        <v>85</v>
      </c>
      <c r="N223" s="30">
        <v>0</v>
      </c>
      <c r="O223" s="30">
        <v>37676</v>
      </c>
      <c r="P223" s="29" t="s">
        <v>508</v>
      </c>
      <c r="Q223" s="29" t="s">
        <v>509</v>
      </c>
      <c r="R223" s="178" t="s">
        <v>322</v>
      </c>
    </row>
    <row r="224" spans="1:18">
      <c r="A224" s="177">
        <v>2</v>
      </c>
      <c r="B224" s="30">
        <v>6</v>
      </c>
      <c r="C224" s="1">
        <v>42916</v>
      </c>
      <c r="D224" s="27">
        <v>765499</v>
      </c>
      <c r="E224" s="30">
        <v>2017</v>
      </c>
      <c r="F224" s="30">
        <v>2</v>
      </c>
      <c r="G224" s="1">
        <v>42895</v>
      </c>
      <c r="H224" s="27">
        <v>765704</v>
      </c>
      <c r="I224" s="24">
        <v>500</v>
      </c>
      <c r="J224" s="24">
        <v>-500</v>
      </c>
      <c r="K224" s="30">
        <v>65</v>
      </c>
      <c r="L224" s="30">
        <v>990</v>
      </c>
      <c r="M224" s="30">
        <v>1025</v>
      </c>
      <c r="N224" s="30">
        <v>0</v>
      </c>
      <c r="O224" s="30">
        <v>37676</v>
      </c>
      <c r="P224" s="29" t="s">
        <v>508</v>
      </c>
      <c r="Q224" s="29" t="s">
        <v>509</v>
      </c>
      <c r="R224" s="178" t="s">
        <v>322</v>
      </c>
    </row>
    <row r="225" spans="1:18">
      <c r="A225" s="177">
        <v>2</v>
      </c>
      <c r="B225" s="30">
        <v>6</v>
      </c>
      <c r="C225" s="1">
        <v>42916</v>
      </c>
      <c r="D225" s="27">
        <v>765499</v>
      </c>
      <c r="E225" s="30">
        <v>2017</v>
      </c>
      <c r="F225" s="30">
        <v>1</v>
      </c>
      <c r="G225" s="1">
        <v>42804</v>
      </c>
      <c r="H225" s="27">
        <v>749816</v>
      </c>
      <c r="I225" s="24">
        <v>6578.62</v>
      </c>
      <c r="J225" s="24">
        <v>-6578.62</v>
      </c>
      <c r="K225" s="30">
        <v>14</v>
      </c>
      <c r="L225" s="30">
        <v>340</v>
      </c>
      <c r="M225" s="30">
        <v>60</v>
      </c>
      <c r="N225" s="30">
        <v>0</v>
      </c>
      <c r="O225" s="30">
        <v>10738</v>
      </c>
      <c r="P225" s="29" t="s">
        <v>510</v>
      </c>
      <c r="Q225" s="29" t="s">
        <v>511</v>
      </c>
      <c r="R225" s="178" t="s">
        <v>507</v>
      </c>
    </row>
    <row r="226" spans="1:18">
      <c r="A226" s="177">
        <v>2</v>
      </c>
      <c r="B226" s="30">
        <v>6</v>
      </c>
      <c r="C226" s="1">
        <v>42916</v>
      </c>
      <c r="D226" s="27">
        <v>765499</v>
      </c>
      <c r="E226" s="30">
        <v>2017</v>
      </c>
      <c r="F226" s="30">
        <v>1</v>
      </c>
      <c r="G226" s="1">
        <v>42804</v>
      </c>
      <c r="H226" s="27">
        <v>749816</v>
      </c>
      <c r="I226" s="24">
        <v>856</v>
      </c>
      <c r="J226" s="24">
        <v>-856</v>
      </c>
      <c r="K226" s="30">
        <v>14</v>
      </c>
      <c r="L226" s="30">
        <v>340</v>
      </c>
      <c r="M226" s="30">
        <v>85</v>
      </c>
      <c r="N226" s="30">
        <v>0</v>
      </c>
      <c r="O226" s="30">
        <v>10738</v>
      </c>
      <c r="P226" s="29" t="s">
        <v>510</v>
      </c>
      <c r="Q226" s="29" t="s">
        <v>511</v>
      </c>
      <c r="R226" s="178" t="s">
        <v>507</v>
      </c>
    </row>
    <row r="227" spans="1:18">
      <c r="A227" s="177">
        <v>2</v>
      </c>
      <c r="B227" s="30">
        <v>6</v>
      </c>
      <c r="C227" s="1">
        <v>42916</v>
      </c>
      <c r="D227" s="27">
        <v>770349</v>
      </c>
      <c r="E227" s="30">
        <v>2017</v>
      </c>
      <c r="F227" s="30">
        <v>2</v>
      </c>
      <c r="G227" s="1">
        <v>42839</v>
      </c>
      <c r="H227" s="27">
        <v>757564</v>
      </c>
      <c r="I227" s="24">
        <v>252000</v>
      </c>
      <c r="J227" s="24">
        <v>-252000</v>
      </c>
      <c r="K227" s="30">
        <v>991</v>
      </c>
      <c r="L227" s="30">
        <v>63422</v>
      </c>
      <c r="M227" s="30">
        <v>55</v>
      </c>
      <c r="N227" s="30">
        <v>1</v>
      </c>
      <c r="O227" s="30">
        <v>1013476</v>
      </c>
      <c r="P227" s="29" t="s">
        <v>512</v>
      </c>
      <c r="Q227" s="29" t="s">
        <v>513</v>
      </c>
      <c r="R227" s="178" t="s">
        <v>328</v>
      </c>
    </row>
    <row r="228" spans="1:18">
      <c r="A228" s="177">
        <v>2</v>
      </c>
      <c r="B228" s="30">
        <v>6</v>
      </c>
      <c r="C228" s="1">
        <v>42916</v>
      </c>
      <c r="D228" s="27">
        <v>770349</v>
      </c>
      <c r="E228" s="30">
        <v>2017</v>
      </c>
      <c r="F228" s="30">
        <v>2</v>
      </c>
      <c r="G228" s="1">
        <v>42839</v>
      </c>
      <c r="H228" s="27">
        <v>757564</v>
      </c>
      <c r="I228" s="24">
        <v>43849</v>
      </c>
      <c r="J228" s="24">
        <v>-32760</v>
      </c>
      <c r="K228" s="30">
        <v>991</v>
      </c>
      <c r="L228" s="30">
        <v>63422</v>
      </c>
      <c r="M228" s="30">
        <v>85</v>
      </c>
      <c r="N228" s="30">
        <v>2</v>
      </c>
      <c r="O228" s="30">
        <v>1013476</v>
      </c>
      <c r="P228" s="29" t="s">
        <v>512</v>
      </c>
      <c r="Q228" s="29" t="s">
        <v>513</v>
      </c>
      <c r="R228" s="178" t="s">
        <v>328</v>
      </c>
    </row>
    <row r="229" spans="1:18">
      <c r="A229" s="177">
        <v>2</v>
      </c>
      <c r="B229" s="30">
        <v>6</v>
      </c>
      <c r="C229" s="1">
        <v>42916</v>
      </c>
      <c r="D229" s="27">
        <v>765499</v>
      </c>
      <c r="E229" s="30">
        <v>2017</v>
      </c>
      <c r="F229" s="30">
        <v>2</v>
      </c>
      <c r="G229" s="1">
        <v>42835</v>
      </c>
      <c r="H229" s="27">
        <v>755297</v>
      </c>
      <c r="I229" s="24">
        <v>13964.9</v>
      </c>
      <c r="J229" s="24">
        <v>-13964.9</v>
      </c>
      <c r="K229" s="30">
        <v>140</v>
      </c>
      <c r="L229" s="30">
        <v>1678</v>
      </c>
      <c r="M229" s="30">
        <v>60</v>
      </c>
      <c r="N229" s="30">
        <v>0</v>
      </c>
      <c r="O229" s="30">
        <v>84047</v>
      </c>
      <c r="P229" s="29" t="s">
        <v>514</v>
      </c>
      <c r="Q229" s="29" t="s">
        <v>342</v>
      </c>
      <c r="R229" s="178" t="s">
        <v>328</v>
      </c>
    </row>
    <row r="230" spans="1:18">
      <c r="A230" s="177">
        <v>2</v>
      </c>
      <c r="B230" s="30">
        <v>6</v>
      </c>
      <c r="C230" s="1">
        <v>42916</v>
      </c>
      <c r="D230" s="27">
        <v>765499</v>
      </c>
      <c r="E230" s="30">
        <v>2017</v>
      </c>
      <c r="F230" s="30">
        <v>2</v>
      </c>
      <c r="G230" s="1">
        <v>42835</v>
      </c>
      <c r="H230" s="27">
        <v>755297</v>
      </c>
      <c r="I230" s="24">
        <v>1816</v>
      </c>
      <c r="J230" s="24">
        <v>-1816</v>
      </c>
      <c r="K230" s="30">
        <v>140</v>
      </c>
      <c r="L230" s="30">
        <v>1678</v>
      </c>
      <c r="M230" s="30">
        <v>85</v>
      </c>
      <c r="N230" s="30">
        <v>0</v>
      </c>
      <c r="O230" s="30">
        <v>84047</v>
      </c>
      <c r="P230" s="29" t="s">
        <v>514</v>
      </c>
      <c r="Q230" s="29" t="s">
        <v>342</v>
      </c>
      <c r="R230" s="178" t="s">
        <v>328</v>
      </c>
    </row>
    <row r="231" spans="1:18">
      <c r="A231" s="177">
        <v>2</v>
      </c>
      <c r="B231" s="30">
        <v>6</v>
      </c>
      <c r="C231" s="1">
        <v>42916</v>
      </c>
      <c r="D231" s="27">
        <v>765499</v>
      </c>
      <c r="E231" s="30">
        <v>2017</v>
      </c>
      <c r="F231" s="30">
        <v>1</v>
      </c>
      <c r="G231" s="1">
        <v>42745</v>
      </c>
      <c r="H231" s="27">
        <v>740276</v>
      </c>
      <c r="I231" s="24">
        <v>6521</v>
      </c>
      <c r="J231" s="24">
        <v>-6521</v>
      </c>
      <c r="K231" s="30">
        <v>140</v>
      </c>
      <c r="L231" s="30">
        <v>2806</v>
      </c>
      <c r="M231" s="30">
        <v>60</v>
      </c>
      <c r="N231" s="30">
        <v>0</v>
      </c>
      <c r="O231" s="30">
        <v>183169</v>
      </c>
      <c r="P231" s="29" t="s">
        <v>515</v>
      </c>
      <c r="Q231" s="29" t="s">
        <v>516</v>
      </c>
      <c r="R231" s="178" t="s">
        <v>402</v>
      </c>
    </row>
    <row r="232" spans="1:18">
      <c r="A232" s="177">
        <v>2</v>
      </c>
      <c r="B232" s="30">
        <v>6</v>
      </c>
      <c r="C232" s="1">
        <v>42916</v>
      </c>
      <c r="D232" s="27">
        <v>765499</v>
      </c>
      <c r="E232" s="30">
        <v>2017</v>
      </c>
      <c r="F232" s="30">
        <v>1</v>
      </c>
      <c r="G232" s="1">
        <v>42745</v>
      </c>
      <c r="H232" s="27">
        <v>740276</v>
      </c>
      <c r="I232" s="24">
        <v>848</v>
      </c>
      <c r="J232" s="24">
        <v>-848</v>
      </c>
      <c r="K232" s="30">
        <v>140</v>
      </c>
      <c r="L232" s="30">
        <v>2806</v>
      </c>
      <c r="M232" s="30">
        <v>85</v>
      </c>
      <c r="N232" s="30">
        <v>0</v>
      </c>
      <c r="O232" s="30">
        <v>183169</v>
      </c>
      <c r="P232" s="29" t="s">
        <v>515</v>
      </c>
      <c r="Q232" s="29" t="s">
        <v>516</v>
      </c>
      <c r="R232" s="178" t="s">
        <v>402</v>
      </c>
    </row>
    <row r="233" spans="1:18">
      <c r="A233" s="177">
        <v>2</v>
      </c>
      <c r="B233" s="30">
        <v>6</v>
      </c>
      <c r="C233" s="1">
        <v>42916</v>
      </c>
      <c r="D233" s="27">
        <v>765499</v>
      </c>
      <c r="E233" s="30">
        <v>2017</v>
      </c>
      <c r="F233" s="30">
        <v>2</v>
      </c>
      <c r="G233" s="1">
        <v>42858</v>
      </c>
      <c r="H233" s="27">
        <v>759733</v>
      </c>
      <c r="I233" s="24">
        <v>9381</v>
      </c>
      <c r="J233" s="24">
        <v>-9381</v>
      </c>
      <c r="K233" s="30">
        <v>445</v>
      </c>
      <c r="L233" s="30">
        <v>50</v>
      </c>
      <c r="M233" s="30">
        <v>60</v>
      </c>
      <c r="N233" s="30">
        <v>0</v>
      </c>
      <c r="O233" s="30">
        <v>129190</v>
      </c>
      <c r="P233" s="29" t="s">
        <v>515</v>
      </c>
      <c r="Q233" s="29" t="s">
        <v>517</v>
      </c>
      <c r="R233" s="178" t="s">
        <v>370</v>
      </c>
    </row>
    <row r="234" spans="1:18">
      <c r="A234" s="177">
        <v>2</v>
      </c>
      <c r="B234" s="30">
        <v>6</v>
      </c>
      <c r="C234" s="1">
        <v>42916</v>
      </c>
      <c r="D234" s="27">
        <v>765499</v>
      </c>
      <c r="E234" s="30">
        <v>2017</v>
      </c>
      <c r="F234" s="30">
        <v>2</v>
      </c>
      <c r="G234" s="1">
        <v>42858</v>
      </c>
      <c r="H234" s="27">
        <v>759733</v>
      </c>
      <c r="I234" s="24">
        <v>1220</v>
      </c>
      <c r="J234" s="24">
        <v>-1220</v>
      </c>
      <c r="K234" s="30">
        <v>445</v>
      </c>
      <c r="L234" s="30">
        <v>50</v>
      </c>
      <c r="M234" s="30">
        <v>85</v>
      </c>
      <c r="N234" s="30">
        <v>0</v>
      </c>
      <c r="O234" s="30">
        <v>129190</v>
      </c>
      <c r="P234" s="29" t="s">
        <v>515</v>
      </c>
      <c r="Q234" s="29" t="s">
        <v>517</v>
      </c>
      <c r="R234" s="178" t="s">
        <v>370</v>
      </c>
    </row>
    <row r="235" spans="1:18">
      <c r="A235" s="177">
        <v>2</v>
      </c>
      <c r="B235" s="30">
        <v>6</v>
      </c>
      <c r="C235" s="1">
        <v>42916</v>
      </c>
      <c r="D235" s="27">
        <v>770340</v>
      </c>
      <c r="E235" s="30">
        <v>2017</v>
      </c>
      <c r="F235" s="30">
        <v>2</v>
      </c>
      <c r="G235" s="1">
        <v>42907</v>
      </c>
      <c r="H235" s="27">
        <v>769492</v>
      </c>
      <c r="I235" s="24">
        <v>25000</v>
      </c>
      <c r="J235" s="24">
        <v>-12000</v>
      </c>
      <c r="K235" s="30">
        <v>991</v>
      </c>
      <c r="L235" s="30">
        <v>53114</v>
      </c>
      <c r="M235" s="30">
        <v>55</v>
      </c>
      <c r="N235" s="30">
        <v>1</v>
      </c>
      <c r="O235" s="30">
        <v>802124</v>
      </c>
      <c r="P235" s="29" t="s">
        <v>518</v>
      </c>
      <c r="Q235" s="29" t="s">
        <v>366</v>
      </c>
      <c r="R235" s="178" t="s">
        <v>519</v>
      </c>
    </row>
    <row r="236" spans="1:18">
      <c r="A236" s="177">
        <v>2</v>
      </c>
      <c r="B236" s="30">
        <v>6</v>
      </c>
      <c r="C236" s="1">
        <v>42916</v>
      </c>
      <c r="D236" s="27">
        <v>770340</v>
      </c>
      <c r="E236" s="30">
        <v>2017</v>
      </c>
      <c r="F236" s="30">
        <v>2</v>
      </c>
      <c r="G236" s="1">
        <v>42907</v>
      </c>
      <c r="H236" s="27">
        <v>769492</v>
      </c>
      <c r="I236" s="24">
        <v>5249</v>
      </c>
      <c r="J236" s="24">
        <v>-1560</v>
      </c>
      <c r="K236" s="30">
        <v>991</v>
      </c>
      <c r="L236" s="30">
        <v>53114</v>
      </c>
      <c r="M236" s="30">
        <v>85</v>
      </c>
      <c r="N236" s="30">
        <v>2</v>
      </c>
      <c r="O236" s="30">
        <v>802124</v>
      </c>
      <c r="P236" s="29" t="s">
        <v>518</v>
      </c>
      <c r="Q236" s="29" t="s">
        <v>366</v>
      </c>
      <c r="R236" s="178" t="s">
        <v>519</v>
      </c>
    </row>
    <row r="237" spans="1:18">
      <c r="A237" s="177">
        <v>2</v>
      </c>
      <c r="B237" s="30">
        <v>6</v>
      </c>
      <c r="C237" s="1">
        <v>42916</v>
      </c>
      <c r="D237" s="27">
        <v>765499</v>
      </c>
      <c r="E237" s="30">
        <v>2017</v>
      </c>
      <c r="F237" s="30">
        <v>1</v>
      </c>
      <c r="G237" s="1">
        <v>42745</v>
      </c>
      <c r="H237" s="27">
        <v>740284</v>
      </c>
      <c r="I237" s="24">
        <v>2774</v>
      </c>
      <c r="J237" s="24">
        <v>-2774</v>
      </c>
      <c r="K237" s="30">
        <v>511</v>
      </c>
      <c r="L237" s="30">
        <v>516</v>
      </c>
      <c r="M237" s="30">
        <v>60</v>
      </c>
      <c r="N237" s="30">
        <v>0</v>
      </c>
      <c r="O237" s="30">
        <v>577697</v>
      </c>
      <c r="P237" s="29" t="s">
        <v>520</v>
      </c>
      <c r="Q237" s="29" t="s">
        <v>345</v>
      </c>
      <c r="R237" s="178" t="s">
        <v>343</v>
      </c>
    </row>
    <row r="238" spans="1:18">
      <c r="A238" s="177">
        <v>2</v>
      </c>
      <c r="B238" s="30">
        <v>6</v>
      </c>
      <c r="C238" s="1">
        <v>42916</v>
      </c>
      <c r="D238" s="27">
        <v>765499</v>
      </c>
      <c r="E238" s="30">
        <v>2017</v>
      </c>
      <c r="F238" s="30">
        <v>1</v>
      </c>
      <c r="G238" s="1">
        <v>42745</v>
      </c>
      <c r="H238" s="27">
        <v>740284</v>
      </c>
      <c r="I238" s="24">
        <v>361</v>
      </c>
      <c r="J238" s="24">
        <v>-361</v>
      </c>
      <c r="K238" s="30">
        <v>511</v>
      </c>
      <c r="L238" s="30">
        <v>516</v>
      </c>
      <c r="M238" s="30">
        <v>85</v>
      </c>
      <c r="N238" s="30">
        <v>0</v>
      </c>
      <c r="O238" s="30">
        <v>577697</v>
      </c>
      <c r="P238" s="29" t="s">
        <v>520</v>
      </c>
      <c r="Q238" s="29" t="s">
        <v>345</v>
      </c>
      <c r="R238" s="178" t="s">
        <v>343</v>
      </c>
    </row>
    <row r="239" spans="1:18">
      <c r="A239" s="177">
        <v>3</v>
      </c>
      <c r="B239" s="30">
        <v>7</v>
      </c>
      <c r="C239" s="1">
        <v>42923</v>
      </c>
      <c r="D239" s="27">
        <v>771031</v>
      </c>
      <c r="E239" s="30">
        <v>2017</v>
      </c>
      <c r="F239" s="30">
        <v>2</v>
      </c>
      <c r="G239" s="1">
        <v>42865</v>
      </c>
      <c r="H239" s="27">
        <v>761402</v>
      </c>
      <c r="I239" s="24">
        <v>13000</v>
      </c>
      <c r="J239" s="24">
        <v>-12000</v>
      </c>
      <c r="K239" s="30">
        <v>991</v>
      </c>
      <c r="L239" s="30">
        <v>68020</v>
      </c>
      <c r="M239" s="30">
        <v>55</v>
      </c>
      <c r="N239" s="30">
        <v>1</v>
      </c>
      <c r="O239" s="30">
        <v>1147162</v>
      </c>
      <c r="P239" s="29" t="s">
        <v>521</v>
      </c>
      <c r="Q239" s="29" t="s">
        <v>522</v>
      </c>
      <c r="R239" s="178" t="s">
        <v>523</v>
      </c>
    </row>
    <row r="240" spans="1:18">
      <c r="A240" s="177">
        <v>3</v>
      </c>
      <c r="B240" s="30">
        <v>7</v>
      </c>
      <c r="C240" s="1">
        <v>42923</v>
      </c>
      <c r="D240" s="27">
        <v>771031</v>
      </c>
      <c r="E240" s="30">
        <v>2017</v>
      </c>
      <c r="F240" s="30">
        <v>2</v>
      </c>
      <c r="G240" s="1">
        <v>42865</v>
      </c>
      <c r="H240" s="27">
        <v>761402</v>
      </c>
      <c r="I240" s="24">
        <v>2891</v>
      </c>
      <c r="J240" s="24">
        <v>-1560</v>
      </c>
      <c r="K240" s="30">
        <v>991</v>
      </c>
      <c r="L240" s="30">
        <v>68020</v>
      </c>
      <c r="M240" s="30">
        <v>85</v>
      </c>
      <c r="N240" s="30">
        <v>2</v>
      </c>
      <c r="O240" s="30">
        <v>1147162</v>
      </c>
      <c r="P240" s="29" t="s">
        <v>521</v>
      </c>
      <c r="Q240" s="29" t="s">
        <v>522</v>
      </c>
      <c r="R240" s="178" t="s">
        <v>523</v>
      </c>
    </row>
    <row r="241" spans="1:18">
      <c r="A241" s="177">
        <v>3</v>
      </c>
      <c r="B241" s="30">
        <v>7</v>
      </c>
      <c r="C241" s="1">
        <v>42923</v>
      </c>
      <c r="D241" s="27">
        <v>771041</v>
      </c>
      <c r="E241" s="30">
        <v>2017</v>
      </c>
      <c r="F241" s="30">
        <v>2</v>
      </c>
      <c r="G241" s="1">
        <v>42832</v>
      </c>
      <c r="H241" s="27">
        <v>755058</v>
      </c>
      <c r="I241" s="24">
        <v>47500</v>
      </c>
      <c r="J241" s="24">
        <v>-47500</v>
      </c>
      <c r="K241" s="30">
        <v>991</v>
      </c>
      <c r="L241" s="30">
        <v>28410</v>
      </c>
      <c r="M241" s="30">
        <v>55</v>
      </c>
      <c r="N241" s="30">
        <v>1</v>
      </c>
      <c r="O241" s="30">
        <v>314848</v>
      </c>
      <c r="P241" s="29" t="s">
        <v>524</v>
      </c>
      <c r="Q241" s="29" t="s">
        <v>453</v>
      </c>
      <c r="R241" s="178" t="s">
        <v>381</v>
      </c>
    </row>
    <row r="242" spans="1:18">
      <c r="A242" s="177">
        <v>3</v>
      </c>
      <c r="B242" s="30">
        <v>7</v>
      </c>
      <c r="C242" s="1">
        <v>42923</v>
      </c>
      <c r="D242" s="27">
        <v>771041</v>
      </c>
      <c r="E242" s="30">
        <v>2017</v>
      </c>
      <c r="F242" s="30">
        <v>2</v>
      </c>
      <c r="G242" s="1">
        <v>42832</v>
      </c>
      <c r="H242" s="27">
        <v>755058</v>
      </c>
      <c r="I242" s="24">
        <v>7819</v>
      </c>
      <c r="J242" s="24">
        <v>-6175</v>
      </c>
      <c r="K242" s="30">
        <v>991</v>
      </c>
      <c r="L242" s="30">
        <v>28410</v>
      </c>
      <c r="M242" s="30">
        <v>85</v>
      </c>
      <c r="N242" s="30">
        <v>2</v>
      </c>
      <c r="O242" s="30">
        <v>314848</v>
      </c>
      <c r="P242" s="29" t="s">
        <v>524</v>
      </c>
      <c r="Q242" s="29" t="s">
        <v>453</v>
      </c>
      <c r="R242" s="178" t="s">
        <v>381</v>
      </c>
    </row>
    <row r="243" spans="1:18">
      <c r="A243" s="177">
        <v>3</v>
      </c>
      <c r="B243" s="30">
        <v>7</v>
      </c>
      <c r="C243" s="1">
        <v>42923</v>
      </c>
      <c r="D243" s="27">
        <v>771054</v>
      </c>
      <c r="E243" s="30">
        <v>2017</v>
      </c>
      <c r="F243" s="30">
        <v>2</v>
      </c>
      <c r="G243" s="1">
        <v>42865</v>
      </c>
      <c r="H243" s="27">
        <v>761430</v>
      </c>
      <c r="I243" s="24">
        <v>182000</v>
      </c>
      <c r="J243" s="24">
        <v>-178000</v>
      </c>
      <c r="K243" s="30">
        <v>991</v>
      </c>
      <c r="L243" s="30">
        <v>29573</v>
      </c>
      <c r="M243" s="30">
        <v>55</v>
      </c>
      <c r="N243" s="30">
        <v>1</v>
      </c>
      <c r="O243" s="30">
        <v>317474</v>
      </c>
      <c r="P243" s="29" t="s">
        <v>525</v>
      </c>
      <c r="Q243" s="29" t="s">
        <v>398</v>
      </c>
      <c r="R243" s="178" t="s">
        <v>526</v>
      </c>
    </row>
    <row r="244" spans="1:18">
      <c r="A244" s="177">
        <v>3</v>
      </c>
      <c r="B244" s="30">
        <v>7</v>
      </c>
      <c r="C244" s="1">
        <v>42923</v>
      </c>
      <c r="D244" s="27">
        <v>771054</v>
      </c>
      <c r="E244" s="30">
        <v>2017</v>
      </c>
      <c r="F244" s="30">
        <v>2</v>
      </c>
      <c r="G244" s="1">
        <v>42865</v>
      </c>
      <c r="H244" s="27">
        <v>761430</v>
      </c>
      <c r="I244" s="24">
        <v>32020</v>
      </c>
      <c r="J244" s="24">
        <v>-23140</v>
      </c>
      <c r="K244" s="30">
        <v>991</v>
      </c>
      <c r="L244" s="30">
        <v>29573</v>
      </c>
      <c r="M244" s="30">
        <v>85</v>
      </c>
      <c r="N244" s="30">
        <v>2</v>
      </c>
      <c r="O244" s="30">
        <v>317474</v>
      </c>
      <c r="P244" s="29" t="s">
        <v>525</v>
      </c>
      <c r="Q244" s="29" t="s">
        <v>398</v>
      </c>
      <c r="R244" s="178" t="s">
        <v>526</v>
      </c>
    </row>
    <row r="245" spans="1:18">
      <c r="A245" s="177">
        <v>3</v>
      </c>
      <c r="B245" s="30">
        <v>7</v>
      </c>
      <c r="C245" s="1">
        <v>42923</v>
      </c>
      <c r="D245" s="27">
        <v>771056</v>
      </c>
      <c r="E245" s="30">
        <v>2017</v>
      </c>
      <c r="F245" s="30">
        <v>2</v>
      </c>
      <c r="G245" s="1">
        <v>42853</v>
      </c>
      <c r="H245" s="27">
        <v>759629</v>
      </c>
      <c r="I245" s="24">
        <v>61500</v>
      </c>
      <c r="J245" s="24">
        <v>-61000</v>
      </c>
      <c r="K245" s="30">
        <v>991</v>
      </c>
      <c r="L245" s="30">
        <v>7514</v>
      </c>
      <c r="M245" s="30">
        <v>55</v>
      </c>
      <c r="N245" s="30">
        <v>1</v>
      </c>
      <c r="O245" s="30">
        <v>185164</v>
      </c>
      <c r="P245" s="29" t="s">
        <v>527</v>
      </c>
      <c r="Q245" s="29" t="s">
        <v>528</v>
      </c>
      <c r="R245" s="178" t="s">
        <v>322</v>
      </c>
    </row>
    <row r="246" spans="1:18">
      <c r="A246" s="177">
        <v>3</v>
      </c>
      <c r="B246" s="30">
        <v>7</v>
      </c>
      <c r="C246" s="1">
        <v>42923</v>
      </c>
      <c r="D246" s="27">
        <v>771056</v>
      </c>
      <c r="E246" s="30">
        <v>2017</v>
      </c>
      <c r="F246" s="30">
        <v>2</v>
      </c>
      <c r="G246" s="1">
        <v>42853</v>
      </c>
      <c r="H246" s="27">
        <v>759629</v>
      </c>
      <c r="I246" s="24">
        <v>12208</v>
      </c>
      <c r="J246" s="24">
        <v>-7930</v>
      </c>
      <c r="K246" s="30">
        <v>991</v>
      </c>
      <c r="L246" s="30">
        <v>7514</v>
      </c>
      <c r="M246" s="30">
        <v>85</v>
      </c>
      <c r="N246" s="30">
        <v>2</v>
      </c>
      <c r="O246" s="30">
        <v>185164</v>
      </c>
      <c r="P246" s="29" t="s">
        <v>527</v>
      </c>
      <c r="Q246" s="29" t="s">
        <v>528</v>
      </c>
      <c r="R246" s="178" t="s">
        <v>322</v>
      </c>
    </row>
    <row r="247" spans="1:18">
      <c r="A247" s="177">
        <v>3</v>
      </c>
      <c r="B247" s="30">
        <v>7</v>
      </c>
      <c r="C247" s="1">
        <v>42930</v>
      </c>
      <c r="D247" s="27">
        <v>773499</v>
      </c>
      <c r="E247" s="30">
        <v>2017</v>
      </c>
      <c r="F247" s="30">
        <v>2</v>
      </c>
      <c r="G247" s="1">
        <v>42865</v>
      </c>
      <c r="H247" s="27">
        <v>761400</v>
      </c>
      <c r="I247" s="24">
        <v>13000</v>
      </c>
      <c r="J247" s="24">
        <v>-12000</v>
      </c>
      <c r="K247" s="30">
        <v>991</v>
      </c>
      <c r="L247" s="30">
        <v>28132</v>
      </c>
      <c r="M247" s="30">
        <v>55</v>
      </c>
      <c r="N247" s="30">
        <v>1</v>
      </c>
      <c r="O247" s="30">
        <v>314257</v>
      </c>
      <c r="P247" s="29" t="s">
        <v>529</v>
      </c>
      <c r="Q247" s="29" t="s">
        <v>530</v>
      </c>
      <c r="R247" s="178" t="s">
        <v>349</v>
      </c>
    </row>
    <row r="248" spans="1:18">
      <c r="A248" s="177">
        <v>3</v>
      </c>
      <c r="B248" s="30">
        <v>7</v>
      </c>
      <c r="C248" s="1">
        <v>42930</v>
      </c>
      <c r="D248" s="27">
        <v>773499</v>
      </c>
      <c r="E248" s="30">
        <v>2017</v>
      </c>
      <c r="F248" s="30">
        <v>2</v>
      </c>
      <c r="G248" s="1">
        <v>42865</v>
      </c>
      <c r="H248" s="27">
        <v>761400</v>
      </c>
      <c r="I248" s="24">
        <v>6433</v>
      </c>
      <c r="J248" s="24">
        <v>-1560</v>
      </c>
      <c r="K248" s="30">
        <v>991</v>
      </c>
      <c r="L248" s="30">
        <v>28132</v>
      </c>
      <c r="M248" s="30">
        <v>85</v>
      </c>
      <c r="N248" s="30">
        <v>2</v>
      </c>
      <c r="O248" s="30">
        <v>314257</v>
      </c>
      <c r="P248" s="29" t="s">
        <v>529</v>
      </c>
      <c r="Q248" s="29" t="s">
        <v>530</v>
      </c>
      <c r="R248" s="178" t="s">
        <v>349</v>
      </c>
    </row>
    <row r="249" spans="1:18">
      <c r="A249" s="177">
        <v>3</v>
      </c>
      <c r="B249" s="30">
        <v>7</v>
      </c>
      <c r="C249" s="1">
        <v>42930</v>
      </c>
      <c r="D249" s="27">
        <v>773519</v>
      </c>
      <c r="E249" s="30">
        <v>2017</v>
      </c>
      <c r="F249" s="30">
        <v>2</v>
      </c>
      <c r="G249" s="1">
        <v>42916</v>
      </c>
      <c r="H249" s="27">
        <v>770343</v>
      </c>
      <c r="I249" s="24">
        <v>58200</v>
      </c>
      <c r="J249" s="24">
        <v>-57600</v>
      </c>
      <c r="K249" s="30">
        <v>991</v>
      </c>
      <c r="L249" s="30">
        <v>28444</v>
      </c>
      <c r="M249" s="30">
        <v>55</v>
      </c>
      <c r="N249" s="30">
        <v>1</v>
      </c>
      <c r="O249" s="30">
        <v>314873</v>
      </c>
      <c r="P249" s="29" t="s">
        <v>531</v>
      </c>
      <c r="Q249" s="29" t="s">
        <v>354</v>
      </c>
      <c r="R249" s="178" t="s">
        <v>532</v>
      </c>
    </row>
    <row r="250" spans="1:18">
      <c r="A250" s="177">
        <v>3</v>
      </c>
      <c r="B250" s="30">
        <v>7</v>
      </c>
      <c r="C250" s="1">
        <v>42930</v>
      </c>
      <c r="D250" s="27">
        <v>773519</v>
      </c>
      <c r="E250" s="30">
        <v>2017</v>
      </c>
      <c r="F250" s="30">
        <v>2</v>
      </c>
      <c r="G250" s="1">
        <v>42916</v>
      </c>
      <c r="H250" s="27">
        <v>770343</v>
      </c>
      <c r="I250" s="24">
        <v>10368</v>
      </c>
      <c r="J250" s="24">
        <v>-7488</v>
      </c>
      <c r="K250" s="30">
        <v>991</v>
      </c>
      <c r="L250" s="30">
        <v>28444</v>
      </c>
      <c r="M250" s="30">
        <v>85</v>
      </c>
      <c r="N250" s="30">
        <v>2</v>
      </c>
      <c r="O250" s="30">
        <v>314873</v>
      </c>
      <c r="P250" s="29" t="s">
        <v>531</v>
      </c>
      <c r="Q250" s="29" t="s">
        <v>354</v>
      </c>
      <c r="R250" s="178" t="s">
        <v>532</v>
      </c>
    </row>
    <row r="251" spans="1:18">
      <c r="A251" s="177">
        <v>3</v>
      </c>
      <c r="B251" s="30">
        <v>7</v>
      </c>
      <c r="C251" s="1">
        <v>42930</v>
      </c>
      <c r="D251" s="27">
        <v>773517</v>
      </c>
      <c r="E251" s="30">
        <v>2017</v>
      </c>
      <c r="F251" s="30">
        <v>2</v>
      </c>
      <c r="G251" s="1">
        <v>42832</v>
      </c>
      <c r="H251" s="27">
        <v>755028</v>
      </c>
      <c r="I251" s="24">
        <v>185000</v>
      </c>
      <c r="J251" s="24">
        <v>-185000</v>
      </c>
      <c r="K251" s="30">
        <v>991</v>
      </c>
      <c r="L251" s="30">
        <v>2336</v>
      </c>
      <c r="M251" s="30">
        <v>55</v>
      </c>
      <c r="N251" s="30">
        <v>1</v>
      </c>
      <c r="O251" s="30">
        <v>140195</v>
      </c>
      <c r="P251" s="29" t="s">
        <v>533</v>
      </c>
      <c r="Q251" s="29" t="s">
        <v>534</v>
      </c>
      <c r="R251" s="178" t="s">
        <v>349</v>
      </c>
    </row>
    <row r="252" spans="1:18">
      <c r="A252" s="177">
        <v>3</v>
      </c>
      <c r="B252" s="30">
        <v>7</v>
      </c>
      <c r="C252" s="1">
        <v>42930</v>
      </c>
      <c r="D252" s="27">
        <v>773517</v>
      </c>
      <c r="E252" s="30">
        <v>2017</v>
      </c>
      <c r="F252" s="30">
        <v>2</v>
      </c>
      <c r="G252" s="1">
        <v>42832</v>
      </c>
      <c r="H252" s="27">
        <v>755028</v>
      </c>
      <c r="I252" s="24">
        <v>35353</v>
      </c>
      <c r="J252" s="24">
        <v>-24050</v>
      </c>
      <c r="K252" s="30">
        <v>991</v>
      </c>
      <c r="L252" s="30">
        <v>2336</v>
      </c>
      <c r="M252" s="30">
        <v>85</v>
      </c>
      <c r="N252" s="30">
        <v>2</v>
      </c>
      <c r="O252" s="30">
        <v>140195</v>
      </c>
      <c r="P252" s="29" t="s">
        <v>533</v>
      </c>
      <c r="Q252" s="29" t="s">
        <v>534</v>
      </c>
      <c r="R252" s="178" t="s">
        <v>349</v>
      </c>
    </row>
    <row r="253" spans="1:18">
      <c r="A253" s="177">
        <v>3</v>
      </c>
      <c r="B253" s="30">
        <v>7</v>
      </c>
      <c r="C253" s="1">
        <v>42937</v>
      </c>
      <c r="D253" s="27">
        <v>775017</v>
      </c>
      <c r="E253" s="30">
        <v>2017</v>
      </c>
      <c r="F253" s="30">
        <v>3</v>
      </c>
      <c r="G253" s="1">
        <v>42930</v>
      </c>
      <c r="H253" s="27">
        <v>773518</v>
      </c>
      <c r="I253" s="24">
        <v>92000</v>
      </c>
      <c r="J253" s="24">
        <v>-91000</v>
      </c>
      <c r="K253" s="30">
        <v>991</v>
      </c>
      <c r="L253" s="30">
        <v>22368</v>
      </c>
      <c r="M253" s="30">
        <v>55</v>
      </c>
      <c r="N253" s="30">
        <v>1</v>
      </c>
      <c r="O253" s="30">
        <v>297271</v>
      </c>
      <c r="P253" s="29" t="s">
        <v>535</v>
      </c>
      <c r="Q253" s="29" t="s">
        <v>324</v>
      </c>
      <c r="R253" s="178" t="s">
        <v>367</v>
      </c>
    </row>
    <row r="254" spans="1:18">
      <c r="A254" s="177">
        <v>3</v>
      </c>
      <c r="B254" s="30">
        <v>7</v>
      </c>
      <c r="C254" s="1">
        <v>42937</v>
      </c>
      <c r="D254" s="27">
        <v>775017</v>
      </c>
      <c r="E254" s="30">
        <v>2017</v>
      </c>
      <c r="F254" s="30">
        <v>3</v>
      </c>
      <c r="G254" s="1">
        <v>42930</v>
      </c>
      <c r="H254" s="27">
        <v>773518</v>
      </c>
      <c r="I254" s="24">
        <v>17435</v>
      </c>
      <c r="J254" s="24">
        <v>-11830</v>
      </c>
      <c r="K254" s="30">
        <v>991</v>
      </c>
      <c r="L254" s="30">
        <v>22368</v>
      </c>
      <c r="M254" s="30">
        <v>85</v>
      </c>
      <c r="N254" s="30">
        <v>2</v>
      </c>
      <c r="O254" s="30">
        <v>297271</v>
      </c>
      <c r="P254" s="29" t="s">
        <v>535</v>
      </c>
      <c r="Q254" s="29" t="s">
        <v>324</v>
      </c>
      <c r="R254" s="178" t="s">
        <v>367</v>
      </c>
    </row>
    <row r="255" spans="1:18">
      <c r="A255" s="177">
        <v>3</v>
      </c>
      <c r="B255" s="30">
        <v>7</v>
      </c>
      <c r="C255" s="1">
        <v>42937</v>
      </c>
      <c r="D255" s="27">
        <v>775052</v>
      </c>
      <c r="E255" s="30">
        <v>2017</v>
      </c>
      <c r="F255" s="30">
        <v>3</v>
      </c>
      <c r="G255" s="1">
        <v>42923</v>
      </c>
      <c r="H255" s="27">
        <v>771052</v>
      </c>
      <c r="I255" s="24">
        <v>41000</v>
      </c>
      <c r="J255" s="24">
        <v>-23000</v>
      </c>
      <c r="K255" s="30">
        <v>991</v>
      </c>
      <c r="L255" s="30">
        <v>27733</v>
      </c>
      <c r="M255" s="30">
        <v>55</v>
      </c>
      <c r="N255" s="30">
        <v>1</v>
      </c>
      <c r="O255" s="30">
        <v>313803</v>
      </c>
      <c r="P255" s="29" t="s">
        <v>536</v>
      </c>
      <c r="Q255" s="29" t="s">
        <v>537</v>
      </c>
      <c r="R255" s="178" t="s">
        <v>538</v>
      </c>
    </row>
    <row r="256" spans="1:18">
      <c r="A256" s="177">
        <v>3</v>
      </c>
      <c r="B256" s="30">
        <v>7</v>
      </c>
      <c r="C256" s="1">
        <v>42937</v>
      </c>
      <c r="D256" s="27">
        <v>775052</v>
      </c>
      <c r="E256" s="30">
        <v>2017</v>
      </c>
      <c r="F256" s="30">
        <v>3</v>
      </c>
      <c r="G256" s="1">
        <v>42923</v>
      </c>
      <c r="H256" s="27">
        <v>771052</v>
      </c>
      <c r="I256" s="24">
        <v>8313</v>
      </c>
      <c r="J256" s="24">
        <v>-2990</v>
      </c>
      <c r="K256" s="30">
        <v>991</v>
      </c>
      <c r="L256" s="30">
        <v>27733</v>
      </c>
      <c r="M256" s="30">
        <v>85</v>
      </c>
      <c r="N256" s="30">
        <v>2</v>
      </c>
      <c r="O256" s="30">
        <v>313803</v>
      </c>
      <c r="P256" s="29" t="s">
        <v>536</v>
      </c>
      <c r="Q256" s="29" t="s">
        <v>537</v>
      </c>
      <c r="R256" s="178" t="s">
        <v>538</v>
      </c>
    </row>
    <row r="257" spans="1:18">
      <c r="A257" s="177">
        <v>3</v>
      </c>
      <c r="B257" s="30">
        <v>7</v>
      </c>
      <c r="C257" s="1">
        <v>42937</v>
      </c>
      <c r="D257" s="27">
        <v>775071</v>
      </c>
      <c r="E257" s="30">
        <v>2017</v>
      </c>
      <c r="F257" s="30">
        <v>2</v>
      </c>
      <c r="G257" s="1">
        <v>42874</v>
      </c>
      <c r="H257" s="27">
        <v>763942</v>
      </c>
      <c r="I257" s="24">
        <v>41000</v>
      </c>
      <c r="J257" s="24">
        <v>-41000</v>
      </c>
      <c r="K257" s="30">
        <v>991</v>
      </c>
      <c r="L257" s="30">
        <v>36923</v>
      </c>
      <c r="M257" s="30">
        <v>55</v>
      </c>
      <c r="N257" s="30">
        <v>1</v>
      </c>
      <c r="O257" s="30">
        <v>563977</v>
      </c>
      <c r="P257" s="29" t="s">
        <v>539</v>
      </c>
      <c r="Q257" s="29" t="s">
        <v>366</v>
      </c>
      <c r="R257" s="178" t="s">
        <v>464</v>
      </c>
    </row>
    <row r="258" spans="1:18">
      <c r="A258" s="177">
        <v>3</v>
      </c>
      <c r="B258" s="30">
        <v>7</v>
      </c>
      <c r="C258" s="1">
        <v>42937</v>
      </c>
      <c r="D258" s="27">
        <v>775071</v>
      </c>
      <c r="E258" s="30">
        <v>2017</v>
      </c>
      <c r="F258" s="30">
        <v>2</v>
      </c>
      <c r="G258" s="1">
        <v>42874</v>
      </c>
      <c r="H258" s="27">
        <v>763942</v>
      </c>
      <c r="I258" s="24">
        <v>7710</v>
      </c>
      <c r="J258" s="24">
        <v>-5330</v>
      </c>
      <c r="K258" s="30">
        <v>991</v>
      </c>
      <c r="L258" s="30">
        <v>36923</v>
      </c>
      <c r="M258" s="30">
        <v>85</v>
      </c>
      <c r="N258" s="30">
        <v>2</v>
      </c>
      <c r="O258" s="30">
        <v>563977</v>
      </c>
      <c r="P258" s="29" t="s">
        <v>539</v>
      </c>
      <c r="Q258" s="29" t="s">
        <v>366</v>
      </c>
      <c r="R258" s="178" t="s">
        <v>464</v>
      </c>
    </row>
    <row r="259" spans="1:18">
      <c r="A259" s="177">
        <v>3</v>
      </c>
      <c r="B259" s="30">
        <v>7</v>
      </c>
      <c r="C259" s="1">
        <v>42937</v>
      </c>
      <c r="D259" s="27">
        <v>775025</v>
      </c>
      <c r="E259" s="30">
        <v>2017</v>
      </c>
      <c r="F259" s="30">
        <v>3</v>
      </c>
      <c r="G259" s="1">
        <v>42930</v>
      </c>
      <c r="H259" s="27">
        <v>773528</v>
      </c>
      <c r="I259" s="24">
        <v>148000</v>
      </c>
      <c r="J259" s="24">
        <v>-60000</v>
      </c>
      <c r="K259" s="30">
        <v>991</v>
      </c>
      <c r="L259" s="30">
        <v>35211</v>
      </c>
      <c r="M259" s="30">
        <v>55</v>
      </c>
      <c r="N259" s="30">
        <v>1</v>
      </c>
      <c r="O259" s="30">
        <v>551326</v>
      </c>
      <c r="P259" s="29" t="s">
        <v>540</v>
      </c>
      <c r="Q259" s="29" t="s">
        <v>345</v>
      </c>
      <c r="R259" s="178" t="s">
        <v>370</v>
      </c>
    </row>
    <row r="260" spans="1:18">
      <c r="A260" s="179">
        <v>3</v>
      </c>
      <c r="B260" s="180">
        <v>7</v>
      </c>
      <c r="C260" s="13">
        <v>42937</v>
      </c>
      <c r="D260" s="181">
        <v>775025</v>
      </c>
      <c r="E260" s="180">
        <v>2017</v>
      </c>
      <c r="F260" s="180">
        <v>3</v>
      </c>
      <c r="G260" s="13">
        <v>42930</v>
      </c>
      <c r="H260" s="181">
        <v>773528</v>
      </c>
      <c r="I260" s="16">
        <v>25654</v>
      </c>
      <c r="J260" s="16">
        <v>-7800</v>
      </c>
      <c r="K260" s="180">
        <v>991</v>
      </c>
      <c r="L260" s="180">
        <v>35211</v>
      </c>
      <c r="M260" s="180">
        <v>85</v>
      </c>
      <c r="N260" s="180">
        <v>2</v>
      </c>
      <c r="O260" s="180">
        <v>551326</v>
      </c>
      <c r="P260" s="182" t="s">
        <v>540</v>
      </c>
      <c r="Q260" s="182" t="s">
        <v>345</v>
      </c>
      <c r="R260" s="183" t="s">
        <v>370</v>
      </c>
    </row>
    <row r="261" spans="1:18">
      <c r="A261" s="177">
        <v>3</v>
      </c>
      <c r="B261" s="30">
        <v>7</v>
      </c>
      <c r="C261" s="1">
        <v>42937</v>
      </c>
      <c r="D261" s="27">
        <v>775070</v>
      </c>
      <c r="E261" s="30">
        <v>2017</v>
      </c>
      <c r="F261" s="30">
        <v>3</v>
      </c>
      <c r="G261" s="1">
        <v>42923</v>
      </c>
      <c r="H261" s="27">
        <v>771063</v>
      </c>
      <c r="I261" s="24">
        <v>74000</v>
      </c>
      <c r="J261" s="24">
        <v>-71000</v>
      </c>
      <c r="K261" s="30">
        <v>991</v>
      </c>
      <c r="L261" s="30">
        <v>32131</v>
      </c>
      <c r="M261" s="30">
        <v>55</v>
      </c>
      <c r="N261" s="30">
        <v>1</v>
      </c>
      <c r="O261" s="30">
        <v>496118</v>
      </c>
      <c r="P261" s="29" t="s">
        <v>541</v>
      </c>
      <c r="Q261" s="29" t="s">
        <v>542</v>
      </c>
      <c r="R261" s="178" t="s">
        <v>543</v>
      </c>
    </row>
    <row r="262" spans="1:18">
      <c r="A262" s="177">
        <v>3</v>
      </c>
      <c r="B262" s="30">
        <v>7</v>
      </c>
      <c r="C262" s="1">
        <v>42937</v>
      </c>
      <c r="D262" s="27">
        <v>775070</v>
      </c>
      <c r="E262" s="30">
        <v>2017</v>
      </c>
      <c r="F262" s="30">
        <v>3</v>
      </c>
      <c r="G262" s="1">
        <v>42923</v>
      </c>
      <c r="H262" s="27">
        <v>771063</v>
      </c>
      <c r="I262" s="24">
        <v>13075</v>
      </c>
      <c r="J262" s="24">
        <v>-9230</v>
      </c>
      <c r="K262" s="30">
        <v>991</v>
      </c>
      <c r="L262" s="30">
        <v>32131</v>
      </c>
      <c r="M262" s="30">
        <v>85</v>
      </c>
      <c r="N262" s="30">
        <v>2</v>
      </c>
      <c r="O262" s="30">
        <v>496118</v>
      </c>
      <c r="P262" s="29" t="s">
        <v>541</v>
      </c>
      <c r="Q262" s="29" t="s">
        <v>542</v>
      </c>
      <c r="R262" s="178" t="s">
        <v>543</v>
      </c>
    </row>
    <row r="263" spans="1:18">
      <c r="A263" s="177">
        <v>3</v>
      </c>
      <c r="B263" s="30">
        <v>7</v>
      </c>
      <c r="C263" s="1">
        <v>42937</v>
      </c>
      <c r="D263" s="27">
        <v>775014</v>
      </c>
      <c r="E263" s="30">
        <v>2017</v>
      </c>
      <c r="F263" s="30">
        <v>2</v>
      </c>
      <c r="G263" s="1">
        <v>42916</v>
      </c>
      <c r="H263" s="27">
        <v>770338</v>
      </c>
      <c r="I263" s="24">
        <v>35000</v>
      </c>
      <c r="J263" s="24">
        <v>-35000</v>
      </c>
      <c r="K263" s="30">
        <v>991</v>
      </c>
      <c r="L263" s="30">
        <v>39021</v>
      </c>
      <c r="M263" s="30">
        <v>55</v>
      </c>
      <c r="N263" s="30">
        <v>1</v>
      </c>
      <c r="O263" s="30">
        <v>570385</v>
      </c>
      <c r="P263" s="29" t="s">
        <v>544</v>
      </c>
      <c r="Q263" s="29" t="s">
        <v>428</v>
      </c>
      <c r="R263" s="178" t="s">
        <v>457</v>
      </c>
    </row>
    <row r="264" spans="1:18">
      <c r="A264" s="177">
        <v>3</v>
      </c>
      <c r="B264" s="30">
        <v>7</v>
      </c>
      <c r="C264" s="1">
        <v>42937</v>
      </c>
      <c r="D264" s="27">
        <v>775014</v>
      </c>
      <c r="E264" s="30">
        <v>2017</v>
      </c>
      <c r="F264" s="30">
        <v>2</v>
      </c>
      <c r="G264" s="1">
        <v>42916</v>
      </c>
      <c r="H264" s="27">
        <v>770338</v>
      </c>
      <c r="I264" s="24">
        <v>5940</v>
      </c>
      <c r="J264" s="24">
        <v>-4550</v>
      </c>
      <c r="K264" s="30">
        <v>991</v>
      </c>
      <c r="L264" s="30">
        <v>39021</v>
      </c>
      <c r="M264" s="30">
        <v>85</v>
      </c>
      <c r="N264" s="30">
        <v>2</v>
      </c>
      <c r="O264" s="30">
        <v>570385</v>
      </c>
      <c r="P264" s="29" t="s">
        <v>544</v>
      </c>
      <c r="Q264" s="29" t="s">
        <v>428</v>
      </c>
      <c r="R264" s="178" t="s">
        <v>457</v>
      </c>
    </row>
    <row r="265" spans="1:18">
      <c r="A265" s="177">
        <v>3</v>
      </c>
      <c r="B265" s="30">
        <v>7</v>
      </c>
      <c r="C265" s="1">
        <v>42937</v>
      </c>
      <c r="D265" s="27">
        <v>775058</v>
      </c>
      <c r="E265" s="30">
        <v>2017</v>
      </c>
      <c r="F265" s="30">
        <v>2</v>
      </c>
      <c r="G265" s="1">
        <v>42916</v>
      </c>
      <c r="H265" s="27">
        <v>770369</v>
      </c>
      <c r="I265" s="24">
        <v>51500</v>
      </c>
      <c r="J265" s="24">
        <v>-50500</v>
      </c>
      <c r="K265" s="30">
        <v>991</v>
      </c>
      <c r="L265" s="30">
        <v>49954</v>
      </c>
      <c r="M265" s="30">
        <v>55</v>
      </c>
      <c r="N265" s="30">
        <v>1</v>
      </c>
      <c r="O265" s="30">
        <v>793824</v>
      </c>
      <c r="P265" s="29" t="s">
        <v>545</v>
      </c>
      <c r="Q265" s="29" t="s">
        <v>546</v>
      </c>
      <c r="R265" s="178" t="s">
        <v>355</v>
      </c>
    </row>
    <row r="266" spans="1:18">
      <c r="A266" s="177">
        <v>3</v>
      </c>
      <c r="B266" s="30">
        <v>7</v>
      </c>
      <c r="C266" s="1">
        <v>42937</v>
      </c>
      <c r="D266" s="27">
        <v>775058</v>
      </c>
      <c r="E266" s="30">
        <v>2017</v>
      </c>
      <c r="F266" s="30">
        <v>2</v>
      </c>
      <c r="G266" s="1">
        <v>42916</v>
      </c>
      <c r="H266" s="27">
        <v>770369</v>
      </c>
      <c r="I266" s="24">
        <v>8191</v>
      </c>
      <c r="J266" s="24">
        <v>-6565</v>
      </c>
      <c r="K266" s="30">
        <v>991</v>
      </c>
      <c r="L266" s="30">
        <v>49954</v>
      </c>
      <c r="M266" s="30">
        <v>85</v>
      </c>
      <c r="N266" s="30">
        <v>2</v>
      </c>
      <c r="O266" s="30">
        <v>793824</v>
      </c>
      <c r="P266" s="29" t="s">
        <v>545</v>
      </c>
      <c r="Q266" s="29" t="s">
        <v>546</v>
      </c>
      <c r="R266" s="178" t="s">
        <v>355</v>
      </c>
    </row>
    <row r="267" spans="1:18">
      <c r="A267" s="177">
        <v>3</v>
      </c>
      <c r="B267" s="30">
        <v>7</v>
      </c>
      <c r="C267" s="1">
        <v>42947</v>
      </c>
      <c r="D267" s="27">
        <v>773093</v>
      </c>
      <c r="E267" s="30">
        <v>2017</v>
      </c>
      <c r="F267" s="30">
        <v>2</v>
      </c>
      <c r="G267" s="1">
        <v>42895</v>
      </c>
      <c r="H267" s="27">
        <v>765712</v>
      </c>
      <c r="I267" s="24">
        <v>1251.8</v>
      </c>
      <c r="J267" s="24">
        <v>-1251.8</v>
      </c>
      <c r="K267" s="30">
        <v>77</v>
      </c>
      <c r="L267" s="30">
        <v>823</v>
      </c>
      <c r="M267" s="30">
        <v>60</v>
      </c>
      <c r="N267" s="30">
        <v>0</v>
      </c>
      <c r="O267" s="30">
        <v>47100</v>
      </c>
      <c r="P267" s="29" t="s">
        <v>547</v>
      </c>
      <c r="Q267" s="29" t="s">
        <v>548</v>
      </c>
      <c r="R267" s="178" t="s">
        <v>549</v>
      </c>
    </row>
    <row r="268" spans="1:18">
      <c r="A268" s="177">
        <v>3</v>
      </c>
      <c r="B268" s="30">
        <v>7</v>
      </c>
      <c r="C268" s="1">
        <v>42947</v>
      </c>
      <c r="D268" s="27">
        <v>773093</v>
      </c>
      <c r="E268" s="30">
        <v>2017</v>
      </c>
      <c r="F268" s="30">
        <v>2</v>
      </c>
      <c r="G268" s="1">
        <v>42895</v>
      </c>
      <c r="H268" s="27">
        <v>765712</v>
      </c>
      <c r="I268" s="24">
        <v>162</v>
      </c>
      <c r="J268" s="24">
        <v>-162</v>
      </c>
      <c r="K268" s="30">
        <v>77</v>
      </c>
      <c r="L268" s="30">
        <v>823</v>
      </c>
      <c r="M268" s="30">
        <v>85</v>
      </c>
      <c r="N268" s="30">
        <v>0</v>
      </c>
      <c r="O268" s="30">
        <v>47100</v>
      </c>
      <c r="P268" s="29" t="s">
        <v>547</v>
      </c>
      <c r="Q268" s="29" t="s">
        <v>548</v>
      </c>
      <c r="R268" s="178" t="s">
        <v>549</v>
      </c>
    </row>
    <row r="269" spans="1:18">
      <c r="A269" s="177">
        <v>3</v>
      </c>
      <c r="B269" s="30">
        <v>7</v>
      </c>
      <c r="C269" s="1">
        <v>42947</v>
      </c>
      <c r="D269" s="27">
        <v>773093</v>
      </c>
      <c r="E269" s="30">
        <v>2017</v>
      </c>
      <c r="F269" s="30">
        <v>1</v>
      </c>
      <c r="G269" s="1">
        <v>42745</v>
      </c>
      <c r="H269" s="27">
        <v>740287</v>
      </c>
      <c r="I269" s="24">
        <v>8910</v>
      </c>
      <c r="J269" s="24">
        <v>-8910</v>
      </c>
      <c r="K269" s="30">
        <v>335</v>
      </c>
      <c r="L269" s="30">
        <v>1584</v>
      </c>
      <c r="M269" s="30">
        <v>60</v>
      </c>
      <c r="N269" s="30">
        <v>0</v>
      </c>
      <c r="O269" s="30">
        <v>1657987</v>
      </c>
      <c r="P269" s="29" t="s">
        <v>550</v>
      </c>
      <c r="Q269" s="29" t="s">
        <v>366</v>
      </c>
      <c r="R269" s="178" t="s">
        <v>325</v>
      </c>
    </row>
    <row r="270" spans="1:18">
      <c r="A270" s="177">
        <v>3</v>
      </c>
      <c r="B270" s="30">
        <v>7</v>
      </c>
      <c r="C270" s="1">
        <v>42947</v>
      </c>
      <c r="D270" s="27">
        <v>773093</v>
      </c>
      <c r="E270" s="30">
        <v>2017</v>
      </c>
      <c r="F270" s="30">
        <v>1</v>
      </c>
      <c r="G270" s="1">
        <v>42745</v>
      </c>
      <c r="H270" s="27">
        <v>740287</v>
      </c>
      <c r="I270" s="24">
        <v>1158</v>
      </c>
      <c r="J270" s="24">
        <v>-1158</v>
      </c>
      <c r="K270" s="30">
        <v>335</v>
      </c>
      <c r="L270" s="30">
        <v>1584</v>
      </c>
      <c r="M270" s="30">
        <v>85</v>
      </c>
      <c r="N270" s="30">
        <v>0</v>
      </c>
      <c r="O270" s="30">
        <v>1657987</v>
      </c>
      <c r="P270" s="29" t="s">
        <v>550</v>
      </c>
      <c r="Q270" s="29" t="s">
        <v>366</v>
      </c>
      <c r="R270" s="178" t="s">
        <v>325</v>
      </c>
    </row>
    <row r="271" spans="1:18">
      <c r="A271" s="177">
        <v>3</v>
      </c>
      <c r="B271" s="30">
        <v>7</v>
      </c>
      <c r="C271" s="1">
        <v>42947</v>
      </c>
      <c r="D271" s="27">
        <v>773093</v>
      </c>
      <c r="E271" s="30">
        <v>2017</v>
      </c>
      <c r="F271" s="30">
        <v>2</v>
      </c>
      <c r="G271" s="1">
        <v>42895</v>
      </c>
      <c r="H271" s="27">
        <v>765712</v>
      </c>
      <c r="I271" s="24">
        <v>5925.5</v>
      </c>
      <c r="J271" s="24">
        <v>-5925.5</v>
      </c>
      <c r="K271" s="30">
        <v>364</v>
      </c>
      <c r="L271" s="30">
        <v>1868</v>
      </c>
      <c r="M271" s="30">
        <v>60</v>
      </c>
      <c r="N271" s="30">
        <v>0</v>
      </c>
      <c r="O271" s="30">
        <v>142352</v>
      </c>
      <c r="P271" s="29" t="s">
        <v>551</v>
      </c>
      <c r="Q271" s="29" t="s">
        <v>321</v>
      </c>
      <c r="R271" s="178" t="s">
        <v>552</v>
      </c>
    </row>
    <row r="272" spans="1:18">
      <c r="A272" s="177">
        <v>3</v>
      </c>
      <c r="B272" s="30">
        <v>7</v>
      </c>
      <c r="C272" s="1">
        <v>42947</v>
      </c>
      <c r="D272" s="27">
        <v>773093</v>
      </c>
      <c r="E272" s="30">
        <v>2017</v>
      </c>
      <c r="F272" s="30">
        <v>2</v>
      </c>
      <c r="G272" s="1">
        <v>42895</v>
      </c>
      <c r="H272" s="27">
        <v>765712</v>
      </c>
      <c r="I272" s="24">
        <v>770</v>
      </c>
      <c r="J272" s="24">
        <v>-770</v>
      </c>
      <c r="K272" s="30">
        <v>364</v>
      </c>
      <c r="L272" s="30">
        <v>1868</v>
      </c>
      <c r="M272" s="30">
        <v>85</v>
      </c>
      <c r="N272" s="30">
        <v>0</v>
      </c>
      <c r="O272" s="30">
        <v>142352</v>
      </c>
      <c r="P272" s="29" t="s">
        <v>551</v>
      </c>
      <c r="Q272" s="29" t="s">
        <v>321</v>
      </c>
      <c r="R272" s="178" t="s">
        <v>552</v>
      </c>
    </row>
    <row r="273" spans="1:18">
      <c r="A273" s="177">
        <v>3</v>
      </c>
      <c r="B273" s="30">
        <v>7</v>
      </c>
      <c r="C273" s="1">
        <v>42947</v>
      </c>
      <c r="D273" s="27">
        <v>773093</v>
      </c>
      <c r="E273" s="30">
        <v>2017</v>
      </c>
      <c r="F273" s="30">
        <v>2</v>
      </c>
      <c r="G273" s="1">
        <v>42895</v>
      </c>
      <c r="H273" s="27">
        <v>765712</v>
      </c>
      <c r="I273" s="24">
        <v>2095.0100000000002</v>
      </c>
      <c r="J273" s="24">
        <v>-2095.0100000000002</v>
      </c>
      <c r="K273" s="30">
        <v>12</v>
      </c>
      <c r="L273" s="30">
        <v>1882</v>
      </c>
      <c r="M273" s="30">
        <v>60</v>
      </c>
      <c r="N273" s="30">
        <v>0</v>
      </c>
      <c r="O273" s="30">
        <v>22451</v>
      </c>
      <c r="P273" s="29" t="s">
        <v>553</v>
      </c>
      <c r="Q273" s="29" t="s">
        <v>548</v>
      </c>
      <c r="R273" s="178" t="s">
        <v>325</v>
      </c>
    </row>
    <row r="274" spans="1:18">
      <c r="A274" s="177">
        <v>3</v>
      </c>
      <c r="B274" s="30">
        <v>7</v>
      </c>
      <c r="C274" s="1">
        <v>42947</v>
      </c>
      <c r="D274" s="27">
        <v>773093</v>
      </c>
      <c r="E274" s="30">
        <v>2017</v>
      </c>
      <c r="F274" s="30">
        <v>2</v>
      </c>
      <c r="G274" s="1">
        <v>42895</v>
      </c>
      <c r="H274" s="27">
        <v>765712</v>
      </c>
      <c r="I274" s="24">
        <v>207</v>
      </c>
      <c r="J274" s="24">
        <v>-207</v>
      </c>
      <c r="K274" s="30">
        <v>12</v>
      </c>
      <c r="L274" s="30">
        <v>1882</v>
      </c>
      <c r="M274" s="30">
        <v>85</v>
      </c>
      <c r="N274" s="30">
        <v>0</v>
      </c>
      <c r="O274" s="30">
        <v>22451</v>
      </c>
      <c r="P274" s="29" t="s">
        <v>553</v>
      </c>
      <c r="Q274" s="29" t="s">
        <v>548</v>
      </c>
      <c r="R274" s="178" t="s">
        <v>325</v>
      </c>
    </row>
    <row r="275" spans="1:18">
      <c r="A275" s="177">
        <v>3</v>
      </c>
      <c r="B275" s="30">
        <v>7</v>
      </c>
      <c r="C275" s="1">
        <v>42947</v>
      </c>
      <c r="D275" s="27">
        <v>773093</v>
      </c>
      <c r="E275" s="30">
        <v>2017</v>
      </c>
      <c r="F275" s="30">
        <v>2</v>
      </c>
      <c r="G275" s="1">
        <v>42895</v>
      </c>
      <c r="H275" s="27">
        <v>765712</v>
      </c>
      <c r="I275" s="24">
        <v>500</v>
      </c>
      <c r="J275" s="24">
        <v>-500</v>
      </c>
      <c r="K275" s="30">
        <v>12</v>
      </c>
      <c r="L275" s="30">
        <v>1882</v>
      </c>
      <c r="M275" s="30">
        <v>1025</v>
      </c>
      <c r="N275" s="30">
        <v>0</v>
      </c>
      <c r="O275" s="30">
        <v>22451</v>
      </c>
      <c r="P275" s="29" t="s">
        <v>553</v>
      </c>
      <c r="Q275" s="29" t="s">
        <v>548</v>
      </c>
      <c r="R275" s="178" t="s">
        <v>325</v>
      </c>
    </row>
    <row r="276" spans="1:18">
      <c r="A276" s="177">
        <v>3</v>
      </c>
      <c r="B276" s="30">
        <v>7</v>
      </c>
      <c r="C276" s="1">
        <v>42947</v>
      </c>
      <c r="D276" s="27">
        <v>773093</v>
      </c>
      <c r="E276" s="30">
        <v>2017</v>
      </c>
      <c r="F276" s="30">
        <v>2</v>
      </c>
      <c r="G276" s="1">
        <v>42895</v>
      </c>
      <c r="H276" s="27">
        <v>765712</v>
      </c>
      <c r="I276" s="24">
        <v>1676.3</v>
      </c>
      <c r="J276" s="24">
        <v>-1676.3</v>
      </c>
      <c r="K276" s="30">
        <v>57</v>
      </c>
      <c r="L276" s="30">
        <v>3098</v>
      </c>
      <c r="M276" s="30">
        <v>60</v>
      </c>
      <c r="N276" s="30">
        <v>0</v>
      </c>
      <c r="O276" s="30">
        <v>136851</v>
      </c>
      <c r="P276" s="29" t="s">
        <v>554</v>
      </c>
      <c r="Q276" s="29" t="s">
        <v>555</v>
      </c>
      <c r="R276" s="178" t="s">
        <v>556</v>
      </c>
    </row>
    <row r="277" spans="1:18">
      <c r="A277" s="177">
        <v>3</v>
      </c>
      <c r="B277" s="30">
        <v>7</v>
      </c>
      <c r="C277" s="1">
        <v>42947</v>
      </c>
      <c r="D277" s="27">
        <v>773093</v>
      </c>
      <c r="E277" s="30">
        <v>2017</v>
      </c>
      <c r="F277" s="30">
        <v>2</v>
      </c>
      <c r="G277" s="1">
        <v>42895</v>
      </c>
      <c r="H277" s="27">
        <v>765712</v>
      </c>
      <c r="I277" s="24">
        <v>218</v>
      </c>
      <c r="J277" s="24">
        <v>-218</v>
      </c>
      <c r="K277" s="30">
        <v>57</v>
      </c>
      <c r="L277" s="30">
        <v>3098</v>
      </c>
      <c r="M277" s="30">
        <v>85</v>
      </c>
      <c r="N277" s="30">
        <v>0</v>
      </c>
      <c r="O277" s="30">
        <v>136851</v>
      </c>
      <c r="P277" s="29" t="s">
        <v>554</v>
      </c>
      <c r="Q277" s="29" t="s">
        <v>555</v>
      </c>
      <c r="R277" s="178" t="s">
        <v>556</v>
      </c>
    </row>
    <row r="278" spans="1:18">
      <c r="A278" s="177">
        <v>3</v>
      </c>
      <c r="B278" s="30">
        <v>7</v>
      </c>
      <c r="C278" s="1">
        <v>42947</v>
      </c>
      <c r="D278" s="27">
        <v>773093</v>
      </c>
      <c r="E278" s="30">
        <v>2017</v>
      </c>
      <c r="F278" s="30">
        <v>1</v>
      </c>
      <c r="G278" s="1">
        <v>42804</v>
      </c>
      <c r="H278" s="27">
        <v>749826</v>
      </c>
      <c r="I278" s="24">
        <v>12285</v>
      </c>
      <c r="J278" s="24">
        <v>-12285</v>
      </c>
      <c r="K278" s="30">
        <v>302</v>
      </c>
      <c r="L278" s="30">
        <v>4520</v>
      </c>
      <c r="M278" s="30">
        <v>60</v>
      </c>
      <c r="N278" s="30">
        <v>0</v>
      </c>
      <c r="O278" s="30">
        <v>1523438</v>
      </c>
      <c r="P278" s="29" t="s">
        <v>557</v>
      </c>
      <c r="Q278" s="29" t="s">
        <v>477</v>
      </c>
      <c r="R278" s="178" t="s">
        <v>328</v>
      </c>
    </row>
    <row r="279" spans="1:18">
      <c r="A279" s="177">
        <v>3</v>
      </c>
      <c r="B279" s="30">
        <v>7</v>
      </c>
      <c r="C279" s="1">
        <v>42947</v>
      </c>
      <c r="D279" s="27">
        <v>773093</v>
      </c>
      <c r="E279" s="30">
        <v>2017</v>
      </c>
      <c r="F279" s="30">
        <v>1</v>
      </c>
      <c r="G279" s="1">
        <v>42804</v>
      </c>
      <c r="H279" s="27">
        <v>749826</v>
      </c>
      <c r="I279" s="24">
        <v>1597</v>
      </c>
      <c r="J279" s="24">
        <v>-1597</v>
      </c>
      <c r="K279" s="30">
        <v>302</v>
      </c>
      <c r="L279" s="30">
        <v>4520</v>
      </c>
      <c r="M279" s="30">
        <v>85</v>
      </c>
      <c r="N279" s="30">
        <v>0</v>
      </c>
      <c r="O279" s="30">
        <v>1523438</v>
      </c>
      <c r="P279" s="29" t="s">
        <v>557</v>
      </c>
      <c r="Q279" s="29" t="s">
        <v>477</v>
      </c>
      <c r="R279" s="178" t="s">
        <v>328</v>
      </c>
    </row>
    <row r="280" spans="1:18">
      <c r="A280" s="177">
        <v>3</v>
      </c>
      <c r="B280" s="30">
        <v>7</v>
      </c>
      <c r="C280" s="1">
        <v>42947</v>
      </c>
      <c r="D280" s="27">
        <v>773093</v>
      </c>
      <c r="E280" s="30">
        <v>2017</v>
      </c>
      <c r="F280" s="30">
        <v>1</v>
      </c>
      <c r="G280" s="1">
        <v>42745</v>
      </c>
      <c r="H280" s="27">
        <v>740287</v>
      </c>
      <c r="I280" s="24">
        <v>1810.5</v>
      </c>
      <c r="J280" s="24">
        <v>-1810.5</v>
      </c>
      <c r="K280" s="30">
        <v>335</v>
      </c>
      <c r="L280" s="30">
        <v>498</v>
      </c>
      <c r="M280" s="30">
        <v>60</v>
      </c>
      <c r="N280" s="30">
        <v>0</v>
      </c>
      <c r="O280" s="30">
        <v>500478</v>
      </c>
      <c r="P280" s="29" t="s">
        <v>558</v>
      </c>
      <c r="Q280" s="29" t="s">
        <v>380</v>
      </c>
      <c r="R280" s="178" t="s">
        <v>370</v>
      </c>
    </row>
    <row r="281" spans="1:18">
      <c r="A281" s="177">
        <v>3</v>
      </c>
      <c r="B281" s="30">
        <v>7</v>
      </c>
      <c r="C281" s="1">
        <v>42947</v>
      </c>
      <c r="D281" s="27">
        <v>773093</v>
      </c>
      <c r="E281" s="30">
        <v>2017</v>
      </c>
      <c r="F281" s="30">
        <v>1</v>
      </c>
      <c r="G281" s="1">
        <v>42745</v>
      </c>
      <c r="H281" s="27">
        <v>740287</v>
      </c>
      <c r="I281" s="24">
        <v>235</v>
      </c>
      <c r="J281" s="24">
        <v>-235</v>
      </c>
      <c r="K281" s="30">
        <v>335</v>
      </c>
      <c r="L281" s="30">
        <v>498</v>
      </c>
      <c r="M281" s="30">
        <v>85</v>
      </c>
      <c r="N281" s="30">
        <v>0</v>
      </c>
      <c r="O281" s="30">
        <v>500478</v>
      </c>
      <c r="P281" s="29" t="s">
        <v>558</v>
      </c>
      <c r="Q281" s="29" t="s">
        <v>380</v>
      </c>
      <c r="R281" s="178" t="s">
        <v>370</v>
      </c>
    </row>
    <row r="282" spans="1:18">
      <c r="A282" s="177">
        <v>3</v>
      </c>
      <c r="B282" s="30">
        <v>7</v>
      </c>
      <c r="C282" s="1">
        <v>42947</v>
      </c>
      <c r="D282" s="27">
        <v>773093</v>
      </c>
      <c r="E282" s="30">
        <v>2017</v>
      </c>
      <c r="F282" s="30">
        <v>2</v>
      </c>
      <c r="G282" s="1">
        <v>42835</v>
      </c>
      <c r="H282" s="27">
        <v>755302</v>
      </c>
      <c r="I282" s="24">
        <v>9291.4</v>
      </c>
      <c r="J282" s="24">
        <v>-9291.4</v>
      </c>
      <c r="K282" s="30">
        <v>335</v>
      </c>
      <c r="L282" s="30">
        <v>1320</v>
      </c>
      <c r="M282" s="30">
        <v>60</v>
      </c>
      <c r="N282" s="30">
        <v>0</v>
      </c>
      <c r="O282" s="30">
        <v>1192358</v>
      </c>
      <c r="P282" s="29" t="s">
        <v>559</v>
      </c>
      <c r="Q282" s="29" t="s">
        <v>380</v>
      </c>
      <c r="R282" s="178" t="s">
        <v>343</v>
      </c>
    </row>
    <row r="283" spans="1:18">
      <c r="A283" s="177">
        <v>3</v>
      </c>
      <c r="B283" s="30">
        <v>7</v>
      </c>
      <c r="C283" s="1">
        <v>42947</v>
      </c>
      <c r="D283" s="27">
        <v>773093</v>
      </c>
      <c r="E283" s="30">
        <v>2017</v>
      </c>
      <c r="F283" s="30">
        <v>2</v>
      </c>
      <c r="G283" s="1">
        <v>42835</v>
      </c>
      <c r="H283" s="27">
        <v>755302</v>
      </c>
      <c r="I283" s="24">
        <v>1208</v>
      </c>
      <c r="J283" s="24">
        <v>-1208</v>
      </c>
      <c r="K283" s="30">
        <v>335</v>
      </c>
      <c r="L283" s="30">
        <v>1320</v>
      </c>
      <c r="M283" s="30">
        <v>85</v>
      </c>
      <c r="N283" s="30">
        <v>0</v>
      </c>
      <c r="O283" s="30">
        <v>1192358</v>
      </c>
      <c r="P283" s="29" t="s">
        <v>559</v>
      </c>
      <c r="Q283" s="29" t="s">
        <v>380</v>
      </c>
      <c r="R283" s="178" t="s">
        <v>343</v>
      </c>
    </row>
    <row r="284" spans="1:18">
      <c r="A284" s="177">
        <v>3</v>
      </c>
      <c r="B284" s="30">
        <v>7</v>
      </c>
      <c r="C284" s="1">
        <v>42947</v>
      </c>
      <c r="D284" s="27">
        <v>773093</v>
      </c>
      <c r="E284" s="30">
        <v>2017</v>
      </c>
      <c r="F284" s="30">
        <v>3</v>
      </c>
      <c r="G284" s="1">
        <v>42926</v>
      </c>
      <c r="H284" s="27">
        <v>771245</v>
      </c>
      <c r="I284" s="24">
        <v>10236</v>
      </c>
      <c r="J284" s="24">
        <v>-10236</v>
      </c>
      <c r="K284" s="30">
        <v>71</v>
      </c>
      <c r="L284" s="30">
        <v>8506</v>
      </c>
      <c r="M284" s="30">
        <v>60</v>
      </c>
      <c r="N284" s="30">
        <v>0</v>
      </c>
      <c r="O284" s="30">
        <v>2185050</v>
      </c>
      <c r="P284" s="29" t="s">
        <v>560</v>
      </c>
      <c r="Q284" s="29" t="s">
        <v>530</v>
      </c>
      <c r="R284" s="178" t="s">
        <v>355</v>
      </c>
    </row>
    <row r="285" spans="1:18">
      <c r="A285" s="177">
        <v>3</v>
      </c>
      <c r="B285" s="30">
        <v>7</v>
      </c>
      <c r="C285" s="1">
        <v>42947</v>
      </c>
      <c r="D285" s="27">
        <v>773093</v>
      </c>
      <c r="E285" s="30">
        <v>2017</v>
      </c>
      <c r="F285" s="30">
        <v>3</v>
      </c>
      <c r="G285" s="1">
        <v>42926</v>
      </c>
      <c r="H285" s="27">
        <v>771245</v>
      </c>
      <c r="I285" s="24">
        <v>1331</v>
      </c>
      <c r="J285" s="24">
        <v>-1331</v>
      </c>
      <c r="K285" s="30">
        <v>71</v>
      </c>
      <c r="L285" s="30">
        <v>8506</v>
      </c>
      <c r="M285" s="30">
        <v>85</v>
      </c>
      <c r="N285" s="30">
        <v>0</v>
      </c>
      <c r="O285" s="30">
        <v>2185050</v>
      </c>
      <c r="P285" s="29" t="s">
        <v>560</v>
      </c>
      <c r="Q285" s="29" t="s">
        <v>530</v>
      </c>
      <c r="R285" s="178" t="s">
        <v>355</v>
      </c>
    </row>
    <row r="286" spans="1:18">
      <c r="A286" s="177">
        <v>3</v>
      </c>
      <c r="B286" s="30">
        <v>7</v>
      </c>
      <c r="C286" s="1">
        <v>42947</v>
      </c>
      <c r="D286" s="27">
        <v>773093</v>
      </c>
      <c r="E286" s="30">
        <v>2017</v>
      </c>
      <c r="F286" s="30">
        <v>3</v>
      </c>
      <c r="G286" s="1">
        <v>42927</v>
      </c>
      <c r="H286" s="27">
        <v>771243</v>
      </c>
      <c r="I286" s="24">
        <v>9346.74</v>
      </c>
      <c r="J286" s="24">
        <v>-9346.74</v>
      </c>
      <c r="K286" s="30">
        <v>110</v>
      </c>
      <c r="L286" s="30">
        <v>101</v>
      </c>
      <c r="M286" s="30">
        <v>60</v>
      </c>
      <c r="N286" s="30">
        <v>0</v>
      </c>
      <c r="O286" s="30">
        <v>30821</v>
      </c>
      <c r="P286" s="29" t="s">
        <v>561</v>
      </c>
      <c r="Q286" s="29" t="s">
        <v>477</v>
      </c>
      <c r="R286" s="178" t="s">
        <v>449</v>
      </c>
    </row>
    <row r="287" spans="1:18">
      <c r="A287" s="177">
        <v>3</v>
      </c>
      <c r="B287" s="30">
        <v>7</v>
      </c>
      <c r="C287" s="1">
        <v>42947</v>
      </c>
      <c r="D287" s="27">
        <v>773093</v>
      </c>
      <c r="E287" s="30">
        <v>2017</v>
      </c>
      <c r="F287" s="30">
        <v>3</v>
      </c>
      <c r="G287" s="1">
        <v>42927</v>
      </c>
      <c r="H287" s="27">
        <v>771243</v>
      </c>
      <c r="I287" s="24">
        <v>1216</v>
      </c>
      <c r="J287" s="24">
        <v>-1216</v>
      </c>
      <c r="K287" s="30">
        <v>110</v>
      </c>
      <c r="L287" s="30">
        <v>101</v>
      </c>
      <c r="M287" s="30">
        <v>85</v>
      </c>
      <c r="N287" s="30">
        <v>0</v>
      </c>
      <c r="O287" s="30">
        <v>30821</v>
      </c>
      <c r="P287" s="29" t="s">
        <v>561</v>
      </c>
      <c r="Q287" s="29" t="s">
        <v>477</v>
      </c>
      <c r="R287" s="178" t="s">
        <v>449</v>
      </c>
    </row>
    <row r="288" spans="1:18">
      <c r="A288" s="177">
        <v>3</v>
      </c>
      <c r="B288" s="30">
        <v>7</v>
      </c>
      <c r="C288" s="1">
        <v>42947</v>
      </c>
      <c r="D288" s="27">
        <v>773093</v>
      </c>
      <c r="E288" s="30">
        <v>2017</v>
      </c>
      <c r="F288" s="30">
        <v>1</v>
      </c>
      <c r="G288" s="1">
        <v>42776</v>
      </c>
      <c r="H288" s="27">
        <v>744989</v>
      </c>
      <c r="I288" s="24">
        <v>1784.7</v>
      </c>
      <c r="J288" s="24">
        <v>-1784.7</v>
      </c>
      <c r="K288" s="30">
        <v>335</v>
      </c>
      <c r="L288" s="30">
        <v>164</v>
      </c>
      <c r="M288" s="30">
        <v>60</v>
      </c>
      <c r="N288" s="30">
        <v>0</v>
      </c>
      <c r="O288" s="30">
        <v>300373</v>
      </c>
      <c r="P288" s="29" t="s">
        <v>562</v>
      </c>
      <c r="Q288" s="29" t="s">
        <v>548</v>
      </c>
      <c r="R288" s="178" t="s">
        <v>563</v>
      </c>
    </row>
    <row r="289" spans="1:18">
      <c r="A289" s="177">
        <v>3</v>
      </c>
      <c r="B289" s="30">
        <v>7</v>
      </c>
      <c r="C289" s="1">
        <v>42947</v>
      </c>
      <c r="D289" s="27">
        <v>773093</v>
      </c>
      <c r="E289" s="30">
        <v>2017</v>
      </c>
      <c r="F289" s="30">
        <v>1</v>
      </c>
      <c r="G289" s="1">
        <v>42776</v>
      </c>
      <c r="H289" s="27">
        <v>744989</v>
      </c>
      <c r="I289" s="24">
        <v>232</v>
      </c>
      <c r="J289" s="24">
        <v>-232</v>
      </c>
      <c r="K289" s="30">
        <v>335</v>
      </c>
      <c r="L289" s="30">
        <v>164</v>
      </c>
      <c r="M289" s="30">
        <v>85</v>
      </c>
      <c r="N289" s="30">
        <v>0</v>
      </c>
      <c r="O289" s="30">
        <v>300373</v>
      </c>
      <c r="P289" s="29" t="s">
        <v>562</v>
      </c>
      <c r="Q289" s="29" t="s">
        <v>548</v>
      </c>
      <c r="R289" s="178" t="s">
        <v>563</v>
      </c>
    </row>
    <row r="290" spans="1:18">
      <c r="A290" s="177">
        <v>3</v>
      </c>
      <c r="B290" s="30">
        <v>7</v>
      </c>
      <c r="C290" s="1">
        <v>42947</v>
      </c>
      <c r="D290" s="27">
        <v>773093</v>
      </c>
      <c r="E290" s="30">
        <v>2017</v>
      </c>
      <c r="F290" s="30">
        <v>2</v>
      </c>
      <c r="G290" s="1">
        <v>42858</v>
      </c>
      <c r="H290" s="27">
        <v>759733</v>
      </c>
      <c r="I290" s="24">
        <v>949.5</v>
      </c>
      <c r="J290" s="24">
        <v>-949.5</v>
      </c>
      <c r="K290" s="30">
        <v>36</v>
      </c>
      <c r="L290" s="30">
        <v>210</v>
      </c>
      <c r="M290" s="30">
        <v>60</v>
      </c>
      <c r="N290" s="30">
        <v>0</v>
      </c>
      <c r="O290" s="30">
        <v>57133</v>
      </c>
      <c r="P290" s="29" t="s">
        <v>564</v>
      </c>
      <c r="Q290" s="29" t="s">
        <v>342</v>
      </c>
      <c r="R290" s="178" t="s">
        <v>343</v>
      </c>
    </row>
    <row r="291" spans="1:18">
      <c r="A291" s="177">
        <v>3</v>
      </c>
      <c r="B291" s="30">
        <v>7</v>
      </c>
      <c r="C291" s="1">
        <v>42947</v>
      </c>
      <c r="D291" s="27">
        <v>773093</v>
      </c>
      <c r="E291" s="30">
        <v>2017</v>
      </c>
      <c r="F291" s="30">
        <v>2</v>
      </c>
      <c r="G291" s="1">
        <v>42858</v>
      </c>
      <c r="H291" s="27">
        <v>759733</v>
      </c>
      <c r="I291" s="24">
        <v>123</v>
      </c>
      <c r="J291" s="24">
        <v>-123</v>
      </c>
      <c r="K291" s="30">
        <v>36</v>
      </c>
      <c r="L291" s="30">
        <v>210</v>
      </c>
      <c r="M291" s="30">
        <v>85</v>
      </c>
      <c r="N291" s="30">
        <v>0</v>
      </c>
      <c r="O291" s="30">
        <v>57133</v>
      </c>
      <c r="P291" s="29" t="s">
        <v>564</v>
      </c>
      <c r="Q291" s="29" t="s">
        <v>342</v>
      </c>
      <c r="R291" s="178" t="s">
        <v>343</v>
      </c>
    </row>
    <row r="292" spans="1:18">
      <c r="A292" s="177">
        <v>3</v>
      </c>
      <c r="B292" s="30">
        <v>8</v>
      </c>
      <c r="C292" s="1">
        <v>42957</v>
      </c>
      <c r="D292" s="27">
        <v>516828</v>
      </c>
      <c r="E292" s="30">
        <v>2014</v>
      </c>
      <c r="F292" s="30">
        <v>4</v>
      </c>
      <c r="G292" s="1">
        <v>42004</v>
      </c>
      <c r="H292" s="27">
        <v>581152</v>
      </c>
      <c r="I292" s="24">
        <v>0</v>
      </c>
      <c r="J292" s="24">
        <v>-9048</v>
      </c>
      <c r="K292" s="30">
        <v>6</v>
      </c>
      <c r="L292" s="30">
        <v>3123</v>
      </c>
      <c r="M292" s="30">
        <v>85</v>
      </c>
      <c r="N292" s="30">
        <v>0</v>
      </c>
      <c r="O292" s="30">
        <v>79718</v>
      </c>
      <c r="P292" s="29" t="s">
        <v>565</v>
      </c>
      <c r="Q292" s="29" t="s">
        <v>330</v>
      </c>
      <c r="R292" s="178" t="s">
        <v>566</v>
      </c>
    </row>
    <row r="293" spans="1:18">
      <c r="A293" s="177">
        <v>3</v>
      </c>
      <c r="B293" s="30">
        <v>8</v>
      </c>
      <c r="C293" s="1">
        <v>42957</v>
      </c>
      <c r="D293" s="27">
        <v>516828</v>
      </c>
      <c r="E293" s="30">
        <v>2014</v>
      </c>
      <c r="F293" s="30">
        <v>4</v>
      </c>
      <c r="G293" s="1">
        <v>42004</v>
      </c>
      <c r="H293" s="27">
        <v>581152</v>
      </c>
      <c r="I293" s="24">
        <v>69600</v>
      </c>
      <c r="J293" s="24">
        <v>0</v>
      </c>
      <c r="K293" s="30">
        <v>6</v>
      </c>
      <c r="L293" s="30">
        <v>3123</v>
      </c>
      <c r="M293" s="30">
        <v>1021</v>
      </c>
      <c r="N293" s="30">
        <v>0</v>
      </c>
      <c r="O293" s="30">
        <v>79718</v>
      </c>
      <c r="P293" s="29" t="s">
        <v>565</v>
      </c>
      <c r="Q293" s="29" t="s">
        <v>330</v>
      </c>
      <c r="R293" s="178" t="s">
        <v>566</v>
      </c>
    </row>
    <row r="294" spans="1:18">
      <c r="A294" s="177">
        <v>3</v>
      </c>
      <c r="B294" s="30">
        <v>8</v>
      </c>
      <c r="C294" s="1">
        <v>42957</v>
      </c>
      <c r="D294" s="27">
        <v>516828</v>
      </c>
      <c r="E294" s="30">
        <v>2014</v>
      </c>
      <c r="F294" s="30">
        <v>4</v>
      </c>
      <c r="G294" s="1">
        <v>42004</v>
      </c>
      <c r="H294" s="27">
        <v>581152</v>
      </c>
      <c r="I294" s="24">
        <v>69600</v>
      </c>
      <c r="J294" s="24">
        <v>0</v>
      </c>
      <c r="K294" s="30">
        <v>6</v>
      </c>
      <c r="L294" s="30">
        <v>3123</v>
      </c>
      <c r="M294" s="30">
        <v>1031</v>
      </c>
      <c r="N294" s="30">
        <v>0</v>
      </c>
      <c r="O294" s="30">
        <v>79718</v>
      </c>
      <c r="P294" s="29" t="s">
        <v>565</v>
      </c>
      <c r="Q294" s="29" t="s">
        <v>330</v>
      </c>
      <c r="R294" s="178" t="s">
        <v>566</v>
      </c>
    </row>
    <row r="295" spans="1:18">
      <c r="A295" s="177">
        <v>3</v>
      </c>
      <c r="B295" s="30">
        <v>8</v>
      </c>
      <c r="C295" s="1">
        <v>42957</v>
      </c>
      <c r="D295" s="27">
        <v>516829</v>
      </c>
      <c r="E295" s="30">
        <v>2015</v>
      </c>
      <c r="F295" s="30">
        <v>4</v>
      </c>
      <c r="G295" s="1">
        <v>42369</v>
      </c>
      <c r="H295" s="27">
        <v>664110</v>
      </c>
      <c r="I295" s="24">
        <v>0</v>
      </c>
      <c r="J295" s="24">
        <v>-9048</v>
      </c>
      <c r="K295" s="30">
        <v>6</v>
      </c>
      <c r="L295" s="30">
        <v>3123</v>
      </c>
      <c r="M295" s="30">
        <v>85</v>
      </c>
      <c r="N295" s="30">
        <v>0</v>
      </c>
      <c r="O295" s="30">
        <v>79718</v>
      </c>
      <c r="P295" s="29" t="s">
        <v>565</v>
      </c>
      <c r="Q295" s="29" t="s">
        <v>330</v>
      </c>
      <c r="R295" s="178" t="s">
        <v>566</v>
      </c>
    </row>
    <row r="296" spans="1:18">
      <c r="A296" s="177">
        <v>3</v>
      </c>
      <c r="B296" s="30">
        <v>8</v>
      </c>
      <c r="C296" s="1">
        <v>42957</v>
      </c>
      <c r="D296" s="27">
        <v>516829</v>
      </c>
      <c r="E296" s="30">
        <v>2015</v>
      </c>
      <c r="F296" s="30">
        <v>4</v>
      </c>
      <c r="G296" s="1">
        <v>42369</v>
      </c>
      <c r="H296" s="27">
        <v>664110</v>
      </c>
      <c r="I296" s="24">
        <v>69600</v>
      </c>
      <c r="J296" s="24">
        <v>0</v>
      </c>
      <c r="K296" s="30">
        <v>6</v>
      </c>
      <c r="L296" s="30">
        <v>3123</v>
      </c>
      <c r="M296" s="30">
        <v>1021</v>
      </c>
      <c r="N296" s="30">
        <v>0</v>
      </c>
      <c r="O296" s="30">
        <v>79718</v>
      </c>
      <c r="P296" s="29" t="s">
        <v>565</v>
      </c>
      <c r="Q296" s="29" t="s">
        <v>330</v>
      </c>
      <c r="R296" s="178" t="s">
        <v>566</v>
      </c>
    </row>
    <row r="297" spans="1:18">
      <c r="A297" s="177">
        <v>3</v>
      </c>
      <c r="B297" s="30">
        <v>8</v>
      </c>
      <c r="C297" s="1">
        <v>42957</v>
      </c>
      <c r="D297" s="27">
        <v>516829</v>
      </c>
      <c r="E297" s="30">
        <v>2015</v>
      </c>
      <c r="F297" s="30">
        <v>4</v>
      </c>
      <c r="G297" s="1">
        <v>42369</v>
      </c>
      <c r="H297" s="27">
        <v>664110</v>
      </c>
      <c r="I297" s="24">
        <v>69600</v>
      </c>
      <c r="J297" s="24">
        <v>0</v>
      </c>
      <c r="K297" s="30">
        <v>6</v>
      </c>
      <c r="L297" s="30">
        <v>3123</v>
      </c>
      <c r="M297" s="30">
        <v>1031</v>
      </c>
      <c r="N297" s="30">
        <v>0</v>
      </c>
      <c r="O297" s="30">
        <v>79718</v>
      </c>
      <c r="P297" s="29" t="s">
        <v>565</v>
      </c>
      <c r="Q297" s="29" t="s">
        <v>330</v>
      </c>
      <c r="R297" s="178" t="s">
        <v>566</v>
      </c>
    </row>
    <row r="298" spans="1:18">
      <c r="A298" s="177">
        <v>3</v>
      </c>
      <c r="B298" s="30">
        <v>8</v>
      </c>
      <c r="C298" s="1">
        <v>42957</v>
      </c>
      <c r="D298" s="27">
        <v>516830</v>
      </c>
      <c r="E298" s="30">
        <v>2016</v>
      </c>
      <c r="F298" s="30">
        <v>4</v>
      </c>
      <c r="G298" s="1">
        <v>42735</v>
      </c>
      <c r="H298" s="27">
        <v>736258</v>
      </c>
      <c r="I298" s="24">
        <v>0</v>
      </c>
      <c r="J298" s="24">
        <v>-11544</v>
      </c>
      <c r="K298" s="30">
        <v>6</v>
      </c>
      <c r="L298" s="30">
        <v>3123</v>
      </c>
      <c r="M298" s="30">
        <v>85</v>
      </c>
      <c r="N298" s="30">
        <v>0</v>
      </c>
      <c r="O298" s="30">
        <v>79718</v>
      </c>
      <c r="P298" s="29" t="s">
        <v>565</v>
      </c>
      <c r="Q298" s="29" t="s">
        <v>330</v>
      </c>
      <c r="R298" s="178" t="s">
        <v>566</v>
      </c>
    </row>
    <row r="299" spans="1:18">
      <c r="A299" s="177">
        <v>3</v>
      </c>
      <c r="B299" s="30">
        <v>8</v>
      </c>
      <c r="C299" s="1">
        <v>42957</v>
      </c>
      <c r="D299" s="27">
        <v>516830</v>
      </c>
      <c r="E299" s="30">
        <v>2016</v>
      </c>
      <c r="F299" s="30">
        <v>4</v>
      </c>
      <c r="G299" s="1">
        <v>42735</v>
      </c>
      <c r="H299" s="27">
        <v>736258</v>
      </c>
      <c r="I299" s="24">
        <v>88800</v>
      </c>
      <c r="J299" s="24">
        <v>0</v>
      </c>
      <c r="K299" s="30">
        <v>6</v>
      </c>
      <c r="L299" s="30">
        <v>3123</v>
      </c>
      <c r="M299" s="30">
        <v>1021</v>
      </c>
      <c r="N299" s="30">
        <v>0</v>
      </c>
      <c r="O299" s="30">
        <v>79718</v>
      </c>
      <c r="P299" s="29" t="s">
        <v>565</v>
      </c>
      <c r="Q299" s="29" t="s">
        <v>330</v>
      </c>
      <c r="R299" s="178" t="s">
        <v>566</v>
      </c>
    </row>
    <row r="300" spans="1:18">
      <c r="A300" s="177">
        <v>3</v>
      </c>
      <c r="B300" s="30">
        <v>8</v>
      </c>
      <c r="C300" s="1">
        <v>42957</v>
      </c>
      <c r="D300" s="27">
        <v>516830</v>
      </c>
      <c r="E300" s="30">
        <v>2016</v>
      </c>
      <c r="F300" s="30">
        <v>4</v>
      </c>
      <c r="G300" s="1">
        <v>42735</v>
      </c>
      <c r="H300" s="27">
        <v>736258</v>
      </c>
      <c r="I300" s="24">
        <v>88800</v>
      </c>
      <c r="J300" s="24">
        <v>0</v>
      </c>
      <c r="K300" s="30">
        <v>6</v>
      </c>
      <c r="L300" s="30">
        <v>3123</v>
      </c>
      <c r="M300" s="30">
        <v>1031</v>
      </c>
      <c r="N300" s="30">
        <v>0</v>
      </c>
      <c r="O300" s="30">
        <v>79718</v>
      </c>
      <c r="P300" s="29" t="s">
        <v>565</v>
      </c>
      <c r="Q300" s="29" t="s">
        <v>330</v>
      </c>
      <c r="R300" s="178" t="s">
        <v>566</v>
      </c>
    </row>
    <row r="301" spans="1:18">
      <c r="A301" s="177">
        <v>3</v>
      </c>
      <c r="B301" s="30">
        <v>8</v>
      </c>
      <c r="C301" s="1">
        <v>42958</v>
      </c>
      <c r="D301" s="27">
        <v>777945</v>
      </c>
      <c r="E301" s="30">
        <v>2017</v>
      </c>
      <c r="F301" s="30">
        <v>2</v>
      </c>
      <c r="G301" s="1">
        <v>42874</v>
      </c>
      <c r="H301" s="27">
        <v>763941</v>
      </c>
      <c r="I301" s="24">
        <v>99000</v>
      </c>
      <c r="J301" s="24">
        <v>-99000</v>
      </c>
      <c r="K301" s="30">
        <v>991</v>
      </c>
      <c r="L301" s="30">
        <v>36922</v>
      </c>
      <c r="M301" s="30">
        <v>55</v>
      </c>
      <c r="N301" s="30">
        <v>1</v>
      </c>
      <c r="O301" s="30">
        <v>563974</v>
      </c>
      <c r="P301" s="29" t="s">
        <v>539</v>
      </c>
      <c r="Q301" s="29" t="s">
        <v>366</v>
      </c>
      <c r="R301" s="178" t="s">
        <v>464</v>
      </c>
    </row>
    <row r="302" spans="1:18">
      <c r="A302" s="177">
        <v>3</v>
      </c>
      <c r="B302" s="30">
        <v>8</v>
      </c>
      <c r="C302" s="1">
        <v>42958</v>
      </c>
      <c r="D302" s="27">
        <v>777945</v>
      </c>
      <c r="E302" s="30">
        <v>2017</v>
      </c>
      <c r="F302" s="30">
        <v>2</v>
      </c>
      <c r="G302" s="1">
        <v>42874</v>
      </c>
      <c r="H302" s="27">
        <v>763941</v>
      </c>
      <c r="I302" s="24">
        <v>18581</v>
      </c>
      <c r="J302" s="24">
        <v>-12870</v>
      </c>
      <c r="K302" s="30">
        <v>991</v>
      </c>
      <c r="L302" s="30">
        <v>36922</v>
      </c>
      <c r="M302" s="30">
        <v>85</v>
      </c>
      <c r="N302" s="30">
        <v>2</v>
      </c>
      <c r="O302" s="30">
        <v>563974</v>
      </c>
      <c r="P302" s="29" t="s">
        <v>539</v>
      </c>
      <c r="Q302" s="29" t="s">
        <v>366</v>
      </c>
      <c r="R302" s="178" t="s">
        <v>464</v>
      </c>
    </row>
    <row r="303" spans="1:18">
      <c r="A303" s="177">
        <v>3</v>
      </c>
      <c r="B303" s="30">
        <v>8</v>
      </c>
      <c r="C303" s="1">
        <v>42958</v>
      </c>
      <c r="D303" s="27">
        <v>777864</v>
      </c>
      <c r="E303" s="30">
        <v>2017</v>
      </c>
      <c r="F303" s="30">
        <v>2</v>
      </c>
      <c r="G303" s="1">
        <v>42907</v>
      </c>
      <c r="H303" s="27">
        <v>769493</v>
      </c>
      <c r="I303" s="24">
        <v>207000</v>
      </c>
      <c r="J303" s="24">
        <v>-207000</v>
      </c>
      <c r="K303" s="30">
        <v>991</v>
      </c>
      <c r="L303" s="30">
        <v>37229</v>
      </c>
      <c r="M303" s="30">
        <v>55</v>
      </c>
      <c r="N303" s="30">
        <v>1</v>
      </c>
      <c r="O303" s="30">
        <v>565373</v>
      </c>
      <c r="P303" s="29" t="s">
        <v>567</v>
      </c>
      <c r="Q303" s="29" t="s">
        <v>568</v>
      </c>
      <c r="R303" s="178" t="s">
        <v>569</v>
      </c>
    </row>
    <row r="304" spans="1:18">
      <c r="A304" s="177">
        <v>3</v>
      </c>
      <c r="B304" s="30">
        <v>8</v>
      </c>
      <c r="C304" s="1">
        <v>42958</v>
      </c>
      <c r="D304" s="27">
        <v>777864</v>
      </c>
      <c r="E304" s="30">
        <v>2017</v>
      </c>
      <c r="F304" s="30">
        <v>2</v>
      </c>
      <c r="G304" s="1">
        <v>42907</v>
      </c>
      <c r="H304" s="27">
        <v>769493</v>
      </c>
      <c r="I304" s="24">
        <v>35682</v>
      </c>
      <c r="J304" s="24">
        <v>-26910</v>
      </c>
      <c r="K304" s="30">
        <v>991</v>
      </c>
      <c r="L304" s="30">
        <v>37229</v>
      </c>
      <c r="M304" s="30">
        <v>85</v>
      </c>
      <c r="N304" s="30">
        <v>2</v>
      </c>
      <c r="O304" s="30">
        <v>565373</v>
      </c>
      <c r="P304" s="29" t="s">
        <v>567</v>
      </c>
      <c r="Q304" s="29" t="s">
        <v>568</v>
      </c>
      <c r="R304" s="178" t="s">
        <v>569</v>
      </c>
    </row>
    <row r="305" spans="1:18">
      <c r="A305" s="177">
        <v>3</v>
      </c>
      <c r="B305" s="30">
        <v>8</v>
      </c>
      <c r="C305" s="1">
        <v>42958</v>
      </c>
      <c r="D305" s="27">
        <v>777871</v>
      </c>
      <c r="E305" s="30">
        <v>2017</v>
      </c>
      <c r="F305" s="30">
        <v>3</v>
      </c>
      <c r="G305" s="1">
        <v>42937</v>
      </c>
      <c r="H305" s="27">
        <v>775028</v>
      </c>
      <c r="I305" s="24">
        <v>60000</v>
      </c>
      <c r="J305" s="24">
        <v>-60000</v>
      </c>
      <c r="K305" s="30">
        <v>991</v>
      </c>
      <c r="L305" s="30">
        <v>34209</v>
      </c>
      <c r="M305" s="30">
        <v>55</v>
      </c>
      <c r="N305" s="30">
        <v>1</v>
      </c>
      <c r="O305" s="30">
        <v>500925</v>
      </c>
      <c r="P305" s="29" t="s">
        <v>570</v>
      </c>
      <c r="Q305" s="29" t="s">
        <v>324</v>
      </c>
      <c r="R305" s="178" t="s">
        <v>432</v>
      </c>
    </row>
    <row r="306" spans="1:18">
      <c r="A306" s="177">
        <v>3</v>
      </c>
      <c r="B306" s="30">
        <v>8</v>
      </c>
      <c r="C306" s="1">
        <v>42958</v>
      </c>
      <c r="D306" s="27">
        <v>777871</v>
      </c>
      <c r="E306" s="30">
        <v>2017</v>
      </c>
      <c r="F306" s="30">
        <v>3</v>
      </c>
      <c r="G306" s="1">
        <v>42937</v>
      </c>
      <c r="H306" s="27">
        <v>775028</v>
      </c>
      <c r="I306" s="24">
        <v>10867</v>
      </c>
      <c r="J306" s="24">
        <v>-7800</v>
      </c>
      <c r="K306" s="30">
        <v>991</v>
      </c>
      <c r="L306" s="30">
        <v>34209</v>
      </c>
      <c r="M306" s="30">
        <v>85</v>
      </c>
      <c r="N306" s="30">
        <v>2</v>
      </c>
      <c r="O306" s="30">
        <v>500925</v>
      </c>
      <c r="P306" s="29" t="s">
        <v>570</v>
      </c>
      <c r="Q306" s="29" t="s">
        <v>324</v>
      </c>
      <c r="R306" s="178" t="s">
        <v>432</v>
      </c>
    </row>
    <row r="307" spans="1:18">
      <c r="A307" s="177">
        <v>3</v>
      </c>
      <c r="B307" s="30">
        <v>8</v>
      </c>
      <c r="C307" s="1">
        <v>42958</v>
      </c>
      <c r="D307" s="27">
        <v>777861</v>
      </c>
      <c r="E307" s="30">
        <v>2017</v>
      </c>
      <c r="F307" s="30">
        <v>3</v>
      </c>
      <c r="G307" s="1">
        <v>42937</v>
      </c>
      <c r="H307" s="27">
        <v>775018</v>
      </c>
      <c r="I307" s="24">
        <v>202500</v>
      </c>
      <c r="J307" s="24">
        <v>-202500</v>
      </c>
      <c r="K307" s="30">
        <v>991</v>
      </c>
      <c r="L307" s="30">
        <v>2577</v>
      </c>
      <c r="M307" s="30">
        <v>55</v>
      </c>
      <c r="N307" s="30">
        <v>1</v>
      </c>
      <c r="O307" s="30">
        <v>140433</v>
      </c>
      <c r="P307" s="29" t="s">
        <v>571</v>
      </c>
      <c r="Q307" s="29" t="s">
        <v>434</v>
      </c>
      <c r="R307" s="178" t="s">
        <v>383</v>
      </c>
    </row>
    <row r="308" spans="1:18">
      <c r="A308" s="177">
        <v>3</v>
      </c>
      <c r="B308" s="30">
        <v>8</v>
      </c>
      <c r="C308" s="1">
        <v>42958</v>
      </c>
      <c r="D308" s="27">
        <v>777861</v>
      </c>
      <c r="E308" s="30">
        <v>2017</v>
      </c>
      <c r="F308" s="30">
        <v>3</v>
      </c>
      <c r="G308" s="1">
        <v>42937</v>
      </c>
      <c r="H308" s="27">
        <v>775018</v>
      </c>
      <c r="I308" s="24">
        <v>43635</v>
      </c>
      <c r="J308" s="24">
        <v>-26325</v>
      </c>
      <c r="K308" s="30">
        <v>991</v>
      </c>
      <c r="L308" s="30">
        <v>2577</v>
      </c>
      <c r="M308" s="30">
        <v>85</v>
      </c>
      <c r="N308" s="30">
        <v>2</v>
      </c>
      <c r="O308" s="30">
        <v>140433</v>
      </c>
      <c r="P308" s="29" t="s">
        <v>571</v>
      </c>
      <c r="Q308" s="29" t="s">
        <v>434</v>
      </c>
      <c r="R308" s="178" t="s">
        <v>383</v>
      </c>
    </row>
    <row r="309" spans="1:18">
      <c r="A309" s="177">
        <v>3</v>
      </c>
      <c r="B309" s="30">
        <v>8</v>
      </c>
      <c r="C309" s="1">
        <v>42958</v>
      </c>
      <c r="D309" s="27">
        <v>777892</v>
      </c>
      <c r="E309" s="30">
        <v>2017</v>
      </c>
      <c r="F309" s="30">
        <v>3</v>
      </c>
      <c r="G309" s="1">
        <v>42930</v>
      </c>
      <c r="H309" s="27">
        <v>773555</v>
      </c>
      <c r="I309" s="24">
        <v>110000</v>
      </c>
      <c r="J309" s="24">
        <v>-110000</v>
      </c>
      <c r="K309" s="30">
        <v>991</v>
      </c>
      <c r="L309" s="30">
        <v>7400</v>
      </c>
      <c r="M309" s="30">
        <v>55</v>
      </c>
      <c r="N309" s="30">
        <v>1</v>
      </c>
      <c r="O309" s="30">
        <v>185063</v>
      </c>
      <c r="P309" s="29" t="s">
        <v>572</v>
      </c>
      <c r="Q309" s="29" t="s">
        <v>459</v>
      </c>
      <c r="R309" s="178" t="s">
        <v>489</v>
      </c>
    </row>
    <row r="310" spans="1:18">
      <c r="A310" s="177">
        <v>3</v>
      </c>
      <c r="B310" s="30">
        <v>8</v>
      </c>
      <c r="C310" s="1">
        <v>42958</v>
      </c>
      <c r="D310" s="27">
        <v>777892</v>
      </c>
      <c r="E310" s="30">
        <v>2017</v>
      </c>
      <c r="F310" s="30">
        <v>3</v>
      </c>
      <c r="G310" s="1">
        <v>42930</v>
      </c>
      <c r="H310" s="27">
        <v>773555</v>
      </c>
      <c r="I310" s="24">
        <v>22305</v>
      </c>
      <c r="J310" s="24">
        <v>-14300</v>
      </c>
      <c r="K310" s="30">
        <v>991</v>
      </c>
      <c r="L310" s="30">
        <v>7400</v>
      </c>
      <c r="M310" s="30">
        <v>85</v>
      </c>
      <c r="N310" s="30">
        <v>2</v>
      </c>
      <c r="O310" s="30">
        <v>185063</v>
      </c>
      <c r="P310" s="29" t="s">
        <v>572</v>
      </c>
      <c r="Q310" s="29" t="s">
        <v>459</v>
      </c>
      <c r="R310" s="178" t="s">
        <v>489</v>
      </c>
    </row>
    <row r="311" spans="1:18">
      <c r="A311" s="177">
        <v>3</v>
      </c>
      <c r="B311" s="30">
        <v>8</v>
      </c>
      <c r="C311" s="1">
        <v>42958</v>
      </c>
      <c r="D311" s="27">
        <v>777863</v>
      </c>
      <c r="E311" s="30">
        <v>2017</v>
      </c>
      <c r="F311" s="30">
        <v>3</v>
      </c>
      <c r="G311" s="1">
        <v>42937</v>
      </c>
      <c r="H311" s="27">
        <v>775016</v>
      </c>
      <c r="I311" s="24">
        <v>66000</v>
      </c>
      <c r="J311" s="24">
        <v>-66000</v>
      </c>
      <c r="K311" s="30">
        <v>991</v>
      </c>
      <c r="L311" s="30">
        <v>23466</v>
      </c>
      <c r="M311" s="30">
        <v>55</v>
      </c>
      <c r="N311" s="30">
        <v>1</v>
      </c>
      <c r="O311" s="30">
        <v>300552</v>
      </c>
      <c r="P311" s="29" t="s">
        <v>573</v>
      </c>
      <c r="Q311" s="29" t="s">
        <v>330</v>
      </c>
      <c r="R311" s="178" t="s">
        <v>483</v>
      </c>
    </row>
    <row r="312" spans="1:18">
      <c r="A312" s="177">
        <v>3</v>
      </c>
      <c r="B312" s="30">
        <v>8</v>
      </c>
      <c r="C312" s="1">
        <v>42958</v>
      </c>
      <c r="D312" s="27">
        <v>777863</v>
      </c>
      <c r="E312" s="30">
        <v>2017</v>
      </c>
      <c r="F312" s="30">
        <v>3</v>
      </c>
      <c r="G312" s="1">
        <v>42937</v>
      </c>
      <c r="H312" s="27">
        <v>775016</v>
      </c>
      <c r="I312" s="24">
        <v>13687</v>
      </c>
      <c r="J312" s="24">
        <v>-8580</v>
      </c>
      <c r="K312" s="30">
        <v>991</v>
      </c>
      <c r="L312" s="30">
        <v>23466</v>
      </c>
      <c r="M312" s="30">
        <v>85</v>
      </c>
      <c r="N312" s="30">
        <v>2</v>
      </c>
      <c r="O312" s="30">
        <v>300552</v>
      </c>
      <c r="P312" s="29" t="s">
        <v>573</v>
      </c>
      <c r="Q312" s="29" t="s">
        <v>330</v>
      </c>
      <c r="R312" s="178" t="s">
        <v>483</v>
      </c>
    </row>
    <row r="313" spans="1:18">
      <c r="A313" s="177">
        <v>3</v>
      </c>
      <c r="B313" s="30">
        <v>8</v>
      </c>
      <c r="C313" s="1">
        <v>42958</v>
      </c>
      <c r="D313" s="27">
        <v>777854</v>
      </c>
      <c r="E313" s="30">
        <v>2017</v>
      </c>
      <c r="F313" s="30">
        <v>3</v>
      </c>
      <c r="G313" s="1">
        <v>42930</v>
      </c>
      <c r="H313" s="27">
        <v>773497</v>
      </c>
      <c r="I313" s="24">
        <v>134500</v>
      </c>
      <c r="J313" s="24">
        <v>-67500</v>
      </c>
      <c r="K313" s="30">
        <v>991</v>
      </c>
      <c r="L313" s="30">
        <v>4279</v>
      </c>
      <c r="M313" s="30">
        <v>55</v>
      </c>
      <c r="N313" s="30">
        <v>1</v>
      </c>
      <c r="O313" s="30">
        <v>148831</v>
      </c>
      <c r="P313" s="29" t="s">
        <v>574</v>
      </c>
      <c r="Q313" s="29" t="s">
        <v>324</v>
      </c>
      <c r="R313" s="178" t="s">
        <v>523</v>
      </c>
    </row>
    <row r="314" spans="1:18">
      <c r="A314" s="177">
        <v>3</v>
      </c>
      <c r="B314" s="30">
        <v>8</v>
      </c>
      <c r="C314" s="1">
        <v>42958</v>
      </c>
      <c r="D314" s="27">
        <v>777854</v>
      </c>
      <c r="E314" s="30">
        <v>2017</v>
      </c>
      <c r="F314" s="30">
        <v>3</v>
      </c>
      <c r="G314" s="1">
        <v>42930</v>
      </c>
      <c r="H314" s="27">
        <v>773497</v>
      </c>
      <c r="I314" s="24">
        <v>25155</v>
      </c>
      <c r="J314" s="24">
        <v>-8775</v>
      </c>
      <c r="K314" s="30">
        <v>991</v>
      </c>
      <c r="L314" s="30">
        <v>4279</v>
      </c>
      <c r="M314" s="30">
        <v>85</v>
      </c>
      <c r="N314" s="30">
        <v>2</v>
      </c>
      <c r="O314" s="30">
        <v>148831</v>
      </c>
      <c r="P314" s="29" t="s">
        <v>574</v>
      </c>
      <c r="Q314" s="29" t="s">
        <v>324</v>
      </c>
      <c r="R314" s="178" t="s">
        <v>523</v>
      </c>
    </row>
    <row r="315" spans="1:18">
      <c r="A315" s="177">
        <v>3</v>
      </c>
      <c r="B315" s="30">
        <v>8</v>
      </c>
      <c r="C315" s="1">
        <v>42958</v>
      </c>
      <c r="D315" s="27">
        <v>777893</v>
      </c>
      <c r="E315" s="30">
        <v>2017</v>
      </c>
      <c r="F315" s="30">
        <v>3</v>
      </c>
      <c r="G315" s="1">
        <v>42937</v>
      </c>
      <c r="H315" s="27">
        <v>775043</v>
      </c>
      <c r="I315" s="24">
        <v>44500</v>
      </c>
      <c r="J315" s="24">
        <v>-42500</v>
      </c>
      <c r="K315" s="30">
        <v>991</v>
      </c>
      <c r="L315" s="30">
        <v>34532</v>
      </c>
      <c r="M315" s="30">
        <v>55</v>
      </c>
      <c r="N315" s="30">
        <v>1</v>
      </c>
      <c r="O315" s="30">
        <v>502251</v>
      </c>
      <c r="P315" s="29" t="s">
        <v>575</v>
      </c>
      <c r="Q315" s="29" t="s">
        <v>534</v>
      </c>
      <c r="R315" s="178" t="s">
        <v>349</v>
      </c>
    </row>
    <row r="316" spans="1:18">
      <c r="A316" s="177">
        <v>3</v>
      </c>
      <c r="B316" s="30">
        <v>8</v>
      </c>
      <c r="C316" s="1">
        <v>42958</v>
      </c>
      <c r="D316" s="27">
        <v>777893</v>
      </c>
      <c r="E316" s="30">
        <v>2017</v>
      </c>
      <c r="F316" s="30">
        <v>3</v>
      </c>
      <c r="G316" s="1">
        <v>42937</v>
      </c>
      <c r="H316" s="27">
        <v>775043</v>
      </c>
      <c r="I316" s="24">
        <v>7545</v>
      </c>
      <c r="J316" s="24">
        <v>-5525</v>
      </c>
      <c r="K316" s="30">
        <v>991</v>
      </c>
      <c r="L316" s="30">
        <v>34532</v>
      </c>
      <c r="M316" s="30">
        <v>85</v>
      </c>
      <c r="N316" s="30">
        <v>2</v>
      </c>
      <c r="O316" s="30">
        <v>502251</v>
      </c>
      <c r="P316" s="29" t="s">
        <v>575</v>
      </c>
      <c r="Q316" s="29" t="s">
        <v>534</v>
      </c>
      <c r="R316" s="178" t="s">
        <v>349</v>
      </c>
    </row>
    <row r="317" spans="1:18">
      <c r="A317" s="177">
        <v>3</v>
      </c>
      <c r="B317" s="30">
        <v>8</v>
      </c>
      <c r="C317" s="1">
        <v>42958</v>
      </c>
      <c r="D317" s="27">
        <v>777859</v>
      </c>
      <c r="E317" s="30">
        <v>2017</v>
      </c>
      <c r="F317" s="30">
        <v>3</v>
      </c>
      <c r="G317" s="1">
        <v>42937</v>
      </c>
      <c r="H317" s="27">
        <v>775013</v>
      </c>
      <c r="I317" s="24">
        <v>58000</v>
      </c>
      <c r="J317" s="24">
        <v>-57500</v>
      </c>
      <c r="K317" s="30">
        <v>991</v>
      </c>
      <c r="L317" s="30">
        <v>12336</v>
      </c>
      <c r="M317" s="30">
        <v>55</v>
      </c>
      <c r="N317" s="30">
        <v>1</v>
      </c>
      <c r="O317" s="30">
        <v>217116</v>
      </c>
      <c r="P317" s="29" t="s">
        <v>533</v>
      </c>
      <c r="Q317" s="29" t="s">
        <v>576</v>
      </c>
      <c r="R317" s="178" t="s">
        <v>577</v>
      </c>
    </row>
    <row r="318" spans="1:18">
      <c r="A318" s="177">
        <v>3</v>
      </c>
      <c r="B318" s="30">
        <v>8</v>
      </c>
      <c r="C318" s="1">
        <v>42958</v>
      </c>
      <c r="D318" s="27">
        <v>777859</v>
      </c>
      <c r="E318" s="30">
        <v>2017</v>
      </c>
      <c r="F318" s="30">
        <v>3</v>
      </c>
      <c r="G318" s="1">
        <v>42937</v>
      </c>
      <c r="H318" s="27">
        <v>775013</v>
      </c>
      <c r="I318" s="24">
        <v>11101</v>
      </c>
      <c r="J318" s="24">
        <v>-7475</v>
      </c>
      <c r="K318" s="30">
        <v>991</v>
      </c>
      <c r="L318" s="30">
        <v>12336</v>
      </c>
      <c r="M318" s="30">
        <v>85</v>
      </c>
      <c r="N318" s="30">
        <v>2</v>
      </c>
      <c r="O318" s="30">
        <v>217116</v>
      </c>
      <c r="P318" s="29" t="s">
        <v>533</v>
      </c>
      <c r="Q318" s="29" t="s">
        <v>576</v>
      </c>
      <c r="R318" s="178" t="s">
        <v>577</v>
      </c>
    </row>
    <row r="319" spans="1:18">
      <c r="A319" s="177">
        <v>3</v>
      </c>
      <c r="B319" s="30">
        <v>8</v>
      </c>
      <c r="C319" s="1">
        <v>42958</v>
      </c>
      <c r="D319" s="27">
        <v>777882</v>
      </c>
      <c r="E319" s="30">
        <v>2017</v>
      </c>
      <c r="F319" s="30">
        <v>2</v>
      </c>
      <c r="G319" s="1">
        <v>42902</v>
      </c>
      <c r="H319" s="27">
        <v>768446</v>
      </c>
      <c r="I319" s="24">
        <v>52000</v>
      </c>
      <c r="J319" s="24">
        <v>-52000</v>
      </c>
      <c r="K319" s="30">
        <v>991</v>
      </c>
      <c r="L319" s="30">
        <v>61543</v>
      </c>
      <c r="M319" s="30">
        <v>55</v>
      </c>
      <c r="N319" s="30">
        <v>1</v>
      </c>
      <c r="O319" s="30">
        <v>1005120</v>
      </c>
      <c r="P319" s="29" t="s">
        <v>578</v>
      </c>
      <c r="Q319" s="29" t="s">
        <v>321</v>
      </c>
      <c r="R319" s="178" t="s">
        <v>322</v>
      </c>
    </row>
    <row r="320" spans="1:18">
      <c r="A320" s="177">
        <v>3</v>
      </c>
      <c r="B320" s="30">
        <v>8</v>
      </c>
      <c r="C320" s="1">
        <v>42958</v>
      </c>
      <c r="D320" s="27">
        <v>777882</v>
      </c>
      <c r="E320" s="30">
        <v>2017</v>
      </c>
      <c r="F320" s="30">
        <v>2</v>
      </c>
      <c r="G320" s="1">
        <v>42902</v>
      </c>
      <c r="H320" s="27">
        <v>768446</v>
      </c>
      <c r="I320" s="24">
        <v>8326</v>
      </c>
      <c r="J320" s="24">
        <v>-6760</v>
      </c>
      <c r="K320" s="30">
        <v>991</v>
      </c>
      <c r="L320" s="30">
        <v>61543</v>
      </c>
      <c r="M320" s="30">
        <v>85</v>
      </c>
      <c r="N320" s="30">
        <v>2</v>
      </c>
      <c r="O320" s="30">
        <v>1005120</v>
      </c>
      <c r="P320" s="29" t="s">
        <v>578</v>
      </c>
      <c r="Q320" s="29" t="s">
        <v>321</v>
      </c>
      <c r="R320" s="178" t="s">
        <v>322</v>
      </c>
    </row>
    <row r="321" spans="1:18">
      <c r="A321" s="177">
        <v>3</v>
      </c>
      <c r="B321" s="30">
        <v>8</v>
      </c>
      <c r="C321" s="1">
        <v>42965</v>
      </c>
      <c r="D321" s="27">
        <v>779747</v>
      </c>
      <c r="E321" s="30">
        <v>2017</v>
      </c>
      <c r="F321" s="30">
        <v>2</v>
      </c>
      <c r="G321" s="1">
        <v>42916</v>
      </c>
      <c r="H321" s="27">
        <v>770336</v>
      </c>
      <c r="I321" s="24">
        <v>49000</v>
      </c>
      <c r="J321" s="24">
        <v>-49000</v>
      </c>
      <c r="K321" s="30">
        <v>991</v>
      </c>
      <c r="L321" s="30">
        <v>24966</v>
      </c>
      <c r="M321" s="30">
        <v>55</v>
      </c>
      <c r="N321" s="30">
        <v>1</v>
      </c>
      <c r="O321" s="30">
        <v>305048</v>
      </c>
      <c r="P321" s="29" t="s">
        <v>579</v>
      </c>
      <c r="Q321" s="29" t="s">
        <v>580</v>
      </c>
      <c r="R321" s="178" t="s">
        <v>581</v>
      </c>
    </row>
    <row r="322" spans="1:18">
      <c r="A322" s="177">
        <v>3</v>
      </c>
      <c r="B322" s="30">
        <v>8</v>
      </c>
      <c r="C322" s="1">
        <v>42965</v>
      </c>
      <c r="D322" s="27">
        <v>779747</v>
      </c>
      <c r="E322" s="30">
        <v>2017</v>
      </c>
      <c r="F322" s="30">
        <v>2</v>
      </c>
      <c r="G322" s="1">
        <v>42916</v>
      </c>
      <c r="H322" s="27">
        <v>770336</v>
      </c>
      <c r="I322" s="24">
        <v>9011</v>
      </c>
      <c r="J322" s="24">
        <v>-6370</v>
      </c>
      <c r="K322" s="30">
        <v>991</v>
      </c>
      <c r="L322" s="30">
        <v>24966</v>
      </c>
      <c r="M322" s="30">
        <v>85</v>
      </c>
      <c r="N322" s="30">
        <v>2</v>
      </c>
      <c r="O322" s="30">
        <v>305048</v>
      </c>
      <c r="P322" s="29" t="s">
        <v>579</v>
      </c>
      <c r="Q322" s="29" t="s">
        <v>580</v>
      </c>
      <c r="R322" s="178" t="s">
        <v>581</v>
      </c>
    </row>
    <row r="323" spans="1:18">
      <c r="A323" s="177">
        <v>3</v>
      </c>
      <c r="B323" s="30">
        <v>8</v>
      </c>
      <c r="C323" s="1">
        <v>42965</v>
      </c>
      <c r="D323" s="27">
        <v>779750</v>
      </c>
      <c r="E323" s="30">
        <v>2017</v>
      </c>
      <c r="F323" s="30">
        <v>3</v>
      </c>
      <c r="G323" s="1">
        <v>42958</v>
      </c>
      <c r="H323" s="27">
        <v>777862</v>
      </c>
      <c r="I323" s="24">
        <v>36500</v>
      </c>
      <c r="J323" s="24">
        <v>-36500</v>
      </c>
      <c r="K323" s="30">
        <v>991</v>
      </c>
      <c r="L323" s="30">
        <v>9549</v>
      </c>
      <c r="M323" s="30">
        <v>55</v>
      </c>
      <c r="N323" s="30">
        <v>1</v>
      </c>
      <c r="O323" s="30">
        <v>190118</v>
      </c>
      <c r="P323" s="29" t="s">
        <v>582</v>
      </c>
      <c r="Q323" s="29" t="s">
        <v>583</v>
      </c>
      <c r="R323" s="178" t="s">
        <v>464</v>
      </c>
    </row>
    <row r="324" spans="1:18">
      <c r="A324" s="177">
        <v>3</v>
      </c>
      <c r="B324" s="30">
        <v>8</v>
      </c>
      <c r="C324" s="1">
        <v>42965</v>
      </c>
      <c r="D324" s="27">
        <v>779750</v>
      </c>
      <c r="E324" s="30">
        <v>2017</v>
      </c>
      <c r="F324" s="30">
        <v>3</v>
      </c>
      <c r="G324" s="1">
        <v>42958</v>
      </c>
      <c r="H324" s="27">
        <v>777862</v>
      </c>
      <c r="I324" s="24">
        <v>8017</v>
      </c>
      <c r="J324" s="24">
        <v>-4745</v>
      </c>
      <c r="K324" s="30">
        <v>991</v>
      </c>
      <c r="L324" s="30">
        <v>9549</v>
      </c>
      <c r="M324" s="30">
        <v>85</v>
      </c>
      <c r="N324" s="30">
        <v>2</v>
      </c>
      <c r="O324" s="30">
        <v>190118</v>
      </c>
      <c r="P324" s="29" t="s">
        <v>582</v>
      </c>
      <c r="Q324" s="29" t="s">
        <v>583</v>
      </c>
      <c r="R324" s="178" t="s">
        <v>464</v>
      </c>
    </row>
    <row r="325" spans="1:18">
      <c r="A325" s="177">
        <v>3</v>
      </c>
      <c r="B325" s="30">
        <v>8</v>
      </c>
      <c r="C325" s="1">
        <v>42975</v>
      </c>
      <c r="D325" s="27">
        <v>780386</v>
      </c>
      <c r="E325" s="30">
        <v>2017</v>
      </c>
      <c r="F325" s="30">
        <v>3</v>
      </c>
      <c r="G325" s="1">
        <v>42930</v>
      </c>
      <c r="H325" s="27">
        <v>773505</v>
      </c>
      <c r="I325" s="24">
        <v>200000</v>
      </c>
      <c r="J325" s="24">
        <v>-188000</v>
      </c>
      <c r="K325" s="30">
        <v>991</v>
      </c>
      <c r="L325" s="30">
        <v>34274</v>
      </c>
      <c r="M325" s="30">
        <v>55</v>
      </c>
      <c r="N325" s="30">
        <v>1</v>
      </c>
      <c r="O325" s="30">
        <v>501850</v>
      </c>
      <c r="P325" s="29" t="s">
        <v>584</v>
      </c>
      <c r="Q325" s="29" t="s">
        <v>477</v>
      </c>
      <c r="R325" s="178" t="s">
        <v>328</v>
      </c>
    </row>
    <row r="326" spans="1:18">
      <c r="A326" s="177">
        <v>3</v>
      </c>
      <c r="B326" s="30">
        <v>8</v>
      </c>
      <c r="C326" s="1">
        <v>42975</v>
      </c>
      <c r="D326" s="27">
        <v>780386</v>
      </c>
      <c r="E326" s="30">
        <v>2017</v>
      </c>
      <c r="F326" s="30">
        <v>3</v>
      </c>
      <c r="G326" s="1">
        <v>42930</v>
      </c>
      <c r="H326" s="27">
        <v>773505</v>
      </c>
      <c r="I326" s="24">
        <v>32499</v>
      </c>
      <c r="J326" s="24">
        <v>-24440</v>
      </c>
      <c r="K326" s="30">
        <v>991</v>
      </c>
      <c r="L326" s="30">
        <v>34274</v>
      </c>
      <c r="M326" s="30">
        <v>85</v>
      </c>
      <c r="N326" s="30">
        <v>2</v>
      </c>
      <c r="O326" s="30">
        <v>501850</v>
      </c>
      <c r="P326" s="29" t="s">
        <v>584</v>
      </c>
      <c r="Q326" s="29" t="s">
        <v>477</v>
      </c>
      <c r="R326" s="178" t="s">
        <v>328</v>
      </c>
    </row>
    <row r="327" spans="1:18">
      <c r="A327" s="177">
        <v>3</v>
      </c>
      <c r="B327" s="30">
        <v>8</v>
      </c>
      <c r="C327" s="1">
        <v>42975</v>
      </c>
      <c r="D327" s="27">
        <v>780414</v>
      </c>
      <c r="E327" s="30">
        <v>2017</v>
      </c>
      <c r="F327" s="30">
        <v>3</v>
      </c>
      <c r="G327" s="1">
        <v>42937</v>
      </c>
      <c r="H327" s="27">
        <v>775069</v>
      </c>
      <c r="I327" s="24">
        <v>76500</v>
      </c>
      <c r="J327" s="24">
        <v>-73500</v>
      </c>
      <c r="K327" s="30">
        <v>991</v>
      </c>
      <c r="L327" s="30">
        <v>58722</v>
      </c>
      <c r="M327" s="30">
        <v>55</v>
      </c>
      <c r="N327" s="30">
        <v>1</v>
      </c>
      <c r="O327" s="30">
        <v>998903</v>
      </c>
      <c r="P327" s="29" t="s">
        <v>585</v>
      </c>
      <c r="Q327" s="29" t="s">
        <v>586</v>
      </c>
      <c r="R327" s="178" t="s">
        <v>587</v>
      </c>
    </row>
    <row r="328" spans="1:18">
      <c r="A328" s="177">
        <v>3</v>
      </c>
      <c r="B328" s="30">
        <v>8</v>
      </c>
      <c r="C328" s="1">
        <v>42975</v>
      </c>
      <c r="D328" s="27">
        <v>780414</v>
      </c>
      <c r="E328" s="30">
        <v>2017</v>
      </c>
      <c r="F328" s="30">
        <v>3</v>
      </c>
      <c r="G328" s="1">
        <v>42937</v>
      </c>
      <c r="H328" s="27">
        <v>775069</v>
      </c>
      <c r="I328" s="24">
        <v>12162</v>
      </c>
      <c r="J328" s="24">
        <v>-9555</v>
      </c>
      <c r="K328" s="30">
        <v>991</v>
      </c>
      <c r="L328" s="30">
        <v>58722</v>
      </c>
      <c r="M328" s="30">
        <v>85</v>
      </c>
      <c r="N328" s="30">
        <v>2</v>
      </c>
      <c r="O328" s="30">
        <v>998903</v>
      </c>
      <c r="P328" s="29" t="s">
        <v>585</v>
      </c>
      <c r="Q328" s="29" t="s">
        <v>586</v>
      </c>
      <c r="R328" s="178" t="s">
        <v>587</v>
      </c>
    </row>
    <row r="329" spans="1:18">
      <c r="A329" s="177">
        <v>3</v>
      </c>
      <c r="B329" s="30">
        <v>8</v>
      </c>
      <c r="C329" s="1">
        <v>42978</v>
      </c>
      <c r="D329" s="27">
        <v>775823</v>
      </c>
      <c r="E329" s="30">
        <v>2017</v>
      </c>
      <c r="F329" s="30">
        <v>2</v>
      </c>
      <c r="G329" s="1">
        <v>42895</v>
      </c>
      <c r="H329" s="27">
        <v>765717</v>
      </c>
      <c r="I329" s="24">
        <v>4392</v>
      </c>
      <c r="J329" s="24">
        <v>-4392</v>
      </c>
      <c r="K329" s="30">
        <v>85</v>
      </c>
      <c r="L329" s="30">
        <v>1504</v>
      </c>
      <c r="M329" s="30">
        <v>60</v>
      </c>
      <c r="N329" s="30">
        <v>0</v>
      </c>
      <c r="O329" s="30">
        <v>1196993</v>
      </c>
      <c r="P329" s="29" t="s">
        <v>588</v>
      </c>
      <c r="Q329" s="29" t="s">
        <v>459</v>
      </c>
      <c r="R329" s="178" t="s">
        <v>552</v>
      </c>
    </row>
    <row r="330" spans="1:18">
      <c r="A330" s="177">
        <v>3</v>
      </c>
      <c r="B330" s="30">
        <v>8</v>
      </c>
      <c r="C330" s="1">
        <v>42978</v>
      </c>
      <c r="D330" s="27">
        <v>775823</v>
      </c>
      <c r="E330" s="30">
        <v>2017</v>
      </c>
      <c r="F330" s="30">
        <v>2</v>
      </c>
      <c r="G330" s="1">
        <v>42895</v>
      </c>
      <c r="H330" s="27">
        <v>765717</v>
      </c>
      <c r="I330" s="24">
        <v>571</v>
      </c>
      <c r="J330" s="24">
        <v>-571</v>
      </c>
      <c r="K330" s="30">
        <v>85</v>
      </c>
      <c r="L330" s="30">
        <v>1504</v>
      </c>
      <c r="M330" s="30">
        <v>85</v>
      </c>
      <c r="N330" s="30">
        <v>0</v>
      </c>
      <c r="O330" s="30">
        <v>1196993</v>
      </c>
      <c r="P330" s="29" t="s">
        <v>588</v>
      </c>
      <c r="Q330" s="29" t="s">
        <v>459</v>
      </c>
      <c r="R330" s="178" t="s">
        <v>552</v>
      </c>
    </row>
    <row r="331" spans="1:18">
      <c r="A331" s="177">
        <v>3</v>
      </c>
      <c r="B331" s="30">
        <v>8</v>
      </c>
      <c r="C331" s="1">
        <v>42978</v>
      </c>
      <c r="D331" s="27">
        <v>775823</v>
      </c>
      <c r="E331" s="30">
        <v>2017</v>
      </c>
      <c r="F331" s="30">
        <v>3</v>
      </c>
      <c r="G331" s="1">
        <v>42927</v>
      </c>
      <c r="H331" s="27">
        <v>771243</v>
      </c>
      <c r="I331" s="24">
        <v>7956.4</v>
      </c>
      <c r="J331" s="24">
        <v>-7956.4</v>
      </c>
      <c r="K331" s="30">
        <v>18</v>
      </c>
      <c r="L331" s="30">
        <v>1918</v>
      </c>
      <c r="M331" s="30">
        <v>60</v>
      </c>
      <c r="N331" s="30">
        <v>0</v>
      </c>
      <c r="O331" s="30">
        <v>47159</v>
      </c>
      <c r="P331" s="29" t="s">
        <v>589</v>
      </c>
      <c r="Q331" s="29" t="s">
        <v>517</v>
      </c>
      <c r="R331" s="178" t="s">
        <v>451</v>
      </c>
    </row>
    <row r="332" spans="1:18">
      <c r="A332" s="177">
        <v>3</v>
      </c>
      <c r="B332" s="30">
        <v>8</v>
      </c>
      <c r="C332" s="1">
        <v>42978</v>
      </c>
      <c r="D332" s="27">
        <v>775823</v>
      </c>
      <c r="E332" s="30">
        <v>2017</v>
      </c>
      <c r="F332" s="30">
        <v>3</v>
      </c>
      <c r="G332" s="1">
        <v>42927</v>
      </c>
      <c r="H332" s="27">
        <v>771243</v>
      </c>
      <c r="I332" s="24">
        <v>1034</v>
      </c>
      <c r="J332" s="24">
        <v>-1034</v>
      </c>
      <c r="K332" s="30">
        <v>18</v>
      </c>
      <c r="L332" s="30">
        <v>1918</v>
      </c>
      <c r="M332" s="30">
        <v>85</v>
      </c>
      <c r="N332" s="30">
        <v>0</v>
      </c>
      <c r="O332" s="30">
        <v>47159</v>
      </c>
      <c r="P332" s="29" t="s">
        <v>589</v>
      </c>
      <c r="Q332" s="29" t="s">
        <v>517</v>
      </c>
      <c r="R332" s="178" t="s">
        <v>451</v>
      </c>
    </row>
    <row r="333" spans="1:18">
      <c r="A333" s="177">
        <v>3</v>
      </c>
      <c r="B333" s="30">
        <v>8</v>
      </c>
      <c r="C333" s="1">
        <v>42978</v>
      </c>
      <c r="D333" s="27">
        <v>775823</v>
      </c>
      <c r="E333" s="30">
        <v>2017</v>
      </c>
      <c r="F333" s="30">
        <v>2</v>
      </c>
      <c r="G333" s="1">
        <v>42895</v>
      </c>
      <c r="H333" s="27">
        <v>765712</v>
      </c>
      <c r="I333" s="24">
        <v>2101.0700000000002</v>
      </c>
      <c r="J333" s="24">
        <v>-2101.0700000000002</v>
      </c>
      <c r="K333" s="30">
        <v>17</v>
      </c>
      <c r="L333" s="30">
        <v>84</v>
      </c>
      <c r="M333" s="30">
        <v>60</v>
      </c>
      <c r="N333" s="30">
        <v>0</v>
      </c>
      <c r="O333" s="30">
        <v>18568</v>
      </c>
      <c r="P333" s="29" t="s">
        <v>590</v>
      </c>
      <c r="Q333" s="29" t="s">
        <v>591</v>
      </c>
      <c r="R333" s="178" t="s">
        <v>385</v>
      </c>
    </row>
    <row r="334" spans="1:18">
      <c r="A334" s="177">
        <v>3</v>
      </c>
      <c r="B334" s="30">
        <v>8</v>
      </c>
      <c r="C334" s="1">
        <v>42978</v>
      </c>
      <c r="D334" s="27">
        <v>775823</v>
      </c>
      <c r="E334" s="30">
        <v>2017</v>
      </c>
      <c r="F334" s="30">
        <v>2</v>
      </c>
      <c r="G334" s="1">
        <v>42895</v>
      </c>
      <c r="H334" s="27">
        <v>765712</v>
      </c>
      <c r="I334" s="24">
        <v>273</v>
      </c>
      <c r="J334" s="24">
        <v>-273</v>
      </c>
      <c r="K334" s="30">
        <v>17</v>
      </c>
      <c r="L334" s="30">
        <v>84</v>
      </c>
      <c r="M334" s="30">
        <v>85</v>
      </c>
      <c r="N334" s="30">
        <v>0</v>
      </c>
      <c r="O334" s="30">
        <v>18568</v>
      </c>
      <c r="P334" s="29" t="s">
        <v>590</v>
      </c>
      <c r="Q334" s="29" t="s">
        <v>591</v>
      </c>
      <c r="R334" s="178" t="s">
        <v>385</v>
      </c>
    </row>
    <row r="335" spans="1:18">
      <c r="A335" s="177">
        <v>3</v>
      </c>
      <c r="B335" s="30">
        <v>8</v>
      </c>
      <c r="C335" s="1">
        <v>42978</v>
      </c>
      <c r="D335" s="27">
        <v>775823</v>
      </c>
      <c r="E335" s="30">
        <v>2017</v>
      </c>
      <c r="F335" s="30">
        <v>3</v>
      </c>
      <c r="G335" s="1">
        <v>42927</v>
      </c>
      <c r="H335" s="27">
        <v>771243</v>
      </c>
      <c r="I335" s="24">
        <v>3924.5</v>
      </c>
      <c r="J335" s="24">
        <v>-3924.5</v>
      </c>
      <c r="K335" s="30">
        <v>77</v>
      </c>
      <c r="L335" s="30">
        <v>1197</v>
      </c>
      <c r="M335" s="30">
        <v>60</v>
      </c>
      <c r="N335" s="30">
        <v>0</v>
      </c>
      <c r="O335" s="30">
        <v>55884</v>
      </c>
      <c r="P335" s="29" t="s">
        <v>592</v>
      </c>
      <c r="Q335" s="29" t="s">
        <v>471</v>
      </c>
      <c r="R335" s="178" t="s">
        <v>343</v>
      </c>
    </row>
    <row r="336" spans="1:18">
      <c r="A336" s="177">
        <v>3</v>
      </c>
      <c r="B336" s="30">
        <v>8</v>
      </c>
      <c r="C336" s="1">
        <v>42978</v>
      </c>
      <c r="D336" s="27">
        <v>775823</v>
      </c>
      <c r="E336" s="30">
        <v>2017</v>
      </c>
      <c r="F336" s="30">
        <v>3</v>
      </c>
      <c r="G336" s="1">
        <v>42927</v>
      </c>
      <c r="H336" s="27">
        <v>771243</v>
      </c>
      <c r="I336" s="24">
        <v>510</v>
      </c>
      <c r="J336" s="24">
        <v>-510</v>
      </c>
      <c r="K336" s="30">
        <v>77</v>
      </c>
      <c r="L336" s="30">
        <v>1197</v>
      </c>
      <c r="M336" s="30">
        <v>85</v>
      </c>
      <c r="N336" s="30">
        <v>0</v>
      </c>
      <c r="O336" s="30">
        <v>55884</v>
      </c>
      <c r="P336" s="29" t="s">
        <v>592</v>
      </c>
      <c r="Q336" s="29" t="s">
        <v>471</v>
      </c>
      <c r="R336" s="178" t="s">
        <v>343</v>
      </c>
    </row>
    <row r="337" spans="1:18">
      <c r="A337" s="177">
        <v>3</v>
      </c>
      <c r="B337" s="30">
        <v>8</v>
      </c>
      <c r="C337" s="1">
        <v>42978</v>
      </c>
      <c r="D337" s="27">
        <v>775823</v>
      </c>
      <c r="E337" s="30">
        <v>2017</v>
      </c>
      <c r="F337" s="30">
        <v>3</v>
      </c>
      <c r="G337" s="1">
        <v>42957</v>
      </c>
      <c r="H337" s="27">
        <v>776558</v>
      </c>
      <c r="I337" s="24">
        <v>5896.6</v>
      </c>
      <c r="J337" s="24">
        <v>-5896.6</v>
      </c>
      <c r="K337" s="30">
        <v>206</v>
      </c>
      <c r="L337" s="30">
        <v>404</v>
      </c>
      <c r="M337" s="30">
        <v>60</v>
      </c>
      <c r="N337" s="30">
        <v>0</v>
      </c>
      <c r="O337" s="30">
        <v>87007</v>
      </c>
      <c r="P337" s="29" t="s">
        <v>593</v>
      </c>
      <c r="Q337" s="29" t="s">
        <v>380</v>
      </c>
      <c r="R337" s="178" t="s">
        <v>343</v>
      </c>
    </row>
    <row r="338" spans="1:18">
      <c r="A338" s="177">
        <v>3</v>
      </c>
      <c r="B338" s="30">
        <v>8</v>
      </c>
      <c r="C338" s="1">
        <v>42978</v>
      </c>
      <c r="D338" s="27">
        <v>775823</v>
      </c>
      <c r="E338" s="30">
        <v>2017</v>
      </c>
      <c r="F338" s="30">
        <v>3</v>
      </c>
      <c r="G338" s="1">
        <v>42957</v>
      </c>
      <c r="H338" s="27">
        <v>776558</v>
      </c>
      <c r="I338" s="24">
        <v>766</v>
      </c>
      <c r="J338" s="24">
        <v>-766</v>
      </c>
      <c r="K338" s="30">
        <v>206</v>
      </c>
      <c r="L338" s="30">
        <v>404</v>
      </c>
      <c r="M338" s="30">
        <v>85</v>
      </c>
      <c r="N338" s="30">
        <v>0</v>
      </c>
      <c r="O338" s="30">
        <v>87007</v>
      </c>
      <c r="P338" s="29" t="s">
        <v>593</v>
      </c>
      <c r="Q338" s="29" t="s">
        <v>380</v>
      </c>
      <c r="R338" s="178" t="s">
        <v>343</v>
      </c>
    </row>
    <row r="339" spans="1:18">
      <c r="A339" s="177">
        <v>3</v>
      </c>
      <c r="B339" s="30">
        <v>9</v>
      </c>
      <c r="C339" s="1">
        <v>42979</v>
      </c>
      <c r="D339" s="27">
        <v>780790</v>
      </c>
      <c r="E339" s="30">
        <v>2017</v>
      </c>
      <c r="F339" s="30">
        <v>2</v>
      </c>
      <c r="G339" s="1">
        <v>42865</v>
      </c>
      <c r="H339" s="27">
        <v>761408</v>
      </c>
      <c r="I339" s="24">
        <v>94000</v>
      </c>
      <c r="J339" s="24">
        <v>-65000</v>
      </c>
      <c r="K339" s="30">
        <v>991</v>
      </c>
      <c r="L339" s="30">
        <v>14767</v>
      </c>
      <c r="M339" s="30">
        <v>55</v>
      </c>
      <c r="N339" s="30">
        <v>1</v>
      </c>
      <c r="O339" s="30">
        <v>224990</v>
      </c>
      <c r="P339" s="29" t="s">
        <v>594</v>
      </c>
      <c r="Q339" s="29" t="s">
        <v>595</v>
      </c>
      <c r="R339" s="178" t="s">
        <v>523</v>
      </c>
    </row>
    <row r="340" spans="1:18">
      <c r="A340" s="177">
        <v>3</v>
      </c>
      <c r="B340" s="30">
        <v>9</v>
      </c>
      <c r="C340" s="1">
        <v>42979</v>
      </c>
      <c r="D340" s="27">
        <v>780790</v>
      </c>
      <c r="E340" s="30">
        <v>2017</v>
      </c>
      <c r="F340" s="30">
        <v>2</v>
      </c>
      <c r="G340" s="1">
        <v>42865</v>
      </c>
      <c r="H340" s="27">
        <v>761408</v>
      </c>
      <c r="I340" s="24">
        <v>18686</v>
      </c>
      <c r="J340" s="24">
        <v>-8450</v>
      </c>
      <c r="K340" s="30">
        <v>991</v>
      </c>
      <c r="L340" s="30">
        <v>14767</v>
      </c>
      <c r="M340" s="30">
        <v>85</v>
      </c>
      <c r="N340" s="30">
        <v>2</v>
      </c>
      <c r="O340" s="30">
        <v>224990</v>
      </c>
      <c r="P340" s="29" t="s">
        <v>594</v>
      </c>
      <c r="Q340" s="29" t="s">
        <v>595</v>
      </c>
      <c r="R340" s="178" t="s">
        <v>523</v>
      </c>
    </row>
    <row r="341" spans="1:18">
      <c r="A341" s="177">
        <v>3</v>
      </c>
      <c r="B341" s="30">
        <v>9</v>
      </c>
      <c r="C341" s="1">
        <v>42979</v>
      </c>
      <c r="D341" s="27">
        <v>780803</v>
      </c>
      <c r="E341" s="30">
        <v>2016</v>
      </c>
      <c r="F341" s="30">
        <v>4</v>
      </c>
      <c r="G341" s="1">
        <v>42731</v>
      </c>
      <c r="H341" s="27">
        <v>738800</v>
      </c>
      <c r="I341" s="24">
        <v>116000</v>
      </c>
      <c r="J341" s="24">
        <v>-116000</v>
      </c>
      <c r="K341" s="30">
        <v>991</v>
      </c>
      <c r="L341" s="30">
        <v>12293</v>
      </c>
      <c r="M341" s="30">
        <v>55</v>
      </c>
      <c r="N341" s="30">
        <v>1</v>
      </c>
      <c r="O341" s="30">
        <v>195413</v>
      </c>
      <c r="P341" s="29" t="s">
        <v>596</v>
      </c>
      <c r="Q341" s="29" t="s">
        <v>321</v>
      </c>
      <c r="R341" s="178" t="s">
        <v>385</v>
      </c>
    </row>
    <row r="342" spans="1:18">
      <c r="A342" s="177">
        <v>3</v>
      </c>
      <c r="B342" s="30">
        <v>9</v>
      </c>
      <c r="C342" s="1">
        <v>42979</v>
      </c>
      <c r="D342" s="27">
        <v>780803</v>
      </c>
      <c r="E342" s="30">
        <v>2016</v>
      </c>
      <c r="F342" s="30">
        <v>4</v>
      </c>
      <c r="G342" s="1">
        <v>42731</v>
      </c>
      <c r="H342" s="27">
        <v>738800</v>
      </c>
      <c r="I342" s="24">
        <v>20041</v>
      </c>
      <c r="J342" s="24">
        <v>-15080</v>
      </c>
      <c r="K342" s="30">
        <v>991</v>
      </c>
      <c r="L342" s="30">
        <v>12293</v>
      </c>
      <c r="M342" s="30">
        <v>85</v>
      </c>
      <c r="N342" s="30">
        <v>2</v>
      </c>
      <c r="O342" s="30">
        <v>195413</v>
      </c>
      <c r="P342" s="29" t="s">
        <v>596</v>
      </c>
      <c r="Q342" s="29" t="s">
        <v>321</v>
      </c>
      <c r="R342" s="178" t="s">
        <v>385</v>
      </c>
    </row>
    <row r="343" spans="1:18">
      <c r="A343" s="177">
        <v>3</v>
      </c>
      <c r="B343" s="30">
        <v>9</v>
      </c>
      <c r="C343" s="1">
        <v>42989</v>
      </c>
      <c r="D343" s="27">
        <v>782836</v>
      </c>
      <c r="E343" s="30">
        <v>2017</v>
      </c>
      <c r="F343" s="30">
        <v>3</v>
      </c>
      <c r="G343" s="1">
        <v>42979</v>
      </c>
      <c r="H343" s="27">
        <v>780778</v>
      </c>
      <c r="I343" s="24">
        <v>235000</v>
      </c>
      <c r="J343" s="24">
        <v>-223000</v>
      </c>
      <c r="K343" s="30">
        <v>991</v>
      </c>
      <c r="L343" s="30">
        <v>12573</v>
      </c>
      <c r="M343" s="30">
        <v>55</v>
      </c>
      <c r="N343" s="30">
        <v>1</v>
      </c>
      <c r="O343" s="30">
        <v>217503</v>
      </c>
      <c r="P343" s="29" t="s">
        <v>597</v>
      </c>
      <c r="Q343" s="29" t="s">
        <v>330</v>
      </c>
      <c r="R343" s="178" t="s">
        <v>426</v>
      </c>
    </row>
    <row r="344" spans="1:18">
      <c r="A344" s="177">
        <v>3</v>
      </c>
      <c r="B344" s="30">
        <v>9</v>
      </c>
      <c r="C344" s="1">
        <v>42989</v>
      </c>
      <c r="D344" s="27">
        <v>782836</v>
      </c>
      <c r="E344" s="30">
        <v>2017</v>
      </c>
      <c r="F344" s="30">
        <v>3</v>
      </c>
      <c r="G344" s="1">
        <v>42979</v>
      </c>
      <c r="H344" s="27">
        <v>780778</v>
      </c>
      <c r="I344" s="24">
        <v>43815</v>
      </c>
      <c r="J344" s="24">
        <v>-28990</v>
      </c>
      <c r="K344" s="30">
        <v>991</v>
      </c>
      <c r="L344" s="30">
        <v>12573</v>
      </c>
      <c r="M344" s="30">
        <v>85</v>
      </c>
      <c r="N344" s="30">
        <v>2</v>
      </c>
      <c r="O344" s="30">
        <v>217503</v>
      </c>
      <c r="P344" s="29" t="s">
        <v>597</v>
      </c>
      <c r="Q344" s="29" t="s">
        <v>330</v>
      </c>
      <c r="R344" s="178" t="s">
        <v>426</v>
      </c>
    </row>
    <row r="345" spans="1:18">
      <c r="A345" s="177">
        <v>3</v>
      </c>
      <c r="B345" s="30">
        <v>9</v>
      </c>
      <c r="C345" s="1">
        <v>42989</v>
      </c>
      <c r="D345" s="27">
        <v>782852</v>
      </c>
      <c r="E345" s="30">
        <v>2017</v>
      </c>
      <c r="F345" s="30">
        <v>3</v>
      </c>
      <c r="G345" s="1">
        <v>42975</v>
      </c>
      <c r="H345" s="27">
        <v>780391</v>
      </c>
      <c r="I345" s="24">
        <v>115500</v>
      </c>
      <c r="J345" s="24">
        <v>-93500</v>
      </c>
      <c r="K345" s="30">
        <v>991</v>
      </c>
      <c r="L345" s="30">
        <v>6435</v>
      </c>
      <c r="M345" s="30">
        <v>55</v>
      </c>
      <c r="N345" s="30">
        <v>1</v>
      </c>
      <c r="O345" s="30">
        <v>181371</v>
      </c>
      <c r="P345" s="29" t="s">
        <v>598</v>
      </c>
      <c r="Q345" s="29" t="s">
        <v>599</v>
      </c>
      <c r="R345" s="178" t="s">
        <v>523</v>
      </c>
    </row>
    <row r="346" spans="1:18">
      <c r="A346" s="177">
        <v>3</v>
      </c>
      <c r="B346" s="30">
        <v>9</v>
      </c>
      <c r="C346" s="1">
        <v>42989</v>
      </c>
      <c r="D346" s="27">
        <v>782852</v>
      </c>
      <c r="E346" s="30">
        <v>2017</v>
      </c>
      <c r="F346" s="30">
        <v>3</v>
      </c>
      <c r="G346" s="1">
        <v>42975</v>
      </c>
      <c r="H346" s="27">
        <v>780391</v>
      </c>
      <c r="I346" s="24">
        <v>20211</v>
      </c>
      <c r="J346" s="24">
        <v>-12155</v>
      </c>
      <c r="K346" s="30">
        <v>991</v>
      </c>
      <c r="L346" s="30">
        <v>6435</v>
      </c>
      <c r="M346" s="30">
        <v>85</v>
      </c>
      <c r="N346" s="30">
        <v>2</v>
      </c>
      <c r="O346" s="30">
        <v>181371</v>
      </c>
      <c r="P346" s="29" t="s">
        <v>598</v>
      </c>
      <c r="Q346" s="29" t="s">
        <v>599</v>
      </c>
      <c r="R346" s="178" t="s">
        <v>523</v>
      </c>
    </row>
    <row r="347" spans="1:18">
      <c r="A347" s="177">
        <v>3</v>
      </c>
      <c r="B347" s="30">
        <v>9</v>
      </c>
      <c r="C347" s="1">
        <v>42989</v>
      </c>
      <c r="D347" s="27">
        <v>782850</v>
      </c>
      <c r="E347" s="30">
        <v>2015</v>
      </c>
      <c r="F347" s="30">
        <v>4</v>
      </c>
      <c r="G347" s="1">
        <v>42307</v>
      </c>
      <c r="H347" s="27">
        <v>657532</v>
      </c>
      <c r="I347" s="24">
        <v>237000</v>
      </c>
      <c r="J347" s="24">
        <v>-237000</v>
      </c>
      <c r="K347" s="30">
        <v>991</v>
      </c>
      <c r="L347" s="30">
        <v>26095</v>
      </c>
      <c r="M347" s="30">
        <v>55</v>
      </c>
      <c r="N347" s="30">
        <v>1</v>
      </c>
      <c r="O347" s="30">
        <v>308619</v>
      </c>
      <c r="P347" s="29" t="s">
        <v>598</v>
      </c>
      <c r="Q347" s="29" t="s">
        <v>600</v>
      </c>
      <c r="R347" s="178" t="s">
        <v>601</v>
      </c>
    </row>
    <row r="348" spans="1:18">
      <c r="A348" s="177">
        <v>3</v>
      </c>
      <c r="B348" s="30">
        <v>9</v>
      </c>
      <c r="C348" s="1">
        <v>42989</v>
      </c>
      <c r="D348" s="27">
        <v>782850</v>
      </c>
      <c r="E348" s="30">
        <v>2015</v>
      </c>
      <c r="F348" s="30">
        <v>4</v>
      </c>
      <c r="G348" s="1">
        <v>42307</v>
      </c>
      <c r="H348" s="27">
        <v>657532</v>
      </c>
      <c r="I348" s="24">
        <v>35835</v>
      </c>
      <c r="J348" s="24">
        <v>-30810</v>
      </c>
      <c r="K348" s="30">
        <v>991</v>
      </c>
      <c r="L348" s="30">
        <v>26095</v>
      </c>
      <c r="M348" s="30">
        <v>85</v>
      </c>
      <c r="N348" s="30">
        <v>2</v>
      </c>
      <c r="O348" s="30">
        <v>308619</v>
      </c>
      <c r="P348" s="29" t="s">
        <v>598</v>
      </c>
      <c r="Q348" s="29" t="s">
        <v>600</v>
      </c>
      <c r="R348" s="178" t="s">
        <v>601</v>
      </c>
    </row>
    <row r="349" spans="1:18">
      <c r="A349" s="177">
        <v>3</v>
      </c>
      <c r="B349" s="30">
        <v>9</v>
      </c>
      <c r="C349" s="1">
        <v>42989</v>
      </c>
      <c r="D349" s="27">
        <v>782855</v>
      </c>
      <c r="E349" s="30">
        <v>2017</v>
      </c>
      <c r="F349" s="30">
        <v>3</v>
      </c>
      <c r="G349" s="1">
        <v>42979</v>
      </c>
      <c r="H349" s="27">
        <v>780792</v>
      </c>
      <c r="I349" s="24">
        <v>134000</v>
      </c>
      <c r="J349" s="24">
        <v>-126000</v>
      </c>
      <c r="K349" s="30">
        <v>991</v>
      </c>
      <c r="L349" s="30">
        <v>49902</v>
      </c>
      <c r="M349" s="30">
        <v>55</v>
      </c>
      <c r="N349" s="30">
        <v>1</v>
      </c>
      <c r="O349" s="30">
        <v>793667</v>
      </c>
      <c r="P349" s="29" t="s">
        <v>602</v>
      </c>
      <c r="Q349" s="29" t="s">
        <v>321</v>
      </c>
      <c r="R349" s="178" t="s">
        <v>603</v>
      </c>
    </row>
    <row r="350" spans="1:18">
      <c r="A350" s="177">
        <v>3</v>
      </c>
      <c r="B350" s="30">
        <v>9</v>
      </c>
      <c r="C350" s="1">
        <v>42989</v>
      </c>
      <c r="D350" s="27">
        <v>782855</v>
      </c>
      <c r="E350" s="30">
        <v>2017</v>
      </c>
      <c r="F350" s="30">
        <v>3</v>
      </c>
      <c r="G350" s="1">
        <v>42979</v>
      </c>
      <c r="H350" s="27">
        <v>780792</v>
      </c>
      <c r="I350" s="24">
        <v>21674</v>
      </c>
      <c r="J350" s="24">
        <v>-16380</v>
      </c>
      <c r="K350" s="30">
        <v>991</v>
      </c>
      <c r="L350" s="30">
        <v>49902</v>
      </c>
      <c r="M350" s="30">
        <v>85</v>
      </c>
      <c r="N350" s="30">
        <v>2</v>
      </c>
      <c r="O350" s="30">
        <v>793667</v>
      </c>
      <c r="P350" s="29" t="s">
        <v>602</v>
      </c>
      <c r="Q350" s="29" t="s">
        <v>321</v>
      </c>
      <c r="R350" s="178" t="s">
        <v>603</v>
      </c>
    </row>
    <row r="351" spans="1:18">
      <c r="A351" s="177">
        <v>3</v>
      </c>
      <c r="B351" s="30">
        <v>9</v>
      </c>
      <c r="C351" s="1">
        <v>42993</v>
      </c>
      <c r="D351" s="27">
        <v>784166</v>
      </c>
      <c r="E351" s="30">
        <v>2017</v>
      </c>
      <c r="F351" s="30">
        <v>3</v>
      </c>
      <c r="G351" s="1">
        <v>42965</v>
      </c>
      <c r="H351" s="27">
        <v>779748</v>
      </c>
      <c r="I351" s="24">
        <v>560000</v>
      </c>
      <c r="J351" s="24">
        <v>-465000</v>
      </c>
      <c r="K351" s="30">
        <v>991</v>
      </c>
      <c r="L351" s="30">
        <v>36203</v>
      </c>
      <c r="M351" s="30">
        <v>55</v>
      </c>
      <c r="N351" s="30">
        <v>1</v>
      </c>
      <c r="O351" s="30">
        <v>560275</v>
      </c>
      <c r="P351" s="29" t="s">
        <v>604</v>
      </c>
      <c r="Q351" s="29" t="s">
        <v>605</v>
      </c>
      <c r="R351" s="178" t="s">
        <v>606</v>
      </c>
    </row>
    <row r="352" spans="1:18">
      <c r="A352" s="177">
        <v>3</v>
      </c>
      <c r="B352" s="30">
        <v>9</v>
      </c>
      <c r="C352" s="1">
        <v>42993</v>
      </c>
      <c r="D352" s="27">
        <v>784166</v>
      </c>
      <c r="E352" s="30">
        <v>2017</v>
      </c>
      <c r="F352" s="30">
        <v>3</v>
      </c>
      <c r="G352" s="1">
        <v>42965</v>
      </c>
      <c r="H352" s="27">
        <v>779748</v>
      </c>
      <c r="I352" s="24">
        <v>88106</v>
      </c>
      <c r="J352" s="24">
        <v>-60450</v>
      </c>
      <c r="K352" s="30">
        <v>991</v>
      </c>
      <c r="L352" s="30">
        <v>36203</v>
      </c>
      <c r="M352" s="30">
        <v>85</v>
      </c>
      <c r="N352" s="30">
        <v>2</v>
      </c>
      <c r="O352" s="30">
        <v>560275</v>
      </c>
      <c r="P352" s="29" t="s">
        <v>604</v>
      </c>
      <c r="Q352" s="29" t="s">
        <v>605</v>
      </c>
      <c r="R352" s="178" t="s">
        <v>606</v>
      </c>
    </row>
    <row r="353" spans="1:18">
      <c r="A353" s="177">
        <v>3</v>
      </c>
      <c r="B353" s="30">
        <v>9</v>
      </c>
      <c r="C353" s="1">
        <v>42993</v>
      </c>
      <c r="D353" s="27">
        <v>784168</v>
      </c>
      <c r="E353" s="30">
        <v>2017</v>
      </c>
      <c r="F353" s="30">
        <v>3</v>
      </c>
      <c r="G353" s="1">
        <v>42979</v>
      </c>
      <c r="H353" s="27">
        <v>780793</v>
      </c>
      <c r="I353" s="24">
        <v>106000</v>
      </c>
      <c r="J353" s="24">
        <v>-106000</v>
      </c>
      <c r="K353" s="30">
        <v>991</v>
      </c>
      <c r="L353" s="30">
        <v>49901</v>
      </c>
      <c r="M353" s="30">
        <v>55</v>
      </c>
      <c r="N353" s="30">
        <v>1</v>
      </c>
      <c r="O353" s="30">
        <v>793668</v>
      </c>
      <c r="P353" s="29" t="s">
        <v>607</v>
      </c>
      <c r="Q353" s="29" t="s">
        <v>321</v>
      </c>
      <c r="R353" s="178" t="s">
        <v>416</v>
      </c>
    </row>
    <row r="354" spans="1:18">
      <c r="A354" s="177">
        <v>3</v>
      </c>
      <c r="B354" s="30">
        <v>9</v>
      </c>
      <c r="C354" s="1">
        <v>42993</v>
      </c>
      <c r="D354" s="27">
        <v>784168</v>
      </c>
      <c r="E354" s="30">
        <v>2017</v>
      </c>
      <c r="F354" s="30">
        <v>3</v>
      </c>
      <c r="G354" s="1">
        <v>42979</v>
      </c>
      <c r="H354" s="27">
        <v>780793</v>
      </c>
      <c r="I354" s="24">
        <v>17900</v>
      </c>
      <c r="J354" s="24">
        <v>-13780</v>
      </c>
      <c r="K354" s="30">
        <v>991</v>
      </c>
      <c r="L354" s="30">
        <v>49901</v>
      </c>
      <c r="M354" s="30">
        <v>85</v>
      </c>
      <c r="N354" s="30">
        <v>2</v>
      </c>
      <c r="O354" s="30">
        <v>793668</v>
      </c>
      <c r="P354" s="29" t="s">
        <v>607</v>
      </c>
      <c r="Q354" s="29" t="s">
        <v>321</v>
      </c>
      <c r="R354" s="178" t="s">
        <v>416</v>
      </c>
    </row>
    <row r="355" spans="1:18">
      <c r="A355" s="177">
        <v>3</v>
      </c>
      <c r="B355" s="30">
        <v>9</v>
      </c>
      <c r="C355" s="1">
        <v>43000</v>
      </c>
      <c r="D355" s="27">
        <v>785318</v>
      </c>
      <c r="E355" s="30">
        <v>2017</v>
      </c>
      <c r="F355" s="30">
        <v>3</v>
      </c>
      <c r="G355" s="1">
        <v>42993</v>
      </c>
      <c r="H355" s="27">
        <v>784159</v>
      </c>
      <c r="I355" s="24">
        <v>88500</v>
      </c>
      <c r="J355" s="24">
        <v>-65500</v>
      </c>
      <c r="K355" s="30">
        <v>991</v>
      </c>
      <c r="L355" s="30">
        <v>8356</v>
      </c>
      <c r="M355" s="30">
        <v>55</v>
      </c>
      <c r="N355" s="30">
        <v>1</v>
      </c>
      <c r="O355" s="30">
        <v>188163</v>
      </c>
      <c r="P355" s="29" t="s">
        <v>608</v>
      </c>
      <c r="Q355" s="29" t="s">
        <v>609</v>
      </c>
      <c r="R355" s="178" t="s">
        <v>610</v>
      </c>
    </row>
    <row r="356" spans="1:18">
      <c r="A356" s="177">
        <v>3</v>
      </c>
      <c r="B356" s="30">
        <v>9</v>
      </c>
      <c r="C356" s="1">
        <v>43000</v>
      </c>
      <c r="D356" s="27">
        <v>785318</v>
      </c>
      <c r="E356" s="30">
        <v>2017</v>
      </c>
      <c r="F356" s="30">
        <v>3</v>
      </c>
      <c r="G356" s="1">
        <v>42993</v>
      </c>
      <c r="H356" s="27">
        <v>784159</v>
      </c>
      <c r="I356" s="24">
        <v>16362</v>
      </c>
      <c r="J356" s="24">
        <v>-8515</v>
      </c>
      <c r="K356" s="30">
        <v>991</v>
      </c>
      <c r="L356" s="30">
        <v>8356</v>
      </c>
      <c r="M356" s="30">
        <v>85</v>
      </c>
      <c r="N356" s="30">
        <v>2</v>
      </c>
      <c r="O356" s="30">
        <v>188163</v>
      </c>
      <c r="P356" s="29" t="s">
        <v>608</v>
      </c>
      <c r="Q356" s="29" t="s">
        <v>609</v>
      </c>
      <c r="R356" s="178" t="s">
        <v>610</v>
      </c>
    </row>
    <row r="357" spans="1:18">
      <c r="A357" s="177">
        <v>3</v>
      </c>
      <c r="B357" s="30">
        <v>9</v>
      </c>
      <c r="C357" s="1">
        <v>43000</v>
      </c>
      <c r="D357" s="27">
        <v>785324</v>
      </c>
      <c r="E357" s="30">
        <v>2017</v>
      </c>
      <c r="F357" s="30">
        <v>3</v>
      </c>
      <c r="G357" s="1">
        <v>42993</v>
      </c>
      <c r="H357" s="27">
        <v>784167</v>
      </c>
      <c r="I357" s="24">
        <v>56000</v>
      </c>
      <c r="J357" s="24">
        <v>-56000</v>
      </c>
      <c r="K357" s="30">
        <v>991</v>
      </c>
      <c r="L357" s="30">
        <v>15766</v>
      </c>
      <c r="M357" s="30">
        <v>55</v>
      </c>
      <c r="N357" s="30">
        <v>1</v>
      </c>
      <c r="O357" s="30">
        <v>227361</v>
      </c>
      <c r="P357" s="29" t="s">
        <v>611</v>
      </c>
      <c r="Q357" s="29" t="s">
        <v>330</v>
      </c>
      <c r="R357" s="178" t="s">
        <v>523</v>
      </c>
    </row>
    <row r="358" spans="1:18">
      <c r="A358" s="177">
        <v>3</v>
      </c>
      <c r="B358" s="30">
        <v>9</v>
      </c>
      <c r="C358" s="1">
        <v>43000</v>
      </c>
      <c r="D358" s="27">
        <v>785324</v>
      </c>
      <c r="E358" s="30">
        <v>2017</v>
      </c>
      <c r="F358" s="30">
        <v>3</v>
      </c>
      <c r="G358" s="1">
        <v>42993</v>
      </c>
      <c r="H358" s="27">
        <v>784167</v>
      </c>
      <c r="I358" s="24">
        <v>10556</v>
      </c>
      <c r="J358" s="24">
        <v>-7280</v>
      </c>
      <c r="K358" s="30">
        <v>991</v>
      </c>
      <c r="L358" s="30">
        <v>15766</v>
      </c>
      <c r="M358" s="30">
        <v>85</v>
      </c>
      <c r="N358" s="30">
        <v>2</v>
      </c>
      <c r="O358" s="30">
        <v>227361</v>
      </c>
      <c r="P358" s="29" t="s">
        <v>611</v>
      </c>
      <c r="Q358" s="29" t="s">
        <v>330</v>
      </c>
      <c r="R358" s="178" t="s">
        <v>523</v>
      </c>
    </row>
    <row r="359" spans="1:18">
      <c r="A359" s="177">
        <v>3</v>
      </c>
      <c r="B359" s="30">
        <v>9</v>
      </c>
      <c r="C359" s="1">
        <v>43007</v>
      </c>
      <c r="D359" s="27">
        <v>785827</v>
      </c>
      <c r="E359" s="30">
        <v>2016</v>
      </c>
      <c r="F359" s="30">
        <v>4</v>
      </c>
      <c r="G359" s="1">
        <v>42720</v>
      </c>
      <c r="H359" s="27">
        <v>736839</v>
      </c>
      <c r="I359" s="24">
        <v>99000</v>
      </c>
      <c r="J359" s="24">
        <v>-99000</v>
      </c>
      <c r="K359" s="30">
        <v>991</v>
      </c>
      <c r="L359" s="30">
        <v>4210</v>
      </c>
      <c r="M359" s="30">
        <v>55</v>
      </c>
      <c r="N359" s="30">
        <v>1</v>
      </c>
      <c r="O359" s="30">
        <v>148722</v>
      </c>
      <c r="P359" s="29" t="s">
        <v>612</v>
      </c>
      <c r="Q359" s="29" t="s">
        <v>428</v>
      </c>
      <c r="R359" s="178" t="s">
        <v>613</v>
      </c>
    </row>
    <row r="360" spans="1:18">
      <c r="A360" s="177">
        <v>3</v>
      </c>
      <c r="B360" s="30">
        <v>9</v>
      </c>
      <c r="C360" s="1">
        <v>43007</v>
      </c>
      <c r="D360" s="27">
        <v>785827</v>
      </c>
      <c r="E360" s="30">
        <v>2016</v>
      </c>
      <c r="F360" s="30">
        <v>4</v>
      </c>
      <c r="G360" s="1">
        <v>42720</v>
      </c>
      <c r="H360" s="27">
        <v>736839</v>
      </c>
      <c r="I360" s="24">
        <v>20099</v>
      </c>
      <c r="J360" s="24">
        <v>-12870</v>
      </c>
      <c r="K360" s="30">
        <v>991</v>
      </c>
      <c r="L360" s="30">
        <v>4210</v>
      </c>
      <c r="M360" s="30">
        <v>85</v>
      </c>
      <c r="N360" s="30">
        <v>2</v>
      </c>
      <c r="O360" s="30">
        <v>148722</v>
      </c>
      <c r="P360" s="29" t="s">
        <v>612</v>
      </c>
      <c r="Q360" s="29" t="s">
        <v>428</v>
      </c>
      <c r="R360" s="178" t="s">
        <v>613</v>
      </c>
    </row>
    <row r="361" spans="1:18">
      <c r="A361" s="177">
        <v>3</v>
      </c>
      <c r="B361" s="30">
        <v>9</v>
      </c>
      <c r="C361" s="1">
        <v>43007</v>
      </c>
      <c r="D361" s="27">
        <v>785860</v>
      </c>
      <c r="E361" s="30">
        <v>2017</v>
      </c>
      <c r="F361" s="30">
        <v>3</v>
      </c>
      <c r="G361" s="1">
        <v>42975</v>
      </c>
      <c r="H361" s="27">
        <v>780415</v>
      </c>
      <c r="I361" s="24">
        <v>21000</v>
      </c>
      <c r="J361" s="24">
        <v>-21000</v>
      </c>
      <c r="K361" s="30">
        <v>991</v>
      </c>
      <c r="L361" s="30">
        <v>54135</v>
      </c>
      <c r="M361" s="30">
        <v>55</v>
      </c>
      <c r="N361" s="30">
        <v>1</v>
      </c>
      <c r="O361" s="30">
        <v>813647</v>
      </c>
      <c r="P361" s="29" t="s">
        <v>614</v>
      </c>
      <c r="Q361" s="29" t="s">
        <v>324</v>
      </c>
      <c r="R361" s="178" t="s">
        <v>519</v>
      </c>
    </row>
    <row r="362" spans="1:18">
      <c r="A362" s="177">
        <v>3</v>
      </c>
      <c r="B362" s="30">
        <v>9</v>
      </c>
      <c r="C362" s="1">
        <v>43007</v>
      </c>
      <c r="D362" s="27">
        <v>785860</v>
      </c>
      <c r="E362" s="30">
        <v>2017</v>
      </c>
      <c r="F362" s="30">
        <v>3</v>
      </c>
      <c r="G362" s="1">
        <v>42975</v>
      </c>
      <c r="H362" s="27">
        <v>780415</v>
      </c>
      <c r="I362" s="24">
        <v>3743</v>
      </c>
      <c r="J362" s="24">
        <v>-2730</v>
      </c>
      <c r="K362" s="30">
        <v>991</v>
      </c>
      <c r="L362" s="30">
        <v>54135</v>
      </c>
      <c r="M362" s="30">
        <v>85</v>
      </c>
      <c r="N362" s="30">
        <v>2</v>
      </c>
      <c r="O362" s="30">
        <v>813647</v>
      </c>
      <c r="P362" s="29" t="s">
        <v>614</v>
      </c>
      <c r="Q362" s="29" t="s">
        <v>324</v>
      </c>
      <c r="R362" s="178" t="s">
        <v>519</v>
      </c>
    </row>
    <row r="363" spans="1:18">
      <c r="A363" s="177">
        <v>3</v>
      </c>
      <c r="B363" s="30">
        <v>9</v>
      </c>
      <c r="C363" s="1">
        <v>43007</v>
      </c>
      <c r="D363" s="27">
        <v>785832</v>
      </c>
      <c r="E363" s="30">
        <v>2017</v>
      </c>
      <c r="F363" s="30">
        <v>2</v>
      </c>
      <c r="G363" s="1">
        <v>42865</v>
      </c>
      <c r="H363" s="27">
        <v>761413</v>
      </c>
      <c r="I363" s="24">
        <v>57000</v>
      </c>
      <c r="J363" s="24">
        <v>-55000</v>
      </c>
      <c r="K363" s="30">
        <v>991</v>
      </c>
      <c r="L363" s="30">
        <v>17100</v>
      </c>
      <c r="M363" s="30">
        <v>55</v>
      </c>
      <c r="N363" s="30">
        <v>1</v>
      </c>
      <c r="O363" s="30">
        <v>231637</v>
      </c>
      <c r="P363" s="29" t="s">
        <v>615</v>
      </c>
      <c r="Q363" s="29" t="s">
        <v>327</v>
      </c>
      <c r="R363" s="178" t="s">
        <v>328</v>
      </c>
    </row>
    <row r="364" spans="1:18">
      <c r="A364" s="177">
        <v>3</v>
      </c>
      <c r="B364" s="30">
        <v>9</v>
      </c>
      <c r="C364" s="1">
        <v>43007</v>
      </c>
      <c r="D364" s="27">
        <v>785832</v>
      </c>
      <c r="E364" s="30">
        <v>2017</v>
      </c>
      <c r="F364" s="30">
        <v>2</v>
      </c>
      <c r="G364" s="1">
        <v>42865</v>
      </c>
      <c r="H364" s="27">
        <v>761413</v>
      </c>
      <c r="I364" s="24">
        <v>12135</v>
      </c>
      <c r="J364" s="24">
        <v>-7150</v>
      </c>
      <c r="K364" s="30">
        <v>991</v>
      </c>
      <c r="L364" s="30">
        <v>17100</v>
      </c>
      <c r="M364" s="30">
        <v>85</v>
      </c>
      <c r="N364" s="30">
        <v>2</v>
      </c>
      <c r="O364" s="30">
        <v>231637</v>
      </c>
      <c r="P364" s="29" t="s">
        <v>615</v>
      </c>
      <c r="Q364" s="29" t="s">
        <v>327</v>
      </c>
      <c r="R364" s="178" t="s">
        <v>328</v>
      </c>
    </row>
    <row r="365" spans="1:18">
      <c r="A365" s="177">
        <v>3</v>
      </c>
      <c r="B365" s="30">
        <v>9</v>
      </c>
      <c r="C365" s="1">
        <v>43008</v>
      </c>
      <c r="D365" s="27">
        <v>783397</v>
      </c>
      <c r="E365" s="30">
        <v>2017</v>
      </c>
      <c r="F365" s="30">
        <v>2</v>
      </c>
      <c r="G365" s="1">
        <v>42895</v>
      </c>
      <c r="H365" s="27">
        <v>765716</v>
      </c>
      <c r="I365" s="24">
        <v>8737.7999999999993</v>
      </c>
      <c r="J365" s="24">
        <v>-8737.7999999999993</v>
      </c>
      <c r="K365" s="30">
        <v>335</v>
      </c>
      <c r="L365" s="30">
        <v>943</v>
      </c>
      <c r="M365" s="30">
        <v>60</v>
      </c>
      <c r="N365" s="30">
        <v>0</v>
      </c>
      <c r="O365" s="30">
        <v>1029332</v>
      </c>
      <c r="P365" s="29" t="s">
        <v>616</v>
      </c>
      <c r="Q365" s="29" t="s">
        <v>372</v>
      </c>
      <c r="R365" s="178" t="s">
        <v>617</v>
      </c>
    </row>
    <row r="366" spans="1:18">
      <c r="A366" s="177">
        <v>3</v>
      </c>
      <c r="B366" s="30">
        <v>9</v>
      </c>
      <c r="C366" s="1">
        <v>43008</v>
      </c>
      <c r="D366" s="27">
        <v>783397</v>
      </c>
      <c r="E366" s="30">
        <v>2017</v>
      </c>
      <c r="F366" s="30">
        <v>2</v>
      </c>
      <c r="G366" s="1">
        <v>42895</v>
      </c>
      <c r="H366" s="27">
        <v>765716</v>
      </c>
      <c r="I366" s="24">
        <v>1136</v>
      </c>
      <c r="J366" s="24">
        <v>-1136</v>
      </c>
      <c r="K366" s="30">
        <v>335</v>
      </c>
      <c r="L366" s="30">
        <v>943</v>
      </c>
      <c r="M366" s="30">
        <v>85</v>
      </c>
      <c r="N366" s="30">
        <v>0</v>
      </c>
      <c r="O366" s="30">
        <v>1029332</v>
      </c>
      <c r="P366" s="29" t="s">
        <v>616</v>
      </c>
      <c r="Q366" s="29" t="s">
        <v>372</v>
      </c>
      <c r="R366" s="178" t="s">
        <v>617</v>
      </c>
    </row>
    <row r="367" spans="1:18">
      <c r="A367" s="177">
        <v>3</v>
      </c>
      <c r="B367" s="30">
        <v>9</v>
      </c>
      <c r="C367" s="1">
        <v>43008</v>
      </c>
      <c r="D367" s="27">
        <v>783397</v>
      </c>
      <c r="E367" s="30">
        <v>2017</v>
      </c>
      <c r="F367" s="30">
        <v>3</v>
      </c>
      <c r="G367" s="1">
        <v>42986</v>
      </c>
      <c r="H367" s="27">
        <v>781269</v>
      </c>
      <c r="I367" s="24">
        <v>9040</v>
      </c>
      <c r="J367" s="24">
        <v>-9040</v>
      </c>
      <c r="K367" s="30">
        <v>6</v>
      </c>
      <c r="L367" s="30">
        <v>29</v>
      </c>
      <c r="M367" s="30">
        <v>60</v>
      </c>
      <c r="N367" s="30">
        <v>0</v>
      </c>
      <c r="O367" s="30">
        <v>5102</v>
      </c>
      <c r="P367" s="29" t="s">
        <v>618</v>
      </c>
      <c r="Q367" s="29" t="s">
        <v>486</v>
      </c>
      <c r="R367" s="178" t="s">
        <v>393</v>
      </c>
    </row>
    <row r="368" spans="1:18">
      <c r="A368" s="177">
        <v>3</v>
      </c>
      <c r="B368" s="30">
        <v>9</v>
      </c>
      <c r="C368" s="1">
        <v>43008</v>
      </c>
      <c r="D368" s="27">
        <v>783397</v>
      </c>
      <c r="E368" s="30">
        <v>2017</v>
      </c>
      <c r="F368" s="30">
        <v>3</v>
      </c>
      <c r="G368" s="1">
        <v>42986</v>
      </c>
      <c r="H368" s="27">
        <v>781269</v>
      </c>
      <c r="I368" s="24">
        <v>1175</v>
      </c>
      <c r="J368" s="24">
        <v>-1175</v>
      </c>
      <c r="K368" s="30">
        <v>6</v>
      </c>
      <c r="L368" s="30">
        <v>29</v>
      </c>
      <c r="M368" s="30">
        <v>85</v>
      </c>
      <c r="N368" s="30">
        <v>0</v>
      </c>
      <c r="O368" s="30">
        <v>5102</v>
      </c>
      <c r="P368" s="29" t="s">
        <v>618</v>
      </c>
      <c r="Q368" s="29" t="s">
        <v>486</v>
      </c>
      <c r="R368" s="178" t="s">
        <v>393</v>
      </c>
    </row>
    <row r="369" spans="1:18">
      <c r="A369" s="177">
        <v>3</v>
      </c>
      <c r="B369" s="30">
        <v>9</v>
      </c>
      <c r="C369" s="1">
        <v>43008</v>
      </c>
      <c r="D369" s="27">
        <v>783397</v>
      </c>
      <c r="E369" s="30">
        <v>2017</v>
      </c>
      <c r="F369" s="30">
        <v>2</v>
      </c>
      <c r="G369" s="1">
        <v>42895</v>
      </c>
      <c r="H369" s="27">
        <v>765716</v>
      </c>
      <c r="I369" s="24">
        <v>1806.5</v>
      </c>
      <c r="J369" s="24">
        <v>-1806.5</v>
      </c>
      <c r="K369" s="30">
        <v>302</v>
      </c>
      <c r="L369" s="30">
        <v>3053</v>
      </c>
      <c r="M369" s="30">
        <v>60</v>
      </c>
      <c r="N369" s="30">
        <v>0</v>
      </c>
      <c r="O369" s="30">
        <v>550793</v>
      </c>
      <c r="P369" s="29" t="s">
        <v>619</v>
      </c>
      <c r="Q369" s="29" t="s">
        <v>620</v>
      </c>
      <c r="R369" s="178" t="s">
        <v>621</v>
      </c>
    </row>
    <row r="370" spans="1:18">
      <c r="A370" s="177">
        <v>3</v>
      </c>
      <c r="B370" s="30">
        <v>9</v>
      </c>
      <c r="C370" s="1">
        <v>43008</v>
      </c>
      <c r="D370" s="27">
        <v>783397</v>
      </c>
      <c r="E370" s="30">
        <v>2017</v>
      </c>
      <c r="F370" s="30">
        <v>2</v>
      </c>
      <c r="G370" s="1">
        <v>42895</v>
      </c>
      <c r="H370" s="27">
        <v>765716</v>
      </c>
      <c r="I370" s="24">
        <v>235</v>
      </c>
      <c r="J370" s="24">
        <v>-235</v>
      </c>
      <c r="K370" s="30">
        <v>302</v>
      </c>
      <c r="L370" s="30">
        <v>3053</v>
      </c>
      <c r="M370" s="30">
        <v>85</v>
      </c>
      <c r="N370" s="30">
        <v>0</v>
      </c>
      <c r="O370" s="30">
        <v>550793</v>
      </c>
      <c r="P370" s="29" t="s">
        <v>619</v>
      </c>
      <c r="Q370" s="29" t="s">
        <v>620</v>
      </c>
      <c r="R370" s="178" t="s">
        <v>621</v>
      </c>
    </row>
    <row r="371" spans="1:18">
      <c r="A371" s="177">
        <v>3</v>
      </c>
      <c r="B371" s="30">
        <v>9</v>
      </c>
      <c r="C371" s="1">
        <v>43008</v>
      </c>
      <c r="D371" s="27">
        <v>783397</v>
      </c>
      <c r="E371" s="30">
        <v>2017</v>
      </c>
      <c r="F371" s="30">
        <v>3</v>
      </c>
      <c r="G371" s="1">
        <v>42957</v>
      </c>
      <c r="H371" s="27">
        <v>776558</v>
      </c>
      <c r="I371" s="24">
        <v>6624.9</v>
      </c>
      <c r="J371" s="24">
        <v>-6624.9</v>
      </c>
      <c r="K371" s="30">
        <v>16</v>
      </c>
      <c r="L371" s="30">
        <v>1048</v>
      </c>
      <c r="M371" s="30">
        <v>60</v>
      </c>
      <c r="N371" s="30">
        <v>0</v>
      </c>
      <c r="O371" s="30">
        <v>96301</v>
      </c>
      <c r="P371" s="29" t="s">
        <v>622</v>
      </c>
      <c r="Q371" s="29" t="s">
        <v>591</v>
      </c>
      <c r="R371" s="178" t="s">
        <v>621</v>
      </c>
    </row>
    <row r="372" spans="1:18">
      <c r="A372" s="177">
        <v>3</v>
      </c>
      <c r="B372" s="30">
        <v>9</v>
      </c>
      <c r="C372" s="1">
        <v>43008</v>
      </c>
      <c r="D372" s="27">
        <v>783397</v>
      </c>
      <c r="E372" s="30">
        <v>2017</v>
      </c>
      <c r="F372" s="30">
        <v>3</v>
      </c>
      <c r="G372" s="1">
        <v>42957</v>
      </c>
      <c r="H372" s="27">
        <v>776558</v>
      </c>
      <c r="I372" s="24">
        <v>861</v>
      </c>
      <c r="J372" s="24">
        <v>-861</v>
      </c>
      <c r="K372" s="30">
        <v>16</v>
      </c>
      <c r="L372" s="30">
        <v>1048</v>
      </c>
      <c r="M372" s="30">
        <v>85</v>
      </c>
      <c r="N372" s="30">
        <v>0</v>
      </c>
      <c r="O372" s="30">
        <v>96301</v>
      </c>
      <c r="P372" s="29" t="s">
        <v>622</v>
      </c>
      <c r="Q372" s="29" t="s">
        <v>591</v>
      </c>
      <c r="R372" s="178" t="s">
        <v>621</v>
      </c>
    </row>
    <row r="373" spans="1:18">
      <c r="A373" s="177">
        <v>3</v>
      </c>
      <c r="B373" s="30">
        <v>9</v>
      </c>
      <c r="C373" s="1">
        <v>43008</v>
      </c>
      <c r="D373" s="27">
        <v>783397</v>
      </c>
      <c r="E373" s="30">
        <v>2017</v>
      </c>
      <c r="F373" s="30">
        <v>3</v>
      </c>
      <c r="G373" s="1">
        <v>42957</v>
      </c>
      <c r="H373" s="27">
        <v>776569</v>
      </c>
      <c r="I373" s="24">
        <v>6751.5</v>
      </c>
      <c r="J373" s="24">
        <v>-6751.5</v>
      </c>
      <c r="K373" s="30">
        <v>77</v>
      </c>
      <c r="L373" s="30">
        <v>1308</v>
      </c>
      <c r="M373" s="30">
        <v>60</v>
      </c>
      <c r="N373" s="30">
        <v>0</v>
      </c>
      <c r="O373" s="30">
        <v>59517</v>
      </c>
      <c r="P373" s="29" t="s">
        <v>623</v>
      </c>
      <c r="Q373" s="29" t="s">
        <v>321</v>
      </c>
      <c r="R373" s="178" t="s">
        <v>343</v>
      </c>
    </row>
    <row r="374" spans="1:18">
      <c r="A374" s="177">
        <v>3</v>
      </c>
      <c r="B374" s="30">
        <v>9</v>
      </c>
      <c r="C374" s="1">
        <v>43008</v>
      </c>
      <c r="D374" s="27">
        <v>783397</v>
      </c>
      <c r="E374" s="30">
        <v>2017</v>
      </c>
      <c r="F374" s="30">
        <v>3</v>
      </c>
      <c r="G374" s="1">
        <v>42957</v>
      </c>
      <c r="H374" s="27">
        <v>776569</v>
      </c>
      <c r="I374" s="24">
        <v>878</v>
      </c>
      <c r="J374" s="24">
        <v>-878</v>
      </c>
      <c r="K374" s="30">
        <v>77</v>
      </c>
      <c r="L374" s="30">
        <v>1308</v>
      </c>
      <c r="M374" s="30">
        <v>85</v>
      </c>
      <c r="N374" s="30">
        <v>0</v>
      </c>
      <c r="O374" s="30">
        <v>59517</v>
      </c>
      <c r="P374" s="29" t="s">
        <v>623</v>
      </c>
      <c r="Q374" s="29" t="s">
        <v>321</v>
      </c>
      <c r="R374" s="178" t="s">
        <v>343</v>
      </c>
    </row>
    <row r="375" spans="1:18">
      <c r="A375" s="177">
        <v>3</v>
      </c>
      <c r="B375" s="30">
        <v>9</v>
      </c>
      <c r="C375" s="1">
        <v>43008</v>
      </c>
      <c r="D375" s="27">
        <v>783397</v>
      </c>
      <c r="E375" s="30">
        <v>2017</v>
      </c>
      <c r="F375" s="30">
        <v>1</v>
      </c>
      <c r="G375" s="1">
        <v>42745</v>
      </c>
      <c r="H375" s="27">
        <v>740276</v>
      </c>
      <c r="I375" s="24">
        <v>5107.5</v>
      </c>
      <c r="J375" s="24">
        <v>-5107.5</v>
      </c>
      <c r="K375" s="30">
        <v>5</v>
      </c>
      <c r="L375" s="30">
        <v>7770</v>
      </c>
      <c r="M375" s="30">
        <v>60</v>
      </c>
      <c r="N375" s="30">
        <v>0</v>
      </c>
      <c r="O375" s="30">
        <v>100069</v>
      </c>
      <c r="P375" s="29" t="s">
        <v>624</v>
      </c>
      <c r="Q375" s="29" t="s">
        <v>369</v>
      </c>
      <c r="R375" s="178" t="s">
        <v>625</v>
      </c>
    </row>
    <row r="376" spans="1:18">
      <c r="A376" s="177">
        <v>3</v>
      </c>
      <c r="B376" s="30">
        <v>9</v>
      </c>
      <c r="C376" s="1">
        <v>43008</v>
      </c>
      <c r="D376" s="27">
        <v>783397</v>
      </c>
      <c r="E376" s="30">
        <v>2017</v>
      </c>
      <c r="F376" s="30">
        <v>1</v>
      </c>
      <c r="G376" s="1">
        <v>42745</v>
      </c>
      <c r="H376" s="27">
        <v>740276</v>
      </c>
      <c r="I376" s="24">
        <v>664</v>
      </c>
      <c r="J376" s="24">
        <v>-664</v>
      </c>
      <c r="K376" s="30">
        <v>5</v>
      </c>
      <c r="L376" s="30">
        <v>7770</v>
      </c>
      <c r="M376" s="30">
        <v>85</v>
      </c>
      <c r="N376" s="30">
        <v>0</v>
      </c>
      <c r="O376" s="30">
        <v>100069</v>
      </c>
      <c r="P376" s="29" t="s">
        <v>624</v>
      </c>
      <c r="Q376" s="29" t="s">
        <v>369</v>
      </c>
      <c r="R376" s="178" t="s">
        <v>625</v>
      </c>
    </row>
    <row r="377" spans="1:18">
      <c r="A377" s="177">
        <v>3</v>
      </c>
      <c r="B377" s="30">
        <v>9</v>
      </c>
      <c r="C377" s="1">
        <v>43008</v>
      </c>
      <c r="D377" s="27">
        <v>783397</v>
      </c>
      <c r="E377" s="30">
        <v>2017</v>
      </c>
      <c r="F377" s="30">
        <v>1</v>
      </c>
      <c r="G377" s="1">
        <v>42776</v>
      </c>
      <c r="H377" s="27">
        <v>744978</v>
      </c>
      <c r="I377" s="24">
        <v>5107.5</v>
      </c>
      <c r="J377" s="24">
        <v>-5107.5</v>
      </c>
      <c r="K377" s="30">
        <v>5</v>
      </c>
      <c r="L377" s="30">
        <v>7770</v>
      </c>
      <c r="M377" s="30">
        <v>60</v>
      </c>
      <c r="N377" s="30">
        <v>0</v>
      </c>
      <c r="O377" s="30">
        <v>100069</v>
      </c>
      <c r="P377" s="29" t="s">
        <v>624</v>
      </c>
      <c r="Q377" s="29" t="s">
        <v>369</v>
      </c>
      <c r="R377" s="178" t="s">
        <v>625</v>
      </c>
    </row>
    <row r="378" spans="1:18">
      <c r="A378" s="177">
        <v>3</v>
      </c>
      <c r="B378" s="30">
        <v>9</v>
      </c>
      <c r="C378" s="1">
        <v>43008</v>
      </c>
      <c r="D378" s="27">
        <v>783397</v>
      </c>
      <c r="E378" s="30">
        <v>2017</v>
      </c>
      <c r="F378" s="30">
        <v>1</v>
      </c>
      <c r="G378" s="1">
        <v>42776</v>
      </c>
      <c r="H378" s="27">
        <v>744978</v>
      </c>
      <c r="I378" s="24">
        <v>664</v>
      </c>
      <c r="J378" s="24">
        <v>-664</v>
      </c>
      <c r="K378" s="30">
        <v>5</v>
      </c>
      <c r="L378" s="30">
        <v>7770</v>
      </c>
      <c r="M378" s="30">
        <v>85</v>
      </c>
      <c r="N378" s="30">
        <v>0</v>
      </c>
      <c r="O378" s="30">
        <v>100069</v>
      </c>
      <c r="P378" s="29" t="s">
        <v>624</v>
      </c>
      <c r="Q378" s="29" t="s">
        <v>369</v>
      </c>
      <c r="R378" s="178" t="s">
        <v>625</v>
      </c>
    </row>
    <row r="379" spans="1:18">
      <c r="A379" s="177">
        <v>3</v>
      </c>
      <c r="B379" s="30">
        <v>9</v>
      </c>
      <c r="C379" s="1">
        <v>43008</v>
      </c>
      <c r="D379" s="27">
        <v>783397</v>
      </c>
      <c r="E379" s="30">
        <v>2017</v>
      </c>
      <c r="F379" s="30">
        <v>1</v>
      </c>
      <c r="G379" s="1">
        <v>42804</v>
      </c>
      <c r="H379" s="27">
        <v>749816</v>
      </c>
      <c r="I379" s="24">
        <v>5107.5</v>
      </c>
      <c r="J379" s="24">
        <v>-5107.5</v>
      </c>
      <c r="K379" s="30">
        <v>5</v>
      </c>
      <c r="L379" s="30">
        <v>7770</v>
      </c>
      <c r="M379" s="30">
        <v>60</v>
      </c>
      <c r="N379" s="30">
        <v>0</v>
      </c>
      <c r="O379" s="30">
        <v>100069</v>
      </c>
      <c r="P379" s="29" t="s">
        <v>624</v>
      </c>
      <c r="Q379" s="29" t="s">
        <v>369</v>
      </c>
      <c r="R379" s="178" t="s">
        <v>625</v>
      </c>
    </row>
    <row r="380" spans="1:18">
      <c r="A380" s="177">
        <v>3</v>
      </c>
      <c r="B380" s="30">
        <v>9</v>
      </c>
      <c r="C380" s="1">
        <v>43008</v>
      </c>
      <c r="D380" s="27">
        <v>783397</v>
      </c>
      <c r="E380" s="30">
        <v>2017</v>
      </c>
      <c r="F380" s="30">
        <v>1</v>
      </c>
      <c r="G380" s="1">
        <v>42804</v>
      </c>
      <c r="H380" s="27">
        <v>749816</v>
      </c>
      <c r="I380" s="24">
        <v>664</v>
      </c>
      <c r="J380" s="24">
        <v>-664</v>
      </c>
      <c r="K380" s="30">
        <v>5</v>
      </c>
      <c r="L380" s="30">
        <v>7770</v>
      </c>
      <c r="M380" s="30">
        <v>85</v>
      </c>
      <c r="N380" s="30">
        <v>0</v>
      </c>
      <c r="O380" s="30">
        <v>100069</v>
      </c>
      <c r="P380" s="29" t="s">
        <v>624</v>
      </c>
      <c r="Q380" s="29" t="s">
        <v>369</v>
      </c>
      <c r="R380" s="178" t="s">
        <v>625</v>
      </c>
    </row>
    <row r="381" spans="1:18">
      <c r="A381" s="177">
        <v>3</v>
      </c>
      <c r="B381" s="30">
        <v>9</v>
      </c>
      <c r="C381" s="1">
        <v>43008</v>
      </c>
      <c r="D381" s="27">
        <v>783397</v>
      </c>
      <c r="E381" s="30">
        <v>2017</v>
      </c>
      <c r="F381" s="30">
        <v>2</v>
      </c>
      <c r="G381" s="1">
        <v>42835</v>
      </c>
      <c r="H381" s="27">
        <v>755291</v>
      </c>
      <c r="I381" s="24">
        <v>5107.5</v>
      </c>
      <c r="J381" s="24">
        <v>-5107.5</v>
      </c>
      <c r="K381" s="30">
        <v>5</v>
      </c>
      <c r="L381" s="30">
        <v>7770</v>
      </c>
      <c r="M381" s="30">
        <v>60</v>
      </c>
      <c r="N381" s="30">
        <v>0</v>
      </c>
      <c r="O381" s="30">
        <v>100069</v>
      </c>
      <c r="P381" s="29" t="s">
        <v>624</v>
      </c>
      <c r="Q381" s="29" t="s">
        <v>369</v>
      </c>
      <c r="R381" s="178" t="s">
        <v>625</v>
      </c>
    </row>
    <row r="382" spans="1:18">
      <c r="A382" s="177">
        <v>3</v>
      </c>
      <c r="B382" s="30">
        <v>9</v>
      </c>
      <c r="C382" s="1">
        <v>43008</v>
      </c>
      <c r="D382" s="27">
        <v>783397</v>
      </c>
      <c r="E382" s="30">
        <v>2017</v>
      </c>
      <c r="F382" s="30">
        <v>2</v>
      </c>
      <c r="G382" s="1">
        <v>42835</v>
      </c>
      <c r="H382" s="27">
        <v>755291</v>
      </c>
      <c r="I382" s="24">
        <v>664</v>
      </c>
      <c r="J382" s="24">
        <v>-664</v>
      </c>
      <c r="K382" s="30">
        <v>5</v>
      </c>
      <c r="L382" s="30">
        <v>7770</v>
      </c>
      <c r="M382" s="30">
        <v>85</v>
      </c>
      <c r="N382" s="30">
        <v>0</v>
      </c>
      <c r="O382" s="30">
        <v>100069</v>
      </c>
      <c r="P382" s="29" t="s">
        <v>624</v>
      </c>
      <c r="Q382" s="29" t="s">
        <v>369</v>
      </c>
      <c r="R382" s="178" t="s">
        <v>625</v>
      </c>
    </row>
    <row r="383" spans="1:18">
      <c r="A383" s="177">
        <v>3</v>
      </c>
      <c r="B383" s="30">
        <v>9</v>
      </c>
      <c r="C383" s="1">
        <v>43008</v>
      </c>
      <c r="D383" s="27">
        <v>783397</v>
      </c>
      <c r="E383" s="30">
        <v>2017</v>
      </c>
      <c r="F383" s="30">
        <v>2</v>
      </c>
      <c r="G383" s="1">
        <v>42859</v>
      </c>
      <c r="H383" s="27">
        <v>759727</v>
      </c>
      <c r="I383" s="24">
        <v>5107.5</v>
      </c>
      <c r="J383" s="24">
        <v>-5107.5</v>
      </c>
      <c r="K383" s="30">
        <v>5</v>
      </c>
      <c r="L383" s="30">
        <v>7770</v>
      </c>
      <c r="M383" s="30">
        <v>60</v>
      </c>
      <c r="N383" s="30">
        <v>0</v>
      </c>
      <c r="O383" s="30">
        <v>100069</v>
      </c>
      <c r="P383" s="29" t="s">
        <v>624</v>
      </c>
      <c r="Q383" s="29" t="s">
        <v>369</v>
      </c>
      <c r="R383" s="178" t="s">
        <v>625</v>
      </c>
    </row>
    <row r="384" spans="1:18">
      <c r="A384" s="177">
        <v>3</v>
      </c>
      <c r="B384" s="30">
        <v>9</v>
      </c>
      <c r="C384" s="1">
        <v>43008</v>
      </c>
      <c r="D384" s="27">
        <v>783397</v>
      </c>
      <c r="E384" s="30">
        <v>2017</v>
      </c>
      <c r="F384" s="30">
        <v>2</v>
      </c>
      <c r="G384" s="1">
        <v>42859</v>
      </c>
      <c r="H384" s="27">
        <v>759727</v>
      </c>
      <c r="I384" s="24">
        <v>664</v>
      </c>
      <c r="J384" s="24">
        <v>-664</v>
      </c>
      <c r="K384" s="30">
        <v>5</v>
      </c>
      <c r="L384" s="30">
        <v>7770</v>
      </c>
      <c r="M384" s="30">
        <v>85</v>
      </c>
      <c r="N384" s="30">
        <v>0</v>
      </c>
      <c r="O384" s="30">
        <v>100069</v>
      </c>
      <c r="P384" s="29" t="s">
        <v>624</v>
      </c>
      <c r="Q384" s="29" t="s">
        <v>369</v>
      </c>
      <c r="R384" s="178" t="s">
        <v>625</v>
      </c>
    </row>
    <row r="385" spans="1:18">
      <c r="A385" s="177">
        <v>3</v>
      </c>
      <c r="B385" s="30">
        <v>9</v>
      </c>
      <c r="C385" s="1">
        <v>43008</v>
      </c>
      <c r="D385" s="27">
        <v>783397</v>
      </c>
      <c r="E385" s="30">
        <v>2017</v>
      </c>
      <c r="F385" s="30">
        <v>2</v>
      </c>
      <c r="G385" s="1">
        <v>42895</v>
      </c>
      <c r="H385" s="27">
        <v>765704</v>
      </c>
      <c r="I385" s="24">
        <v>5107.5</v>
      </c>
      <c r="J385" s="24">
        <v>-5107.5</v>
      </c>
      <c r="K385" s="30">
        <v>5</v>
      </c>
      <c r="L385" s="30">
        <v>7770</v>
      </c>
      <c r="M385" s="30">
        <v>60</v>
      </c>
      <c r="N385" s="30">
        <v>0</v>
      </c>
      <c r="O385" s="30">
        <v>100069</v>
      </c>
      <c r="P385" s="29" t="s">
        <v>624</v>
      </c>
      <c r="Q385" s="29" t="s">
        <v>369</v>
      </c>
      <c r="R385" s="178" t="s">
        <v>625</v>
      </c>
    </row>
    <row r="386" spans="1:18">
      <c r="A386" s="177">
        <v>3</v>
      </c>
      <c r="B386" s="30">
        <v>9</v>
      </c>
      <c r="C386" s="1">
        <v>43008</v>
      </c>
      <c r="D386" s="27">
        <v>783397</v>
      </c>
      <c r="E386" s="30">
        <v>2017</v>
      </c>
      <c r="F386" s="30">
        <v>2</v>
      </c>
      <c r="G386" s="1">
        <v>42895</v>
      </c>
      <c r="H386" s="27">
        <v>765704</v>
      </c>
      <c r="I386" s="24">
        <v>664</v>
      </c>
      <c r="J386" s="24">
        <v>-664</v>
      </c>
      <c r="K386" s="30">
        <v>5</v>
      </c>
      <c r="L386" s="30">
        <v>7770</v>
      </c>
      <c r="M386" s="30">
        <v>85</v>
      </c>
      <c r="N386" s="30">
        <v>0</v>
      </c>
      <c r="O386" s="30">
        <v>100069</v>
      </c>
      <c r="P386" s="29" t="s">
        <v>624</v>
      </c>
      <c r="Q386" s="29" t="s">
        <v>369</v>
      </c>
      <c r="R386" s="178" t="s">
        <v>625</v>
      </c>
    </row>
    <row r="387" spans="1:18">
      <c r="A387" s="177">
        <v>3</v>
      </c>
      <c r="B387" s="30">
        <v>9</v>
      </c>
      <c r="C387" s="1">
        <v>43008</v>
      </c>
      <c r="D387" s="27">
        <v>783397</v>
      </c>
      <c r="E387" s="30">
        <v>2017</v>
      </c>
      <c r="F387" s="30">
        <v>3</v>
      </c>
      <c r="G387" s="1">
        <v>42926</v>
      </c>
      <c r="H387" s="27">
        <v>771235</v>
      </c>
      <c r="I387" s="24">
        <v>5107.5</v>
      </c>
      <c r="J387" s="24">
        <v>-5107.5</v>
      </c>
      <c r="K387" s="30">
        <v>5</v>
      </c>
      <c r="L387" s="30">
        <v>7770</v>
      </c>
      <c r="M387" s="30">
        <v>60</v>
      </c>
      <c r="N387" s="30">
        <v>0</v>
      </c>
      <c r="O387" s="30">
        <v>100069</v>
      </c>
      <c r="P387" s="29" t="s">
        <v>624</v>
      </c>
      <c r="Q387" s="29" t="s">
        <v>369</v>
      </c>
      <c r="R387" s="178" t="s">
        <v>625</v>
      </c>
    </row>
    <row r="388" spans="1:18">
      <c r="A388" s="177">
        <v>3</v>
      </c>
      <c r="B388" s="30">
        <v>9</v>
      </c>
      <c r="C388" s="1">
        <v>43008</v>
      </c>
      <c r="D388" s="27">
        <v>783397</v>
      </c>
      <c r="E388" s="30">
        <v>2017</v>
      </c>
      <c r="F388" s="30">
        <v>3</v>
      </c>
      <c r="G388" s="1">
        <v>42926</v>
      </c>
      <c r="H388" s="27">
        <v>771235</v>
      </c>
      <c r="I388" s="24">
        <v>664</v>
      </c>
      <c r="J388" s="24">
        <v>-664</v>
      </c>
      <c r="K388" s="30">
        <v>5</v>
      </c>
      <c r="L388" s="30">
        <v>7770</v>
      </c>
      <c r="M388" s="30">
        <v>85</v>
      </c>
      <c r="N388" s="30">
        <v>0</v>
      </c>
      <c r="O388" s="30">
        <v>100069</v>
      </c>
      <c r="P388" s="29" t="s">
        <v>624</v>
      </c>
      <c r="Q388" s="29" t="s">
        <v>369</v>
      </c>
      <c r="R388" s="178" t="s">
        <v>625</v>
      </c>
    </row>
    <row r="389" spans="1:18">
      <c r="A389" s="177">
        <v>3</v>
      </c>
      <c r="B389" s="30">
        <v>9</v>
      </c>
      <c r="C389" s="1">
        <v>43008</v>
      </c>
      <c r="D389" s="27">
        <v>783397</v>
      </c>
      <c r="E389" s="30">
        <v>2017</v>
      </c>
      <c r="F389" s="30">
        <v>3</v>
      </c>
      <c r="G389" s="1">
        <v>42957</v>
      </c>
      <c r="H389" s="27">
        <v>776558</v>
      </c>
      <c r="I389" s="24">
        <v>5107.5</v>
      </c>
      <c r="J389" s="24">
        <v>-5107.5</v>
      </c>
      <c r="K389" s="30">
        <v>5</v>
      </c>
      <c r="L389" s="30">
        <v>7770</v>
      </c>
      <c r="M389" s="30">
        <v>60</v>
      </c>
      <c r="N389" s="30">
        <v>0</v>
      </c>
      <c r="O389" s="30">
        <v>100069</v>
      </c>
      <c r="P389" s="29" t="s">
        <v>624</v>
      </c>
      <c r="Q389" s="29" t="s">
        <v>369</v>
      </c>
      <c r="R389" s="178" t="s">
        <v>625</v>
      </c>
    </row>
    <row r="390" spans="1:18">
      <c r="A390" s="177">
        <v>3</v>
      </c>
      <c r="B390" s="30">
        <v>9</v>
      </c>
      <c r="C390" s="1">
        <v>43008</v>
      </c>
      <c r="D390" s="27">
        <v>783397</v>
      </c>
      <c r="E390" s="30">
        <v>2017</v>
      </c>
      <c r="F390" s="30">
        <v>3</v>
      </c>
      <c r="G390" s="1">
        <v>42957</v>
      </c>
      <c r="H390" s="27">
        <v>776558</v>
      </c>
      <c r="I390" s="24">
        <v>664</v>
      </c>
      <c r="J390" s="24">
        <v>-664</v>
      </c>
      <c r="K390" s="30">
        <v>5</v>
      </c>
      <c r="L390" s="30">
        <v>7770</v>
      </c>
      <c r="M390" s="30">
        <v>85</v>
      </c>
      <c r="N390" s="30">
        <v>0</v>
      </c>
      <c r="O390" s="30">
        <v>100069</v>
      </c>
      <c r="P390" s="29" t="s">
        <v>624</v>
      </c>
      <c r="Q390" s="29" t="s">
        <v>369</v>
      </c>
      <c r="R390" s="178" t="s">
        <v>625</v>
      </c>
    </row>
    <row r="391" spans="1:18">
      <c r="A391" s="177">
        <v>3</v>
      </c>
      <c r="B391" s="30">
        <v>9</v>
      </c>
      <c r="C391" s="1">
        <v>43008</v>
      </c>
      <c r="D391" s="27">
        <v>783397</v>
      </c>
      <c r="E391" s="30">
        <v>2017</v>
      </c>
      <c r="F391" s="30">
        <v>3</v>
      </c>
      <c r="G391" s="1">
        <v>42957</v>
      </c>
      <c r="H391" s="27">
        <v>776558</v>
      </c>
      <c r="I391" s="24">
        <v>12311.7</v>
      </c>
      <c r="J391" s="24">
        <v>-12311.7</v>
      </c>
      <c r="K391" s="30">
        <v>100</v>
      </c>
      <c r="L391" s="30">
        <v>1160</v>
      </c>
      <c r="M391" s="30">
        <v>60</v>
      </c>
      <c r="N391" s="30">
        <v>0</v>
      </c>
      <c r="O391" s="30">
        <v>86394</v>
      </c>
      <c r="P391" s="29" t="s">
        <v>626</v>
      </c>
      <c r="Q391" s="29" t="s">
        <v>354</v>
      </c>
      <c r="R391" s="178" t="s">
        <v>328</v>
      </c>
    </row>
    <row r="392" spans="1:18">
      <c r="A392" s="179">
        <v>3</v>
      </c>
      <c r="B392" s="180">
        <v>9</v>
      </c>
      <c r="C392" s="13">
        <v>43008</v>
      </c>
      <c r="D392" s="181">
        <v>783397</v>
      </c>
      <c r="E392" s="180">
        <v>2017</v>
      </c>
      <c r="F392" s="180">
        <v>3</v>
      </c>
      <c r="G392" s="13">
        <v>42957</v>
      </c>
      <c r="H392" s="181">
        <v>776558</v>
      </c>
      <c r="I392" s="16">
        <v>1600</v>
      </c>
      <c r="J392" s="16">
        <v>-1600</v>
      </c>
      <c r="K392" s="180">
        <v>100</v>
      </c>
      <c r="L392" s="180">
        <v>1160</v>
      </c>
      <c r="M392" s="180">
        <v>85</v>
      </c>
      <c r="N392" s="180">
        <v>0</v>
      </c>
      <c r="O392" s="180">
        <v>86394</v>
      </c>
      <c r="P392" s="182" t="s">
        <v>626</v>
      </c>
      <c r="Q392" s="182" t="s">
        <v>354</v>
      </c>
      <c r="R392" s="183" t="s">
        <v>328</v>
      </c>
    </row>
  </sheetData>
  <mergeCells count="8">
    <mergeCell ref="A1:R1"/>
    <mergeCell ref="A2:D2"/>
    <mergeCell ref="E2:J2"/>
    <mergeCell ref="K2:K3"/>
    <mergeCell ref="L2:L3"/>
    <mergeCell ref="M2:M3"/>
    <mergeCell ref="N2:N3"/>
    <mergeCell ref="O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1"/>
  <dimension ref="A1:J137"/>
  <sheetViews>
    <sheetView workbookViewId="0">
      <pane ySplit="4" topLeftCell="A5" activePane="bottomLeft" state="frozen"/>
      <selection pane="bottomLeft" activeCell="A4" sqref="A4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01" t="s">
        <v>315</v>
      </c>
      <c r="B1" s="202"/>
      <c r="C1" s="202"/>
      <c r="D1" s="202"/>
      <c r="E1" s="202"/>
      <c r="F1" s="202"/>
      <c r="G1" s="202"/>
      <c r="H1" s="202"/>
      <c r="I1" s="202"/>
      <c r="J1" s="202"/>
    </row>
    <row r="2" spans="1:10" ht="31.5" customHeight="1">
      <c r="A2" s="199" t="s">
        <v>4</v>
      </c>
      <c r="B2" s="199"/>
      <c r="C2" s="199"/>
      <c r="D2" s="199"/>
      <c r="E2" s="199"/>
      <c r="F2" s="200" t="s">
        <v>23</v>
      </c>
      <c r="G2" s="200"/>
      <c r="H2" s="200"/>
      <c r="I2" s="200"/>
      <c r="J2" s="200"/>
    </row>
    <row r="3" spans="1:10" ht="78" customHeight="1">
      <c r="A3" s="166" t="s">
        <v>0</v>
      </c>
      <c r="B3" s="166" t="s">
        <v>29</v>
      </c>
      <c r="C3" s="164" t="s">
        <v>1</v>
      </c>
      <c r="D3" s="164" t="s">
        <v>2</v>
      </c>
      <c r="E3" s="166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>
        <v>42745</v>
      </c>
      <c r="B5" s="1">
        <v>42746</v>
      </c>
      <c r="C5" s="24">
        <v>1283335409.8499999</v>
      </c>
      <c r="D5" s="24">
        <v>6308000</v>
      </c>
      <c r="E5" s="24">
        <v>166581807</v>
      </c>
      <c r="F5" s="1">
        <v>42745</v>
      </c>
      <c r="G5" s="1"/>
      <c r="H5" s="24"/>
      <c r="I5" s="24"/>
      <c r="J5" s="24"/>
    </row>
    <row r="6" spans="1:10">
      <c r="A6" s="175">
        <v>42748</v>
      </c>
      <c r="B6" s="1">
        <v>42749</v>
      </c>
      <c r="C6" s="24">
        <v>5153171.72</v>
      </c>
      <c r="D6" s="24"/>
      <c r="E6" s="24">
        <v>669913</v>
      </c>
      <c r="F6" s="1">
        <v>42748</v>
      </c>
      <c r="G6" s="1"/>
      <c r="H6" s="24"/>
      <c r="I6" s="24"/>
      <c r="J6" s="176"/>
    </row>
    <row r="7" spans="1:10">
      <c r="A7" s="175">
        <v>42755</v>
      </c>
      <c r="B7" s="1"/>
      <c r="C7" s="24"/>
      <c r="D7" s="24"/>
      <c r="E7" s="24"/>
      <c r="F7" s="1">
        <v>42755</v>
      </c>
      <c r="G7" s="1">
        <v>42643</v>
      </c>
      <c r="H7" s="24">
        <v>-82000</v>
      </c>
      <c r="I7" s="24"/>
      <c r="J7" s="176">
        <v>-10660</v>
      </c>
    </row>
    <row r="8" spans="1:10">
      <c r="A8" s="175">
        <v>42755</v>
      </c>
      <c r="B8" s="1"/>
      <c r="C8" s="24"/>
      <c r="D8" s="24"/>
      <c r="E8" s="24"/>
      <c r="F8" s="1">
        <v>42755</v>
      </c>
      <c r="G8" s="1">
        <v>42706</v>
      </c>
      <c r="H8" s="24">
        <v>-45000</v>
      </c>
      <c r="I8" s="24"/>
      <c r="J8" s="176">
        <v>-5850</v>
      </c>
    </row>
    <row r="9" spans="1:10">
      <c r="A9" s="175">
        <v>42755</v>
      </c>
      <c r="B9" s="1"/>
      <c r="C9" s="24"/>
      <c r="D9" s="24"/>
      <c r="E9" s="24"/>
      <c r="F9" s="1">
        <v>42755</v>
      </c>
      <c r="G9" s="1">
        <v>42720</v>
      </c>
      <c r="H9" s="24">
        <v>-53000</v>
      </c>
      <c r="I9" s="24"/>
      <c r="J9" s="176">
        <v>-6890</v>
      </c>
    </row>
    <row r="10" spans="1:10">
      <c r="A10" s="175">
        <v>42760</v>
      </c>
      <c r="B10" s="1">
        <v>42761</v>
      </c>
      <c r="C10" s="24">
        <v>12551085.619999999</v>
      </c>
      <c r="D10" s="24">
        <v>20400</v>
      </c>
      <c r="E10" s="24">
        <v>1630610</v>
      </c>
      <c r="F10" s="1">
        <v>42760</v>
      </c>
      <c r="G10" s="1"/>
      <c r="H10" s="24"/>
      <c r="I10" s="24"/>
      <c r="J10" s="176"/>
    </row>
    <row r="11" spans="1:10">
      <c r="A11" s="175">
        <v>42762</v>
      </c>
      <c r="B11" s="1">
        <v>42763</v>
      </c>
      <c r="C11" s="24">
        <v>4946399.78</v>
      </c>
      <c r="D11" s="24"/>
      <c r="E11" s="24">
        <v>671161</v>
      </c>
      <c r="F11" s="1">
        <v>42762</v>
      </c>
      <c r="G11" s="1">
        <v>42671</v>
      </c>
      <c r="H11" s="24">
        <v>-66000</v>
      </c>
      <c r="I11" s="24"/>
      <c r="J11" s="176">
        <v>-8580</v>
      </c>
    </row>
    <row r="12" spans="1:10">
      <c r="A12" s="175">
        <v>42762</v>
      </c>
      <c r="B12" s="1"/>
      <c r="C12" s="24"/>
      <c r="D12" s="24"/>
      <c r="E12" s="24"/>
      <c r="F12" s="1">
        <v>42762</v>
      </c>
      <c r="G12" s="1">
        <v>42716</v>
      </c>
      <c r="H12" s="24">
        <v>-62000</v>
      </c>
      <c r="I12" s="24"/>
      <c r="J12" s="176">
        <v>-8060</v>
      </c>
    </row>
    <row r="13" spans="1:10">
      <c r="A13" s="175">
        <v>42762</v>
      </c>
      <c r="B13" s="1"/>
      <c r="C13" s="24"/>
      <c r="D13" s="24"/>
      <c r="E13" s="24"/>
      <c r="F13" s="1">
        <v>42762</v>
      </c>
      <c r="G13" s="1">
        <v>42727</v>
      </c>
      <c r="H13" s="24">
        <v>-49500</v>
      </c>
      <c r="I13" s="24"/>
      <c r="J13" s="176">
        <v>-6435</v>
      </c>
    </row>
    <row r="14" spans="1:10">
      <c r="A14" s="175">
        <v>42766</v>
      </c>
      <c r="B14" s="1"/>
      <c r="C14" s="24"/>
      <c r="D14" s="24"/>
      <c r="E14" s="24"/>
      <c r="F14" s="1">
        <v>42766</v>
      </c>
      <c r="G14" s="1">
        <v>42745</v>
      </c>
      <c r="H14" s="24">
        <v>-26995.02</v>
      </c>
      <c r="I14" s="24">
        <v>-500</v>
      </c>
      <c r="J14" s="176">
        <v>-3444</v>
      </c>
    </row>
    <row r="15" spans="1:10">
      <c r="A15" s="175">
        <v>42769</v>
      </c>
      <c r="B15" s="1"/>
      <c r="C15" s="24"/>
      <c r="D15" s="24"/>
      <c r="E15" s="24"/>
      <c r="F15" s="1">
        <v>42769</v>
      </c>
      <c r="G15" s="1">
        <v>42731</v>
      </c>
      <c r="H15" s="24">
        <v>-210000</v>
      </c>
      <c r="I15" s="24"/>
      <c r="J15" s="176">
        <v>-27300</v>
      </c>
    </row>
    <row r="16" spans="1:10">
      <c r="A16" s="175">
        <v>42776</v>
      </c>
      <c r="B16" s="1">
        <v>42777</v>
      </c>
      <c r="C16" s="24">
        <v>1287654754.45</v>
      </c>
      <c r="D16" s="24">
        <v>6373800</v>
      </c>
      <c r="E16" s="24">
        <v>167054697</v>
      </c>
      <c r="F16" s="1">
        <v>42776</v>
      </c>
      <c r="G16" s="1">
        <v>42745</v>
      </c>
      <c r="H16" s="24">
        <v>0</v>
      </c>
      <c r="I16" s="24"/>
      <c r="J16" s="176">
        <v>-3504</v>
      </c>
    </row>
    <row r="17" spans="1:10">
      <c r="A17" s="175">
        <v>42779</v>
      </c>
      <c r="B17" s="1">
        <v>42780</v>
      </c>
      <c r="C17" s="24">
        <v>4825209.93</v>
      </c>
      <c r="D17" s="24"/>
      <c r="E17" s="24">
        <v>646568</v>
      </c>
      <c r="F17" s="1">
        <v>42779</v>
      </c>
      <c r="G17" s="1">
        <v>42657</v>
      </c>
      <c r="H17" s="24">
        <v>-10000</v>
      </c>
      <c r="I17" s="24"/>
      <c r="J17" s="176">
        <v>-1300</v>
      </c>
    </row>
    <row r="18" spans="1:10">
      <c r="A18" s="175">
        <v>42779</v>
      </c>
      <c r="B18" s="1"/>
      <c r="C18" s="24"/>
      <c r="D18" s="24"/>
      <c r="E18" s="24"/>
      <c r="F18" s="1">
        <v>42779</v>
      </c>
      <c r="G18" s="1">
        <v>42692</v>
      </c>
      <c r="H18" s="24">
        <v>-40000</v>
      </c>
      <c r="I18" s="24"/>
      <c r="J18" s="176">
        <v>-5200</v>
      </c>
    </row>
    <row r="19" spans="1:10">
      <c r="A19" s="175">
        <v>42779</v>
      </c>
      <c r="B19" s="1"/>
      <c r="C19" s="24"/>
      <c r="D19" s="24"/>
      <c r="E19" s="24"/>
      <c r="F19" s="1">
        <v>42779</v>
      </c>
      <c r="G19" s="1">
        <v>42702</v>
      </c>
      <c r="H19" s="24">
        <v>-104000</v>
      </c>
      <c r="I19" s="24"/>
      <c r="J19" s="176">
        <v>-13520</v>
      </c>
    </row>
    <row r="20" spans="1:10">
      <c r="A20" s="175">
        <v>42779</v>
      </c>
      <c r="B20" s="1"/>
      <c r="C20" s="24"/>
      <c r="D20" s="24"/>
      <c r="E20" s="24"/>
      <c r="F20" s="1">
        <v>42779</v>
      </c>
      <c r="G20" s="1">
        <v>42727</v>
      </c>
      <c r="H20" s="24">
        <v>-28500</v>
      </c>
      <c r="I20" s="24"/>
      <c r="J20" s="176">
        <v>-3705</v>
      </c>
    </row>
    <row r="21" spans="1:10">
      <c r="A21" s="175">
        <v>42793</v>
      </c>
      <c r="B21" s="1">
        <v>42794</v>
      </c>
      <c r="C21" s="24">
        <v>8154389.2400000002</v>
      </c>
      <c r="D21" s="24">
        <v>3900</v>
      </c>
      <c r="E21" s="24">
        <v>1064515</v>
      </c>
      <c r="F21" s="1">
        <v>42793</v>
      </c>
      <c r="G21" s="1"/>
      <c r="H21" s="24"/>
      <c r="I21" s="24"/>
      <c r="J21" s="176"/>
    </row>
    <row r="22" spans="1:10">
      <c r="A22" s="175">
        <v>42794</v>
      </c>
      <c r="B22" s="1">
        <v>42795</v>
      </c>
      <c r="C22" s="24">
        <v>6597302.0999999996</v>
      </c>
      <c r="D22" s="24"/>
      <c r="E22" s="24">
        <v>857649</v>
      </c>
      <c r="F22" s="1">
        <v>42794</v>
      </c>
      <c r="G22" s="1">
        <v>42745</v>
      </c>
      <c r="H22" s="24">
        <v>-15112.68</v>
      </c>
      <c r="I22" s="24">
        <v>-500</v>
      </c>
      <c r="J22" s="176">
        <v>-1899</v>
      </c>
    </row>
    <row r="23" spans="1:10">
      <c r="A23" s="175">
        <v>42794</v>
      </c>
      <c r="B23" s="1"/>
      <c r="C23" s="24"/>
      <c r="D23" s="24"/>
      <c r="E23" s="24"/>
      <c r="F23" s="1">
        <v>42794</v>
      </c>
      <c r="G23" s="1">
        <v>42776</v>
      </c>
      <c r="H23" s="24">
        <v>-8935.0499999999993</v>
      </c>
      <c r="I23" s="24"/>
      <c r="J23" s="176">
        <v>-1162</v>
      </c>
    </row>
    <row r="24" spans="1:10">
      <c r="A24" s="175">
        <v>42804</v>
      </c>
      <c r="B24" s="1">
        <v>42805</v>
      </c>
      <c r="C24" s="24">
        <v>1289499772.21</v>
      </c>
      <c r="D24" s="24">
        <v>7033900</v>
      </c>
      <c r="E24" s="24">
        <v>167213134</v>
      </c>
      <c r="F24" s="1">
        <v>42804</v>
      </c>
      <c r="G24" s="1"/>
      <c r="H24" s="24"/>
      <c r="I24" s="24"/>
      <c r="J24" s="176"/>
    </row>
    <row r="25" spans="1:10">
      <c r="A25" s="175">
        <v>42807</v>
      </c>
      <c r="B25" s="1">
        <v>42808</v>
      </c>
      <c r="C25" s="24">
        <v>6888208.5700000003</v>
      </c>
      <c r="D25" s="24"/>
      <c r="E25" s="24">
        <v>895467</v>
      </c>
      <c r="F25" s="1">
        <v>42807</v>
      </c>
      <c r="G25" s="1"/>
      <c r="H25" s="24"/>
      <c r="I25" s="24"/>
      <c r="J25" s="176"/>
    </row>
    <row r="26" spans="1:10">
      <c r="A26" s="175">
        <v>42811</v>
      </c>
      <c r="B26" s="1"/>
      <c r="C26" s="24"/>
      <c r="D26" s="24"/>
      <c r="E26" s="24"/>
      <c r="F26" s="1">
        <v>42811</v>
      </c>
      <c r="G26" s="1">
        <v>42587</v>
      </c>
      <c r="H26" s="24">
        <v>-50000</v>
      </c>
      <c r="I26" s="24"/>
      <c r="J26" s="176">
        <v>-6500</v>
      </c>
    </row>
    <row r="27" spans="1:10">
      <c r="A27" s="175">
        <v>42818</v>
      </c>
      <c r="B27" s="1">
        <v>42819</v>
      </c>
      <c r="C27" s="24">
        <v>12032292.210000001</v>
      </c>
      <c r="D27" s="24">
        <v>26300</v>
      </c>
      <c r="E27" s="24">
        <v>1562754</v>
      </c>
      <c r="F27" s="1">
        <v>42818</v>
      </c>
      <c r="G27" s="1"/>
      <c r="H27" s="24"/>
      <c r="I27" s="24"/>
      <c r="J27" s="176"/>
    </row>
    <row r="28" spans="1:10">
      <c r="A28" s="175">
        <v>42821</v>
      </c>
      <c r="B28" s="1">
        <v>42822</v>
      </c>
      <c r="C28" s="24">
        <v>5595558.9900000002</v>
      </c>
      <c r="D28" s="24"/>
      <c r="E28" s="24">
        <v>736304</v>
      </c>
      <c r="F28" s="1">
        <v>42821</v>
      </c>
      <c r="G28" s="1">
        <v>42650</v>
      </c>
      <c r="H28" s="24">
        <v>-35000</v>
      </c>
      <c r="I28" s="24"/>
      <c r="J28" s="176">
        <v>-4550</v>
      </c>
    </row>
    <row r="29" spans="1:10">
      <c r="A29" s="175">
        <v>42825</v>
      </c>
      <c r="B29" s="1"/>
      <c r="C29" s="24"/>
      <c r="D29" s="24"/>
      <c r="E29" s="24"/>
      <c r="F29" s="1">
        <v>42825</v>
      </c>
      <c r="G29" s="1">
        <v>42745</v>
      </c>
      <c r="H29" s="24">
        <v>-10090.99</v>
      </c>
      <c r="I29" s="24">
        <v>-500</v>
      </c>
      <c r="J29" s="176">
        <v>-1247</v>
      </c>
    </row>
    <row r="30" spans="1:10">
      <c r="A30" s="175">
        <v>42825</v>
      </c>
      <c r="B30" s="1"/>
      <c r="C30" s="24"/>
      <c r="D30" s="24"/>
      <c r="E30" s="24"/>
      <c r="F30" s="1">
        <v>42825</v>
      </c>
      <c r="G30" s="1">
        <v>42776</v>
      </c>
      <c r="H30" s="24">
        <v>-34138.81</v>
      </c>
      <c r="I30" s="24">
        <v>-1000</v>
      </c>
      <c r="J30" s="176">
        <v>-4304</v>
      </c>
    </row>
    <row r="31" spans="1:10">
      <c r="A31" s="175">
        <v>42825</v>
      </c>
      <c r="B31" s="1"/>
      <c r="C31" s="24"/>
      <c r="D31" s="24"/>
      <c r="E31" s="24"/>
      <c r="F31" s="1">
        <v>42825</v>
      </c>
      <c r="G31" s="1">
        <v>42804</v>
      </c>
      <c r="H31" s="24">
        <v>-3738.4</v>
      </c>
      <c r="I31" s="24"/>
      <c r="J31" s="176">
        <v>-486</v>
      </c>
    </row>
    <row r="32" spans="1:10">
      <c r="A32" s="175">
        <v>42832</v>
      </c>
      <c r="B32" s="1">
        <v>42833</v>
      </c>
      <c r="C32" s="24">
        <v>17238626.34</v>
      </c>
      <c r="D32" s="24"/>
      <c r="E32" s="24">
        <v>2283896</v>
      </c>
      <c r="F32" s="1">
        <v>42832</v>
      </c>
      <c r="G32" s="1">
        <v>42727</v>
      </c>
      <c r="H32" s="24">
        <v>-7000</v>
      </c>
      <c r="I32" s="24"/>
      <c r="J32" s="176">
        <v>-910</v>
      </c>
    </row>
    <row r="33" spans="1:10">
      <c r="A33" s="175">
        <v>42835</v>
      </c>
      <c r="B33" s="1">
        <v>42836</v>
      </c>
      <c r="C33" s="24">
        <v>1310411543.99</v>
      </c>
      <c r="D33" s="24">
        <v>7638700</v>
      </c>
      <c r="E33" s="24">
        <v>169874688</v>
      </c>
      <c r="F33" s="1">
        <v>42835</v>
      </c>
      <c r="G33" s="1"/>
      <c r="H33" s="24"/>
      <c r="I33" s="24"/>
      <c r="J33" s="176"/>
    </row>
    <row r="34" spans="1:10">
      <c r="A34" s="175">
        <v>42839</v>
      </c>
      <c r="B34" s="1">
        <v>42840</v>
      </c>
      <c r="C34" s="24">
        <v>1971442.36</v>
      </c>
      <c r="D34" s="24"/>
      <c r="E34" s="24">
        <v>256287</v>
      </c>
      <c r="F34" s="1">
        <v>42839</v>
      </c>
      <c r="G34" s="1">
        <v>42216</v>
      </c>
      <c r="H34" s="24">
        <v>-24000</v>
      </c>
      <c r="I34" s="24"/>
      <c r="J34" s="176">
        <v>-3120</v>
      </c>
    </row>
    <row r="35" spans="1:10">
      <c r="A35" s="175">
        <v>42839</v>
      </c>
      <c r="B35" s="1"/>
      <c r="C35" s="24"/>
      <c r="D35" s="24"/>
      <c r="E35" s="24"/>
      <c r="F35" s="1">
        <v>42839</v>
      </c>
      <c r="G35" s="1">
        <v>42702</v>
      </c>
      <c r="H35" s="24">
        <v>-20000</v>
      </c>
      <c r="I35" s="24"/>
      <c r="J35" s="176">
        <v>-2600</v>
      </c>
    </row>
    <row r="36" spans="1:10">
      <c r="A36" s="175">
        <v>42839</v>
      </c>
      <c r="B36" s="1"/>
      <c r="C36" s="24"/>
      <c r="D36" s="24"/>
      <c r="E36" s="24"/>
      <c r="F36" s="1">
        <v>42839</v>
      </c>
      <c r="G36" s="1">
        <v>42716</v>
      </c>
      <c r="H36" s="24">
        <v>-10000</v>
      </c>
      <c r="I36" s="24"/>
      <c r="J36" s="176">
        <v>-1300</v>
      </c>
    </row>
    <row r="37" spans="1:10">
      <c r="A37" s="175">
        <v>42839</v>
      </c>
      <c r="B37" s="1"/>
      <c r="C37" s="24"/>
      <c r="D37" s="24"/>
      <c r="E37" s="24"/>
      <c r="F37" s="1">
        <v>42839</v>
      </c>
      <c r="G37" s="1">
        <v>42832</v>
      </c>
      <c r="H37" s="24">
        <v>-164000</v>
      </c>
      <c r="I37" s="24"/>
      <c r="J37" s="176">
        <v>-21320</v>
      </c>
    </row>
    <row r="38" spans="1:10">
      <c r="A38" s="175">
        <v>42846</v>
      </c>
      <c r="B38" s="1">
        <v>42847</v>
      </c>
      <c r="C38" s="24">
        <v>6324114.5999999996</v>
      </c>
      <c r="D38" s="24"/>
      <c r="E38" s="24">
        <v>822138</v>
      </c>
      <c r="F38" s="1">
        <v>42846</v>
      </c>
      <c r="G38" s="1">
        <v>42832</v>
      </c>
      <c r="H38" s="24">
        <v>-109000</v>
      </c>
      <c r="I38" s="24"/>
      <c r="J38" s="176">
        <v>-14170</v>
      </c>
    </row>
    <row r="39" spans="1:10">
      <c r="A39" s="175">
        <v>42846</v>
      </c>
      <c r="B39" s="1"/>
      <c r="C39" s="24"/>
      <c r="D39" s="24"/>
      <c r="E39" s="24"/>
      <c r="F39" s="1">
        <v>42846</v>
      </c>
      <c r="G39" s="1">
        <v>42839</v>
      </c>
      <c r="H39" s="24">
        <v>-55500</v>
      </c>
      <c r="I39" s="24"/>
      <c r="J39" s="176">
        <v>-7215</v>
      </c>
    </row>
    <row r="40" spans="1:10">
      <c r="A40" s="175">
        <v>42850</v>
      </c>
      <c r="B40" s="1">
        <v>42851</v>
      </c>
      <c r="C40" s="24">
        <v>10239982.59</v>
      </c>
      <c r="D40" s="24">
        <v>15300</v>
      </c>
      <c r="E40" s="24">
        <v>1330199</v>
      </c>
      <c r="F40" s="1">
        <v>42850</v>
      </c>
      <c r="G40" s="1"/>
      <c r="H40" s="24"/>
      <c r="I40" s="24"/>
      <c r="J40" s="176"/>
    </row>
    <row r="41" spans="1:10">
      <c r="A41" s="175">
        <v>42853</v>
      </c>
      <c r="B41" s="1">
        <v>42854</v>
      </c>
      <c r="C41" s="24">
        <v>820776.25</v>
      </c>
      <c r="D41" s="24"/>
      <c r="E41" s="24">
        <v>106701</v>
      </c>
      <c r="F41" s="1">
        <v>42853</v>
      </c>
      <c r="G41" s="1">
        <v>42461</v>
      </c>
      <c r="H41" s="24">
        <v>-65000</v>
      </c>
      <c r="I41" s="24"/>
      <c r="J41" s="176">
        <v>-8450</v>
      </c>
    </row>
    <row r="42" spans="1:10">
      <c r="A42" s="175">
        <v>42855</v>
      </c>
      <c r="B42" s="1"/>
      <c r="C42" s="24">
        <v>0</v>
      </c>
      <c r="D42" s="24"/>
      <c r="E42" s="24">
        <v>0</v>
      </c>
      <c r="F42" s="1">
        <v>42855</v>
      </c>
      <c r="G42" s="1">
        <v>42745</v>
      </c>
      <c r="H42" s="24">
        <v>-11450.4</v>
      </c>
      <c r="I42" s="24"/>
      <c r="J42" s="176">
        <v>-1489</v>
      </c>
    </row>
    <row r="43" spans="1:10">
      <c r="A43" s="175">
        <v>42855</v>
      </c>
      <c r="B43" s="1"/>
      <c r="C43" s="24"/>
      <c r="D43" s="24"/>
      <c r="E43" s="24"/>
      <c r="F43" s="1">
        <v>42855</v>
      </c>
      <c r="G43" s="1">
        <v>42776</v>
      </c>
      <c r="H43" s="24">
        <v>-7016.89</v>
      </c>
      <c r="I43" s="24"/>
      <c r="J43" s="176">
        <v>-911</v>
      </c>
    </row>
    <row r="44" spans="1:10">
      <c r="A44" s="175">
        <v>42855</v>
      </c>
      <c r="B44" s="1"/>
      <c r="C44" s="24"/>
      <c r="D44" s="24"/>
      <c r="E44" s="24"/>
      <c r="F44" s="1">
        <v>42855</v>
      </c>
      <c r="G44" s="1">
        <v>42804</v>
      </c>
      <c r="H44" s="24">
        <v>-18717.7</v>
      </c>
      <c r="I44" s="24"/>
      <c r="J44" s="176">
        <v>-2433</v>
      </c>
    </row>
    <row r="45" spans="1:10">
      <c r="A45" s="175">
        <v>42855</v>
      </c>
      <c r="B45" s="1"/>
      <c r="C45" s="24"/>
      <c r="D45" s="24"/>
      <c r="E45" s="24"/>
      <c r="F45" s="1">
        <v>42855</v>
      </c>
      <c r="G45" s="1">
        <v>42835</v>
      </c>
      <c r="H45" s="24">
        <v>-12644.45</v>
      </c>
      <c r="I45" s="24"/>
      <c r="J45" s="176">
        <v>-1643</v>
      </c>
    </row>
    <row r="46" spans="1:10">
      <c r="A46" s="175">
        <v>42857</v>
      </c>
      <c r="B46" s="1">
        <v>42858</v>
      </c>
      <c r="C46" s="24">
        <v>27403809.07</v>
      </c>
      <c r="D46" s="24">
        <v>170600</v>
      </c>
      <c r="E46" s="24">
        <v>3546044</v>
      </c>
      <c r="F46" s="1">
        <v>42857</v>
      </c>
      <c r="G46" s="1"/>
      <c r="H46" s="24"/>
      <c r="I46" s="24"/>
      <c r="J46" s="176"/>
    </row>
    <row r="47" spans="1:10">
      <c r="A47" s="175">
        <v>42858</v>
      </c>
      <c r="B47" s="1">
        <v>42859</v>
      </c>
      <c r="C47" s="24">
        <v>325387797.25999999</v>
      </c>
      <c r="D47" s="24">
        <v>2346800</v>
      </c>
      <c r="E47" s="24">
        <v>42059172</v>
      </c>
      <c r="F47" s="1">
        <v>42858</v>
      </c>
      <c r="G47" s="1">
        <v>42735</v>
      </c>
      <c r="H47" s="24">
        <v>0</v>
      </c>
      <c r="I47" s="24">
        <v>0</v>
      </c>
      <c r="J47" s="176">
        <v>-2184</v>
      </c>
    </row>
    <row r="48" spans="1:10">
      <c r="A48" s="175">
        <v>42859</v>
      </c>
      <c r="B48" s="1">
        <v>42860</v>
      </c>
      <c r="C48" s="24">
        <v>952756992.61000001</v>
      </c>
      <c r="D48" s="24">
        <v>4381400</v>
      </c>
      <c r="E48" s="24">
        <v>123729554</v>
      </c>
      <c r="F48" s="1">
        <v>42859</v>
      </c>
      <c r="G48" s="1"/>
      <c r="H48" s="24"/>
      <c r="I48" s="24"/>
      <c r="J48" s="176"/>
    </row>
    <row r="49" spans="1:10">
      <c r="A49" s="175">
        <v>42865</v>
      </c>
      <c r="B49" s="1">
        <v>42866</v>
      </c>
      <c r="C49" s="24">
        <v>11206283.720000001</v>
      </c>
      <c r="D49" s="24"/>
      <c r="E49" s="24">
        <v>1469217</v>
      </c>
      <c r="F49" s="1">
        <v>42865</v>
      </c>
      <c r="G49" s="1"/>
      <c r="H49" s="24"/>
      <c r="I49" s="24"/>
      <c r="J49" s="176"/>
    </row>
    <row r="50" spans="1:10">
      <c r="A50" s="175">
        <v>42874</v>
      </c>
      <c r="B50" s="1">
        <v>42875</v>
      </c>
      <c r="C50" s="24">
        <v>6141243.1699999999</v>
      </c>
      <c r="D50" s="24"/>
      <c r="E50" s="24">
        <v>798364</v>
      </c>
      <c r="F50" s="1">
        <v>42874</v>
      </c>
      <c r="G50" s="1"/>
      <c r="H50" s="24"/>
      <c r="I50" s="24"/>
      <c r="J50" s="176"/>
    </row>
    <row r="51" spans="1:10">
      <c r="A51" s="175">
        <v>42880</v>
      </c>
      <c r="B51" s="1">
        <v>42881</v>
      </c>
      <c r="C51" s="24">
        <v>11707334.43</v>
      </c>
      <c r="D51" s="24">
        <v>1400</v>
      </c>
      <c r="E51" s="24">
        <v>1522917</v>
      </c>
      <c r="F51" s="1">
        <v>42880</v>
      </c>
      <c r="G51" s="1"/>
      <c r="H51" s="24"/>
      <c r="I51" s="24"/>
      <c r="J51" s="176"/>
    </row>
    <row r="52" spans="1:10">
      <c r="A52" s="175">
        <v>42881</v>
      </c>
      <c r="B52" s="1">
        <v>42882</v>
      </c>
      <c r="C52" s="24">
        <v>2352052.9300000002</v>
      </c>
      <c r="D52" s="24"/>
      <c r="E52" s="24">
        <v>305766</v>
      </c>
      <c r="F52" s="1">
        <v>42881</v>
      </c>
      <c r="G52" s="1">
        <v>42839</v>
      </c>
      <c r="H52" s="24">
        <v>-52500</v>
      </c>
      <c r="I52" s="24"/>
      <c r="J52" s="176">
        <v>-6825</v>
      </c>
    </row>
    <row r="53" spans="1:10">
      <c r="A53" s="175">
        <v>42881</v>
      </c>
      <c r="B53" s="1"/>
      <c r="C53" s="24"/>
      <c r="D53" s="24"/>
      <c r="E53" s="24"/>
      <c r="F53" s="1">
        <v>42881</v>
      </c>
      <c r="G53" s="1">
        <v>42865</v>
      </c>
      <c r="H53" s="24">
        <v>-40000</v>
      </c>
      <c r="I53" s="24"/>
      <c r="J53" s="176">
        <v>-5200</v>
      </c>
    </row>
    <row r="54" spans="1:10">
      <c r="A54" s="175">
        <v>42886</v>
      </c>
      <c r="B54" s="1"/>
      <c r="C54" s="24"/>
      <c r="D54" s="24"/>
      <c r="E54" s="24"/>
      <c r="F54" s="1">
        <v>42886</v>
      </c>
      <c r="G54" s="1">
        <v>42745</v>
      </c>
      <c r="H54" s="24">
        <v>-20227.080000000002</v>
      </c>
      <c r="I54" s="24"/>
      <c r="J54" s="176">
        <v>-2630</v>
      </c>
    </row>
    <row r="55" spans="1:10">
      <c r="A55" s="175">
        <v>42886</v>
      </c>
      <c r="B55" s="1"/>
      <c r="C55" s="24"/>
      <c r="D55" s="24"/>
      <c r="E55" s="24"/>
      <c r="F55" s="1">
        <v>42886</v>
      </c>
      <c r="G55" s="1">
        <v>42776</v>
      </c>
      <c r="H55" s="24">
        <v>-20227.080000000002</v>
      </c>
      <c r="I55" s="24"/>
      <c r="J55" s="176">
        <v>-2629</v>
      </c>
    </row>
    <row r="56" spans="1:10">
      <c r="A56" s="175">
        <v>42886</v>
      </c>
      <c r="B56" s="1"/>
      <c r="C56" s="24"/>
      <c r="D56" s="24"/>
      <c r="E56" s="24"/>
      <c r="F56" s="1">
        <v>42886</v>
      </c>
      <c r="G56" s="1">
        <v>42804</v>
      </c>
      <c r="H56" s="24">
        <v>-25661.29</v>
      </c>
      <c r="I56" s="24"/>
      <c r="J56" s="176">
        <v>-3336</v>
      </c>
    </row>
    <row r="57" spans="1:10">
      <c r="A57" s="175">
        <v>42886</v>
      </c>
      <c r="B57" s="1"/>
      <c r="C57" s="24"/>
      <c r="D57" s="24"/>
      <c r="E57" s="24"/>
      <c r="F57" s="1">
        <v>42886</v>
      </c>
      <c r="G57" s="1">
        <v>42835</v>
      </c>
      <c r="H57" s="24">
        <v>-53496.91</v>
      </c>
      <c r="I57" s="24">
        <v>-500</v>
      </c>
      <c r="J57" s="176">
        <v>-6889</v>
      </c>
    </row>
    <row r="58" spans="1:10">
      <c r="A58" s="175">
        <v>42886</v>
      </c>
      <c r="B58" s="1"/>
      <c r="C58" s="24"/>
      <c r="D58" s="24"/>
      <c r="E58" s="24"/>
      <c r="F58" s="1">
        <v>42886</v>
      </c>
      <c r="G58" s="1">
        <v>42858</v>
      </c>
      <c r="H58" s="24">
        <v>-5440.1</v>
      </c>
      <c r="I58" s="24"/>
      <c r="J58" s="176">
        <v>-707</v>
      </c>
    </row>
    <row r="59" spans="1:10">
      <c r="A59" s="175">
        <v>42886</v>
      </c>
      <c r="B59" s="1"/>
      <c r="C59" s="24"/>
      <c r="D59" s="24"/>
      <c r="E59" s="24"/>
      <c r="F59" s="1">
        <v>42886</v>
      </c>
      <c r="G59" s="1">
        <v>42859</v>
      </c>
      <c r="H59" s="24">
        <v>-14887.7</v>
      </c>
      <c r="I59" s="24"/>
      <c r="J59" s="176">
        <v>-1935</v>
      </c>
    </row>
    <row r="60" spans="1:10">
      <c r="A60" s="175">
        <v>42888</v>
      </c>
      <c r="B60" s="1">
        <v>42889</v>
      </c>
      <c r="C60" s="24">
        <v>6281071.54</v>
      </c>
      <c r="D60" s="24"/>
      <c r="E60" s="24">
        <v>820805</v>
      </c>
      <c r="F60" s="1">
        <v>42888</v>
      </c>
      <c r="G60" s="1">
        <v>42580</v>
      </c>
      <c r="H60" s="24">
        <v>-6000</v>
      </c>
      <c r="I60" s="24"/>
      <c r="J60" s="176">
        <v>-780</v>
      </c>
    </row>
    <row r="61" spans="1:10">
      <c r="A61" s="175">
        <v>42888</v>
      </c>
      <c r="B61" s="1"/>
      <c r="C61" s="24"/>
      <c r="D61" s="24"/>
      <c r="E61" s="24"/>
      <c r="F61" s="1">
        <v>42888</v>
      </c>
      <c r="G61" s="1">
        <v>42636</v>
      </c>
      <c r="H61" s="24">
        <v>-259000</v>
      </c>
      <c r="I61" s="24"/>
      <c r="J61" s="176">
        <v>-33670</v>
      </c>
    </row>
    <row r="62" spans="1:10">
      <c r="A62" s="175">
        <v>42895</v>
      </c>
      <c r="B62" s="1">
        <v>42896</v>
      </c>
      <c r="C62" s="24">
        <v>1331407821.3199999</v>
      </c>
      <c r="D62" s="24">
        <v>7034700</v>
      </c>
      <c r="E62" s="24">
        <v>172680366</v>
      </c>
      <c r="F62" s="1">
        <v>42895</v>
      </c>
      <c r="G62" s="1"/>
      <c r="H62" s="24"/>
      <c r="I62" s="24"/>
      <c r="J62" s="176"/>
    </row>
    <row r="63" spans="1:10">
      <c r="A63" s="175">
        <v>42899</v>
      </c>
      <c r="B63" s="1">
        <v>42900</v>
      </c>
      <c r="C63" s="24">
        <v>3650589.45</v>
      </c>
      <c r="D63" s="24"/>
      <c r="E63" s="24">
        <v>474576</v>
      </c>
      <c r="F63" s="1">
        <v>42899</v>
      </c>
      <c r="G63" s="1">
        <v>42636</v>
      </c>
      <c r="H63" s="24">
        <v>-445000</v>
      </c>
      <c r="I63" s="24"/>
      <c r="J63" s="176">
        <v>-57850</v>
      </c>
    </row>
    <row r="64" spans="1:10">
      <c r="A64" s="175">
        <v>42902</v>
      </c>
      <c r="B64" s="1">
        <v>42903</v>
      </c>
      <c r="C64" s="24">
        <v>32595233.170000002</v>
      </c>
      <c r="D64" s="24"/>
      <c r="E64" s="24">
        <v>4237379</v>
      </c>
      <c r="F64" s="1">
        <v>42902</v>
      </c>
      <c r="G64" s="1">
        <v>42517</v>
      </c>
      <c r="H64" s="24">
        <v>-53500</v>
      </c>
      <c r="I64" s="24"/>
      <c r="J64" s="176">
        <v>-6955</v>
      </c>
    </row>
    <row r="65" spans="1:10">
      <c r="A65" s="175">
        <v>42907</v>
      </c>
      <c r="B65" s="1">
        <v>42908</v>
      </c>
      <c r="C65" s="24">
        <v>2342966.84</v>
      </c>
      <c r="D65" s="24"/>
      <c r="E65" s="24">
        <v>304584</v>
      </c>
      <c r="F65" s="1">
        <v>42907</v>
      </c>
      <c r="G65" s="1">
        <v>42706</v>
      </c>
      <c r="H65" s="24">
        <v>-4000</v>
      </c>
      <c r="I65" s="24"/>
      <c r="J65" s="176">
        <v>-520</v>
      </c>
    </row>
    <row r="66" spans="1:10">
      <c r="A66" s="175">
        <v>42907</v>
      </c>
      <c r="B66" s="1"/>
      <c r="C66" s="24"/>
      <c r="D66" s="24"/>
      <c r="E66" s="24"/>
      <c r="F66" s="1">
        <v>42907</v>
      </c>
      <c r="G66" s="1">
        <v>42853</v>
      </c>
      <c r="H66" s="24">
        <v>-12000</v>
      </c>
      <c r="I66" s="24"/>
      <c r="J66" s="176">
        <v>-1560</v>
      </c>
    </row>
    <row r="67" spans="1:10">
      <c r="A67" s="175">
        <v>42912</v>
      </c>
      <c r="B67" s="1">
        <v>42913</v>
      </c>
      <c r="C67" s="24">
        <v>15134289.43</v>
      </c>
      <c r="D67" s="24">
        <v>3000</v>
      </c>
      <c r="E67" s="24">
        <v>1967099</v>
      </c>
      <c r="F67" s="1">
        <v>42912</v>
      </c>
      <c r="G67" s="1"/>
      <c r="H67" s="24"/>
      <c r="I67" s="24"/>
      <c r="J67" s="176"/>
    </row>
    <row r="68" spans="1:10">
      <c r="A68" s="175">
        <v>42916</v>
      </c>
      <c r="B68" s="1">
        <v>42917</v>
      </c>
      <c r="C68" s="24">
        <v>5108827.5199999996</v>
      </c>
      <c r="D68" s="24"/>
      <c r="E68" s="24">
        <v>679266</v>
      </c>
      <c r="F68" s="1">
        <v>42916</v>
      </c>
      <c r="G68" s="1">
        <v>42745</v>
      </c>
      <c r="H68" s="24">
        <v>-15226.8</v>
      </c>
      <c r="I68" s="24"/>
      <c r="J68" s="176">
        <v>-1980</v>
      </c>
    </row>
    <row r="69" spans="1:10">
      <c r="A69" s="175">
        <v>42916</v>
      </c>
      <c r="B69" s="1"/>
      <c r="C69" s="24"/>
      <c r="D69" s="24"/>
      <c r="E69" s="24"/>
      <c r="F69" s="1">
        <v>42916</v>
      </c>
      <c r="G69" s="1">
        <v>42776</v>
      </c>
      <c r="H69" s="24">
        <v>-5931.8</v>
      </c>
      <c r="I69" s="24"/>
      <c r="J69" s="176">
        <v>-771</v>
      </c>
    </row>
    <row r="70" spans="1:10">
      <c r="A70" s="175">
        <v>42916</v>
      </c>
      <c r="B70" s="1"/>
      <c r="C70" s="24"/>
      <c r="D70" s="24"/>
      <c r="E70" s="24"/>
      <c r="F70" s="1">
        <v>42916</v>
      </c>
      <c r="G70" s="1">
        <v>42804</v>
      </c>
      <c r="H70" s="24">
        <v>-12510.42</v>
      </c>
      <c r="I70" s="24"/>
      <c r="J70" s="176">
        <v>-1627</v>
      </c>
    </row>
    <row r="71" spans="1:10">
      <c r="A71" s="175">
        <v>42916</v>
      </c>
      <c r="B71" s="1"/>
      <c r="C71" s="24"/>
      <c r="D71" s="24"/>
      <c r="E71" s="24"/>
      <c r="F71" s="1">
        <v>42916</v>
      </c>
      <c r="G71" s="1">
        <v>42835</v>
      </c>
      <c r="H71" s="24">
        <v>-25224.799999999999</v>
      </c>
      <c r="I71" s="24">
        <v>-500</v>
      </c>
      <c r="J71" s="176">
        <v>-3216</v>
      </c>
    </row>
    <row r="72" spans="1:10">
      <c r="A72" s="175">
        <v>42916</v>
      </c>
      <c r="B72" s="1"/>
      <c r="C72" s="24"/>
      <c r="D72" s="24"/>
      <c r="E72" s="24"/>
      <c r="F72" s="1">
        <v>42916</v>
      </c>
      <c r="G72" s="1">
        <v>42839</v>
      </c>
      <c r="H72" s="24">
        <v>-252000</v>
      </c>
      <c r="I72" s="24"/>
      <c r="J72" s="176">
        <v>-32760</v>
      </c>
    </row>
    <row r="73" spans="1:10">
      <c r="A73" s="175">
        <v>42916</v>
      </c>
      <c r="B73" s="1"/>
      <c r="C73" s="24"/>
      <c r="D73" s="24"/>
      <c r="E73" s="24"/>
      <c r="F73" s="1">
        <v>42916</v>
      </c>
      <c r="G73" s="1">
        <v>42858</v>
      </c>
      <c r="H73" s="24">
        <v>-9381</v>
      </c>
      <c r="I73" s="24"/>
      <c r="J73" s="176">
        <v>-1220</v>
      </c>
    </row>
    <row r="74" spans="1:10">
      <c r="A74" s="175">
        <v>42916</v>
      </c>
      <c r="B74" s="1"/>
      <c r="C74" s="24"/>
      <c r="D74" s="24"/>
      <c r="E74" s="24"/>
      <c r="F74" s="1">
        <v>42916</v>
      </c>
      <c r="G74" s="1">
        <v>42859</v>
      </c>
      <c r="H74" s="24">
        <v>-14359.21</v>
      </c>
      <c r="I74" s="24">
        <v>-500</v>
      </c>
      <c r="J74" s="176">
        <v>-1802</v>
      </c>
    </row>
    <row r="75" spans="1:10">
      <c r="A75" s="175">
        <v>42916</v>
      </c>
      <c r="B75" s="1"/>
      <c r="C75" s="24"/>
      <c r="D75" s="24"/>
      <c r="E75" s="24"/>
      <c r="F75" s="1">
        <v>42916</v>
      </c>
      <c r="G75" s="1">
        <v>42895</v>
      </c>
      <c r="H75" s="24">
        <v>-8631.41</v>
      </c>
      <c r="I75" s="24">
        <v>-500</v>
      </c>
      <c r="J75" s="176">
        <v>-1057</v>
      </c>
    </row>
    <row r="76" spans="1:10">
      <c r="A76" s="175">
        <v>42916</v>
      </c>
      <c r="B76" s="1"/>
      <c r="C76" s="24"/>
      <c r="D76" s="24"/>
      <c r="E76" s="24"/>
      <c r="F76" s="1">
        <v>42916</v>
      </c>
      <c r="G76" s="1">
        <v>42907</v>
      </c>
      <c r="H76" s="24">
        <v>-22000</v>
      </c>
      <c r="I76" s="24"/>
      <c r="J76" s="176">
        <v>-2860</v>
      </c>
    </row>
    <row r="77" spans="1:10">
      <c r="A77" s="175">
        <v>42923</v>
      </c>
      <c r="B77" s="1">
        <v>42924</v>
      </c>
      <c r="C77" s="24">
        <v>2752796.08</v>
      </c>
      <c r="D77" s="24"/>
      <c r="E77" s="24">
        <v>357866</v>
      </c>
      <c r="F77" s="1">
        <v>42923</v>
      </c>
      <c r="G77" s="1">
        <v>42832</v>
      </c>
      <c r="H77" s="24">
        <v>-47500</v>
      </c>
      <c r="I77" s="24"/>
      <c r="J77" s="176">
        <v>-6175</v>
      </c>
    </row>
    <row r="78" spans="1:10">
      <c r="A78" s="175">
        <v>42923</v>
      </c>
      <c r="B78" s="1"/>
      <c r="C78" s="24"/>
      <c r="D78" s="24"/>
      <c r="E78" s="24"/>
      <c r="F78" s="1">
        <v>42923</v>
      </c>
      <c r="G78" s="1">
        <v>42853</v>
      </c>
      <c r="H78" s="24">
        <v>-61000</v>
      </c>
      <c r="I78" s="24"/>
      <c r="J78" s="176">
        <v>-7930</v>
      </c>
    </row>
    <row r="79" spans="1:10">
      <c r="A79" s="175">
        <v>42923</v>
      </c>
      <c r="B79" s="1"/>
      <c r="C79" s="24"/>
      <c r="D79" s="24"/>
      <c r="E79" s="24"/>
      <c r="F79" s="1">
        <v>42923</v>
      </c>
      <c r="G79" s="1">
        <v>42865</v>
      </c>
      <c r="H79" s="24">
        <v>-190000</v>
      </c>
      <c r="I79" s="24"/>
      <c r="J79" s="176">
        <v>-24700</v>
      </c>
    </row>
    <row r="80" spans="1:10">
      <c r="A80" s="175">
        <v>42926</v>
      </c>
      <c r="B80" s="1">
        <v>42927</v>
      </c>
      <c r="C80" s="24">
        <v>1021865761.8</v>
      </c>
      <c r="D80" s="24">
        <v>4435400</v>
      </c>
      <c r="E80" s="24">
        <v>132715833</v>
      </c>
      <c r="F80" s="1">
        <v>42926</v>
      </c>
      <c r="G80" s="1"/>
      <c r="H80" s="24"/>
      <c r="I80" s="24"/>
      <c r="J80" s="176"/>
    </row>
    <row r="81" spans="1:10">
      <c r="A81" s="175">
        <v>42927</v>
      </c>
      <c r="B81" s="1">
        <v>42928</v>
      </c>
      <c r="C81" s="24">
        <v>330538392.24000001</v>
      </c>
      <c r="D81" s="24">
        <v>2301100</v>
      </c>
      <c r="E81" s="24">
        <v>42736251</v>
      </c>
      <c r="F81" s="1">
        <v>42927</v>
      </c>
      <c r="G81" s="1"/>
      <c r="H81" s="24"/>
      <c r="I81" s="24"/>
      <c r="J81" s="176"/>
    </row>
    <row r="82" spans="1:10">
      <c r="A82" s="175">
        <v>42928</v>
      </c>
      <c r="B82" s="1">
        <v>42929</v>
      </c>
      <c r="C82" s="24">
        <v>2668642.09</v>
      </c>
      <c r="D82" s="24"/>
      <c r="E82" s="24">
        <v>346922</v>
      </c>
      <c r="F82" s="1">
        <v>42928</v>
      </c>
      <c r="G82" s="1"/>
      <c r="H82" s="24"/>
      <c r="I82" s="24"/>
      <c r="J82" s="176"/>
    </row>
    <row r="83" spans="1:10">
      <c r="A83" s="175">
        <v>42930</v>
      </c>
      <c r="B83" s="1">
        <v>42931</v>
      </c>
      <c r="C83" s="24">
        <v>11719916.380000001</v>
      </c>
      <c r="D83" s="24"/>
      <c r="E83" s="24">
        <v>1537617</v>
      </c>
      <c r="F83" s="1">
        <v>42930</v>
      </c>
      <c r="G83" s="1">
        <v>42832</v>
      </c>
      <c r="H83" s="24">
        <v>-185000</v>
      </c>
      <c r="I83" s="24"/>
      <c r="J83" s="176">
        <v>-24050</v>
      </c>
    </row>
    <row r="84" spans="1:10">
      <c r="A84" s="175">
        <v>42930</v>
      </c>
      <c r="B84" s="1"/>
      <c r="C84" s="24"/>
      <c r="D84" s="24"/>
      <c r="E84" s="24"/>
      <c r="F84" s="1">
        <v>42930</v>
      </c>
      <c r="G84" s="1">
        <v>42865</v>
      </c>
      <c r="H84" s="24">
        <v>-12000</v>
      </c>
      <c r="I84" s="24"/>
      <c r="J84" s="176">
        <v>-1560</v>
      </c>
    </row>
    <row r="85" spans="1:10">
      <c r="A85" s="175">
        <v>42930</v>
      </c>
      <c r="B85" s="1"/>
      <c r="C85" s="24"/>
      <c r="D85" s="24"/>
      <c r="E85" s="24"/>
      <c r="F85" s="1">
        <v>42930</v>
      </c>
      <c r="G85" s="1">
        <v>42916</v>
      </c>
      <c r="H85" s="24">
        <v>-57600</v>
      </c>
      <c r="I85" s="24"/>
      <c r="J85" s="176">
        <v>-7488</v>
      </c>
    </row>
    <row r="86" spans="1:10">
      <c r="A86" s="175">
        <v>42937</v>
      </c>
      <c r="B86" s="1">
        <v>42938</v>
      </c>
      <c r="C86" s="24">
        <v>8031549.0300000003</v>
      </c>
      <c r="D86" s="24"/>
      <c r="E86" s="24">
        <v>1044105</v>
      </c>
      <c r="F86" s="1">
        <v>42937</v>
      </c>
      <c r="G86" s="1">
        <v>42874</v>
      </c>
      <c r="H86" s="24">
        <v>-41000</v>
      </c>
      <c r="I86" s="24"/>
      <c r="J86" s="176">
        <v>-5330</v>
      </c>
    </row>
    <row r="87" spans="1:10">
      <c r="A87" s="175">
        <v>42937</v>
      </c>
      <c r="B87" s="1"/>
      <c r="C87" s="24"/>
      <c r="D87" s="24"/>
      <c r="E87" s="24"/>
      <c r="F87" s="1">
        <v>42937</v>
      </c>
      <c r="G87" s="1">
        <v>42916</v>
      </c>
      <c r="H87" s="24">
        <v>-85500</v>
      </c>
      <c r="I87" s="24"/>
      <c r="J87" s="176">
        <v>-11115</v>
      </c>
    </row>
    <row r="88" spans="1:10">
      <c r="A88" s="175">
        <v>42937</v>
      </c>
      <c r="B88" s="1"/>
      <c r="C88" s="24"/>
      <c r="D88" s="24"/>
      <c r="E88" s="24"/>
      <c r="F88" s="1">
        <v>42937</v>
      </c>
      <c r="G88" s="1">
        <v>42923</v>
      </c>
      <c r="H88" s="24">
        <v>-94000</v>
      </c>
      <c r="I88" s="24"/>
      <c r="J88" s="176">
        <v>-12220</v>
      </c>
    </row>
    <row r="89" spans="1:10">
      <c r="A89" s="175">
        <v>42937</v>
      </c>
      <c r="B89" s="1"/>
      <c r="C89" s="24"/>
      <c r="D89" s="24"/>
      <c r="E89" s="24"/>
      <c r="F89" s="1">
        <v>42937</v>
      </c>
      <c r="G89" s="1">
        <v>42930</v>
      </c>
      <c r="H89" s="24">
        <v>-151000</v>
      </c>
      <c r="I89" s="24"/>
      <c r="J89" s="176">
        <v>-19630</v>
      </c>
    </row>
    <row r="90" spans="1:10">
      <c r="A90" s="175">
        <v>42941</v>
      </c>
      <c r="B90" s="1">
        <v>42942</v>
      </c>
      <c r="C90" s="24">
        <v>12291661.35</v>
      </c>
      <c r="D90" s="24">
        <v>5400</v>
      </c>
      <c r="E90" s="24">
        <v>1597225</v>
      </c>
      <c r="F90" s="1">
        <v>42941</v>
      </c>
      <c r="G90" s="1"/>
      <c r="H90" s="24"/>
      <c r="I90" s="24"/>
      <c r="J90" s="176"/>
    </row>
    <row r="91" spans="1:10">
      <c r="A91" s="175">
        <v>42947</v>
      </c>
      <c r="B91" s="1"/>
      <c r="C91" s="24">
        <v>0</v>
      </c>
      <c r="D91" s="24"/>
      <c r="E91" s="24">
        <v>0</v>
      </c>
      <c r="F91" s="1">
        <v>42947</v>
      </c>
      <c r="G91" s="1">
        <v>42745</v>
      </c>
      <c r="H91" s="24">
        <v>-10720.5</v>
      </c>
      <c r="I91" s="24"/>
      <c r="J91" s="176">
        <v>-1393</v>
      </c>
    </row>
    <row r="92" spans="1:10">
      <c r="A92" s="175">
        <v>42947</v>
      </c>
      <c r="B92" s="1"/>
      <c r="C92" s="24"/>
      <c r="D92" s="24"/>
      <c r="E92" s="24"/>
      <c r="F92" s="1">
        <v>42947</v>
      </c>
      <c r="G92" s="1">
        <v>42776</v>
      </c>
      <c r="H92" s="24">
        <v>-1784.7</v>
      </c>
      <c r="I92" s="24"/>
      <c r="J92" s="176">
        <v>-232</v>
      </c>
    </row>
    <row r="93" spans="1:10">
      <c r="A93" s="175">
        <v>42947</v>
      </c>
      <c r="B93" s="1"/>
      <c r="C93" s="24"/>
      <c r="D93" s="24"/>
      <c r="E93" s="24"/>
      <c r="F93" s="1">
        <v>42947</v>
      </c>
      <c r="G93" s="1">
        <v>42804</v>
      </c>
      <c r="H93" s="24">
        <v>-12285</v>
      </c>
      <c r="I93" s="24"/>
      <c r="J93" s="176">
        <v>-1597</v>
      </c>
    </row>
    <row r="94" spans="1:10">
      <c r="A94" s="175">
        <v>42947</v>
      </c>
      <c r="B94" s="1"/>
      <c r="C94" s="24"/>
      <c r="D94" s="24"/>
      <c r="E94" s="24"/>
      <c r="F94" s="1">
        <v>42947</v>
      </c>
      <c r="G94" s="1">
        <v>42835</v>
      </c>
      <c r="H94" s="24">
        <v>-9291.4</v>
      </c>
      <c r="I94" s="24"/>
      <c r="J94" s="176">
        <v>-1208</v>
      </c>
    </row>
    <row r="95" spans="1:10">
      <c r="A95" s="175">
        <v>42947</v>
      </c>
      <c r="B95" s="1"/>
      <c r="C95" s="24"/>
      <c r="D95" s="24"/>
      <c r="E95" s="24"/>
      <c r="F95" s="1">
        <v>42947</v>
      </c>
      <c r="G95" s="1">
        <v>42858</v>
      </c>
      <c r="H95" s="24">
        <v>-949.5</v>
      </c>
      <c r="I95" s="24"/>
      <c r="J95" s="176">
        <v>-123</v>
      </c>
    </row>
    <row r="96" spans="1:10">
      <c r="A96" s="175">
        <v>42947</v>
      </c>
      <c r="B96" s="1"/>
      <c r="C96" s="24"/>
      <c r="D96" s="24"/>
      <c r="E96" s="24"/>
      <c r="F96" s="1">
        <v>42947</v>
      </c>
      <c r="G96" s="1">
        <v>42895</v>
      </c>
      <c r="H96" s="24">
        <v>-10948.61</v>
      </c>
      <c r="I96" s="24">
        <v>-500</v>
      </c>
      <c r="J96" s="176">
        <v>-1357</v>
      </c>
    </row>
    <row r="97" spans="1:10">
      <c r="A97" s="175">
        <v>42947</v>
      </c>
      <c r="B97" s="1"/>
      <c r="C97" s="24"/>
      <c r="D97" s="24"/>
      <c r="E97" s="24"/>
      <c r="F97" s="1">
        <v>42947</v>
      </c>
      <c r="G97" s="1">
        <v>42926</v>
      </c>
      <c r="H97" s="24">
        <v>-10236</v>
      </c>
      <c r="I97" s="24"/>
      <c r="J97" s="176">
        <v>-1331</v>
      </c>
    </row>
    <row r="98" spans="1:10">
      <c r="A98" s="175">
        <v>42947</v>
      </c>
      <c r="B98" s="1"/>
      <c r="C98" s="24"/>
      <c r="D98" s="24"/>
      <c r="E98" s="24"/>
      <c r="F98" s="1">
        <v>42947</v>
      </c>
      <c r="G98" s="1">
        <v>42927</v>
      </c>
      <c r="H98" s="24">
        <v>-9346.74</v>
      </c>
      <c r="I98" s="24"/>
      <c r="J98" s="176">
        <v>-1216</v>
      </c>
    </row>
    <row r="99" spans="1:10">
      <c r="A99" s="175">
        <v>42957</v>
      </c>
      <c r="B99" s="1">
        <v>42958</v>
      </c>
      <c r="C99" s="24">
        <v>1352784121.5899999</v>
      </c>
      <c r="D99" s="24">
        <v>6876700</v>
      </c>
      <c r="E99" s="24">
        <v>175475647</v>
      </c>
      <c r="F99" s="1">
        <v>42957</v>
      </c>
      <c r="G99" s="1">
        <v>42004</v>
      </c>
      <c r="H99" s="24">
        <v>0</v>
      </c>
      <c r="I99" s="24">
        <v>0</v>
      </c>
      <c r="J99" s="176">
        <v>-9048</v>
      </c>
    </row>
    <row r="100" spans="1:10">
      <c r="A100" s="175">
        <v>42957</v>
      </c>
      <c r="B100" s="1"/>
      <c r="C100" s="24"/>
      <c r="D100" s="24"/>
      <c r="E100" s="24"/>
      <c r="F100" s="1">
        <v>42957</v>
      </c>
      <c r="G100" s="1">
        <v>42369</v>
      </c>
      <c r="H100" s="24">
        <v>0</v>
      </c>
      <c r="I100" s="24">
        <v>0</v>
      </c>
      <c r="J100" s="176">
        <v>-9048</v>
      </c>
    </row>
    <row r="101" spans="1:10">
      <c r="A101" s="175">
        <v>42957</v>
      </c>
      <c r="B101" s="1"/>
      <c r="C101" s="24"/>
      <c r="D101" s="24"/>
      <c r="E101" s="24"/>
      <c r="F101" s="1">
        <v>42957</v>
      </c>
      <c r="G101" s="1">
        <v>42735</v>
      </c>
      <c r="H101" s="24">
        <v>0</v>
      </c>
      <c r="I101" s="24">
        <v>0</v>
      </c>
      <c r="J101" s="176">
        <v>-11544</v>
      </c>
    </row>
    <row r="102" spans="1:10">
      <c r="A102" s="175">
        <v>42958</v>
      </c>
      <c r="B102" s="1">
        <v>42959</v>
      </c>
      <c r="C102" s="24">
        <v>6332677.25</v>
      </c>
      <c r="D102" s="24"/>
      <c r="E102" s="24">
        <v>823248</v>
      </c>
      <c r="F102" s="1">
        <v>42958</v>
      </c>
      <c r="G102" s="1">
        <v>42874</v>
      </c>
      <c r="H102" s="24">
        <v>-99000</v>
      </c>
      <c r="I102" s="24"/>
      <c r="J102" s="176">
        <v>-12870</v>
      </c>
    </row>
    <row r="103" spans="1:10">
      <c r="A103" s="175">
        <v>42958</v>
      </c>
      <c r="B103" s="1"/>
      <c r="C103" s="24"/>
      <c r="D103" s="24"/>
      <c r="E103" s="24"/>
      <c r="F103" s="1">
        <v>42958</v>
      </c>
      <c r="G103" s="1">
        <v>42902</v>
      </c>
      <c r="H103" s="24">
        <v>-52000</v>
      </c>
      <c r="I103" s="24"/>
      <c r="J103" s="176">
        <v>-6760</v>
      </c>
    </row>
    <row r="104" spans="1:10">
      <c r="A104" s="175">
        <v>42958</v>
      </c>
      <c r="B104" s="1"/>
      <c r="C104" s="24"/>
      <c r="D104" s="24"/>
      <c r="E104" s="24"/>
      <c r="F104" s="1">
        <v>42958</v>
      </c>
      <c r="G104" s="1">
        <v>42907</v>
      </c>
      <c r="H104" s="24">
        <v>-207000</v>
      </c>
      <c r="I104" s="24"/>
      <c r="J104" s="176">
        <v>-26910</v>
      </c>
    </row>
    <row r="105" spans="1:10">
      <c r="A105" s="175">
        <v>42958</v>
      </c>
      <c r="B105" s="1"/>
      <c r="C105" s="24"/>
      <c r="D105" s="24"/>
      <c r="E105" s="24"/>
      <c r="F105" s="1">
        <v>42958</v>
      </c>
      <c r="G105" s="1">
        <v>42930</v>
      </c>
      <c r="H105" s="24">
        <v>-177500</v>
      </c>
      <c r="I105" s="24"/>
      <c r="J105" s="176">
        <v>-23075</v>
      </c>
    </row>
    <row r="106" spans="1:10">
      <c r="A106" s="175">
        <v>42958</v>
      </c>
      <c r="B106" s="1"/>
      <c r="C106" s="24"/>
      <c r="D106" s="24"/>
      <c r="E106" s="24"/>
      <c r="F106" s="1">
        <v>42958</v>
      </c>
      <c r="G106" s="1">
        <v>42937</v>
      </c>
      <c r="H106" s="24">
        <v>-428500</v>
      </c>
      <c r="I106" s="24"/>
      <c r="J106" s="176">
        <v>-55705</v>
      </c>
    </row>
    <row r="107" spans="1:10">
      <c r="A107" s="175">
        <v>42965</v>
      </c>
      <c r="B107" s="1">
        <v>42966</v>
      </c>
      <c r="C107" s="24">
        <v>3896030.71</v>
      </c>
      <c r="D107" s="24"/>
      <c r="E107" s="24">
        <v>506483</v>
      </c>
      <c r="F107" s="1">
        <v>42965</v>
      </c>
      <c r="G107" s="1">
        <v>42916</v>
      </c>
      <c r="H107" s="24">
        <v>-49000</v>
      </c>
      <c r="I107" s="24"/>
      <c r="J107" s="176">
        <v>-6370</v>
      </c>
    </row>
    <row r="108" spans="1:10">
      <c r="A108" s="175">
        <v>42965</v>
      </c>
      <c r="B108" s="1"/>
      <c r="C108" s="24"/>
      <c r="D108" s="24"/>
      <c r="E108" s="24"/>
      <c r="F108" s="1">
        <v>42965</v>
      </c>
      <c r="G108" s="1">
        <v>42958</v>
      </c>
      <c r="H108" s="24">
        <v>-36500</v>
      </c>
      <c r="I108" s="24"/>
      <c r="J108" s="176">
        <v>-4745</v>
      </c>
    </row>
    <row r="109" spans="1:10">
      <c r="A109" s="175">
        <v>42972</v>
      </c>
      <c r="B109" s="1">
        <v>42973</v>
      </c>
      <c r="C109" s="24">
        <v>6485514.6799999997</v>
      </c>
      <c r="D109" s="24">
        <v>40200</v>
      </c>
      <c r="E109" s="24">
        <v>840945</v>
      </c>
      <c r="F109" s="1">
        <v>42972</v>
      </c>
      <c r="G109" s="1"/>
      <c r="H109" s="24"/>
      <c r="I109" s="24"/>
      <c r="J109" s="176"/>
    </row>
    <row r="110" spans="1:10">
      <c r="A110" s="175">
        <v>42975</v>
      </c>
      <c r="B110" s="1">
        <v>42976</v>
      </c>
      <c r="C110" s="24">
        <v>16973830.789999999</v>
      </c>
      <c r="D110" s="24"/>
      <c r="E110" s="24">
        <v>2206601</v>
      </c>
      <c r="F110" s="1">
        <v>42975</v>
      </c>
      <c r="G110" s="1">
        <v>42930</v>
      </c>
      <c r="H110" s="24">
        <v>-188000</v>
      </c>
      <c r="I110" s="24"/>
      <c r="J110" s="176">
        <v>-24440</v>
      </c>
    </row>
    <row r="111" spans="1:10">
      <c r="A111" s="175">
        <v>42975</v>
      </c>
      <c r="B111" s="1"/>
      <c r="C111" s="24"/>
      <c r="D111" s="24"/>
      <c r="E111" s="24"/>
      <c r="F111" s="1">
        <v>42975</v>
      </c>
      <c r="G111" s="1">
        <v>42937</v>
      </c>
      <c r="H111" s="24">
        <v>-73500</v>
      </c>
      <c r="I111" s="24"/>
      <c r="J111" s="176">
        <v>-9555</v>
      </c>
    </row>
    <row r="112" spans="1:10">
      <c r="A112" s="175">
        <v>42978</v>
      </c>
      <c r="B112" s="1"/>
      <c r="C112" s="24">
        <v>0</v>
      </c>
      <c r="D112" s="24"/>
      <c r="E112" s="24">
        <v>0</v>
      </c>
      <c r="F112" s="1">
        <v>42978</v>
      </c>
      <c r="G112" s="1">
        <v>42895</v>
      </c>
      <c r="H112" s="24">
        <v>-6493.07</v>
      </c>
      <c r="I112" s="24"/>
      <c r="J112" s="176">
        <v>-844</v>
      </c>
    </row>
    <row r="113" spans="1:10">
      <c r="A113" s="175">
        <v>42978</v>
      </c>
      <c r="B113" s="1"/>
      <c r="C113" s="24"/>
      <c r="D113" s="24"/>
      <c r="E113" s="24"/>
      <c r="F113" s="1">
        <v>42978</v>
      </c>
      <c r="G113" s="1">
        <v>42927</v>
      </c>
      <c r="H113" s="24">
        <v>-11880.9</v>
      </c>
      <c r="I113" s="24"/>
      <c r="J113" s="176">
        <v>-1544</v>
      </c>
    </row>
    <row r="114" spans="1:10">
      <c r="A114" s="175">
        <v>42978</v>
      </c>
      <c r="B114" s="1"/>
      <c r="C114" s="24"/>
      <c r="D114" s="24"/>
      <c r="E114" s="24"/>
      <c r="F114" s="1">
        <v>42978</v>
      </c>
      <c r="G114" s="1">
        <v>42957</v>
      </c>
      <c r="H114" s="24">
        <v>-5896.6</v>
      </c>
      <c r="I114" s="24"/>
      <c r="J114" s="176">
        <v>-766</v>
      </c>
    </row>
    <row r="115" spans="1:10">
      <c r="A115" s="175">
        <v>42979</v>
      </c>
      <c r="B115" s="1">
        <v>42980</v>
      </c>
      <c r="C115" s="24">
        <v>1545490.86</v>
      </c>
      <c r="D115" s="24"/>
      <c r="E115" s="24">
        <v>200914</v>
      </c>
      <c r="F115" s="1">
        <v>42979</v>
      </c>
      <c r="G115" s="1">
        <v>42731</v>
      </c>
      <c r="H115" s="24">
        <v>-116000</v>
      </c>
      <c r="I115" s="24"/>
      <c r="J115" s="176">
        <v>-15080</v>
      </c>
    </row>
    <row r="116" spans="1:10">
      <c r="A116" s="175">
        <v>42979</v>
      </c>
      <c r="B116" s="1"/>
      <c r="C116" s="24"/>
      <c r="D116" s="24"/>
      <c r="E116" s="24"/>
      <c r="F116" s="1">
        <v>42979</v>
      </c>
      <c r="G116" s="1">
        <v>42865</v>
      </c>
      <c r="H116" s="24">
        <v>-65000</v>
      </c>
      <c r="I116" s="24"/>
      <c r="J116" s="176">
        <v>-8450</v>
      </c>
    </row>
    <row r="117" spans="1:10">
      <c r="A117" s="175">
        <v>42986</v>
      </c>
      <c r="B117" s="1">
        <v>42987</v>
      </c>
      <c r="C117" s="24">
        <v>1350194923.95</v>
      </c>
      <c r="D117" s="24">
        <v>6653800</v>
      </c>
      <c r="E117" s="24">
        <v>175156096</v>
      </c>
      <c r="F117" s="1">
        <v>42986</v>
      </c>
      <c r="G117" s="1"/>
      <c r="H117" s="24"/>
      <c r="I117" s="24"/>
      <c r="J117" s="176"/>
    </row>
    <row r="118" spans="1:10">
      <c r="A118" s="175">
        <v>42989</v>
      </c>
      <c r="B118" s="1">
        <v>42990</v>
      </c>
      <c r="C118" s="24">
        <v>8932472.8699999992</v>
      </c>
      <c r="D118" s="24"/>
      <c r="E118" s="24">
        <v>1171285</v>
      </c>
      <c r="F118" s="1">
        <v>42989</v>
      </c>
      <c r="G118" s="1">
        <v>42307</v>
      </c>
      <c r="H118" s="24">
        <v>-237000</v>
      </c>
      <c r="I118" s="24"/>
      <c r="J118" s="176">
        <v>-30810</v>
      </c>
    </row>
    <row r="119" spans="1:10">
      <c r="A119" s="175">
        <v>42989</v>
      </c>
      <c r="B119" s="1"/>
      <c r="C119" s="24"/>
      <c r="D119" s="24"/>
      <c r="E119" s="24"/>
      <c r="F119" s="1">
        <v>42989</v>
      </c>
      <c r="G119" s="1">
        <v>42975</v>
      </c>
      <c r="H119" s="24">
        <v>-93500</v>
      </c>
      <c r="I119" s="24"/>
      <c r="J119" s="176">
        <v>-12155</v>
      </c>
    </row>
    <row r="120" spans="1:10">
      <c r="A120" s="175">
        <v>42989</v>
      </c>
      <c r="B120" s="1"/>
      <c r="C120" s="24"/>
      <c r="D120" s="24"/>
      <c r="E120" s="24"/>
      <c r="F120" s="1">
        <v>42989</v>
      </c>
      <c r="G120" s="1">
        <v>42979</v>
      </c>
      <c r="H120" s="24">
        <v>-349000</v>
      </c>
      <c r="I120" s="24"/>
      <c r="J120" s="176">
        <v>-45370</v>
      </c>
    </row>
    <row r="121" spans="1:10">
      <c r="A121" s="175">
        <v>42991</v>
      </c>
      <c r="B121" s="1">
        <v>42992</v>
      </c>
      <c r="C121" s="24">
        <v>405499.57</v>
      </c>
      <c r="D121" s="24"/>
      <c r="E121" s="24">
        <v>52715</v>
      </c>
      <c r="F121" s="1">
        <v>42991</v>
      </c>
      <c r="G121" s="1"/>
      <c r="H121" s="24"/>
      <c r="I121" s="24"/>
      <c r="J121" s="176"/>
    </row>
    <row r="122" spans="1:10">
      <c r="A122" s="175">
        <v>42993</v>
      </c>
      <c r="B122" s="1">
        <v>42994</v>
      </c>
      <c r="C122" s="24">
        <v>13954453.939999999</v>
      </c>
      <c r="D122" s="24"/>
      <c r="E122" s="24">
        <v>1814079</v>
      </c>
      <c r="F122" s="1">
        <v>42993</v>
      </c>
      <c r="G122" s="1">
        <v>42965</v>
      </c>
      <c r="H122" s="24">
        <v>-465000</v>
      </c>
      <c r="I122" s="24"/>
      <c r="J122" s="176">
        <v>-60450</v>
      </c>
    </row>
    <row r="123" spans="1:10">
      <c r="A123" s="175">
        <v>42993</v>
      </c>
      <c r="B123" s="1"/>
      <c r="C123" s="24"/>
      <c r="D123" s="24"/>
      <c r="E123" s="24"/>
      <c r="F123" s="1">
        <v>42993</v>
      </c>
      <c r="G123" s="1">
        <v>42979</v>
      </c>
      <c r="H123" s="24">
        <v>-106000</v>
      </c>
      <c r="I123" s="24"/>
      <c r="J123" s="176">
        <v>-13780</v>
      </c>
    </row>
    <row r="124" spans="1:10">
      <c r="A124" s="175">
        <v>43000</v>
      </c>
      <c r="B124" s="1">
        <v>43001</v>
      </c>
      <c r="C124" s="24">
        <v>4692980.79</v>
      </c>
      <c r="D124" s="24"/>
      <c r="E124" s="24">
        <v>610086</v>
      </c>
      <c r="F124" s="1">
        <v>43000</v>
      </c>
      <c r="G124" s="1">
        <v>42993</v>
      </c>
      <c r="H124" s="24">
        <v>-121500</v>
      </c>
      <c r="I124" s="24"/>
      <c r="J124" s="176">
        <v>-15795</v>
      </c>
    </row>
    <row r="125" spans="1:10">
      <c r="A125" s="175">
        <v>43003</v>
      </c>
      <c r="B125" s="1">
        <v>43004</v>
      </c>
      <c r="C125" s="24">
        <v>13760070.58</v>
      </c>
      <c r="D125" s="24">
        <v>29200</v>
      </c>
      <c r="E125" s="24">
        <v>1793208</v>
      </c>
      <c r="F125" s="1">
        <v>43003</v>
      </c>
      <c r="G125" s="1"/>
      <c r="H125" s="24"/>
      <c r="I125" s="24"/>
      <c r="J125" s="176"/>
    </row>
    <row r="126" spans="1:10">
      <c r="A126" s="175">
        <v>43007</v>
      </c>
      <c r="B126" s="1">
        <v>43008</v>
      </c>
      <c r="C126" s="24">
        <v>1322512.3</v>
      </c>
      <c r="D126" s="24"/>
      <c r="E126" s="24">
        <v>171926</v>
      </c>
      <c r="F126" s="1">
        <v>43007</v>
      </c>
      <c r="G126" s="1">
        <v>42720</v>
      </c>
      <c r="H126" s="24">
        <v>-99000</v>
      </c>
      <c r="I126" s="24"/>
      <c r="J126" s="176">
        <v>-12870</v>
      </c>
    </row>
    <row r="127" spans="1:10">
      <c r="A127" s="175">
        <v>43007</v>
      </c>
      <c r="B127" s="1"/>
      <c r="C127" s="24"/>
      <c r="D127" s="24"/>
      <c r="E127" s="24"/>
      <c r="F127" s="1">
        <v>43007</v>
      </c>
      <c r="G127" s="1">
        <v>42865</v>
      </c>
      <c r="H127" s="24">
        <v>-55000</v>
      </c>
      <c r="I127" s="24"/>
      <c r="J127" s="176">
        <v>-7150</v>
      </c>
    </row>
    <row r="128" spans="1:10">
      <c r="A128" s="175">
        <v>43007</v>
      </c>
      <c r="B128" s="1"/>
      <c r="C128" s="24"/>
      <c r="D128" s="24"/>
      <c r="E128" s="24"/>
      <c r="F128" s="1">
        <v>43007</v>
      </c>
      <c r="G128" s="1">
        <v>42975</v>
      </c>
      <c r="H128" s="24">
        <v>-21000</v>
      </c>
      <c r="I128" s="24"/>
      <c r="J128" s="176">
        <v>-2730</v>
      </c>
    </row>
    <row r="129" spans="1:10">
      <c r="A129" s="175">
        <v>43008</v>
      </c>
      <c r="B129" s="1"/>
      <c r="C129" s="24">
        <v>-6301.93</v>
      </c>
      <c r="D129" s="24"/>
      <c r="E129" s="24">
        <v>-819</v>
      </c>
      <c r="F129" s="1">
        <v>43008</v>
      </c>
      <c r="G129" s="1">
        <v>42745</v>
      </c>
      <c r="H129" s="24">
        <v>-5107.5</v>
      </c>
      <c r="I129" s="24"/>
      <c r="J129" s="176">
        <v>-664</v>
      </c>
    </row>
    <row r="130" spans="1:10">
      <c r="A130" s="175">
        <v>43008</v>
      </c>
      <c r="B130" s="1"/>
      <c r="C130" s="24"/>
      <c r="D130" s="24"/>
      <c r="E130" s="24"/>
      <c r="F130" s="1">
        <v>43008</v>
      </c>
      <c r="G130" s="1">
        <v>42776</v>
      </c>
      <c r="H130" s="24">
        <v>-5107.5</v>
      </c>
      <c r="I130" s="24"/>
      <c r="J130" s="176">
        <v>-664</v>
      </c>
    </row>
    <row r="131" spans="1:10">
      <c r="A131" s="175">
        <v>43008</v>
      </c>
      <c r="B131" s="1"/>
      <c r="C131" s="24"/>
      <c r="D131" s="24"/>
      <c r="E131" s="24"/>
      <c r="F131" s="1">
        <v>43008</v>
      </c>
      <c r="G131" s="1">
        <v>42804</v>
      </c>
      <c r="H131" s="24">
        <v>-5107.5</v>
      </c>
      <c r="I131" s="24"/>
      <c r="J131" s="176">
        <v>-664</v>
      </c>
    </row>
    <row r="132" spans="1:10">
      <c r="A132" s="175">
        <v>43008</v>
      </c>
      <c r="B132" s="1"/>
      <c r="C132" s="24"/>
      <c r="D132" s="24"/>
      <c r="E132" s="24"/>
      <c r="F132" s="1">
        <v>43008</v>
      </c>
      <c r="G132" s="1">
        <v>42835</v>
      </c>
      <c r="H132" s="24">
        <v>-5107.5</v>
      </c>
      <c r="I132" s="24"/>
      <c r="J132" s="176">
        <v>-664</v>
      </c>
    </row>
    <row r="133" spans="1:10">
      <c r="A133" s="175">
        <v>43008</v>
      </c>
      <c r="B133" s="1"/>
      <c r="C133" s="24"/>
      <c r="D133" s="24"/>
      <c r="E133" s="24"/>
      <c r="F133" s="1">
        <v>43008</v>
      </c>
      <c r="G133" s="1">
        <v>42859</v>
      </c>
      <c r="H133" s="24">
        <v>-5107.5</v>
      </c>
      <c r="I133" s="24"/>
      <c r="J133" s="176">
        <v>-664</v>
      </c>
    </row>
    <row r="134" spans="1:10">
      <c r="A134" s="175">
        <v>43008</v>
      </c>
      <c r="B134" s="1"/>
      <c r="C134" s="24"/>
      <c r="D134" s="24"/>
      <c r="E134" s="24"/>
      <c r="F134" s="1">
        <v>43008</v>
      </c>
      <c r="G134" s="1">
        <v>42895</v>
      </c>
      <c r="H134" s="24">
        <v>-15651.8</v>
      </c>
      <c r="I134" s="24"/>
      <c r="J134" s="176">
        <v>-2035</v>
      </c>
    </row>
    <row r="135" spans="1:10">
      <c r="A135" s="175">
        <v>43008</v>
      </c>
      <c r="B135" s="1"/>
      <c r="C135" s="24"/>
      <c r="D135" s="24"/>
      <c r="E135" s="24"/>
      <c r="F135" s="1">
        <v>43008</v>
      </c>
      <c r="G135" s="1">
        <v>42926</v>
      </c>
      <c r="H135" s="24">
        <v>-5107.5</v>
      </c>
      <c r="I135" s="24"/>
      <c r="J135" s="176">
        <v>-664</v>
      </c>
    </row>
    <row r="136" spans="1:10">
      <c r="A136" s="175">
        <v>43008</v>
      </c>
      <c r="B136" s="1"/>
      <c r="C136" s="24"/>
      <c r="D136" s="24"/>
      <c r="E136" s="24"/>
      <c r="F136" s="1">
        <v>43008</v>
      </c>
      <c r="G136" s="1">
        <v>42957</v>
      </c>
      <c r="H136" s="24">
        <v>-30795.599999999999</v>
      </c>
      <c r="I136" s="24"/>
      <c r="J136" s="176">
        <v>-4003</v>
      </c>
    </row>
    <row r="137" spans="1:10">
      <c r="A137" s="12">
        <v>43008</v>
      </c>
      <c r="B137" s="13"/>
      <c r="C137" s="16"/>
      <c r="D137" s="16"/>
      <c r="E137" s="16"/>
      <c r="F137" s="13">
        <v>43008</v>
      </c>
      <c r="G137" s="13">
        <v>42986</v>
      </c>
      <c r="H137" s="16">
        <v>-9040</v>
      </c>
      <c r="I137" s="16"/>
      <c r="J137" s="17">
        <v>-1175</v>
      </c>
    </row>
  </sheetData>
  <mergeCells count="3">
    <mergeCell ref="A1:J1"/>
    <mergeCell ref="A2:E2"/>
    <mergeCell ref="F2:J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7"/>
  <dimension ref="A1:P289"/>
  <sheetViews>
    <sheetView tabSelected="1" workbookViewId="0">
      <selection activeCell="A5" sqref="A5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03" t="s">
        <v>315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</row>
    <row r="2" spans="1:16" ht="31.5" customHeight="1">
      <c r="A2" s="208" t="s">
        <v>4</v>
      </c>
      <c r="B2" s="209"/>
      <c r="C2" s="209"/>
      <c r="D2" s="209"/>
      <c r="E2" s="209"/>
      <c r="F2" s="209"/>
      <c r="G2" s="209"/>
      <c r="H2" s="209"/>
      <c r="I2" s="210"/>
      <c r="J2" s="211" t="s">
        <v>23</v>
      </c>
      <c r="K2" s="212"/>
      <c r="L2" s="212"/>
      <c r="M2" s="212"/>
      <c r="N2" s="212"/>
      <c r="O2" s="212"/>
      <c r="P2" s="213"/>
    </row>
    <row r="3" spans="1:16" ht="24" customHeight="1">
      <c r="A3" s="214" t="s">
        <v>0</v>
      </c>
      <c r="B3" s="216" t="s">
        <v>29</v>
      </c>
      <c r="C3" s="216" t="s">
        <v>3</v>
      </c>
      <c r="D3" s="216" t="s">
        <v>30</v>
      </c>
      <c r="E3" s="218" t="s">
        <v>5</v>
      </c>
      <c r="F3" s="219"/>
      <c r="G3" s="220"/>
      <c r="H3" s="218" t="s">
        <v>6</v>
      </c>
      <c r="I3" s="221"/>
      <c r="J3" s="222" t="s">
        <v>28</v>
      </c>
      <c r="K3" s="222" t="s">
        <v>32</v>
      </c>
      <c r="L3" s="204" t="s">
        <v>5</v>
      </c>
      <c r="M3" s="205"/>
      <c r="N3" s="206"/>
      <c r="O3" s="204" t="s">
        <v>6</v>
      </c>
      <c r="P3" s="207"/>
    </row>
    <row r="4" spans="1:16" ht="38.25" customHeight="1">
      <c r="A4" s="215"/>
      <c r="B4" s="217"/>
      <c r="C4" s="217"/>
      <c r="D4" s="217"/>
      <c r="E4" s="2" t="s">
        <v>1</v>
      </c>
      <c r="F4" s="2" t="s">
        <v>2</v>
      </c>
      <c r="G4" s="165" t="s">
        <v>22</v>
      </c>
      <c r="H4" s="2" t="s">
        <v>1</v>
      </c>
      <c r="I4" s="3" t="s">
        <v>22</v>
      </c>
      <c r="J4" s="223"/>
      <c r="K4" s="223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>
        <v>42745</v>
      </c>
      <c r="B6" s="13">
        <v>42746</v>
      </c>
      <c r="C6" s="14" t="s">
        <v>316</v>
      </c>
      <c r="D6" s="15" t="s">
        <v>7</v>
      </c>
      <c r="E6" s="16">
        <v>1109814254.3699999</v>
      </c>
      <c r="F6" s="16">
        <v>5399100</v>
      </c>
      <c r="G6" s="16">
        <v>143653261</v>
      </c>
      <c r="H6" s="16">
        <v>2573994.65</v>
      </c>
      <c r="I6" s="16">
        <v>772203</v>
      </c>
      <c r="J6" s="13">
        <v>42745</v>
      </c>
      <c r="K6" s="13"/>
      <c r="L6" s="16"/>
      <c r="M6" s="16"/>
      <c r="N6" s="16"/>
      <c r="O6" s="16"/>
      <c r="P6" s="17"/>
    </row>
    <row r="7" spans="1:16">
      <c r="A7" s="12">
        <v>42745</v>
      </c>
      <c r="B7" s="13">
        <v>42746</v>
      </c>
      <c r="C7" s="14" t="s">
        <v>316</v>
      </c>
      <c r="D7" s="15" t="s">
        <v>8</v>
      </c>
      <c r="E7" s="16">
        <v>36474311.719999999</v>
      </c>
      <c r="F7" s="16">
        <v>132600</v>
      </c>
      <c r="G7" s="16">
        <v>4726591</v>
      </c>
      <c r="H7" s="16">
        <v>25748</v>
      </c>
      <c r="I7" s="16">
        <v>7725</v>
      </c>
      <c r="J7" s="13">
        <v>42745</v>
      </c>
      <c r="K7" s="13"/>
      <c r="L7" s="16"/>
      <c r="M7" s="16"/>
      <c r="N7" s="16"/>
      <c r="O7" s="16"/>
      <c r="P7" s="17"/>
    </row>
    <row r="8" spans="1:16">
      <c r="A8" s="169">
        <v>42745</v>
      </c>
      <c r="B8" s="170">
        <v>42746</v>
      </c>
      <c r="C8" s="171" t="s">
        <v>316</v>
      </c>
      <c r="D8" s="172" t="s">
        <v>9</v>
      </c>
      <c r="E8" s="173">
        <v>19448481.859999999</v>
      </c>
      <c r="F8" s="173">
        <v>21600</v>
      </c>
      <c r="G8" s="173">
        <v>2525757</v>
      </c>
      <c r="H8" s="173">
        <v>2463</v>
      </c>
      <c r="I8" s="173">
        <v>739</v>
      </c>
      <c r="J8" s="170">
        <v>42745</v>
      </c>
      <c r="K8" s="170"/>
      <c r="L8" s="173"/>
      <c r="M8" s="173"/>
      <c r="N8" s="173"/>
      <c r="O8" s="173"/>
      <c r="P8" s="174"/>
    </row>
    <row r="9" spans="1:16">
      <c r="A9" s="169">
        <v>42745</v>
      </c>
      <c r="B9" s="170">
        <v>42746</v>
      </c>
      <c r="C9" s="171" t="s">
        <v>316</v>
      </c>
      <c r="D9" s="172" t="s">
        <v>11</v>
      </c>
      <c r="E9" s="173">
        <v>3364175.14</v>
      </c>
      <c r="F9" s="173">
        <v>11000</v>
      </c>
      <c r="G9" s="173">
        <v>435906</v>
      </c>
      <c r="H9" s="173">
        <v>4428.5</v>
      </c>
      <c r="I9" s="173">
        <v>1329</v>
      </c>
      <c r="J9" s="170">
        <v>42745</v>
      </c>
      <c r="K9" s="170"/>
      <c r="L9" s="173"/>
      <c r="M9" s="173"/>
      <c r="N9" s="173"/>
      <c r="O9" s="173"/>
      <c r="P9" s="174"/>
    </row>
    <row r="10" spans="1:16">
      <c r="A10" s="169">
        <v>42745</v>
      </c>
      <c r="B10" s="170">
        <v>42746</v>
      </c>
      <c r="C10" s="171" t="s">
        <v>316</v>
      </c>
      <c r="D10" s="172" t="s">
        <v>12</v>
      </c>
      <c r="E10" s="173">
        <v>30643009.879999999</v>
      </c>
      <c r="F10" s="173">
        <v>293900</v>
      </c>
      <c r="G10" s="173">
        <v>3951717</v>
      </c>
      <c r="H10" s="173">
        <v>67450.48</v>
      </c>
      <c r="I10" s="173">
        <v>20235</v>
      </c>
      <c r="J10" s="170">
        <v>42745</v>
      </c>
      <c r="K10" s="170"/>
      <c r="L10" s="173"/>
      <c r="M10" s="173"/>
      <c r="N10" s="173"/>
      <c r="O10" s="173"/>
      <c r="P10" s="174"/>
    </row>
    <row r="11" spans="1:16">
      <c r="A11" s="169">
        <v>42745</v>
      </c>
      <c r="B11" s="170">
        <v>42746</v>
      </c>
      <c r="C11" s="171" t="s">
        <v>316</v>
      </c>
      <c r="D11" s="172" t="s">
        <v>13</v>
      </c>
      <c r="E11" s="173">
        <v>80891708.25</v>
      </c>
      <c r="F11" s="173">
        <v>449800</v>
      </c>
      <c r="G11" s="173">
        <v>10478729</v>
      </c>
      <c r="H11" s="173">
        <v>25384</v>
      </c>
      <c r="I11" s="173">
        <v>7615</v>
      </c>
      <c r="J11" s="170">
        <v>42745</v>
      </c>
      <c r="K11" s="170"/>
      <c r="L11" s="173"/>
      <c r="M11" s="173"/>
      <c r="N11" s="173"/>
      <c r="O11" s="173"/>
      <c r="P11" s="174"/>
    </row>
    <row r="12" spans="1:16">
      <c r="A12" s="169">
        <v>42748</v>
      </c>
      <c r="B12" s="170">
        <v>42749</v>
      </c>
      <c r="C12" s="171" t="s">
        <v>317</v>
      </c>
      <c r="D12" s="172" t="s">
        <v>7</v>
      </c>
      <c r="E12" s="173">
        <v>5153171.72</v>
      </c>
      <c r="F12" s="173">
        <v>0</v>
      </c>
      <c r="G12" s="173">
        <v>669913</v>
      </c>
      <c r="H12" s="173">
        <v>0</v>
      </c>
      <c r="I12" s="173">
        <v>0</v>
      </c>
      <c r="J12" s="170">
        <v>42748</v>
      </c>
      <c r="K12" s="170"/>
      <c r="L12" s="173"/>
      <c r="M12" s="173"/>
      <c r="N12" s="173"/>
      <c r="O12" s="173"/>
      <c r="P12" s="174"/>
    </row>
    <row r="13" spans="1:16">
      <c r="A13" s="169">
        <v>42755</v>
      </c>
      <c r="B13" s="170"/>
      <c r="C13" s="171" t="s">
        <v>318</v>
      </c>
      <c r="D13" s="172" t="s">
        <v>8</v>
      </c>
      <c r="E13" s="173"/>
      <c r="F13" s="173"/>
      <c r="G13" s="173"/>
      <c r="H13" s="173"/>
      <c r="I13" s="173"/>
      <c r="J13" s="170">
        <v>42755</v>
      </c>
      <c r="K13" s="170">
        <v>42643</v>
      </c>
      <c r="L13" s="173">
        <v>-82000</v>
      </c>
      <c r="M13" s="173">
        <v>0</v>
      </c>
      <c r="N13" s="173">
        <v>-10660</v>
      </c>
      <c r="O13" s="173">
        <v>0</v>
      </c>
      <c r="P13" s="174">
        <v>0</v>
      </c>
    </row>
    <row r="14" spans="1:16">
      <c r="A14" s="169">
        <v>42755</v>
      </c>
      <c r="B14" s="170"/>
      <c r="C14" s="171" t="s">
        <v>318</v>
      </c>
      <c r="D14" s="172" t="s">
        <v>9</v>
      </c>
      <c r="E14" s="173"/>
      <c r="F14" s="173"/>
      <c r="G14" s="173"/>
      <c r="H14" s="173"/>
      <c r="I14" s="173"/>
      <c r="J14" s="170">
        <v>42755</v>
      </c>
      <c r="K14" s="170">
        <v>42706</v>
      </c>
      <c r="L14" s="173">
        <v>-45000</v>
      </c>
      <c r="M14" s="173">
        <v>0</v>
      </c>
      <c r="N14" s="173">
        <v>-5850</v>
      </c>
      <c r="O14" s="173">
        <v>0</v>
      </c>
      <c r="P14" s="174">
        <v>0</v>
      </c>
    </row>
    <row r="15" spans="1:16">
      <c r="A15" s="169">
        <v>42755</v>
      </c>
      <c r="B15" s="170"/>
      <c r="C15" s="171" t="s">
        <v>318</v>
      </c>
      <c r="D15" s="172" t="s">
        <v>9</v>
      </c>
      <c r="E15" s="173"/>
      <c r="F15" s="173"/>
      <c r="G15" s="173"/>
      <c r="H15" s="173"/>
      <c r="I15" s="173"/>
      <c r="J15" s="170">
        <v>42755</v>
      </c>
      <c r="K15" s="170">
        <v>42720</v>
      </c>
      <c r="L15" s="173">
        <v>-53000</v>
      </c>
      <c r="M15" s="173">
        <v>0</v>
      </c>
      <c r="N15" s="173">
        <v>-6890</v>
      </c>
      <c r="O15" s="173">
        <v>0</v>
      </c>
      <c r="P15" s="174">
        <v>0</v>
      </c>
    </row>
    <row r="16" spans="1:16">
      <c r="A16" s="169">
        <v>42760</v>
      </c>
      <c r="B16" s="170">
        <v>42761</v>
      </c>
      <c r="C16" s="171" t="s">
        <v>316</v>
      </c>
      <c r="D16" s="172" t="s">
        <v>7</v>
      </c>
      <c r="E16" s="173">
        <v>8066875.4800000004</v>
      </c>
      <c r="F16" s="173">
        <v>14500</v>
      </c>
      <c r="G16" s="173">
        <v>1046808</v>
      </c>
      <c r="H16" s="173">
        <v>2508.1999999999998</v>
      </c>
      <c r="I16" s="173">
        <v>752</v>
      </c>
      <c r="J16" s="170">
        <v>42760</v>
      </c>
      <c r="K16" s="170"/>
      <c r="L16" s="173"/>
      <c r="M16" s="173"/>
      <c r="N16" s="173"/>
      <c r="O16" s="173"/>
      <c r="P16" s="174"/>
    </row>
    <row r="17" spans="1:16">
      <c r="A17" s="169">
        <v>42760</v>
      </c>
      <c r="B17" s="170">
        <v>42761</v>
      </c>
      <c r="C17" s="171" t="s">
        <v>316</v>
      </c>
      <c r="D17" s="172" t="s">
        <v>8</v>
      </c>
      <c r="E17" s="173">
        <v>1255973.58</v>
      </c>
      <c r="F17" s="173">
        <v>0</v>
      </c>
      <c r="G17" s="173">
        <v>163281</v>
      </c>
      <c r="H17" s="173">
        <v>0</v>
      </c>
      <c r="I17" s="173">
        <v>0</v>
      </c>
      <c r="J17" s="170">
        <v>42760</v>
      </c>
      <c r="K17" s="170"/>
      <c r="L17" s="173"/>
      <c r="M17" s="173"/>
      <c r="N17" s="173"/>
      <c r="O17" s="173"/>
      <c r="P17" s="174"/>
    </row>
    <row r="18" spans="1:16">
      <c r="A18" s="169">
        <v>42760</v>
      </c>
      <c r="B18" s="170">
        <v>42761</v>
      </c>
      <c r="C18" s="171" t="s">
        <v>316</v>
      </c>
      <c r="D18" s="172" t="s">
        <v>9</v>
      </c>
      <c r="E18" s="173">
        <v>113028.53</v>
      </c>
      <c r="F18" s="173">
        <v>0</v>
      </c>
      <c r="G18" s="173">
        <v>14694</v>
      </c>
      <c r="H18" s="173">
        <v>6990</v>
      </c>
      <c r="I18" s="173">
        <v>2097</v>
      </c>
      <c r="J18" s="170">
        <v>42760</v>
      </c>
      <c r="K18" s="170"/>
      <c r="L18" s="173"/>
      <c r="M18" s="173"/>
      <c r="N18" s="173"/>
      <c r="O18" s="173"/>
      <c r="P18" s="174"/>
    </row>
    <row r="19" spans="1:16">
      <c r="A19" s="169">
        <v>42760</v>
      </c>
      <c r="B19" s="170">
        <v>42761</v>
      </c>
      <c r="C19" s="171" t="s">
        <v>316</v>
      </c>
      <c r="D19" s="172" t="s">
        <v>11</v>
      </c>
      <c r="E19" s="173">
        <v>55019.5</v>
      </c>
      <c r="F19" s="173">
        <v>0</v>
      </c>
      <c r="G19" s="173">
        <v>7153</v>
      </c>
      <c r="H19" s="173">
        <v>0</v>
      </c>
      <c r="I19" s="173">
        <v>0</v>
      </c>
      <c r="J19" s="170">
        <v>42760</v>
      </c>
      <c r="K19" s="170"/>
      <c r="L19" s="173"/>
      <c r="M19" s="173"/>
      <c r="N19" s="173"/>
      <c r="O19" s="173"/>
      <c r="P19" s="174"/>
    </row>
    <row r="20" spans="1:16">
      <c r="A20" s="169">
        <v>42760</v>
      </c>
      <c r="B20" s="170">
        <v>42761</v>
      </c>
      <c r="C20" s="171" t="s">
        <v>316</v>
      </c>
      <c r="D20" s="172" t="s">
        <v>12</v>
      </c>
      <c r="E20" s="173">
        <v>699777.7</v>
      </c>
      <c r="F20" s="173">
        <v>1000</v>
      </c>
      <c r="G20" s="173">
        <v>90845</v>
      </c>
      <c r="H20" s="173">
        <v>0</v>
      </c>
      <c r="I20" s="173">
        <v>0</v>
      </c>
      <c r="J20" s="170">
        <v>42760</v>
      </c>
      <c r="K20" s="170"/>
      <c r="L20" s="173"/>
      <c r="M20" s="173"/>
      <c r="N20" s="173"/>
      <c r="O20" s="173"/>
      <c r="P20" s="174"/>
    </row>
    <row r="21" spans="1:16">
      <c r="A21" s="169">
        <v>42760</v>
      </c>
      <c r="B21" s="170">
        <v>42761</v>
      </c>
      <c r="C21" s="171" t="s">
        <v>316</v>
      </c>
      <c r="D21" s="172" t="s">
        <v>13</v>
      </c>
      <c r="E21" s="173">
        <v>2350912.63</v>
      </c>
      <c r="F21" s="173">
        <v>4900</v>
      </c>
      <c r="G21" s="173">
        <v>304980</v>
      </c>
      <c r="H21" s="173">
        <v>0</v>
      </c>
      <c r="I21" s="173">
        <v>0</v>
      </c>
      <c r="J21" s="170">
        <v>42760</v>
      </c>
      <c r="K21" s="170"/>
      <c r="L21" s="173"/>
      <c r="M21" s="173"/>
      <c r="N21" s="173"/>
      <c r="O21" s="173"/>
      <c r="P21" s="174"/>
    </row>
    <row r="22" spans="1:16">
      <c r="A22" s="169">
        <v>42762</v>
      </c>
      <c r="B22" s="170"/>
      <c r="C22" s="171" t="s">
        <v>318</v>
      </c>
      <c r="D22" s="172" t="s">
        <v>8</v>
      </c>
      <c r="E22" s="173"/>
      <c r="F22" s="173"/>
      <c r="G22" s="173"/>
      <c r="H22" s="173"/>
      <c r="I22" s="173"/>
      <c r="J22" s="170">
        <v>42762</v>
      </c>
      <c r="K22" s="170">
        <v>42716</v>
      </c>
      <c r="L22" s="173">
        <v>-62000</v>
      </c>
      <c r="M22" s="173">
        <v>0</v>
      </c>
      <c r="N22" s="173">
        <v>-8060</v>
      </c>
      <c r="O22" s="173">
        <v>0</v>
      </c>
      <c r="P22" s="174">
        <v>0</v>
      </c>
    </row>
    <row r="23" spans="1:16">
      <c r="A23" s="169">
        <v>42762</v>
      </c>
      <c r="B23" s="170"/>
      <c r="C23" s="171" t="s">
        <v>318</v>
      </c>
      <c r="D23" s="172" t="s">
        <v>8</v>
      </c>
      <c r="E23" s="173"/>
      <c r="F23" s="173"/>
      <c r="G23" s="173"/>
      <c r="H23" s="173"/>
      <c r="I23" s="173"/>
      <c r="J23" s="170">
        <v>42762</v>
      </c>
      <c r="K23" s="170">
        <v>42727</v>
      </c>
      <c r="L23" s="173">
        <v>-23500</v>
      </c>
      <c r="M23" s="173">
        <v>0</v>
      </c>
      <c r="N23" s="173">
        <v>-3055</v>
      </c>
      <c r="O23" s="173">
        <v>0</v>
      </c>
      <c r="P23" s="174">
        <v>0</v>
      </c>
    </row>
    <row r="24" spans="1:16">
      <c r="A24" s="169">
        <v>42762</v>
      </c>
      <c r="B24" s="170"/>
      <c r="C24" s="171" t="s">
        <v>318</v>
      </c>
      <c r="D24" s="172" t="s">
        <v>9</v>
      </c>
      <c r="E24" s="173"/>
      <c r="F24" s="173"/>
      <c r="G24" s="173"/>
      <c r="H24" s="173"/>
      <c r="I24" s="173"/>
      <c r="J24" s="170">
        <v>42762</v>
      </c>
      <c r="K24" s="170">
        <v>42671</v>
      </c>
      <c r="L24" s="173">
        <v>-66000</v>
      </c>
      <c r="M24" s="173">
        <v>0</v>
      </c>
      <c r="N24" s="173">
        <v>-8580</v>
      </c>
      <c r="O24" s="173">
        <v>0</v>
      </c>
      <c r="P24" s="174">
        <v>0</v>
      </c>
    </row>
    <row r="25" spans="1:16">
      <c r="A25" s="169">
        <v>42762</v>
      </c>
      <c r="B25" s="170"/>
      <c r="C25" s="171" t="s">
        <v>318</v>
      </c>
      <c r="D25" s="172" t="s">
        <v>9</v>
      </c>
      <c r="E25" s="173"/>
      <c r="F25" s="173"/>
      <c r="G25" s="173"/>
      <c r="H25" s="173"/>
      <c r="I25" s="173"/>
      <c r="J25" s="170">
        <v>42762</v>
      </c>
      <c r="K25" s="170">
        <v>42727</v>
      </c>
      <c r="L25" s="173">
        <v>-26000</v>
      </c>
      <c r="M25" s="173">
        <v>0</v>
      </c>
      <c r="N25" s="173">
        <v>-3380</v>
      </c>
      <c r="O25" s="173">
        <v>0</v>
      </c>
      <c r="P25" s="174">
        <v>0</v>
      </c>
    </row>
    <row r="26" spans="1:16">
      <c r="A26" s="169">
        <v>42762</v>
      </c>
      <c r="B26" s="170">
        <v>42763</v>
      </c>
      <c r="C26" s="171" t="s">
        <v>317</v>
      </c>
      <c r="D26" s="172" t="s">
        <v>7</v>
      </c>
      <c r="E26" s="173">
        <v>4780922.18</v>
      </c>
      <c r="F26" s="173">
        <v>0</v>
      </c>
      <c r="G26" s="173">
        <v>621518</v>
      </c>
      <c r="H26" s="173">
        <v>165477.6</v>
      </c>
      <c r="I26" s="173">
        <v>49643</v>
      </c>
      <c r="J26" s="170">
        <v>42762</v>
      </c>
      <c r="K26" s="170"/>
      <c r="L26" s="173"/>
      <c r="M26" s="173"/>
      <c r="N26" s="173"/>
      <c r="O26" s="173"/>
      <c r="P26" s="174"/>
    </row>
    <row r="27" spans="1:16">
      <c r="A27" s="169">
        <v>42766</v>
      </c>
      <c r="B27" s="170"/>
      <c r="C27" s="171" t="s">
        <v>316</v>
      </c>
      <c r="D27" s="172" t="s">
        <v>7</v>
      </c>
      <c r="E27" s="173"/>
      <c r="F27" s="173"/>
      <c r="G27" s="173"/>
      <c r="H27" s="173"/>
      <c r="I27" s="173"/>
      <c r="J27" s="170">
        <v>42766</v>
      </c>
      <c r="K27" s="170">
        <v>42745</v>
      </c>
      <c r="L27" s="173">
        <v>-20595.02</v>
      </c>
      <c r="M27" s="173">
        <v>-500</v>
      </c>
      <c r="N27" s="173">
        <v>-2612</v>
      </c>
      <c r="O27" s="173">
        <v>0</v>
      </c>
      <c r="P27" s="174">
        <v>0</v>
      </c>
    </row>
    <row r="28" spans="1:16">
      <c r="A28" s="169">
        <v>42766</v>
      </c>
      <c r="B28" s="170"/>
      <c r="C28" s="171" t="s">
        <v>316</v>
      </c>
      <c r="D28" s="172" t="s">
        <v>8</v>
      </c>
      <c r="E28" s="173"/>
      <c r="F28" s="173"/>
      <c r="G28" s="173"/>
      <c r="H28" s="173"/>
      <c r="I28" s="173"/>
      <c r="J28" s="170">
        <v>42766</v>
      </c>
      <c r="K28" s="170">
        <v>42745</v>
      </c>
      <c r="L28" s="173">
        <v>-6400</v>
      </c>
      <c r="M28" s="173">
        <v>0</v>
      </c>
      <c r="N28" s="173">
        <v>-832</v>
      </c>
      <c r="O28" s="173">
        <v>0</v>
      </c>
      <c r="P28" s="174">
        <v>0</v>
      </c>
    </row>
    <row r="29" spans="1:16">
      <c r="A29" s="169">
        <v>42769</v>
      </c>
      <c r="B29" s="170"/>
      <c r="C29" s="171" t="s">
        <v>318</v>
      </c>
      <c r="D29" s="172" t="s">
        <v>9</v>
      </c>
      <c r="E29" s="173"/>
      <c r="F29" s="173"/>
      <c r="G29" s="173"/>
      <c r="H29" s="173"/>
      <c r="I29" s="173"/>
      <c r="J29" s="170">
        <v>42769</v>
      </c>
      <c r="K29" s="170">
        <v>42731</v>
      </c>
      <c r="L29" s="173">
        <v>-210000</v>
      </c>
      <c r="M29" s="173">
        <v>0</v>
      </c>
      <c r="N29" s="173">
        <v>-27300</v>
      </c>
      <c r="O29" s="173">
        <v>0</v>
      </c>
      <c r="P29" s="174">
        <v>0</v>
      </c>
    </row>
    <row r="30" spans="1:16">
      <c r="A30" s="169">
        <v>42776</v>
      </c>
      <c r="B30" s="170">
        <v>42777</v>
      </c>
      <c r="C30" s="171" t="s">
        <v>316</v>
      </c>
      <c r="D30" s="172" t="s">
        <v>7</v>
      </c>
      <c r="E30" s="173">
        <v>1109545596.1600001</v>
      </c>
      <c r="F30" s="173">
        <v>5447100</v>
      </c>
      <c r="G30" s="173">
        <v>143562769</v>
      </c>
      <c r="H30" s="173">
        <v>2523959.12</v>
      </c>
      <c r="I30" s="173">
        <v>757190</v>
      </c>
      <c r="J30" s="170">
        <v>42776</v>
      </c>
      <c r="K30" s="170">
        <v>42745</v>
      </c>
      <c r="L30" s="173">
        <v>0</v>
      </c>
      <c r="M30" s="173">
        <v>0</v>
      </c>
      <c r="N30" s="173">
        <v>0</v>
      </c>
      <c r="O30" s="173">
        <v>0</v>
      </c>
      <c r="P30" s="174">
        <v>-3504</v>
      </c>
    </row>
    <row r="31" spans="1:16">
      <c r="A31" s="169">
        <v>42776</v>
      </c>
      <c r="B31" s="170">
        <v>42777</v>
      </c>
      <c r="C31" s="171" t="s">
        <v>316</v>
      </c>
      <c r="D31" s="172" t="s">
        <v>8</v>
      </c>
      <c r="E31" s="173">
        <v>36546838.439999998</v>
      </c>
      <c r="F31" s="173">
        <v>132900</v>
      </c>
      <c r="G31" s="173">
        <v>4735925</v>
      </c>
      <c r="H31" s="173">
        <v>29568</v>
      </c>
      <c r="I31" s="173">
        <v>8871</v>
      </c>
      <c r="J31" s="170">
        <v>42776</v>
      </c>
      <c r="K31" s="170"/>
      <c r="L31" s="173"/>
      <c r="M31" s="173"/>
      <c r="N31" s="173"/>
      <c r="O31" s="173"/>
      <c r="P31" s="174"/>
    </row>
    <row r="32" spans="1:16">
      <c r="A32" s="169">
        <v>42776</v>
      </c>
      <c r="B32" s="170">
        <v>42777</v>
      </c>
      <c r="C32" s="171" t="s">
        <v>316</v>
      </c>
      <c r="D32" s="172" t="s">
        <v>9</v>
      </c>
      <c r="E32" s="173">
        <v>18213993.25</v>
      </c>
      <c r="F32" s="173">
        <v>21100</v>
      </c>
      <c r="G32" s="173">
        <v>2365269</v>
      </c>
      <c r="H32" s="173">
        <v>2463</v>
      </c>
      <c r="I32" s="173">
        <v>739</v>
      </c>
      <c r="J32" s="170">
        <v>42776</v>
      </c>
      <c r="K32" s="170"/>
      <c r="L32" s="173"/>
      <c r="M32" s="173"/>
      <c r="N32" s="173"/>
      <c r="O32" s="173"/>
      <c r="P32" s="174"/>
    </row>
    <row r="33" spans="1:16">
      <c r="A33" s="169">
        <v>42776</v>
      </c>
      <c r="B33" s="170">
        <v>42777</v>
      </c>
      <c r="C33" s="171" t="s">
        <v>316</v>
      </c>
      <c r="D33" s="172" t="s">
        <v>11</v>
      </c>
      <c r="E33" s="173">
        <v>3356274.36</v>
      </c>
      <c r="F33" s="173">
        <v>11000</v>
      </c>
      <c r="G33" s="173">
        <v>434890</v>
      </c>
      <c r="H33" s="173">
        <v>4428.5</v>
      </c>
      <c r="I33" s="173">
        <v>1329</v>
      </c>
      <c r="J33" s="170">
        <v>42776</v>
      </c>
      <c r="K33" s="170"/>
      <c r="L33" s="173"/>
      <c r="M33" s="173"/>
      <c r="N33" s="173"/>
      <c r="O33" s="173"/>
      <c r="P33" s="174"/>
    </row>
    <row r="34" spans="1:16">
      <c r="A34" s="169">
        <v>42776</v>
      </c>
      <c r="B34" s="170">
        <v>42777</v>
      </c>
      <c r="C34" s="171" t="s">
        <v>316</v>
      </c>
      <c r="D34" s="172" t="s">
        <v>12</v>
      </c>
      <c r="E34" s="173">
        <v>31671711.18</v>
      </c>
      <c r="F34" s="173">
        <v>294900</v>
      </c>
      <c r="G34" s="173">
        <v>4081971</v>
      </c>
      <c r="H34" s="173">
        <v>65348.58</v>
      </c>
      <c r="I34" s="173">
        <v>19605</v>
      </c>
      <c r="J34" s="170">
        <v>42776</v>
      </c>
      <c r="K34" s="170"/>
      <c r="L34" s="173"/>
      <c r="M34" s="173"/>
      <c r="N34" s="173"/>
      <c r="O34" s="173"/>
      <c r="P34" s="174"/>
    </row>
    <row r="35" spans="1:16">
      <c r="A35" s="169">
        <v>42776</v>
      </c>
      <c r="B35" s="170">
        <v>42777</v>
      </c>
      <c r="C35" s="171" t="s">
        <v>316</v>
      </c>
      <c r="D35" s="172" t="s">
        <v>13</v>
      </c>
      <c r="E35" s="173">
        <v>85677412.859999999</v>
      </c>
      <c r="F35" s="173">
        <v>466800</v>
      </c>
      <c r="G35" s="173">
        <v>11080991</v>
      </c>
      <c r="H35" s="173">
        <v>17161</v>
      </c>
      <c r="I35" s="173">
        <v>5148</v>
      </c>
      <c r="J35" s="170">
        <v>42776</v>
      </c>
      <c r="K35" s="170"/>
      <c r="L35" s="173"/>
      <c r="M35" s="173"/>
      <c r="N35" s="173"/>
      <c r="O35" s="173"/>
      <c r="P35" s="174"/>
    </row>
    <row r="36" spans="1:16">
      <c r="A36" s="169">
        <v>42779</v>
      </c>
      <c r="B36" s="170"/>
      <c r="C36" s="171" t="s">
        <v>318</v>
      </c>
      <c r="D36" s="172" t="s">
        <v>9</v>
      </c>
      <c r="E36" s="173"/>
      <c r="F36" s="173"/>
      <c r="G36" s="173"/>
      <c r="H36" s="173"/>
      <c r="I36" s="173"/>
      <c r="J36" s="170">
        <v>42779</v>
      </c>
      <c r="K36" s="170">
        <v>42657</v>
      </c>
      <c r="L36" s="173">
        <v>-10000</v>
      </c>
      <c r="M36" s="173">
        <v>0</v>
      </c>
      <c r="N36" s="173">
        <v>-1300</v>
      </c>
      <c r="O36" s="173">
        <v>0</v>
      </c>
      <c r="P36" s="174">
        <v>0</v>
      </c>
    </row>
    <row r="37" spans="1:16">
      <c r="A37" s="169">
        <v>42779</v>
      </c>
      <c r="B37" s="170"/>
      <c r="C37" s="171" t="s">
        <v>318</v>
      </c>
      <c r="D37" s="172" t="s">
        <v>9</v>
      </c>
      <c r="E37" s="173"/>
      <c r="F37" s="173"/>
      <c r="G37" s="173"/>
      <c r="H37" s="173"/>
      <c r="I37" s="173"/>
      <c r="J37" s="170">
        <v>42779</v>
      </c>
      <c r="K37" s="170">
        <v>42692</v>
      </c>
      <c r="L37" s="173">
        <v>-40000</v>
      </c>
      <c r="M37" s="173">
        <v>0</v>
      </c>
      <c r="N37" s="173">
        <v>-5200</v>
      </c>
      <c r="O37" s="173">
        <v>0</v>
      </c>
      <c r="P37" s="174">
        <v>0</v>
      </c>
    </row>
    <row r="38" spans="1:16">
      <c r="A38" s="169">
        <v>42779</v>
      </c>
      <c r="B38" s="170"/>
      <c r="C38" s="171" t="s">
        <v>318</v>
      </c>
      <c r="D38" s="172" t="s">
        <v>9</v>
      </c>
      <c r="E38" s="173"/>
      <c r="F38" s="173"/>
      <c r="G38" s="173"/>
      <c r="H38" s="173"/>
      <c r="I38" s="173"/>
      <c r="J38" s="170">
        <v>42779</v>
      </c>
      <c r="K38" s="170">
        <v>42702</v>
      </c>
      <c r="L38" s="173">
        <v>-104000</v>
      </c>
      <c r="M38" s="173">
        <v>0</v>
      </c>
      <c r="N38" s="173">
        <v>-13520</v>
      </c>
      <c r="O38" s="173">
        <v>0</v>
      </c>
      <c r="P38" s="174">
        <v>0</v>
      </c>
    </row>
    <row r="39" spans="1:16">
      <c r="A39" s="169">
        <v>42779</v>
      </c>
      <c r="B39" s="170"/>
      <c r="C39" s="171" t="s">
        <v>318</v>
      </c>
      <c r="D39" s="172" t="s">
        <v>9</v>
      </c>
      <c r="E39" s="173"/>
      <c r="F39" s="173"/>
      <c r="G39" s="173"/>
      <c r="H39" s="173"/>
      <c r="I39" s="173"/>
      <c r="J39" s="170">
        <v>42779</v>
      </c>
      <c r="K39" s="170">
        <v>42727</v>
      </c>
      <c r="L39" s="173">
        <v>-28500</v>
      </c>
      <c r="M39" s="173">
        <v>0</v>
      </c>
      <c r="N39" s="173">
        <v>-3705</v>
      </c>
      <c r="O39" s="173">
        <v>0</v>
      </c>
      <c r="P39" s="174">
        <v>0</v>
      </c>
    </row>
    <row r="40" spans="1:16">
      <c r="A40" s="169">
        <v>42779</v>
      </c>
      <c r="B40" s="170">
        <v>42780</v>
      </c>
      <c r="C40" s="171" t="s">
        <v>317</v>
      </c>
      <c r="D40" s="172" t="s">
        <v>7</v>
      </c>
      <c r="E40" s="173">
        <v>4711740.97</v>
      </c>
      <c r="F40" s="173">
        <v>0</v>
      </c>
      <c r="G40" s="173">
        <v>612527</v>
      </c>
      <c r="H40" s="173">
        <v>113468.96</v>
      </c>
      <c r="I40" s="173">
        <v>34041</v>
      </c>
      <c r="J40" s="170">
        <v>42779</v>
      </c>
      <c r="K40" s="170"/>
      <c r="L40" s="173"/>
      <c r="M40" s="173"/>
      <c r="N40" s="173"/>
      <c r="O40" s="173"/>
      <c r="P40" s="174"/>
    </row>
    <row r="41" spans="1:16">
      <c r="A41" s="169">
        <v>42793</v>
      </c>
      <c r="B41" s="170">
        <v>42794</v>
      </c>
      <c r="C41" s="171" t="s">
        <v>316</v>
      </c>
      <c r="D41" s="172" t="s">
        <v>7</v>
      </c>
      <c r="E41" s="173">
        <v>3870705.12</v>
      </c>
      <c r="F41" s="173">
        <v>-500</v>
      </c>
      <c r="G41" s="173">
        <v>503264</v>
      </c>
      <c r="H41" s="173">
        <v>26951.78</v>
      </c>
      <c r="I41" s="173">
        <v>8086</v>
      </c>
      <c r="J41" s="170">
        <v>42793</v>
      </c>
      <c r="K41" s="170"/>
      <c r="L41" s="173"/>
      <c r="M41" s="173"/>
      <c r="N41" s="173"/>
      <c r="O41" s="173"/>
      <c r="P41" s="174"/>
    </row>
    <row r="42" spans="1:16">
      <c r="A42" s="169">
        <v>42793</v>
      </c>
      <c r="B42" s="170">
        <v>42794</v>
      </c>
      <c r="C42" s="171" t="s">
        <v>316</v>
      </c>
      <c r="D42" s="172" t="s">
        <v>8</v>
      </c>
      <c r="E42" s="173">
        <v>339218.09</v>
      </c>
      <c r="F42" s="173">
        <v>1000</v>
      </c>
      <c r="G42" s="173">
        <v>43969</v>
      </c>
      <c r="H42" s="173">
        <v>0</v>
      </c>
      <c r="I42" s="173">
        <v>0</v>
      </c>
      <c r="J42" s="170">
        <v>42793</v>
      </c>
      <c r="K42" s="170"/>
      <c r="L42" s="173"/>
      <c r="M42" s="173"/>
      <c r="N42" s="173"/>
      <c r="O42" s="173"/>
      <c r="P42" s="174"/>
    </row>
    <row r="43" spans="1:16">
      <c r="A43" s="169">
        <v>42793</v>
      </c>
      <c r="B43" s="170">
        <v>42794</v>
      </c>
      <c r="C43" s="171" t="s">
        <v>316</v>
      </c>
      <c r="D43" s="172" t="s">
        <v>9</v>
      </c>
      <c r="E43" s="173">
        <v>29886</v>
      </c>
      <c r="F43" s="173">
        <v>0</v>
      </c>
      <c r="G43" s="173">
        <v>3884</v>
      </c>
      <c r="H43" s="173">
        <v>0</v>
      </c>
      <c r="I43" s="173">
        <v>0</v>
      </c>
      <c r="J43" s="170">
        <v>42793</v>
      </c>
      <c r="K43" s="170"/>
      <c r="L43" s="173"/>
      <c r="M43" s="173"/>
      <c r="N43" s="173"/>
      <c r="O43" s="173"/>
      <c r="P43" s="174"/>
    </row>
    <row r="44" spans="1:16">
      <c r="A44" s="169">
        <v>42793</v>
      </c>
      <c r="B44" s="170">
        <v>42794</v>
      </c>
      <c r="C44" s="171" t="s">
        <v>316</v>
      </c>
      <c r="D44" s="172" t="s">
        <v>12</v>
      </c>
      <c r="E44" s="173">
        <v>2865038.2</v>
      </c>
      <c r="F44" s="173">
        <v>1000</v>
      </c>
      <c r="G44" s="173">
        <v>372323</v>
      </c>
      <c r="H44" s="173">
        <v>2101.9</v>
      </c>
      <c r="I44" s="173">
        <v>630</v>
      </c>
      <c r="J44" s="170">
        <v>42793</v>
      </c>
      <c r="K44" s="170"/>
      <c r="L44" s="173"/>
      <c r="M44" s="173"/>
      <c r="N44" s="173"/>
      <c r="O44" s="173"/>
      <c r="P44" s="174"/>
    </row>
    <row r="45" spans="1:16">
      <c r="A45" s="169">
        <v>42793</v>
      </c>
      <c r="B45" s="170">
        <v>42794</v>
      </c>
      <c r="C45" s="171" t="s">
        <v>316</v>
      </c>
      <c r="D45" s="172" t="s">
        <v>13</v>
      </c>
      <c r="E45" s="173">
        <v>1020488.15</v>
      </c>
      <c r="F45" s="173">
        <v>2400</v>
      </c>
      <c r="G45" s="173">
        <v>132359</v>
      </c>
      <c r="H45" s="173">
        <v>0</v>
      </c>
      <c r="I45" s="173">
        <v>0</v>
      </c>
      <c r="J45" s="170">
        <v>42793</v>
      </c>
      <c r="K45" s="170"/>
      <c r="L45" s="173"/>
      <c r="M45" s="173"/>
      <c r="N45" s="173"/>
      <c r="O45" s="173"/>
      <c r="P45" s="174"/>
    </row>
    <row r="46" spans="1:16">
      <c r="A46" s="169">
        <v>42794</v>
      </c>
      <c r="B46" s="170"/>
      <c r="C46" s="171" t="s">
        <v>316</v>
      </c>
      <c r="D46" s="172" t="s">
        <v>7</v>
      </c>
      <c r="E46" s="173"/>
      <c r="F46" s="173"/>
      <c r="G46" s="173"/>
      <c r="H46" s="173"/>
      <c r="I46" s="173"/>
      <c r="J46" s="170">
        <v>42794</v>
      </c>
      <c r="K46" s="170">
        <v>42745</v>
      </c>
      <c r="L46" s="173">
        <v>-15112.68</v>
      </c>
      <c r="M46" s="173">
        <v>-500</v>
      </c>
      <c r="N46" s="173">
        <v>-1899</v>
      </c>
      <c r="O46" s="173">
        <v>0</v>
      </c>
      <c r="P46" s="174">
        <v>0</v>
      </c>
    </row>
    <row r="47" spans="1:16">
      <c r="A47" s="169">
        <v>42794</v>
      </c>
      <c r="B47" s="170"/>
      <c r="C47" s="171" t="s">
        <v>316</v>
      </c>
      <c r="D47" s="172" t="s">
        <v>7</v>
      </c>
      <c r="E47" s="173"/>
      <c r="F47" s="173"/>
      <c r="G47" s="173"/>
      <c r="H47" s="173"/>
      <c r="I47" s="173"/>
      <c r="J47" s="170">
        <v>42794</v>
      </c>
      <c r="K47" s="170">
        <v>42776</v>
      </c>
      <c r="L47" s="173">
        <v>-8935.0499999999993</v>
      </c>
      <c r="M47" s="173">
        <v>0</v>
      </c>
      <c r="N47" s="173">
        <v>-1162</v>
      </c>
      <c r="O47" s="173">
        <v>0</v>
      </c>
      <c r="P47" s="174">
        <v>0</v>
      </c>
    </row>
    <row r="48" spans="1:16">
      <c r="A48" s="169">
        <v>42794</v>
      </c>
      <c r="B48" s="170">
        <v>42795</v>
      </c>
      <c r="C48" s="171" t="s">
        <v>317</v>
      </c>
      <c r="D48" s="172" t="s">
        <v>7</v>
      </c>
      <c r="E48" s="173">
        <v>6597302.0999999996</v>
      </c>
      <c r="F48" s="173">
        <v>0</v>
      </c>
      <c r="G48" s="173">
        <v>857649</v>
      </c>
      <c r="H48" s="173">
        <v>0</v>
      </c>
      <c r="I48" s="173">
        <v>0</v>
      </c>
      <c r="J48" s="170">
        <v>42794</v>
      </c>
      <c r="K48" s="170"/>
      <c r="L48" s="173"/>
      <c r="M48" s="173"/>
      <c r="N48" s="173"/>
      <c r="O48" s="173"/>
      <c r="P48" s="174"/>
    </row>
    <row r="49" spans="1:16">
      <c r="A49" s="169">
        <v>42804</v>
      </c>
      <c r="B49" s="170">
        <v>42805</v>
      </c>
      <c r="C49" s="171" t="s">
        <v>316</v>
      </c>
      <c r="D49" s="172" t="s">
        <v>7</v>
      </c>
      <c r="E49" s="173">
        <v>1111205930.6600001</v>
      </c>
      <c r="F49" s="173">
        <v>5902600</v>
      </c>
      <c r="G49" s="173">
        <v>143717724</v>
      </c>
      <c r="H49" s="173">
        <v>2558044.63</v>
      </c>
      <c r="I49" s="173">
        <v>767419</v>
      </c>
      <c r="J49" s="170">
        <v>42804</v>
      </c>
      <c r="K49" s="170"/>
      <c r="L49" s="173"/>
      <c r="M49" s="173"/>
      <c r="N49" s="173"/>
      <c r="O49" s="173"/>
      <c r="P49" s="174"/>
    </row>
    <row r="50" spans="1:16">
      <c r="A50" s="169">
        <v>42804</v>
      </c>
      <c r="B50" s="170">
        <v>42805</v>
      </c>
      <c r="C50" s="171" t="s">
        <v>316</v>
      </c>
      <c r="D50" s="172" t="s">
        <v>8</v>
      </c>
      <c r="E50" s="173">
        <v>36827110.219999999</v>
      </c>
      <c r="F50" s="173">
        <v>138200</v>
      </c>
      <c r="G50" s="173">
        <v>4771613</v>
      </c>
      <c r="H50" s="173">
        <v>24793</v>
      </c>
      <c r="I50" s="173">
        <v>7438</v>
      </c>
      <c r="J50" s="170">
        <v>42804</v>
      </c>
      <c r="K50" s="170"/>
      <c r="L50" s="173"/>
      <c r="M50" s="173"/>
      <c r="N50" s="173"/>
      <c r="O50" s="173"/>
      <c r="P50" s="174"/>
    </row>
    <row r="51" spans="1:16">
      <c r="A51" s="169">
        <v>42804</v>
      </c>
      <c r="B51" s="170">
        <v>42805</v>
      </c>
      <c r="C51" s="171" t="s">
        <v>316</v>
      </c>
      <c r="D51" s="172" t="s">
        <v>9</v>
      </c>
      <c r="E51" s="173">
        <v>18357778</v>
      </c>
      <c r="F51" s="173">
        <v>34200</v>
      </c>
      <c r="G51" s="173">
        <v>2382300</v>
      </c>
      <c r="H51" s="173">
        <v>2463</v>
      </c>
      <c r="I51" s="173">
        <v>739</v>
      </c>
      <c r="J51" s="170">
        <v>42804</v>
      </c>
      <c r="K51" s="170"/>
      <c r="L51" s="173"/>
      <c r="M51" s="173"/>
      <c r="N51" s="173"/>
      <c r="O51" s="173"/>
      <c r="P51" s="174"/>
    </row>
    <row r="52" spans="1:16">
      <c r="A52" s="169">
        <v>42804</v>
      </c>
      <c r="B52" s="170">
        <v>42805</v>
      </c>
      <c r="C52" s="171" t="s">
        <v>316</v>
      </c>
      <c r="D52" s="172" t="s">
        <v>11</v>
      </c>
      <c r="E52" s="173">
        <v>3371026.83</v>
      </c>
      <c r="F52" s="173">
        <v>11000</v>
      </c>
      <c r="G52" s="173">
        <v>436804</v>
      </c>
      <c r="H52" s="173">
        <v>4428.5</v>
      </c>
      <c r="I52" s="173">
        <v>1329</v>
      </c>
      <c r="J52" s="170">
        <v>42804</v>
      </c>
      <c r="K52" s="170"/>
      <c r="L52" s="173"/>
      <c r="M52" s="173"/>
      <c r="N52" s="173"/>
      <c r="O52" s="173"/>
      <c r="P52" s="174"/>
    </row>
    <row r="53" spans="1:16">
      <c r="A53" s="169">
        <v>42804</v>
      </c>
      <c r="B53" s="170">
        <v>42805</v>
      </c>
      <c r="C53" s="171" t="s">
        <v>316</v>
      </c>
      <c r="D53" s="172" t="s">
        <v>12</v>
      </c>
      <c r="E53" s="173">
        <v>32229430.52</v>
      </c>
      <c r="F53" s="173">
        <v>294400</v>
      </c>
      <c r="G53" s="173">
        <v>4154693</v>
      </c>
      <c r="H53" s="173">
        <v>67450.48</v>
      </c>
      <c r="I53" s="173">
        <v>20235</v>
      </c>
      <c r="J53" s="170">
        <v>42804</v>
      </c>
      <c r="K53" s="170"/>
      <c r="L53" s="173"/>
      <c r="M53" s="173"/>
      <c r="N53" s="173"/>
      <c r="O53" s="173"/>
      <c r="P53" s="174"/>
    </row>
    <row r="54" spans="1:16">
      <c r="A54" s="169">
        <v>42804</v>
      </c>
      <c r="B54" s="170">
        <v>42805</v>
      </c>
      <c r="C54" s="171" t="s">
        <v>316</v>
      </c>
      <c r="D54" s="172" t="s">
        <v>13</v>
      </c>
      <c r="E54" s="173">
        <v>84834155.370000005</v>
      </c>
      <c r="F54" s="173">
        <v>653500</v>
      </c>
      <c r="G54" s="173">
        <v>10947692</v>
      </c>
      <c r="H54" s="173">
        <v>17161</v>
      </c>
      <c r="I54" s="173">
        <v>5148</v>
      </c>
      <c r="J54" s="170">
        <v>42804</v>
      </c>
      <c r="K54" s="170"/>
      <c r="L54" s="173"/>
      <c r="M54" s="173"/>
      <c r="N54" s="173"/>
      <c r="O54" s="173"/>
      <c r="P54" s="174"/>
    </row>
    <row r="55" spans="1:16">
      <c r="A55" s="169">
        <v>42807</v>
      </c>
      <c r="B55" s="170">
        <v>42808</v>
      </c>
      <c r="C55" s="171" t="s">
        <v>317</v>
      </c>
      <c r="D55" s="172" t="s">
        <v>7</v>
      </c>
      <c r="E55" s="173">
        <v>6888208.5700000003</v>
      </c>
      <c r="F55" s="173">
        <v>0</v>
      </c>
      <c r="G55" s="173">
        <v>895467</v>
      </c>
      <c r="H55" s="173">
        <v>0</v>
      </c>
      <c r="I55" s="173">
        <v>0</v>
      </c>
      <c r="J55" s="170">
        <v>42807</v>
      </c>
      <c r="K55" s="170"/>
      <c r="L55" s="173"/>
      <c r="M55" s="173"/>
      <c r="N55" s="173"/>
      <c r="O55" s="173"/>
      <c r="P55" s="174"/>
    </row>
    <row r="56" spans="1:16">
      <c r="A56" s="169">
        <v>42811</v>
      </c>
      <c r="B56" s="170"/>
      <c r="C56" s="171" t="s">
        <v>318</v>
      </c>
      <c r="D56" s="172" t="s">
        <v>8</v>
      </c>
      <c r="E56" s="173"/>
      <c r="F56" s="173"/>
      <c r="G56" s="173"/>
      <c r="H56" s="173"/>
      <c r="I56" s="173"/>
      <c r="J56" s="170">
        <v>42811</v>
      </c>
      <c r="K56" s="170">
        <v>42587</v>
      </c>
      <c r="L56" s="173">
        <v>-50000</v>
      </c>
      <c r="M56" s="173">
        <v>0</v>
      </c>
      <c r="N56" s="173">
        <v>-6500</v>
      </c>
      <c r="O56" s="173">
        <v>0</v>
      </c>
      <c r="P56" s="174">
        <v>0</v>
      </c>
    </row>
    <row r="57" spans="1:16">
      <c r="A57" s="169">
        <v>42818</v>
      </c>
      <c r="B57" s="170">
        <v>42819</v>
      </c>
      <c r="C57" s="171" t="s">
        <v>316</v>
      </c>
      <c r="D57" s="172" t="s">
        <v>7</v>
      </c>
      <c r="E57" s="173">
        <v>10228035.35</v>
      </c>
      <c r="F57" s="173">
        <v>6500</v>
      </c>
      <c r="G57" s="173">
        <v>1328796</v>
      </c>
      <c r="H57" s="173">
        <v>11584.85</v>
      </c>
      <c r="I57" s="173">
        <v>3475</v>
      </c>
      <c r="J57" s="170">
        <v>42818</v>
      </c>
      <c r="K57" s="170"/>
      <c r="L57" s="173"/>
      <c r="M57" s="173"/>
      <c r="N57" s="173"/>
      <c r="O57" s="173"/>
      <c r="P57" s="174"/>
    </row>
    <row r="58" spans="1:16">
      <c r="A58" s="169">
        <v>42818</v>
      </c>
      <c r="B58" s="170">
        <v>42819</v>
      </c>
      <c r="C58" s="171" t="s">
        <v>316</v>
      </c>
      <c r="D58" s="172" t="s">
        <v>8</v>
      </c>
      <c r="E58" s="173">
        <v>180474.12</v>
      </c>
      <c r="F58" s="173">
        <v>0</v>
      </c>
      <c r="G58" s="173">
        <v>23464</v>
      </c>
      <c r="H58" s="173">
        <v>0</v>
      </c>
      <c r="I58" s="173">
        <v>0</v>
      </c>
      <c r="J58" s="170">
        <v>42818</v>
      </c>
      <c r="K58" s="170"/>
      <c r="L58" s="173"/>
      <c r="M58" s="173"/>
      <c r="N58" s="173"/>
      <c r="O58" s="173"/>
      <c r="P58" s="174"/>
    </row>
    <row r="59" spans="1:16">
      <c r="A59" s="169">
        <v>42818</v>
      </c>
      <c r="B59" s="170">
        <v>42819</v>
      </c>
      <c r="C59" s="171" t="s">
        <v>316</v>
      </c>
      <c r="D59" s="172" t="s">
        <v>9</v>
      </c>
      <c r="E59" s="173">
        <v>127077.17</v>
      </c>
      <c r="F59" s="173">
        <v>0</v>
      </c>
      <c r="G59" s="173">
        <v>16520</v>
      </c>
      <c r="H59" s="173">
        <v>0</v>
      </c>
      <c r="I59" s="173">
        <v>0</v>
      </c>
      <c r="J59" s="170">
        <v>42818</v>
      </c>
      <c r="K59" s="170"/>
      <c r="L59" s="173"/>
      <c r="M59" s="173"/>
      <c r="N59" s="173"/>
      <c r="O59" s="173"/>
      <c r="P59" s="174"/>
    </row>
    <row r="60" spans="1:16">
      <c r="A60" s="169">
        <v>42818</v>
      </c>
      <c r="B60" s="170">
        <v>42819</v>
      </c>
      <c r="C60" s="171" t="s">
        <v>316</v>
      </c>
      <c r="D60" s="172" t="s">
        <v>11</v>
      </c>
      <c r="E60" s="173">
        <v>12643.68</v>
      </c>
      <c r="F60" s="173">
        <v>0</v>
      </c>
      <c r="G60" s="173">
        <v>1644</v>
      </c>
      <c r="H60" s="173">
        <v>0</v>
      </c>
      <c r="I60" s="173">
        <v>0</v>
      </c>
      <c r="J60" s="170">
        <v>42818</v>
      </c>
      <c r="K60" s="170"/>
      <c r="L60" s="173"/>
      <c r="M60" s="173"/>
      <c r="N60" s="173"/>
      <c r="O60" s="173"/>
      <c r="P60" s="174"/>
    </row>
    <row r="61" spans="1:16">
      <c r="A61" s="169">
        <v>42818</v>
      </c>
      <c r="B61" s="170">
        <v>42819</v>
      </c>
      <c r="C61" s="171" t="s">
        <v>316</v>
      </c>
      <c r="D61" s="172" t="s">
        <v>12</v>
      </c>
      <c r="E61" s="173">
        <v>267710.5</v>
      </c>
      <c r="F61" s="173">
        <v>0</v>
      </c>
      <c r="G61" s="173">
        <v>34803</v>
      </c>
      <c r="H61" s="173">
        <v>0</v>
      </c>
      <c r="I61" s="173">
        <v>0</v>
      </c>
      <c r="J61" s="170">
        <v>42818</v>
      </c>
      <c r="K61" s="170"/>
      <c r="L61" s="173"/>
      <c r="M61" s="173"/>
      <c r="N61" s="173"/>
      <c r="O61" s="173"/>
      <c r="P61" s="174"/>
    </row>
    <row r="62" spans="1:16">
      <c r="A62" s="169">
        <v>42818</v>
      </c>
      <c r="B62" s="170">
        <v>42819</v>
      </c>
      <c r="C62" s="171" t="s">
        <v>316</v>
      </c>
      <c r="D62" s="172" t="s">
        <v>13</v>
      </c>
      <c r="E62" s="173">
        <v>1204766.54</v>
      </c>
      <c r="F62" s="173">
        <v>19800</v>
      </c>
      <c r="G62" s="173">
        <v>154052</v>
      </c>
      <c r="H62" s="173">
        <v>0</v>
      </c>
      <c r="I62" s="173">
        <v>0</v>
      </c>
      <c r="J62" s="170">
        <v>42818</v>
      </c>
      <c r="K62" s="170"/>
      <c r="L62" s="173"/>
      <c r="M62" s="173"/>
      <c r="N62" s="173"/>
      <c r="O62" s="173"/>
      <c r="P62" s="174"/>
    </row>
    <row r="63" spans="1:16">
      <c r="A63" s="169">
        <v>42821</v>
      </c>
      <c r="B63" s="170"/>
      <c r="C63" s="171" t="s">
        <v>318</v>
      </c>
      <c r="D63" s="172" t="s">
        <v>8</v>
      </c>
      <c r="E63" s="173"/>
      <c r="F63" s="173"/>
      <c r="G63" s="173"/>
      <c r="H63" s="173"/>
      <c r="I63" s="173"/>
      <c r="J63" s="170">
        <v>42821</v>
      </c>
      <c r="K63" s="170">
        <v>42650</v>
      </c>
      <c r="L63" s="173">
        <v>-35000</v>
      </c>
      <c r="M63" s="173">
        <v>0</v>
      </c>
      <c r="N63" s="173">
        <v>-4550</v>
      </c>
      <c r="O63" s="173">
        <v>0</v>
      </c>
      <c r="P63" s="174">
        <v>0</v>
      </c>
    </row>
    <row r="64" spans="1:16">
      <c r="A64" s="169">
        <v>42821</v>
      </c>
      <c r="B64" s="170">
        <v>42822</v>
      </c>
      <c r="C64" s="171" t="s">
        <v>317</v>
      </c>
      <c r="D64" s="172" t="s">
        <v>7</v>
      </c>
      <c r="E64" s="173">
        <v>5543304.9900000002</v>
      </c>
      <c r="F64" s="173">
        <v>0</v>
      </c>
      <c r="G64" s="173">
        <v>720628</v>
      </c>
      <c r="H64" s="173">
        <v>52254</v>
      </c>
      <c r="I64" s="173">
        <v>15676</v>
      </c>
      <c r="J64" s="170">
        <v>42821</v>
      </c>
      <c r="K64" s="170"/>
      <c r="L64" s="173"/>
      <c r="M64" s="173"/>
      <c r="N64" s="173"/>
      <c r="O64" s="173"/>
      <c r="P64" s="174"/>
    </row>
    <row r="65" spans="1:16">
      <c r="A65" s="169">
        <v>42825</v>
      </c>
      <c r="B65" s="170"/>
      <c r="C65" s="171" t="s">
        <v>316</v>
      </c>
      <c r="D65" s="172" t="s">
        <v>7</v>
      </c>
      <c r="E65" s="173"/>
      <c r="F65" s="173"/>
      <c r="G65" s="173"/>
      <c r="H65" s="173"/>
      <c r="I65" s="173"/>
      <c r="J65" s="170">
        <v>42825</v>
      </c>
      <c r="K65" s="170">
        <v>42745</v>
      </c>
      <c r="L65" s="173">
        <v>-10090.99</v>
      </c>
      <c r="M65" s="173">
        <v>-500</v>
      </c>
      <c r="N65" s="173">
        <v>-1247</v>
      </c>
      <c r="O65" s="173">
        <v>0</v>
      </c>
      <c r="P65" s="174">
        <v>0</v>
      </c>
    </row>
    <row r="66" spans="1:16">
      <c r="A66" s="169">
        <v>42825</v>
      </c>
      <c r="B66" s="170"/>
      <c r="C66" s="171" t="s">
        <v>316</v>
      </c>
      <c r="D66" s="172" t="s">
        <v>7</v>
      </c>
      <c r="E66" s="173"/>
      <c r="F66" s="173"/>
      <c r="G66" s="173"/>
      <c r="H66" s="173"/>
      <c r="I66" s="173"/>
      <c r="J66" s="170">
        <v>42825</v>
      </c>
      <c r="K66" s="170">
        <v>42776</v>
      </c>
      <c r="L66" s="173">
        <v>-34138.81</v>
      </c>
      <c r="M66" s="173">
        <v>-1000</v>
      </c>
      <c r="N66" s="173">
        <v>-4304</v>
      </c>
      <c r="O66" s="173">
        <v>0</v>
      </c>
      <c r="P66" s="174">
        <v>0</v>
      </c>
    </row>
    <row r="67" spans="1:16">
      <c r="A67" s="169">
        <v>42825</v>
      </c>
      <c r="B67" s="170"/>
      <c r="C67" s="171" t="s">
        <v>316</v>
      </c>
      <c r="D67" s="172" t="s">
        <v>7</v>
      </c>
      <c r="E67" s="173"/>
      <c r="F67" s="173"/>
      <c r="G67" s="173"/>
      <c r="H67" s="173"/>
      <c r="I67" s="173"/>
      <c r="J67" s="170">
        <v>42825</v>
      </c>
      <c r="K67" s="170">
        <v>42804</v>
      </c>
      <c r="L67" s="173">
        <v>-3738.4</v>
      </c>
      <c r="M67" s="173">
        <v>0</v>
      </c>
      <c r="N67" s="173">
        <v>-486</v>
      </c>
      <c r="O67" s="173">
        <v>0</v>
      </c>
      <c r="P67" s="174">
        <v>0</v>
      </c>
    </row>
    <row r="68" spans="1:16">
      <c r="A68" s="169">
        <v>42832</v>
      </c>
      <c r="B68" s="170">
        <v>42833</v>
      </c>
      <c r="C68" s="171" t="s">
        <v>318</v>
      </c>
      <c r="D68" s="172" t="s">
        <v>8</v>
      </c>
      <c r="E68" s="173">
        <v>3499808.62</v>
      </c>
      <c r="F68" s="173">
        <v>0</v>
      </c>
      <c r="G68" s="173">
        <v>454975</v>
      </c>
      <c r="H68" s="173">
        <v>0</v>
      </c>
      <c r="I68" s="173">
        <v>0</v>
      </c>
      <c r="J68" s="170">
        <v>42832</v>
      </c>
      <c r="K68" s="170"/>
      <c r="L68" s="173"/>
      <c r="M68" s="173"/>
      <c r="N68" s="173"/>
      <c r="O68" s="173"/>
      <c r="P68" s="174"/>
    </row>
    <row r="69" spans="1:16">
      <c r="A69" s="169">
        <v>42832</v>
      </c>
      <c r="B69" s="170">
        <v>42833</v>
      </c>
      <c r="C69" s="171" t="s">
        <v>318</v>
      </c>
      <c r="D69" s="172" t="s">
        <v>9</v>
      </c>
      <c r="E69" s="173">
        <v>2997890.8</v>
      </c>
      <c r="F69" s="173">
        <v>0</v>
      </c>
      <c r="G69" s="173">
        <v>389728</v>
      </c>
      <c r="H69" s="173">
        <v>0</v>
      </c>
      <c r="I69" s="173">
        <v>0</v>
      </c>
      <c r="J69" s="170">
        <v>42832</v>
      </c>
      <c r="K69" s="170">
        <v>42727</v>
      </c>
      <c r="L69" s="173">
        <v>-7000</v>
      </c>
      <c r="M69" s="173">
        <v>0</v>
      </c>
      <c r="N69" s="173">
        <v>-910</v>
      </c>
      <c r="O69" s="173">
        <v>0</v>
      </c>
      <c r="P69" s="174">
        <v>0</v>
      </c>
    </row>
    <row r="70" spans="1:16">
      <c r="A70" s="169">
        <v>42832</v>
      </c>
      <c r="B70" s="170">
        <v>42833</v>
      </c>
      <c r="C70" s="171" t="s">
        <v>318</v>
      </c>
      <c r="D70" s="172" t="s">
        <v>10</v>
      </c>
      <c r="E70" s="173">
        <v>4566024.4400000004</v>
      </c>
      <c r="F70" s="173">
        <v>0</v>
      </c>
      <c r="G70" s="173">
        <v>593583</v>
      </c>
      <c r="H70" s="173">
        <v>0</v>
      </c>
      <c r="I70" s="173">
        <v>0</v>
      </c>
      <c r="J70" s="170">
        <v>42832</v>
      </c>
      <c r="K70" s="170"/>
      <c r="L70" s="173"/>
      <c r="M70" s="173"/>
      <c r="N70" s="173"/>
      <c r="O70" s="173"/>
      <c r="P70" s="174"/>
    </row>
    <row r="71" spans="1:16">
      <c r="A71" s="169">
        <v>42832</v>
      </c>
      <c r="B71" s="170">
        <v>42833</v>
      </c>
      <c r="C71" s="171" t="s">
        <v>318</v>
      </c>
      <c r="D71" s="172" t="s">
        <v>11</v>
      </c>
      <c r="E71" s="173">
        <v>1154670.76</v>
      </c>
      <c r="F71" s="173">
        <v>0</v>
      </c>
      <c r="G71" s="173">
        <v>150108</v>
      </c>
      <c r="H71" s="173">
        <v>0</v>
      </c>
      <c r="I71" s="173">
        <v>0</v>
      </c>
      <c r="J71" s="170">
        <v>42832</v>
      </c>
      <c r="K71" s="170"/>
      <c r="L71" s="173"/>
      <c r="M71" s="173"/>
      <c r="N71" s="173"/>
      <c r="O71" s="173"/>
      <c r="P71" s="174"/>
    </row>
    <row r="72" spans="1:16">
      <c r="A72" s="169">
        <v>42832</v>
      </c>
      <c r="B72" s="170">
        <v>42833</v>
      </c>
      <c r="C72" s="171" t="s">
        <v>317</v>
      </c>
      <c r="D72" s="172" t="s">
        <v>7</v>
      </c>
      <c r="E72" s="173">
        <v>4768030.78</v>
      </c>
      <c r="F72" s="173">
        <v>0</v>
      </c>
      <c r="G72" s="173">
        <v>619843</v>
      </c>
      <c r="H72" s="173">
        <v>252200.94</v>
      </c>
      <c r="I72" s="173">
        <v>75659</v>
      </c>
      <c r="J72" s="170">
        <v>42832</v>
      </c>
      <c r="K72" s="170"/>
      <c r="L72" s="173"/>
      <c r="M72" s="173"/>
      <c r="N72" s="173"/>
      <c r="O72" s="173"/>
      <c r="P72" s="174"/>
    </row>
    <row r="73" spans="1:16">
      <c r="A73" s="169">
        <v>42835</v>
      </c>
      <c r="B73" s="170">
        <v>42836</v>
      </c>
      <c r="C73" s="171" t="s">
        <v>316</v>
      </c>
      <c r="D73" s="172" t="s">
        <v>7</v>
      </c>
      <c r="E73" s="173">
        <v>1122339942.3199999</v>
      </c>
      <c r="F73" s="173">
        <v>6412300</v>
      </c>
      <c r="G73" s="173">
        <v>145095325</v>
      </c>
      <c r="H73" s="173">
        <v>2596322.44</v>
      </c>
      <c r="I73" s="173">
        <v>787476</v>
      </c>
      <c r="J73" s="170">
        <v>42835</v>
      </c>
      <c r="K73" s="170"/>
      <c r="L73" s="173"/>
      <c r="M73" s="173"/>
      <c r="N73" s="173"/>
      <c r="O73" s="173"/>
      <c r="P73" s="174"/>
    </row>
    <row r="74" spans="1:16">
      <c r="A74" s="169">
        <v>42835</v>
      </c>
      <c r="B74" s="170">
        <v>42836</v>
      </c>
      <c r="C74" s="171" t="s">
        <v>316</v>
      </c>
      <c r="D74" s="172" t="s">
        <v>8</v>
      </c>
      <c r="E74" s="173">
        <v>39955767.619999997</v>
      </c>
      <c r="F74" s="173">
        <v>220800</v>
      </c>
      <c r="G74" s="173">
        <v>5176854</v>
      </c>
      <c r="H74" s="173">
        <v>24793</v>
      </c>
      <c r="I74" s="173">
        <v>7438</v>
      </c>
      <c r="J74" s="170">
        <v>42835</v>
      </c>
      <c r="K74" s="170"/>
      <c r="L74" s="173"/>
      <c r="M74" s="173"/>
      <c r="N74" s="173"/>
      <c r="O74" s="173"/>
      <c r="P74" s="174"/>
    </row>
    <row r="75" spans="1:16">
      <c r="A75" s="169">
        <v>42835</v>
      </c>
      <c r="B75" s="170">
        <v>42836</v>
      </c>
      <c r="C75" s="171" t="s">
        <v>316</v>
      </c>
      <c r="D75" s="172" t="s">
        <v>9</v>
      </c>
      <c r="E75" s="173">
        <v>18926470.550000001</v>
      </c>
      <c r="F75" s="173">
        <v>34900</v>
      </c>
      <c r="G75" s="173">
        <v>2456831</v>
      </c>
      <c r="H75" s="173">
        <v>2463</v>
      </c>
      <c r="I75" s="173">
        <v>739</v>
      </c>
      <c r="J75" s="170">
        <v>42835</v>
      </c>
      <c r="K75" s="170"/>
      <c r="L75" s="173"/>
      <c r="M75" s="173"/>
      <c r="N75" s="173"/>
      <c r="O75" s="173"/>
      <c r="P75" s="174"/>
    </row>
    <row r="76" spans="1:16">
      <c r="A76" s="169">
        <v>42835</v>
      </c>
      <c r="B76" s="170">
        <v>42836</v>
      </c>
      <c r="C76" s="171" t="s">
        <v>316</v>
      </c>
      <c r="D76" s="172" t="s">
        <v>11</v>
      </c>
      <c r="E76" s="173">
        <v>3351691.16</v>
      </c>
      <c r="F76" s="173">
        <v>11000</v>
      </c>
      <c r="G76" s="173">
        <v>434291</v>
      </c>
      <c r="H76" s="173">
        <v>4428.5</v>
      </c>
      <c r="I76" s="173">
        <v>1329</v>
      </c>
      <c r="J76" s="170">
        <v>42835</v>
      </c>
      <c r="K76" s="170"/>
      <c r="L76" s="173"/>
      <c r="M76" s="173"/>
      <c r="N76" s="173"/>
      <c r="O76" s="173"/>
      <c r="P76" s="174"/>
    </row>
    <row r="77" spans="1:16">
      <c r="A77" s="169">
        <v>42835</v>
      </c>
      <c r="B77" s="170">
        <v>42836</v>
      </c>
      <c r="C77" s="171" t="s">
        <v>316</v>
      </c>
      <c r="D77" s="172" t="s">
        <v>12</v>
      </c>
      <c r="E77" s="173">
        <v>32009631</v>
      </c>
      <c r="F77" s="173">
        <v>316000</v>
      </c>
      <c r="G77" s="173">
        <v>4123225</v>
      </c>
      <c r="H77" s="173">
        <v>67450.48</v>
      </c>
      <c r="I77" s="173">
        <v>20235</v>
      </c>
      <c r="J77" s="170">
        <v>42835</v>
      </c>
      <c r="K77" s="170"/>
      <c r="L77" s="173"/>
      <c r="M77" s="173"/>
      <c r="N77" s="173"/>
      <c r="O77" s="173"/>
      <c r="P77" s="174"/>
    </row>
    <row r="78" spans="1:16">
      <c r="A78" s="169">
        <v>42835</v>
      </c>
      <c r="B78" s="170">
        <v>42836</v>
      </c>
      <c r="C78" s="171" t="s">
        <v>316</v>
      </c>
      <c r="D78" s="172" t="s">
        <v>13</v>
      </c>
      <c r="E78" s="173">
        <v>91115422.920000002</v>
      </c>
      <c r="F78" s="173">
        <v>643700</v>
      </c>
      <c r="G78" s="173">
        <v>11765797</v>
      </c>
      <c r="H78" s="173">
        <v>17161</v>
      </c>
      <c r="I78" s="173">
        <v>5148</v>
      </c>
      <c r="J78" s="170">
        <v>42835</v>
      </c>
      <c r="K78" s="170"/>
      <c r="L78" s="173"/>
      <c r="M78" s="173"/>
      <c r="N78" s="173"/>
      <c r="O78" s="173"/>
      <c r="P78" s="174"/>
    </row>
    <row r="79" spans="1:16">
      <c r="A79" s="169">
        <v>42839</v>
      </c>
      <c r="B79" s="170">
        <v>42840</v>
      </c>
      <c r="C79" s="171" t="s">
        <v>318</v>
      </c>
      <c r="D79" s="172" t="s">
        <v>8</v>
      </c>
      <c r="E79" s="173">
        <v>721953.93</v>
      </c>
      <c r="F79" s="173">
        <v>0</v>
      </c>
      <c r="G79" s="173">
        <v>93854</v>
      </c>
      <c r="H79" s="173">
        <v>0</v>
      </c>
      <c r="I79" s="173">
        <v>0</v>
      </c>
      <c r="J79" s="170">
        <v>42839</v>
      </c>
      <c r="K79" s="170">
        <v>42832</v>
      </c>
      <c r="L79" s="173">
        <v>-63000</v>
      </c>
      <c r="M79" s="173">
        <v>0</v>
      </c>
      <c r="N79" s="173">
        <v>-8190</v>
      </c>
      <c r="O79" s="173">
        <v>0</v>
      </c>
      <c r="P79" s="174">
        <v>0</v>
      </c>
    </row>
    <row r="80" spans="1:16">
      <c r="A80" s="169">
        <v>42839</v>
      </c>
      <c r="B80" s="170">
        <v>42840</v>
      </c>
      <c r="C80" s="171" t="s">
        <v>318</v>
      </c>
      <c r="D80" s="172" t="s">
        <v>9</v>
      </c>
      <c r="E80" s="173">
        <v>1249488.43</v>
      </c>
      <c r="F80" s="173">
        <v>0</v>
      </c>
      <c r="G80" s="173">
        <v>162433</v>
      </c>
      <c r="H80" s="173">
        <v>0</v>
      </c>
      <c r="I80" s="173">
        <v>0</v>
      </c>
      <c r="J80" s="170">
        <v>42839</v>
      </c>
      <c r="K80" s="170">
        <v>42216</v>
      </c>
      <c r="L80" s="173">
        <v>-24000</v>
      </c>
      <c r="M80" s="173">
        <v>0</v>
      </c>
      <c r="N80" s="173">
        <v>-3120</v>
      </c>
      <c r="O80" s="173">
        <v>0</v>
      </c>
      <c r="P80" s="174">
        <v>0</v>
      </c>
    </row>
    <row r="81" spans="1:16">
      <c r="A81" s="169">
        <v>42839</v>
      </c>
      <c r="B81" s="170"/>
      <c r="C81" s="171" t="s">
        <v>318</v>
      </c>
      <c r="D81" s="172" t="s">
        <v>9</v>
      </c>
      <c r="E81" s="173"/>
      <c r="F81" s="173"/>
      <c r="G81" s="173"/>
      <c r="H81" s="173"/>
      <c r="I81" s="173"/>
      <c r="J81" s="170">
        <v>42839</v>
      </c>
      <c r="K81" s="170">
        <v>42832</v>
      </c>
      <c r="L81" s="173">
        <v>-101000</v>
      </c>
      <c r="M81" s="173">
        <v>0</v>
      </c>
      <c r="N81" s="173">
        <v>-13130</v>
      </c>
      <c r="O81" s="173">
        <v>0</v>
      </c>
      <c r="P81" s="174">
        <v>0</v>
      </c>
    </row>
    <row r="82" spans="1:16">
      <c r="A82" s="169">
        <v>42839</v>
      </c>
      <c r="B82" s="170"/>
      <c r="C82" s="171" t="s">
        <v>318</v>
      </c>
      <c r="D82" s="172" t="s">
        <v>11</v>
      </c>
      <c r="E82" s="173"/>
      <c r="F82" s="173"/>
      <c r="G82" s="173"/>
      <c r="H82" s="173"/>
      <c r="I82" s="173"/>
      <c r="J82" s="170">
        <v>42839</v>
      </c>
      <c r="K82" s="170">
        <v>42702</v>
      </c>
      <c r="L82" s="173">
        <v>-20000</v>
      </c>
      <c r="M82" s="173">
        <v>0</v>
      </c>
      <c r="N82" s="173">
        <v>-2600</v>
      </c>
      <c r="O82" s="173">
        <v>0</v>
      </c>
      <c r="P82" s="174">
        <v>0</v>
      </c>
    </row>
    <row r="83" spans="1:16">
      <c r="A83" s="169">
        <v>42839</v>
      </c>
      <c r="B83" s="170"/>
      <c r="C83" s="171" t="s">
        <v>318</v>
      </c>
      <c r="D83" s="172" t="s">
        <v>11</v>
      </c>
      <c r="E83" s="173"/>
      <c r="F83" s="173"/>
      <c r="G83" s="173"/>
      <c r="H83" s="173"/>
      <c r="I83" s="173"/>
      <c r="J83" s="170">
        <v>42839</v>
      </c>
      <c r="K83" s="170">
        <v>42716</v>
      </c>
      <c r="L83" s="173">
        <v>-10000</v>
      </c>
      <c r="M83" s="173">
        <v>0</v>
      </c>
      <c r="N83" s="173">
        <v>-1300</v>
      </c>
      <c r="O83" s="173">
        <v>0</v>
      </c>
      <c r="P83" s="174">
        <v>0</v>
      </c>
    </row>
    <row r="84" spans="1:16">
      <c r="A84" s="169">
        <v>42846</v>
      </c>
      <c r="B84" s="170">
        <v>42847</v>
      </c>
      <c r="C84" s="171" t="s">
        <v>318</v>
      </c>
      <c r="D84" s="172" t="s">
        <v>8</v>
      </c>
      <c r="E84" s="173">
        <v>130056.51</v>
      </c>
      <c r="F84" s="173">
        <v>0</v>
      </c>
      <c r="G84" s="173">
        <v>16907</v>
      </c>
      <c r="H84" s="173">
        <v>0</v>
      </c>
      <c r="I84" s="173">
        <v>0</v>
      </c>
      <c r="J84" s="170">
        <v>42846</v>
      </c>
      <c r="K84" s="170">
        <v>42832</v>
      </c>
      <c r="L84" s="173">
        <v>-109000</v>
      </c>
      <c r="M84" s="173">
        <v>0</v>
      </c>
      <c r="N84" s="173">
        <v>-14170</v>
      </c>
      <c r="O84" s="173">
        <v>0</v>
      </c>
      <c r="P84" s="174">
        <v>0</v>
      </c>
    </row>
    <row r="85" spans="1:16">
      <c r="A85" s="169">
        <v>42846</v>
      </c>
      <c r="B85" s="170">
        <v>42847</v>
      </c>
      <c r="C85" s="171" t="s">
        <v>318</v>
      </c>
      <c r="D85" s="172" t="s">
        <v>9</v>
      </c>
      <c r="E85" s="173">
        <v>110141.75</v>
      </c>
      <c r="F85" s="173">
        <v>0</v>
      </c>
      <c r="G85" s="173">
        <v>14319</v>
      </c>
      <c r="H85" s="173">
        <v>0</v>
      </c>
      <c r="I85" s="173">
        <v>0</v>
      </c>
      <c r="J85" s="170">
        <v>42846</v>
      </c>
      <c r="K85" s="170">
        <v>42839</v>
      </c>
      <c r="L85" s="173">
        <v>-55500</v>
      </c>
      <c r="M85" s="173">
        <v>0</v>
      </c>
      <c r="N85" s="173">
        <v>-7215</v>
      </c>
      <c r="O85" s="173">
        <v>0</v>
      </c>
      <c r="P85" s="174">
        <v>0</v>
      </c>
    </row>
    <row r="86" spans="1:16">
      <c r="A86" s="169">
        <v>42846</v>
      </c>
      <c r="B86" s="170">
        <v>42847</v>
      </c>
      <c r="C86" s="171" t="s">
        <v>317</v>
      </c>
      <c r="D86" s="172" t="s">
        <v>7</v>
      </c>
      <c r="E86" s="173">
        <v>6083916.3399999999</v>
      </c>
      <c r="F86" s="173">
        <v>0</v>
      </c>
      <c r="G86" s="173">
        <v>790912</v>
      </c>
      <c r="H86" s="173">
        <v>0</v>
      </c>
      <c r="I86" s="173">
        <v>0</v>
      </c>
      <c r="J86" s="170">
        <v>42846</v>
      </c>
      <c r="K86" s="170"/>
      <c r="L86" s="173"/>
      <c r="M86" s="173"/>
      <c r="N86" s="173"/>
      <c r="O86" s="173"/>
      <c r="P86" s="174"/>
    </row>
    <row r="87" spans="1:16">
      <c r="A87" s="169">
        <v>42850</v>
      </c>
      <c r="B87" s="170">
        <v>42851</v>
      </c>
      <c r="C87" s="171" t="s">
        <v>316</v>
      </c>
      <c r="D87" s="172" t="s">
        <v>7</v>
      </c>
      <c r="E87" s="173">
        <v>7131989.3300000001</v>
      </c>
      <c r="F87" s="173">
        <v>2000</v>
      </c>
      <c r="G87" s="173">
        <v>926896</v>
      </c>
      <c r="H87" s="173">
        <v>0</v>
      </c>
      <c r="I87" s="173">
        <v>0</v>
      </c>
      <c r="J87" s="170">
        <v>42850</v>
      </c>
      <c r="K87" s="170"/>
      <c r="L87" s="173"/>
      <c r="M87" s="173"/>
      <c r="N87" s="173"/>
      <c r="O87" s="173"/>
      <c r="P87" s="174"/>
    </row>
    <row r="88" spans="1:16">
      <c r="A88" s="169">
        <v>42850</v>
      </c>
      <c r="B88" s="170">
        <v>42851</v>
      </c>
      <c r="C88" s="171" t="s">
        <v>316</v>
      </c>
      <c r="D88" s="172" t="s">
        <v>8</v>
      </c>
      <c r="E88" s="173">
        <v>166908.31</v>
      </c>
      <c r="F88" s="173">
        <v>0</v>
      </c>
      <c r="G88" s="173">
        <v>21696</v>
      </c>
      <c r="H88" s="173">
        <v>0</v>
      </c>
      <c r="I88" s="173">
        <v>0</v>
      </c>
      <c r="J88" s="170">
        <v>42850</v>
      </c>
      <c r="K88" s="170"/>
      <c r="L88" s="173"/>
      <c r="M88" s="173"/>
      <c r="N88" s="173"/>
      <c r="O88" s="173"/>
      <c r="P88" s="174"/>
    </row>
    <row r="89" spans="1:16">
      <c r="A89" s="169">
        <v>42850</v>
      </c>
      <c r="B89" s="170">
        <v>42851</v>
      </c>
      <c r="C89" s="171" t="s">
        <v>316</v>
      </c>
      <c r="D89" s="172" t="s">
        <v>9</v>
      </c>
      <c r="E89" s="173">
        <v>29534.34</v>
      </c>
      <c r="F89" s="173">
        <v>0</v>
      </c>
      <c r="G89" s="173">
        <v>3840</v>
      </c>
      <c r="H89" s="173">
        <v>0</v>
      </c>
      <c r="I89" s="173">
        <v>0</v>
      </c>
      <c r="J89" s="170">
        <v>42850</v>
      </c>
      <c r="K89" s="170"/>
      <c r="L89" s="173"/>
      <c r="M89" s="173"/>
      <c r="N89" s="173"/>
      <c r="O89" s="173"/>
      <c r="P89" s="174"/>
    </row>
    <row r="90" spans="1:16">
      <c r="A90" s="169">
        <v>42850</v>
      </c>
      <c r="B90" s="170">
        <v>42851</v>
      </c>
      <c r="C90" s="171" t="s">
        <v>316</v>
      </c>
      <c r="D90" s="172" t="s">
        <v>12</v>
      </c>
      <c r="E90" s="173">
        <v>280357.38</v>
      </c>
      <c r="F90" s="173">
        <v>2000</v>
      </c>
      <c r="G90" s="173">
        <v>36188</v>
      </c>
      <c r="H90" s="173">
        <v>0</v>
      </c>
      <c r="I90" s="173">
        <v>0</v>
      </c>
      <c r="J90" s="170">
        <v>42850</v>
      </c>
      <c r="K90" s="170"/>
      <c r="L90" s="173"/>
      <c r="M90" s="173"/>
      <c r="N90" s="173"/>
      <c r="O90" s="173"/>
      <c r="P90" s="174"/>
    </row>
    <row r="91" spans="1:16">
      <c r="A91" s="169">
        <v>42850</v>
      </c>
      <c r="B91" s="170">
        <v>42851</v>
      </c>
      <c r="C91" s="171" t="s">
        <v>316</v>
      </c>
      <c r="D91" s="172" t="s">
        <v>13</v>
      </c>
      <c r="E91" s="173">
        <v>2625347.23</v>
      </c>
      <c r="F91" s="173">
        <v>11300</v>
      </c>
      <c r="G91" s="173">
        <v>339825</v>
      </c>
      <c r="H91" s="173">
        <v>5846</v>
      </c>
      <c r="I91" s="173">
        <v>1754</v>
      </c>
      <c r="J91" s="170">
        <v>42850</v>
      </c>
      <c r="K91" s="170"/>
      <c r="L91" s="173"/>
      <c r="M91" s="173"/>
      <c r="N91" s="173"/>
      <c r="O91" s="173"/>
      <c r="P91" s="174"/>
    </row>
    <row r="92" spans="1:16">
      <c r="A92" s="169">
        <v>42853</v>
      </c>
      <c r="B92" s="170">
        <v>42854</v>
      </c>
      <c r="C92" s="171" t="s">
        <v>318</v>
      </c>
      <c r="D92" s="172" t="s">
        <v>8</v>
      </c>
      <c r="E92" s="173">
        <v>376904.16</v>
      </c>
      <c r="F92" s="173">
        <v>0</v>
      </c>
      <c r="G92" s="173">
        <v>48998</v>
      </c>
      <c r="H92" s="173">
        <v>0</v>
      </c>
      <c r="I92" s="173">
        <v>0</v>
      </c>
      <c r="J92" s="170">
        <v>42853</v>
      </c>
      <c r="K92" s="170"/>
      <c r="L92" s="173"/>
      <c r="M92" s="173"/>
      <c r="N92" s="173"/>
      <c r="O92" s="173"/>
      <c r="P92" s="174"/>
    </row>
    <row r="93" spans="1:16">
      <c r="A93" s="169">
        <v>42853</v>
      </c>
      <c r="B93" s="170">
        <v>42854</v>
      </c>
      <c r="C93" s="171" t="s">
        <v>318</v>
      </c>
      <c r="D93" s="172" t="s">
        <v>9</v>
      </c>
      <c r="E93" s="173">
        <v>443872.09</v>
      </c>
      <c r="F93" s="173">
        <v>0</v>
      </c>
      <c r="G93" s="173">
        <v>57703</v>
      </c>
      <c r="H93" s="173">
        <v>0</v>
      </c>
      <c r="I93" s="173">
        <v>0</v>
      </c>
      <c r="J93" s="170">
        <v>42853</v>
      </c>
      <c r="K93" s="170">
        <v>42461</v>
      </c>
      <c r="L93" s="173">
        <v>-65000</v>
      </c>
      <c r="M93" s="173">
        <v>0</v>
      </c>
      <c r="N93" s="173">
        <v>-8450</v>
      </c>
      <c r="O93" s="173">
        <v>0</v>
      </c>
      <c r="P93" s="174">
        <v>0</v>
      </c>
    </row>
    <row r="94" spans="1:16">
      <c r="A94" s="169">
        <v>42855</v>
      </c>
      <c r="B94" s="170"/>
      <c r="C94" s="171" t="s">
        <v>316</v>
      </c>
      <c r="D94" s="172" t="s">
        <v>7</v>
      </c>
      <c r="E94" s="173">
        <v>0</v>
      </c>
      <c r="F94" s="173">
        <v>0</v>
      </c>
      <c r="G94" s="173">
        <v>-20756</v>
      </c>
      <c r="H94" s="173">
        <v>0</v>
      </c>
      <c r="I94" s="173">
        <v>20756</v>
      </c>
      <c r="J94" s="170">
        <v>42855</v>
      </c>
      <c r="K94" s="170">
        <v>42745</v>
      </c>
      <c r="L94" s="173">
        <v>-11450.4</v>
      </c>
      <c r="M94" s="173">
        <v>0</v>
      </c>
      <c r="N94" s="173">
        <v>-1489</v>
      </c>
      <c r="O94" s="173">
        <v>0</v>
      </c>
      <c r="P94" s="174">
        <v>0</v>
      </c>
    </row>
    <row r="95" spans="1:16">
      <c r="A95" s="169">
        <v>42855</v>
      </c>
      <c r="B95" s="170"/>
      <c r="C95" s="171" t="s">
        <v>316</v>
      </c>
      <c r="D95" s="172" t="s">
        <v>7</v>
      </c>
      <c r="E95" s="173"/>
      <c r="F95" s="173"/>
      <c r="G95" s="173"/>
      <c r="H95" s="173"/>
      <c r="I95" s="173"/>
      <c r="J95" s="170">
        <v>42855</v>
      </c>
      <c r="K95" s="170">
        <v>42776</v>
      </c>
      <c r="L95" s="173">
        <v>-7016.89</v>
      </c>
      <c r="M95" s="173">
        <v>0</v>
      </c>
      <c r="N95" s="173">
        <v>-911</v>
      </c>
      <c r="O95" s="173">
        <v>0</v>
      </c>
      <c r="P95" s="174">
        <v>0</v>
      </c>
    </row>
    <row r="96" spans="1:16">
      <c r="A96" s="169">
        <v>42855</v>
      </c>
      <c r="B96" s="170"/>
      <c r="C96" s="171" t="s">
        <v>316</v>
      </c>
      <c r="D96" s="172" t="s">
        <v>7</v>
      </c>
      <c r="E96" s="173"/>
      <c r="F96" s="173"/>
      <c r="G96" s="173"/>
      <c r="H96" s="173"/>
      <c r="I96" s="173"/>
      <c r="J96" s="170">
        <v>42855</v>
      </c>
      <c r="K96" s="170">
        <v>42804</v>
      </c>
      <c r="L96" s="173">
        <v>-16640.7</v>
      </c>
      <c r="M96" s="173">
        <v>0</v>
      </c>
      <c r="N96" s="173">
        <v>-2163</v>
      </c>
      <c r="O96" s="173">
        <v>0</v>
      </c>
      <c r="P96" s="174">
        <v>0</v>
      </c>
    </row>
    <row r="97" spans="1:16">
      <c r="A97" s="169">
        <v>42855</v>
      </c>
      <c r="B97" s="170"/>
      <c r="C97" s="171" t="s">
        <v>316</v>
      </c>
      <c r="D97" s="172" t="s">
        <v>7</v>
      </c>
      <c r="E97" s="173"/>
      <c r="F97" s="173"/>
      <c r="G97" s="173"/>
      <c r="H97" s="173"/>
      <c r="I97" s="173"/>
      <c r="J97" s="170">
        <v>42855</v>
      </c>
      <c r="K97" s="170">
        <v>42835</v>
      </c>
      <c r="L97" s="173">
        <v>-12602.88</v>
      </c>
      <c r="M97" s="173">
        <v>0</v>
      </c>
      <c r="N97" s="173">
        <v>-1638</v>
      </c>
      <c r="O97" s="173">
        <v>0</v>
      </c>
      <c r="P97" s="174">
        <v>0</v>
      </c>
    </row>
    <row r="98" spans="1:16">
      <c r="A98" s="169">
        <v>42855</v>
      </c>
      <c r="B98" s="170"/>
      <c r="C98" s="171" t="s">
        <v>316</v>
      </c>
      <c r="D98" s="172" t="s">
        <v>8</v>
      </c>
      <c r="E98" s="173"/>
      <c r="F98" s="173"/>
      <c r="G98" s="173"/>
      <c r="H98" s="173"/>
      <c r="I98" s="173"/>
      <c r="J98" s="170">
        <v>42855</v>
      </c>
      <c r="K98" s="170">
        <v>42804</v>
      </c>
      <c r="L98" s="173">
        <v>-2077</v>
      </c>
      <c r="M98" s="173">
        <v>0</v>
      </c>
      <c r="N98" s="173">
        <v>-270</v>
      </c>
      <c r="O98" s="173">
        <v>0</v>
      </c>
      <c r="P98" s="174">
        <v>0</v>
      </c>
    </row>
    <row r="99" spans="1:16">
      <c r="A99" s="169">
        <v>42855</v>
      </c>
      <c r="B99" s="170"/>
      <c r="C99" s="171" t="s">
        <v>316</v>
      </c>
      <c r="D99" s="172" t="s">
        <v>8</v>
      </c>
      <c r="E99" s="173"/>
      <c r="F99" s="173"/>
      <c r="G99" s="173"/>
      <c r="H99" s="173"/>
      <c r="I99" s="173"/>
      <c r="J99" s="170">
        <v>42855</v>
      </c>
      <c r="K99" s="170">
        <v>42835</v>
      </c>
      <c r="L99" s="173">
        <v>-41.57</v>
      </c>
      <c r="M99" s="173">
        <v>0</v>
      </c>
      <c r="N99" s="173">
        <v>-5</v>
      </c>
      <c r="O99" s="173">
        <v>0</v>
      </c>
      <c r="P99" s="174">
        <v>0</v>
      </c>
    </row>
    <row r="100" spans="1:16">
      <c r="A100" s="169">
        <v>42857</v>
      </c>
      <c r="B100" s="170">
        <v>42858</v>
      </c>
      <c r="C100" s="171" t="s">
        <v>316</v>
      </c>
      <c r="D100" s="172" t="s">
        <v>7</v>
      </c>
      <c r="E100" s="173">
        <v>215282.35</v>
      </c>
      <c r="F100" s="173">
        <v>6600</v>
      </c>
      <c r="G100" s="173">
        <v>27132</v>
      </c>
      <c r="H100" s="173">
        <v>2095.1999999999998</v>
      </c>
      <c r="I100" s="173">
        <v>629</v>
      </c>
      <c r="J100" s="170">
        <v>42857</v>
      </c>
      <c r="K100" s="170"/>
      <c r="L100" s="173"/>
      <c r="M100" s="173"/>
      <c r="N100" s="173"/>
      <c r="O100" s="173"/>
      <c r="P100" s="174"/>
    </row>
    <row r="101" spans="1:16">
      <c r="A101" s="169">
        <v>42857</v>
      </c>
      <c r="B101" s="170">
        <v>42858</v>
      </c>
      <c r="C101" s="171" t="s">
        <v>316</v>
      </c>
      <c r="D101" s="172" t="s">
        <v>8</v>
      </c>
      <c r="E101" s="173">
        <v>3399</v>
      </c>
      <c r="F101" s="173">
        <v>0</v>
      </c>
      <c r="G101" s="173">
        <v>443</v>
      </c>
      <c r="H101" s="173">
        <v>0</v>
      </c>
      <c r="I101" s="173">
        <v>0</v>
      </c>
      <c r="J101" s="170">
        <v>42857</v>
      </c>
      <c r="K101" s="170"/>
      <c r="L101" s="173"/>
      <c r="M101" s="173"/>
      <c r="N101" s="173"/>
      <c r="O101" s="173"/>
      <c r="P101" s="174"/>
    </row>
    <row r="102" spans="1:16">
      <c r="A102" s="169">
        <v>42857</v>
      </c>
      <c r="B102" s="170">
        <v>42858</v>
      </c>
      <c r="C102" s="171" t="s">
        <v>316</v>
      </c>
      <c r="D102" s="172" t="s">
        <v>9</v>
      </c>
      <c r="E102" s="173">
        <v>3850</v>
      </c>
      <c r="F102" s="173">
        <v>0</v>
      </c>
      <c r="G102" s="173">
        <v>501</v>
      </c>
      <c r="H102" s="173">
        <v>0</v>
      </c>
      <c r="I102" s="173">
        <v>0</v>
      </c>
      <c r="J102" s="170">
        <v>42857</v>
      </c>
      <c r="K102" s="170"/>
      <c r="L102" s="173"/>
      <c r="M102" s="173"/>
      <c r="N102" s="173"/>
      <c r="O102" s="173"/>
      <c r="P102" s="174"/>
    </row>
    <row r="103" spans="1:16">
      <c r="A103" s="169">
        <v>42857</v>
      </c>
      <c r="B103" s="170">
        <v>42858</v>
      </c>
      <c r="C103" s="171" t="s">
        <v>316</v>
      </c>
      <c r="D103" s="172" t="s">
        <v>12</v>
      </c>
      <c r="E103" s="173">
        <v>27153779.940000001</v>
      </c>
      <c r="F103" s="173">
        <v>158200</v>
      </c>
      <c r="G103" s="173">
        <v>3513894</v>
      </c>
      <c r="H103" s="173">
        <v>4971.58</v>
      </c>
      <c r="I103" s="173">
        <v>1491</v>
      </c>
      <c r="J103" s="170">
        <v>42857</v>
      </c>
      <c r="K103" s="170"/>
      <c r="L103" s="173"/>
      <c r="M103" s="173"/>
      <c r="N103" s="173"/>
      <c r="O103" s="173"/>
      <c r="P103" s="174"/>
    </row>
    <row r="104" spans="1:16">
      <c r="A104" s="169">
        <v>42857</v>
      </c>
      <c r="B104" s="170">
        <v>42858</v>
      </c>
      <c r="C104" s="171" t="s">
        <v>316</v>
      </c>
      <c r="D104" s="172" t="s">
        <v>13</v>
      </c>
      <c r="E104" s="173">
        <v>20431</v>
      </c>
      <c r="F104" s="173">
        <v>5800</v>
      </c>
      <c r="G104" s="173">
        <v>1954</v>
      </c>
      <c r="H104" s="173">
        <v>0</v>
      </c>
      <c r="I104" s="173">
        <v>0</v>
      </c>
      <c r="J104" s="170">
        <v>42857</v>
      </c>
      <c r="K104" s="170"/>
      <c r="L104" s="173"/>
      <c r="M104" s="173"/>
      <c r="N104" s="173"/>
      <c r="O104" s="173"/>
      <c r="P104" s="174"/>
    </row>
    <row r="105" spans="1:16">
      <c r="A105" s="169">
        <v>42858</v>
      </c>
      <c r="B105" s="170">
        <v>42859</v>
      </c>
      <c r="C105" s="171" t="s">
        <v>316</v>
      </c>
      <c r="D105" s="172" t="s">
        <v>7</v>
      </c>
      <c r="E105" s="173">
        <v>325114717.82999998</v>
      </c>
      <c r="F105" s="173">
        <v>2346800</v>
      </c>
      <c r="G105" s="173">
        <v>41975301</v>
      </c>
      <c r="H105" s="173">
        <v>273079.43</v>
      </c>
      <c r="I105" s="173">
        <v>83871</v>
      </c>
      <c r="J105" s="170">
        <v>42858</v>
      </c>
      <c r="K105" s="170">
        <v>42735</v>
      </c>
      <c r="L105" s="173">
        <v>0</v>
      </c>
      <c r="M105" s="173">
        <v>0</v>
      </c>
      <c r="N105" s="173">
        <v>-2184</v>
      </c>
      <c r="O105" s="173">
        <v>0</v>
      </c>
      <c r="P105" s="174">
        <v>0</v>
      </c>
    </row>
    <row r="106" spans="1:16">
      <c r="A106" s="169">
        <v>42859</v>
      </c>
      <c r="B106" s="170">
        <v>42860</v>
      </c>
      <c r="C106" s="171" t="s">
        <v>316</v>
      </c>
      <c r="D106" s="172" t="s">
        <v>7</v>
      </c>
      <c r="E106" s="173">
        <v>794365315.52999997</v>
      </c>
      <c r="F106" s="173">
        <v>3489600</v>
      </c>
      <c r="G106" s="173">
        <v>102820951</v>
      </c>
      <c r="H106" s="173">
        <v>2318268.17</v>
      </c>
      <c r="I106" s="173">
        <v>707828</v>
      </c>
      <c r="J106" s="170">
        <v>42859</v>
      </c>
      <c r="K106" s="170"/>
      <c r="L106" s="173"/>
      <c r="M106" s="173"/>
      <c r="N106" s="173"/>
      <c r="O106" s="173"/>
      <c r="P106" s="174"/>
    </row>
    <row r="107" spans="1:16">
      <c r="A107" s="169">
        <v>42859</v>
      </c>
      <c r="B107" s="170">
        <v>42860</v>
      </c>
      <c r="C107" s="171" t="s">
        <v>316</v>
      </c>
      <c r="D107" s="172" t="s">
        <v>8</v>
      </c>
      <c r="E107" s="173">
        <v>37110570.189999998</v>
      </c>
      <c r="F107" s="173">
        <v>131800</v>
      </c>
      <c r="G107" s="173">
        <v>4809525</v>
      </c>
      <c r="H107" s="173">
        <v>24793</v>
      </c>
      <c r="I107" s="173">
        <v>7438</v>
      </c>
      <c r="J107" s="170">
        <v>42859</v>
      </c>
      <c r="K107" s="170"/>
      <c r="L107" s="173"/>
      <c r="M107" s="173"/>
      <c r="N107" s="173"/>
      <c r="O107" s="173"/>
      <c r="P107" s="174"/>
    </row>
    <row r="108" spans="1:16">
      <c r="A108" s="169">
        <v>42859</v>
      </c>
      <c r="B108" s="170">
        <v>42860</v>
      </c>
      <c r="C108" s="171" t="s">
        <v>316</v>
      </c>
      <c r="D108" s="172" t="s">
        <v>9</v>
      </c>
      <c r="E108" s="173">
        <v>19479506.5</v>
      </c>
      <c r="F108" s="173">
        <v>25700</v>
      </c>
      <c r="G108" s="173">
        <v>2529517</v>
      </c>
      <c r="H108" s="173">
        <v>2463</v>
      </c>
      <c r="I108" s="173">
        <v>739</v>
      </c>
      <c r="J108" s="170">
        <v>42859</v>
      </c>
      <c r="K108" s="170"/>
      <c r="L108" s="173"/>
      <c r="M108" s="173"/>
      <c r="N108" s="173"/>
      <c r="O108" s="173"/>
      <c r="P108" s="174"/>
    </row>
    <row r="109" spans="1:16">
      <c r="A109" s="169">
        <v>42859</v>
      </c>
      <c r="B109" s="170">
        <v>42860</v>
      </c>
      <c r="C109" s="171" t="s">
        <v>316</v>
      </c>
      <c r="D109" s="172" t="s">
        <v>11</v>
      </c>
      <c r="E109" s="173">
        <v>3351691.16</v>
      </c>
      <c r="F109" s="173">
        <v>11000</v>
      </c>
      <c r="G109" s="173">
        <v>434286</v>
      </c>
      <c r="H109" s="173">
        <v>4428.5</v>
      </c>
      <c r="I109" s="173">
        <v>1329</v>
      </c>
      <c r="J109" s="170">
        <v>42859</v>
      </c>
      <c r="K109" s="170"/>
      <c r="L109" s="173"/>
      <c r="M109" s="173"/>
      <c r="N109" s="173"/>
      <c r="O109" s="173"/>
      <c r="P109" s="174"/>
    </row>
    <row r="110" spans="1:16">
      <c r="A110" s="169">
        <v>42859</v>
      </c>
      <c r="B110" s="170">
        <v>42860</v>
      </c>
      <c r="C110" s="171" t="s">
        <v>316</v>
      </c>
      <c r="D110" s="172" t="s">
        <v>12</v>
      </c>
      <c r="E110" s="173">
        <v>4827392.66</v>
      </c>
      <c r="F110" s="173">
        <v>152600</v>
      </c>
      <c r="G110" s="173">
        <v>608425</v>
      </c>
      <c r="H110" s="173">
        <v>62478.9</v>
      </c>
      <c r="I110" s="173">
        <v>18744</v>
      </c>
      <c r="J110" s="170">
        <v>42859</v>
      </c>
      <c r="K110" s="170"/>
      <c r="L110" s="173"/>
      <c r="M110" s="173"/>
      <c r="N110" s="173"/>
      <c r="O110" s="173"/>
      <c r="P110" s="174"/>
    </row>
    <row r="111" spans="1:16">
      <c r="A111" s="169">
        <v>42859</v>
      </c>
      <c r="B111" s="170">
        <v>42860</v>
      </c>
      <c r="C111" s="171" t="s">
        <v>316</v>
      </c>
      <c r="D111" s="172" t="s">
        <v>13</v>
      </c>
      <c r="E111" s="173">
        <v>91190001</v>
      </c>
      <c r="F111" s="173">
        <v>570700</v>
      </c>
      <c r="G111" s="173">
        <v>11784747</v>
      </c>
      <c r="H111" s="173">
        <v>20084</v>
      </c>
      <c r="I111" s="173">
        <v>6025</v>
      </c>
      <c r="J111" s="170">
        <v>42859</v>
      </c>
      <c r="K111" s="170"/>
      <c r="L111" s="173"/>
      <c r="M111" s="173"/>
      <c r="N111" s="173"/>
      <c r="O111" s="173"/>
      <c r="P111" s="174"/>
    </row>
    <row r="112" spans="1:16">
      <c r="A112" s="169">
        <v>42865</v>
      </c>
      <c r="B112" s="170">
        <v>42866</v>
      </c>
      <c r="C112" s="171" t="s">
        <v>318</v>
      </c>
      <c r="D112" s="172" t="s">
        <v>8</v>
      </c>
      <c r="E112" s="173">
        <v>1031626.25</v>
      </c>
      <c r="F112" s="173">
        <v>0</v>
      </c>
      <c r="G112" s="173">
        <v>134113</v>
      </c>
      <c r="H112" s="173">
        <v>0</v>
      </c>
      <c r="I112" s="173">
        <v>0</v>
      </c>
      <c r="J112" s="170">
        <v>42865</v>
      </c>
      <c r="K112" s="170"/>
      <c r="L112" s="173"/>
      <c r="M112" s="173"/>
      <c r="N112" s="173"/>
      <c r="O112" s="173"/>
      <c r="P112" s="174"/>
    </row>
    <row r="113" spans="1:16">
      <c r="A113" s="169">
        <v>42865</v>
      </c>
      <c r="B113" s="170">
        <v>42866</v>
      </c>
      <c r="C113" s="171" t="s">
        <v>318</v>
      </c>
      <c r="D113" s="172" t="s">
        <v>9</v>
      </c>
      <c r="E113" s="173">
        <v>1660464.44</v>
      </c>
      <c r="F113" s="173">
        <v>0</v>
      </c>
      <c r="G113" s="173">
        <v>215861</v>
      </c>
      <c r="H113" s="173">
        <v>0</v>
      </c>
      <c r="I113" s="173">
        <v>0</v>
      </c>
      <c r="J113" s="170">
        <v>42865</v>
      </c>
      <c r="K113" s="170"/>
      <c r="L113" s="173"/>
      <c r="M113" s="173"/>
      <c r="N113" s="173"/>
      <c r="O113" s="173"/>
      <c r="P113" s="174"/>
    </row>
    <row r="114" spans="1:16">
      <c r="A114" s="169">
        <v>42865</v>
      </c>
      <c r="B114" s="170">
        <v>42866</v>
      </c>
      <c r="C114" s="171" t="s">
        <v>318</v>
      </c>
      <c r="D114" s="172" t="s">
        <v>11</v>
      </c>
      <c r="E114" s="173">
        <v>998383.22</v>
      </c>
      <c r="F114" s="173">
        <v>0</v>
      </c>
      <c r="G114" s="173">
        <v>129790</v>
      </c>
      <c r="H114" s="173">
        <v>0</v>
      </c>
      <c r="I114" s="173">
        <v>0</v>
      </c>
      <c r="J114" s="170">
        <v>42865</v>
      </c>
      <c r="K114" s="170"/>
      <c r="L114" s="173"/>
      <c r="M114" s="173"/>
      <c r="N114" s="173"/>
      <c r="O114" s="173"/>
      <c r="P114" s="174"/>
    </row>
    <row r="115" spans="1:16">
      <c r="A115" s="169">
        <v>42865</v>
      </c>
      <c r="B115" s="170">
        <v>42866</v>
      </c>
      <c r="C115" s="171" t="s">
        <v>317</v>
      </c>
      <c r="D115" s="172" t="s">
        <v>7</v>
      </c>
      <c r="E115" s="173">
        <v>7442881.0099999998</v>
      </c>
      <c r="F115" s="173">
        <v>0</v>
      </c>
      <c r="G115" s="173">
        <v>967574</v>
      </c>
      <c r="H115" s="173">
        <v>72928.800000000003</v>
      </c>
      <c r="I115" s="173">
        <v>21879</v>
      </c>
      <c r="J115" s="170">
        <v>42865</v>
      </c>
      <c r="K115" s="170"/>
      <c r="L115" s="173"/>
      <c r="M115" s="173"/>
      <c r="N115" s="173"/>
      <c r="O115" s="173"/>
      <c r="P115" s="174"/>
    </row>
    <row r="116" spans="1:16">
      <c r="A116" s="169">
        <v>42874</v>
      </c>
      <c r="B116" s="170">
        <v>42875</v>
      </c>
      <c r="C116" s="171" t="s">
        <v>318</v>
      </c>
      <c r="D116" s="172" t="s">
        <v>8</v>
      </c>
      <c r="E116" s="173">
        <v>1726399.88</v>
      </c>
      <c r="F116" s="173">
        <v>0</v>
      </c>
      <c r="G116" s="173">
        <v>224431</v>
      </c>
      <c r="H116" s="173">
        <v>0</v>
      </c>
      <c r="I116" s="173">
        <v>0</v>
      </c>
      <c r="J116" s="170">
        <v>42874</v>
      </c>
      <c r="K116" s="170"/>
      <c r="L116" s="173"/>
      <c r="M116" s="173"/>
      <c r="N116" s="173"/>
      <c r="O116" s="173"/>
      <c r="P116" s="174"/>
    </row>
    <row r="117" spans="1:16">
      <c r="A117" s="169">
        <v>42874</v>
      </c>
      <c r="B117" s="170">
        <v>42875</v>
      </c>
      <c r="C117" s="171" t="s">
        <v>318</v>
      </c>
      <c r="D117" s="172" t="s">
        <v>9</v>
      </c>
      <c r="E117" s="173">
        <v>180686.8</v>
      </c>
      <c r="F117" s="173">
        <v>0</v>
      </c>
      <c r="G117" s="173">
        <v>23490</v>
      </c>
      <c r="H117" s="173">
        <v>0</v>
      </c>
      <c r="I117" s="173">
        <v>0</v>
      </c>
      <c r="J117" s="170">
        <v>42874</v>
      </c>
      <c r="K117" s="170"/>
      <c r="L117" s="173"/>
      <c r="M117" s="173"/>
      <c r="N117" s="173"/>
      <c r="O117" s="173"/>
      <c r="P117" s="174"/>
    </row>
    <row r="118" spans="1:16">
      <c r="A118" s="169">
        <v>42874</v>
      </c>
      <c r="B118" s="170">
        <v>42875</v>
      </c>
      <c r="C118" s="171" t="s">
        <v>317</v>
      </c>
      <c r="D118" s="172" t="s">
        <v>7</v>
      </c>
      <c r="E118" s="173">
        <v>4234156.49</v>
      </c>
      <c r="F118" s="173">
        <v>0</v>
      </c>
      <c r="G118" s="173">
        <v>550443</v>
      </c>
      <c r="H118" s="173">
        <v>0</v>
      </c>
      <c r="I118" s="173">
        <v>0</v>
      </c>
      <c r="J118" s="170">
        <v>42874</v>
      </c>
      <c r="K118" s="170"/>
      <c r="L118" s="173"/>
      <c r="M118" s="173"/>
      <c r="N118" s="173"/>
      <c r="O118" s="173"/>
      <c r="P118" s="174"/>
    </row>
    <row r="119" spans="1:16">
      <c r="A119" s="169">
        <v>42880</v>
      </c>
      <c r="B119" s="170">
        <v>42881</v>
      </c>
      <c r="C119" s="171" t="s">
        <v>316</v>
      </c>
      <c r="D119" s="172" t="s">
        <v>7</v>
      </c>
      <c r="E119" s="173">
        <v>7532494.6500000004</v>
      </c>
      <c r="F119" s="173">
        <v>0</v>
      </c>
      <c r="G119" s="173">
        <v>979225</v>
      </c>
      <c r="H119" s="173">
        <v>6749.19</v>
      </c>
      <c r="I119" s="173">
        <v>2024</v>
      </c>
      <c r="J119" s="170">
        <v>42880</v>
      </c>
      <c r="K119" s="170"/>
      <c r="L119" s="173"/>
      <c r="M119" s="173"/>
      <c r="N119" s="173"/>
      <c r="O119" s="173"/>
      <c r="P119" s="174"/>
    </row>
    <row r="120" spans="1:16">
      <c r="A120" s="169">
        <v>42880</v>
      </c>
      <c r="B120" s="170">
        <v>42881</v>
      </c>
      <c r="C120" s="171" t="s">
        <v>316</v>
      </c>
      <c r="D120" s="172" t="s">
        <v>8</v>
      </c>
      <c r="E120" s="173">
        <v>388212.2</v>
      </c>
      <c r="F120" s="173">
        <v>0</v>
      </c>
      <c r="G120" s="173">
        <v>50468</v>
      </c>
      <c r="H120" s="173">
        <v>0</v>
      </c>
      <c r="I120" s="173">
        <v>0</v>
      </c>
      <c r="J120" s="170">
        <v>42880</v>
      </c>
      <c r="K120" s="170"/>
      <c r="L120" s="173"/>
      <c r="M120" s="173"/>
      <c r="N120" s="173"/>
      <c r="O120" s="173"/>
      <c r="P120" s="174"/>
    </row>
    <row r="121" spans="1:16">
      <c r="A121" s="169">
        <v>42880</v>
      </c>
      <c r="B121" s="170">
        <v>42881</v>
      </c>
      <c r="C121" s="171" t="s">
        <v>316</v>
      </c>
      <c r="D121" s="172" t="s">
        <v>9</v>
      </c>
      <c r="E121" s="173">
        <v>230935.93</v>
      </c>
      <c r="F121" s="173">
        <v>0</v>
      </c>
      <c r="G121" s="173">
        <v>30020</v>
      </c>
      <c r="H121" s="173">
        <v>0</v>
      </c>
      <c r="I121" s="173">
        <v>0</v>
      </c>
      <c r="J121" s="170">
        <v>42880</v>
      </c>
      <c r="K121" s="170"/>
      <c r="L121" s="173"/>
      <c r="M121" s="173"/>
      <c r="N121" s="173"/>
      <c r="O121" s="173"/>
      <c r="P121" s="174"/>
    </row>
    <row r="122" spans="1:16">
      <c r="A122" s="169">
        <v>42880</v>
      </c>
      <c r="B122" s="170">
        <v>42881</v>
      </c>
      <c r="C122" s="171" t="s">
        <v>316</v>
      </c>
      <c r="D122" s="172" t="s">
        <v>12</v>
      </c>
      <c r="E122" s="173">
        <v>1616591.86</v>
      </c>
      <c r="F122" s="173">
        <v>0</v>
      </c>
      <c r="G122" s="173">
        <v>210160</v>
      </c>
      <c r="H122" s="173">
        <v>0</v>
      </c>
      <c r="I122" s="173">
        <v>0</v>
      </c>
      <c r="J122" s="170">
        <v>42880</v>
      </c>
      <c r="K122" s="170"/>
      <c r="L122" s="173"/>
      <c r="M122" s="173"/>
      <c r="N122" s="173"/>
      <c r="O122" s="173"/>
      <c r="P122" s="174"/>
    </row>
    <row r="123" spans="1:16">
      <c r="A123" s="169">
        <v>42880</v>
      </c>
      <c r="B123" s="170">
        <v>42881</v>
      </c>
      <c r="C123" s="171" t="s">
        <v>316</v>
      </c>
      <c r="D123" s="172" t="s">
        <v>13</v>
      </c>
      <c r="E123" s="173">
        <v>1932350.6</v>
      </c>
      <c r="F123" s="173">
        <v>1400</v>
      </c>
      <c r="G123" s="173">
        <v>251020</v>
      </c>
      <c r="H123" s="173">
        <v>0</v>
      </c>
      <c r="I123" s="173">
        <v>0</v>
      </c>
      <c r="J123" s="170">
        <v>42880</v>
      </c>
      <c r="K123" s="170"/>
      <c r="L123" s="173"/>
      <c r="M123" s="173"/>
      <c r="N123" s="173"/>
      <c r="O123" s="173"/>
      <c r="P123" s="174"/>
    </row>
    <row r="124" spans="1:16">
      <c r="A124" s="169">
        <v>42881</v>
      </c>
      <c r="B124" s="170">
        <v>42882</v>
      </c>
      <c r="C124" s="171" t="s">
        <v>318</v>
      </c>
      <c r="D124" s="172" t="s">
        <v>8</v>
      </c>
      <c r="E124" s="173">
        <v>1794870.22</v>
      </c>
      <c r="F124" s="173">
        <v>0</v>
      </c>
      <c r="G124" s="173">
        <v>233333</v>
      </c>
      <c r="H124" s="173">
        <v>0</v>
      </c>
      <c r="I124" s="173">
        <v>0</v>
      </c>
      <c r="J124" s="170">
        <v>42881</v>
      </c>
      <c r="K124" s="170">
        <v>42865</v>
      </c>
      <c r="L124" s="173">
        <v>-40000</v>
      </c>
      <c r="M124" s="173">
        <v>0</v>
      </c>
      <c r="N124" s="173">
        <v>-5200</v>
      </c>
      <c r="O124" s="173">
        <v>0</v>
      </c>
      <c r="P124" s="174">
        <v>0</v>
      </c>
    </row>
    <row r="125" spans="1:16">
      <c r="A125" s="169">
        <v>42881</v>
      </c>
      <c r="B125" s="170">
        <v>42882</v>
      </c>
      <c r="C125" s="171" t="s">
        <v>318</v>
      </c>
      <c r="D125" s="172" t="s">
        <v>9</v>
      </c>
      <c r="E125" s="173">
        <v>557182.71</v>
      </c>
      <c r="F125" s="173">
        <v>0</v>
      </c>
      <c r="G125" s="173">
        <v>72433</v>
      </c>
      <c r="H125" s="173">
        <v>0</v>
      </c>
      <c r="I125" s="173">
        <v>0</v>
      </c>
      <c r="J125" s="170">
        <v>42881</v>
      </c>
      <c r="K125" s="170">
        <v>42839</v>
      </c>
      <c r="L125" s="173">
        <v>-52500</v>
      </c>
      <c r="M125" s="173">
        <v>0</v>
      </c>
      <c r="N125" s="173">
        <v>-6825</v>
      </c>
      <c r="O125" s="173">
        <v>0</v>
      </c>
      <c r="P125" s="174">
        <v>0</v>
      </c>
    </row>
    <row r="126" spans="1:16">
      <c r="A126" s="169">
        <v>42886</v>
      </c>
      <c r="B126" s="170"/>
      <c r="C126" s="171" t="s">
        <v>316</v>
      </c>
      <c r="D126" s="172" t="s">
        <v>7</v>
      </c>
      <c r="E126" s="173"/>
      <c r="F126" s="173"/>
      <c r="G126" s="173"/>
      <c r="H126" s="173"/>
      <c r="I126" s="173"/>
      <c r="J126" s="170">
        <v>42886</v>
      </c>
      <c r="K126" s="170">
        <v>42745</v>
      </c>
      <c r="L126" s="173">
        <v>-20227.080000000002</v>
      </c>
      <c r="M126" s="173">
        <v>0</v>
      </c>
      <c r="N126" s="173">
        <v>-2630</v>
      </c>
      <c r="O126" s="173">
        <v>0</v>
      </c>
      <c r="P126" s="174">
        <v>0</v>
      </c>
    </row>
    <row r="127" spans="1:16">
      <c r="A127" s="169">
        <v>42886</v>
      </c>
      <c r="B127" s="170"/>
      <c r="C127" s="171" t="s">
        <v>316</v>
      </c>
      <c r="D127" s="172" t="s">
        <v>7</v>
      </c>
      <c r="E127" s="173"/>
      <c r="F127" s="173"/>
      <c r="G127" s="173"/>
      <c r="H127" s="173"/>
      <c r="I127" s="173"/>
      <c r="J127" s="170">
        <v>42886</v>
      </c>
      <c r="K127" s="170">
        <v>42776</v>
      </c>
      <c r="L127" s="173">
        <v>-20227.080000000002</v>
      </c>
      <c r="M127" s="173">
        <v>0</v>
      </c>
      <c r="N127" s="173">
        <v>-2629</v>
      </c>
      <c r="O127" s="173">
        <v>0</v>
      </c>
      <c r="P127" s="174">
        <v>0</v>
      </c>
    </row>
    <row r="128" spans="1:16">
      <c r="A128" s="169">
        <v>42886</v>
      </c>
      <c r="B128" s="170"/>
      <c r="C128" s="171" t="s">
        <v>316</v>
      </c>
      <c r="D128" s="172" t="s">
        <v>7</v>
      </c>
      <c r="E128" s="173"/>
      <c r="F128" s="173"/>
      <c r="G128" s="173"/>
      <c r="H128" s="173"/>
      <c r="I128" s="173"/>
      <c r="J128" s="170">
        <v>42886</v>
      </c>
      <c r="K128" s="170">
        <v>42804</v>
      </c>
      <c r="L128" s="173">
        <v>-25661.29</v>
      </c>
      <c r="M128" s="173">
        <v>0</v>
      </c>
      <c r="N128" s="173">
        <v>-3336</v>
      </c>
      <c r="O128" s="173">
        <v>0</v>
      </c>
      <c r="P128" s="174">
        <v>0</v>
      </c>
    </row>
    <row r="129" spans="1:16">
      <c r="A129" s="169">
        <v>42886</v>
      </c>
      <c r="B129" s="170"/>
      <c r="C129" s="171" t="s">
        <v>316</v>
      </c>
      <c r="D129" s="172" t="s">
        <v>7</v>
      </c>
      <c r="E129" s="173"/>
      <c r="F129" s="173"/>
      <c r="G129" s="173"/>
      <c r="H129" s="173"/>
      <c r="I129" s="173"/>
      <c r="J129" s="170">
        <v>42886</v>
      </c>
      <c r="K129" s="170">
        <v>42835</v>
      </c>
      <c r="L129" s="173">
        <v>-51616.01</v>
      </c>
      <c r="M129" s="173">
        <v>-500</v>
      </c>
      <c r="N129" s="173">
        <v>-6644</v>
      </c>
      <c r="O129" s="173">
        <v>0</v>
      </c>
      <c r="P129" s="174">
        <v>0</v>
      </c>
    </row>
    <row r="130" spans="1:16">
      <c r="A130" s="169">
        <v>42886</v>
      </c>
      <c r="B130" s="170"/>
      <c r="C130" s="171" t="s">
        <v>316</v>
      </c>
      <c r="D130" s="172" t="s">
        <v>7</v>
      </c>
      <c r="E130" s="173"/>
      <c r="F130" s="173"/>
      <c r="G130" s="173"/>
      <c r="H130" s="173"/>
      <c r="I130" s="173"/>
      <c r="J130" s="170">
        <v>42886</v>
      </c>
      <c r="K130" s="170">
        <v>42858</v>
      </c>
      <c r="L130" s="173">
        <v>-5440.1</v>
      </c>
      <c r="M130" s="173">
        <v>0</v>
      </c>
      <c r="N130" s="173">
        <v>-707</v>
      </c>
      <c r="O130" s="173">
        <v>0</v>
      </c>
      <c r="P130" s="174">
        <v>0</v>
      </c>
    </row>
    <row r="131" spans="1:16">
      <c r="A131" s="169">
        <v>42886</v>
      </c>
      <c r="B131" s="170"/>
      <c r="C131" s="171" t="s">
        <v>316</v>
      </c>
      <c r="D131" s="172" t="s">
        <v>7</v>
      </c>
      <c r="E131" s="173"/>
      <c r="F131" s="173"/>
      <c r="G131" s="173"/>
      <c r="H131" s="173"/>
      <c r="I131" s="173"/>
      <c r="J131" s="170">
        <v>42886</v>
      </c>
      <c r="K131" s="170">
        <v>42859</v>
      </c>
      <c r="L131" s="173">
        <v>-14887.7</v>
      </c>
      <c r="M131" s="173">
        <v>0</v>
      </c>
      <c r="N131" s="173">
        <v>-1935</v>
      </c>
      <c r="O131" s="173">
        <v>0</v>
      </c>
      <c r="P131" s="174">
        <v>0</v>
      </c>
    </row>
    <row r="132" spans="1:16">
      <c r="A132" s="169">
        <v>42886</v>
      </c>
      <c r="B132" s="170"/>
      <c r="C132" s="171" t="s">
        <v>316</v>
      </c>
      <c r="D132" s="172" t="s">
        <v>8</v>
      </c>
      <c r="E132" s="173"/>
      <c r="F132" s="173"/>
      <c r="G132" s="173"/>
      <c r="H132" s="173"/>
      <c r="I132" s="173"/>
      <c r="J132" s="170">
        <v>42886</v>
      </c>
      <c r="K132" s="170">
        <v>42835</v>
      </c>
      <c r="L132" s="173">
        <v>-1880.9</v>
      </c>
      <c r="M132" s="173">
        <v>0</v>
      </c>
      <c r="N132" s="173">
        <v>-245</v>
      </c>
      <c r="O132" s="173">
        <v>0</v>
      </c>
      <c r="P132" s="174">
        <v>0</v>
      </c>
    </row>
    <row r="133" spans="1:16">
      <c r="A133" s="169">
        <v>42888</v>
      </c>
      <c r="B133" s="170">
        <v>42889</v>
      </c>
      <c r="C133" s="171" t="s">
        <v>318</v>
      </c>
      <c r="D133" s="172" t="s">
        <v>8</v>
      </c>
      <c r="E133" s="173">
        <v>893703.25</v>
      </c>
      <c r="F133" s="173">
        <v>0</v>
      </c>
      <c r="G133" s="173">
        <v>116181</v>
      </c>
      <c r="H133" s="173">
        <v>0</v>
      </c>
      <c r="I133" s="173">
        <v>0</v>
      </c>
      <c r="J133" s="170">
        <v>42888</v>
      </c>
      <c r="K133" s="170">
        <v>42636</v>
      </c>
      <c r="L133" s="173">
        <v>-259000</v>
      </c>
      <c r="M133" s="173">
        <v>0</v>
      </c>
      <c r="N133" s="173">
        <v>-33670</v>
      </c>
      <c r="O133" s="173">
        <v>0</v>
      </c>
      <c r="P133" s="174">
        <v>0</v>
      </c>
    </row>
    <row r="134" spans="1:16">
      <c r="A134" s="169">
        <v>42888</v>
      </c>
      <c r="B134" s="170">
        <v>42889</v>
      </c>
      <c r="C134" s="171" t="s">
        <v>318</v>
      </c>
      <c r="D134" s="172" t="s">
        <v>9</v>
      </c>
      <c r="E134" s="173">
        <v>231518.05</v>
      </c>
      <c r="F134" s="173">
        <v>0</v>
      </c>
      <c r="G134" s="173">
        <v>30098</v>
      </c>
      <c r="H134" s="173">
        <v>0</v>
      </c>
      <c r="I134" s="173">
        <v>0</v>
      </c>
      <c r="J134" s="170">
        <v>42888</v>
      </c>
      <c r="K134" s="170">
        <v>42580</v>
      </c>
      <c r="L134" s="173">
        <v>-6000</v>
      </c>
      <c r="M134" s="173">
        <v>0</v>
      </c>
      <c r="N134" s="173">
        <v>-780</v>
      </c>
      <c r="O134" s="173">
        <v>0</v>
      </c>
      <c r="P134" s="174">
        <v>0</v>
      </c>
    </row>
    <row r="135" spans="1:16">
      <c r="A135" s="169">
        <v>42888</v>
      </c>
      <c r="B135" s="170">
        <v>42889</v>
      </c>
      <c r="C135" s="171" t="s">
        <v>318</v>
      </c>
      <c r="D135" s="172" t="s">
        <v>10</v>
      </c>
      <c r="E135" s="173">
        <v>738920.33</v>
      </c>
      <c r="F135" s="173">
        <v>0</v>
      </c>
      <c r="G135" s="173">
        <v>96060</v>
      </c>
      <c r="H135" s="173">
        <v>0</v>
      </c>
      <c r="I135" s="173">
        <v>0</v>
      </c>
      <c r="J135" s="170">
        <v>42888</v>
      </c>
      <c r="K135" s="170"/>
      <c r="L135" s="173"/>
      <c r="M135" s="173"/>
      <c r="N135" s="173"/>
      <c r="O135" s="173"/>
      <c r="P135" s="174"/>
    </row>
    <row r="136" spans="1:16">
      <c r="A136" s="169">
        <v>42888</v>
      </c>
      <c r="B136" s="170">
        <v>42889</v>
      </c>
      <c r="C136" s="171" t="s">
        <v>318</v>
      </c>
      <c r="D136" s="172" t="s">
        <v>11</v>
      </c>
      <c r="E136" s="173">
        <v>40902.300000000003</v>
      </c>
      <c r="F136" s="173">
        <v>0</v>
      </c>
      <c r="G136" s="173">
        <v>5317</v>
      </c>
      <c r="H136" s="173">
        <v>0</v>
      </c>
      <c r="I136" s="173">
        <v>0</v>
      </c>
      <c r="J136" s="170">
        <v>42888</v>
      </c>
      <c r="K136" s="170"/>
      <c r="L136" s="173"/>
      <c r="M136" s="173"/>
      <c r="N136" s="173"/>
      <c r="O136" s="173"/>
      <c r="P136" s="174"/>
    </row>
    <row r="137" spans="1:16">
      <c r="A137" s="169">
        <v>42888</v>
      </c>
      <c r="B137" s="170">
        <v>42889</v>
      </c>
      <c r="C137" s="171" t="s">
        <v>317</v>
      </c>
      <c r="D137" s="172" t="s">
        <v>7</v>
      </c>
      <c r="E137" s="173">
        <v>4350930.09</v>
      </c>
      <c r="F137" s="173">
        <v>0</v>
      </c>
      <c r="G137" s="173">
        <v>565620</v>
      </c>
      <c r="H137" s="173">
        <v>25097.52</v>
      </c>
      <c r="I137" s="173">
        <v>7529</v>
      </c>
      <c r="J137" s="170">
        <v>42888</v>
      </c>
      <c r="K137" s="170"/>
      <c r="L137" s="173"/>
      <c r="M137" s="173"/>
      <c r="N137" s="173"/>
      <c r="O137" s="173"/>
      <c r="P137" s="174"/>
    </row>
    <row r="138" spans="1:16">
      <c r="A138" s="169">
        <v>42895</v>
      </c>
      <c r="B138" s="170">
        <v>42896</v>
      </c>
      <c r="C138" s="171" t="s">
        <v>316</v>
      </c>
      <c r="D138" s="172" t="s">
        <v>7</v>
      </c>
      <c r="E138" s="173">
        <v>1129178992.5699999</v>
      </c>
      <c r="F138" s="173">
        <v>5883800</v>
      </c>
      <c r="G138" s="173">
        <v>146054332</v>
      </c>
      <c r="H138" s="173">
        <v>2616885.08</v>
      </c>
      <c r="I138" s="173">
        <v>795855</v>
      </c>
      <c r="J138" s="170">
        <v>42895</v>
      </c>
      <c r="K138" s="170"/>
      <c r="L138" s="173"/>
      <c r="M138" s="173"/>
      <c r="N138" s="173"/>
      <c r="O138" s="173"/>
      <c r="P138" s="174"/>
    </row>
    <row r="139" spans="1:16">
      <c r="A139" s="169">
        <v>42895</v>
      </c>
      <c r="B139" s="170">
        <v>42896</v>
      </c>
      <c r="C139" s="171" t="s">
        <v>316</v>
      </c>
      <c r="D139" s="172" t="s">
        <v>8</v>
      </c>
      <c r="E139" s="173">
        <v>44777496.219999999</v>
      </c>
      <c r="F139" s="173">
        <v>129800</v>
      </c>
      <c r="G139" s="173">
        <v>5805779</v>
      </c>
      <c r="H139" s="173">
        <v>28979</v>
      </c>
      <c r="I139" s="173">
        <v>8695</v>
      </c>
      <c r="J139" s="170">
        <v>42895</v>
      </c>
      <c r="K139" s="170"/>
      <c r="L139" s="173"/>
      <c r="M139" s="173"/>
      <c r="N139" s="173"/>
      <c r="O139" s="173"/>
      <c r="P139" s="174"/>
    </row>
    <row r="140" spans="1:16">
      <c r="A140" s="169">
        <v>42895</v>
      </c>
      <c r="B140" s="170">
        <v>42896</v>
      </c>
      <c r="C140" s="171" t="s">
        <v>316</v>
      </c>
      <c r="D140" s="172" t="s">
        <v>9</v>
      </c>
      <c r="E140" s="173">
        <v>18797970.829999998</v>
      </c>
      <c r="F140" s="173">
        <v>42500</v>
      </c>
      <c r="G140" s="173">
        <v>2438480</v>
      </c>
      <c r="H140" s="173">
        <v>2463</v>
      </c>
      <c r="I140" s="173">
        <v>739</v>
      </c>
      <c r="J140" s="170">
        <v>42895</v>
      </c>
      <c r="K140" s="170"/>
      <c r="L140" s="173"/>
      <c r="M140" s="173"/>
      <c r="N140" s="173"/>
      <c r="O140" s="173"/>
      <c r="P140" s="174"/>
    </row>
    <row r="141" spans="1:16">
      <c r="A141" s="169">
        <v>42895</v>
      </c>
      <c r="B141" s="170">
        <v>42896</v>
      </c>
      <c r="C141" s="171" t="s">
        <v>316</v>
      </c>
      <c r="D141" s="172" t="s">
        <v>11</v>
      </c>
      <c r="E141" s="173">
        <v>3747292.6</v>
      </c>
      <c r="F141" s="173">
        <v>11000</v>
      </c>
      <c r="G141" s="173">
        <v>485730</v>
      </c>
      <c r="H141" s="173">
        <v>4933.8</v>
      </c>
      <c r="I141" s="173">
        <v>1480</v>
      </c>
      <c r="J141" s="170">
        <v>42895</v>
      </c>
      <c r="K141" s="170"/>
      <c r="L141" s="173"/>
      <c r="M141" s="173"/>
      <c r="N141" s="173"/>
      <c r="O141" s="173"/>
      <c r="P141" s="174"/>
    </row>
    <row r="142" spans="1:16">
      <c r="A142" s="169">
        <v>42895</v>
      </c>
      <c r="B142" s="170">
        <v>42896</v>
      </c>
      <c r="C142" s="171" t="s">
        <v>316</v>
      </c>
      <c r="D142" s="172" t="s">
        <v>12</v>
      </c>
      <c r="E142" s="173">
        <v>34731905.579999998</v>
      </c>
      <c r="F142" s="173">
        <v>318600</v>
      </c>
      <c r="G142" s="173">
        <v>4476804</v>
      </c>
      <c r="H142" s="173">
        <v>70822.98</v>
      </c>
      <c r="I142" s="173">
        <v>21247</v>
      </c>
      <c r="J142" s="170">
        <v>42895</v>
      </c>
      <c r="K142" s="170"/>
      <c r="L142" s="173"/>
      <c r="M142" s="173"/>
      <c r="N142" s="173"/>
      <c r="O142" s="173"/>
      <c r="P142" s="174"/>
    </row>
    <row r="143" spans="1:16">
      <c r="A143" s="169">
        <v>42895</v>
      </c>
      <c r="B143" s="170">
        <v>42896</v>
      </c>
      <c r="C143" s="171" t="s">
        <v>316</v>
      </c>
      <c r="D143" s="172" t="s">
        <v>13</v>
      </c>
      <c r="E143" s="173">
        <v>97429565.659999996</v>
      </c>
      <c r="F143" s="173">
        <v>649000</v>
      </c>
      <c r="G143" s="173">
        <v>12585070</v>
      </c>
      <c r="H143" s="173">
        <v>20514</v>
      </c>
      <c r="I143" s="173">
        <v>6155</v>
      </c>
      <c r="J143" s="170">
        <v>42895</v>
      </c>
      <c r="K143" s="170"/>
      <c r="L143" s="173"/>
      <c r="M143" s="173"/>
      <c r="N143" s="173"/>
      <c r="O143" s="173"/>
      <c r="P143" s="174"/>
    </row>
    <row r="144" spans="1:16">
      <c r="A144" s="169">
        <v>42899</v>
      </c>
      <c r="B144" s="170">
        <v>42900</v>
      </c>
      <c r="C144" s="171" t="s">
        <v>318</v>
      </c>
      <c r="D144" s="172" t="s">
        <v>8</v>
      </c>
      <c r="E144" s="173">
        <v>867716.7</v>
      </c>
      <c r="F144" s="173">
        <v>0</v>
      </c>
      <c r="G144" s="173">
        <v>112802</v>
      </c>
      <c r="H144" s="173">
        <v>0</v>
      </c>
      <c r="I144" s="173">
        <v>0</v>
      </c>
      <c r="J144" s="170">
        <v>42899</v>
      </c>
      <c r="K144" s="170">
        <v>42636</v>
      </c>
      <c r="L144" s="173">
        <v>-445000</v>
      </c>
      <c r="M144" s="173">
        <v>0</v>
      </c>
      <c r="N144" s="173">
        <v>-57850</v>
      </c>
      <c r="O144" s="173">
        <v>0</v>
      </c>
      <c r="P144" s="174">
        <v>0</v>
      </c>
    </row>
    <row r="145" spans="1:16">
      <c r="A145" s="169">
        <v>42899</v>
      </c>
      <c r="B145" s="170">
        <v>42900</v>
      </c>
      <c r="C145" s="171" t="s">
        <v>318</v>
      </c>
      <c r="D145" s="172" t="s">
        <v>9</v>
      </c>
      <c r="E145" s="173">
        <v>2782872.75</v>
      </c>
      <c r="F145" s="173">
        <v>0</v>
      </c>
      <c r="G145" s="173">
        <v>361774</v>
      </c>
      <c r="H145" s="173">
        <v>0</v>
      </c>
      <c r="I145" s="173">
        <v>0</v>
      </c>
      <c r="J145" s="170">
        <v>42899</v>
      </c>
      <c r="K145" s="170"/>
      <c r="L145" s="173"/>
      <c r="M145" s="173"/>
      <c r="N145" s="173"/>
      <c r="O145" s="173"/>
      <c r="P145" s="174"/>
    </row>
    <row r="146" spans="1:16">
      <c r="A146" s="169">
        <v>42902</v>
      </c>
      <c r="B146" s="170">
        <v>42903</v>
      </c>
      <c r="C146" s="171" t="s">
        <v>318</v>
      </c>
      <c r="D146" s="172" t="s">
        <v>8</v>
      </c>
      <c r="E146" s="173">
        <v>24470513.109999999</v>
      </c>
      <c r="F146" s="173">
        <v>0</v>
      </c>
      <c r="G146" s="173">
        <v>3181165</v>
      </c>
      <c r="H146" s="173">
        <v>0</v>
      </c>
      <c r="I146" s="173">
        <v>0</v>
      </c>
      <c r="J146" s="170">
        <v>42902</v>
      </c>
      <c r="K146" s="170">
        <v>42517</v>
      </c>
      <c r="L146" s="173">
        <v>-53500</v>
      </c>
      <c r="M146" s="173">
        <v>0</v>
      </c>
      <c r="N146" s="173">
        <v>-6955</v>
      </c>
      <c r="O146" s="173">
        <v>0</v>
      </c>
      <c r="P146" s="174">
        <v>0</v>
      </c>
    </row>
    <row r="147" spans="1:16">
      <c r="A147" s="169">
        <v>42902</v>
      </c>
      <c r="B147" s="170">
        <v>42903</v>
      </c>
      <c r="C147" s="171" t="s">
        <v>318</v>
      </c>
      <c r="D147" s="172" t="s">
        <v>9</v>
      </c>
      <c r="E147" s="173">
        <v>1016047.98</v>
      </c>
      <c r="F147" s="173">
        <v>0</v>
      </c>
      <c r="G147" s="173">
        <v>132087</v>
      </c>
      <c r="H147" s="173">
        <v>0</v>
      </c>
      <c r="I147" s="173">
        <v>0</v>
      </c>
      <c r="J147" s="170">
        <v>42902</v>
      </c>
      <c r="K147" s="170"/>
      <c r="L147" s="173"/>
      <c r="M147" s="173"/>
      <c r="N147" s="173"/>
      <c r="O147" s="173"/>
      <c r="P147" s="174"/>
    </row>
    <row r="148" spans="1:16">
      <c r="A148" s="169">
        <v>42902</v>
      </c>
      <c r="B148" s="170">
        <v>42903</v>
      </c>
      <c r="C148" s="171" t="s">
        <v>318</v>
      </c>
      <c r="D148" s="172" t="s">
        <v>11</v>
      </c>
      <c r="E148" s="173">
        <v>2329855.39</v>
      </c>
      <c r="F148" s="173">
        <v>0</v>
      </c>
      <c r="G148" s="173">
        <v>302881</v>
      </c>
      <c r="H148" s="173">
        <v>0</v>
      </c>
      <c r="I148" s="173">
        <v>0</v>
      </c>
      <c r="J148" s="170">
        <v>42902</v>
      </c>
      <c r="K148" s="170"/>
      <c r="L148" s="173"/>
      <c r="M148" s="173"/>
      <c r="N148" s="173"/>
      <c r="O148" s="173"/>
      <c r="P148" s="174"/>
    </row>
    <row r="149" spans="1:16">
      <c r="A149" s="169">
        <v>42902</v>
      </c>
      <c r="B149" s="170">
        <v>42903</v>
      </c>
      <c r="C149" s="171" t="s">
        <v>317</v>
      </c>
      <c r="D149" s="172" t="s">
        <v>7</v>
      </c>
      <c r="E149" s="173">
        <v>4778816.6900000004</v>
      </c>
      <c r="F149" s="173">
        <v>0</v>
      </c>
      <c r="G149" s="173">
        <v>621246</v>
      </c>
      <c r="H149" s="173">
        <v>0</v>
      </c>
      <c r="I149" s="173">
        <v>0</v>
      </c>
      <c r="J149" s="170">
        <v>42902</v>
      </c>
      <c r="K149" s="170"/>
      <c r="L149" s="173"/>
      <c r="M149" s="173"/>
      <c r="N149" s="173"/>
      <c r="O149" s="173"/>
      <c r="P149" s="174"/>
    </row>
    <row r="150" spans="1:16">
      <c r="A150" s="169">
        <v>42907</v>
      </c>
      <c r="B150" s="170">
        <v>42908</v>
      </c>
      <c r="C150" s="171" t="s">
        <v>318</v>
      </c>
      <c r="D150" s="172" t="s">
        <v>8</v>
      </c>
      <c r="E150" s="173">
        <v>1521347.44</v>
      </c>
      <c r="F150" s="173">
        <v>0</v>
      </c>
      <c r="G150" s="173">
        <v>197774</v>
      </c>
      <c r="H150" s="173">
        <v>0</v>
      </c>
      <c r="I150" s="173">
        <v>0</v>
      </c>
      <c r="J150" s="170">
        <v>42907</v>
      </c>
      <c r="K150" s="170"/>
      <c r="L150" s="173"/>
      <c r="M150" s="173"/>
      <c r="N150" s="173"/>
      <c r="O150" s="173"/>
      <c r="P150" s="174"/>
    </row>
    <row r="151" spans="1:16">
      <c r="A151" s="169">
        <v>42907</v>
      </c>
      <c r="B151" s="170">
        <v>42908</v>
      </c>
      <c r="C151" s="171" t="s">
        <v>318</v>
      </c>
      <c r="D151" s="172" t="s">
        <v>9</v>
      </c>
      <c r="E151" s="173">
        <v>673020.24</v>
      </c>
      <c r="F151" s="173">
        <v>0</v>
      </c>
      <c r="G151" s="173">
        <v>87492</v>
      </c>
      <c r="H151" s="173">
        <v>0</v>
      </c>
      <c r="I151" s="173">
        <v>0</v>
      </c>
      <c r="J151" s="170">
        <v>42907</v>
      </c>
      <c r="K151" s="170">
        <v>42706</v>
      </c>
      <c r="L151" s="173">
        <v>-4000</v>
      </c>
      <c r="M151" s="173">
        <v>0</v>
      </c>
      <c r="N151" s="173">
        <v>-520</v>
      </c>
      <c r="O151" s="173">
        <v>0</v>
      </c>
      <c r="P151" s="174">
        <v>0</v>
      </c>
    </row>
    <row r="152" spans="1:16">
      <c r="A152" s="169">
        <v>42907</v>
      </c>
      <c r="B152" s="170"/>
      <c r="C152" s="171" t="s">
        <v>318</v>
      </c>
      <c r="D152" s="172" t="s">
        <v>9</v>
      </c>
      <c r="E152" s="173"/>
      <c r="F152" s="173"/>
      <c r="G152" s="173"/>
      <c r="H152" s="173"/>
      <c r="I152" s="173"/>
      <c r="J152" s="170">
        <v>42907</v>
      </c>
      <c r="K152" s="170">
        <v>42853</v>
      </c>
      <c r="L152" s="173">
        <v>-12000</v>
      </c>
      <c r="M152" s="173">
        <v>0</v>
      </c>
      <c r="N152" s="173">
        <v>-1560</v>
      </c>
      <c r="O152" s="173">
        <v>0</v>
      </c>
      <c r="P152" s="174">
        <v>0</v>
      </c>
    </row>
    <row r="153" spans="1:16">
      <c r="A153" s="169">
        <v>42907</v>
      </c>
      <c r="B153" s="170">
        <v>42908</v>
      </c>
      <c r="C153" s="171" t="s">
        <v>318</v>
      </c>
      <c r="D153" s="172" t="s">
        <v>11</v>
      </c>
      <c r="E153" s="173">
        <v>148599.16</v>
      </c>
      <c r="F153" s="173">
        <v>0</v>
      </c>
      <c r="G153" s="173">
        <v>19318</v>
      </c>
      <c r="H153" s="173">
        <v>0</v>
      </c>
      <c r="I153" s="173">
        <v>0</v>
      </c>
      <c r="J153" s="170">
        <v>42907</v>
      </c>
      <c r="K153" s="170"/>
      <c r="L153" s="173"/>
      <c r="M153" s="173"/>
      <c r="N153" s="173"/>
      <c r="O153" s="173"/>
      <c r="P153" s="174"/>
    </row>
    <row r="154" spans="1:16">
      <c r="A154" s="169">
        <v>42912</v>
      </c>
      <c r="B154" s="170">
        <v>42913</v>
      </c>
      <c r="C154" s="171" t="s">
        <v>316</v>
      </c>
      <c r="D154" s="172" t="s">
        <v>7</v>
      </c>
      <c r="E154" s="173">
        <v>11495876.880000001</v>
      </c>
      <c r="F154" s="173">
        <v>0</v>
      </c>
      <c r="G154" s="173">
        <v>1494474</v>
      </c>
      <c r="H154" s="173">
        <v>0</v>
      </c>
      <c r="I154" s="173">
        <v>0</v>
      </c>
      <c r="J154" s="170">
        <v>42912</v>
      </c>
      <c r="K154" s="170"/>
      <c r="L154" s="173"/>
      <c r="M154" s="173"/>
      <c r="N154" s="173"/>
      <c r="O154" s="173"/>
      <c r="P154" s="174"/>
    </row>
    <row r="155" spans="1:16">
      <c r="A155" s="169">
        <v>42912</v>
      </c>
      <c r="B155" s="170">
        <v>42913</v>
      </c>
      <c r="C155" s="171" t="s">
        <v>316</v>
      </c>
      <c r="D155" s="172" t="s">
        <v>8</v>
      </c>
      <c r="E155" s="173">
        <v>506484.21</v>
      </c>
      <c r="F155" s="173">
        <v>0</v>
      </c>
      <c r="G155" s="173">
        <v>65845</v>
      </c>
      <c r="H155" s="173">
        <v>122</v>
      </c>
      <c r="I155" s="173">
        <v>37</v>
      </c>
      <c r="J155" s="170">
        <v>42912</v>
      </c>
      <c r="K155" s="170"/>
      <c r="L155" s="173"/>
      <c r="M155" s="173"/>
      <c r="N155" s="173"/>
      <c r="O155" s="173"/>
      <c r="P155" s="174"/>
    </row>
    <row r="156" spans="1:16">
      <c r="A156" s="169">
        <v>42912</v>
      </c>
      <c r="B156" s="170">
        <v>42913</v>
      </c>
      <c r="C156" s="171" t="s">
        <v>316</v>
      </c>
      <c r="D156" s="172" t="s">
        <v>9</v>
      </c>
      <c r="E156" s="173">
        <v>30299</v>
      </c>
      <c r="F156" s="173">
        <v>0</v>
      </c>
      <c r="G156" s="173">
        <v>3939</v>
      </c>
      <c r="H156" s="173">
        <v>0</v>
      </c>
      <c r="I156" s="173">
        <v>0</v>
      </c>
      <c r="J156" s="170">
        <v>42912</v>
      </c>
      <c r="K156" s="170"/>
      <c r="L156" s="173"/>
      <c r="M156" s="173"/>
      <c r="N156" s="173"/>
      <c r="O156" s="173"/>
      <c r="P156" s="174"/>
    </row>
    <row r="157" spans="1:16">
      <c r="A157" s="169">
        <v>42912</v>
      </c>
      <c r="B157" s="170">
        <v>42913</v>
      </c>
      <c r="C157" s="171" t="s">
        <v>316</v>
      </c>
      <c r="D157" s="172" t="s">
        <v>11</v>
      </c>
      <c r="E157" s="173">
        <v>6811.23</v>
      </c>
      <c r="F157" s="173">
        <v>0</v>
      </c>
      <c r="G157" s="173">
        <v>885</v>
      </c>
      <c r="H157" s="173">
        <v>0</v>
      </c>
      <c r="I157" s="173">
        <v>0</v>
      </c>
      <c r="J157" s="170">
        <v>42912</v>
      </c>
      <c r="K157" s="170"/>
      <c r="L157" s="173"/>
      <c r="M157" s="173"/>
      <c r="N157" s="173"/>
      <c r="O157" s="173"/>
      <c r="P157" s="174"/>
    </row>
    <row r="158" spans="1:16">
      <c r="A158" s="169">
        <v>42912</v>
      </c>
      <c r="B158" s="170">
        <v>42913</v>
      </c>
      <c r="C158" s="171" t="s">
        <v>316</v>
      </c>
      <c r="D158" s="172" t="s">
        <v>12</v>
      </c>
      <c r="E158" s="173">
        <v>160209.63</v>
      </c>
      <c r="F158" s="173">
        <v>3000</v>
      </c>
      <c r="G158" s="173">
        <v>20438</v>
      </c>
      <c r="H158" s="173">
        <v>0</v>
      </c>
      <c r="I158" s="173">
        <v>0</v>
      </c>
      <c r="J158" s="170">
        <v>42912</v>
      </c>
      <c r="K158" s="170"/>
      <c r="L158" s="173"/>
      <c r="M158" s="173"/>
      <c r="N158" s="173"/>
      <c r="O158" s="173"/>
      <c r="P158" s="174"/>
    </row>
    <row r="159" spans="1:16">
      <c r="A159" s="169">
        <v>42912</v>
      </c>
      <c r="B159" s="170">
        <v>42913</v>
      </c>
      <c r="C159" s="171" t="s">
        <v>316</v>
      </c>
      <c r="D159" s="172" t="s">
        <v>13</v>
      </c>
      <c r="E159" s="173">
        <v>2934486.48</v>
      </c>
      <c r="F159" s="173">
        <v>0</v>
      </c>
      <c r="G159" s="173">
        <v>381481</v>
      </c>
      <c r="H159" s="173">
        <v>0</v>
      </c>
      <c r="I159" s="173">
        <v>0</v>
      </c>
      <c r="J159" s="170">
        <v>42912</v>
      </c>
      <c r="K159" s="170"/>
      <c r="L159" s="173"/>
      <c r="M159" s="173"/>
      <c r="N159" s="173"/>
      <c r="O159" s="173"/>
      <c r="P159" s="174"/>
    </row>
    <row r="160" spans="1:16">
      <c r="A160" s="169">
        <v>42916</v>
      </c>
      <c r="B160" s="170"/>
      <c r="C160" s="171" t="s">
        <v>316</v>
      </c>
      <c r="D160" s="172" t="s">
        <v>7</v>
      </c>
      <c r="E160" s="173">
        <v>0</v>
      </c>
      <c r="F160" s="173">
        <v>0</v>
      </c>
      <c r="G160" s="173">
        <v>-14845</v>
      </c>
      <c r="H160" s="173">
        <v>0</v>
      </c>
      <c r="I160" s="173">
        <v>14845</v>
      </c>
      <c r="J160" s="170">
        <v>42916</v>
      </c>
      <c r="K160" s="170">
        <v>42745</v>
      </c>
      <c r="L160" s="173">
        <v>-12452.8</v>
      </c>
      <c r="M160" s="173">
        <v>0</v>
      </c>
      <c r="N160" s="173">
        <v>-1619</v>
      </c>
      <c r="O160" s="173">
        <v>0</v>
      </c>
      <c r="P160" s="174">
        <v>0</v>
      </c>
    </row>
    <row r="161" spans="1:16">
      <c r="A161" s="169">
        <v>42916</v>
      </c>
      <c r="B161" s="170"/>
      <c r="C161" s="171" t="s">
        <v>316</v>
      </c>
      <c r="D161" s="172" t="s">
        <v>7</v>
      </c>
      <c r="E161" s="173"/>
      <c r="F161" s="173"/>
      <c r="G161" s="173"/>
      <c r="H161" s="173"/>
      <c r="I161" s="173"/>
      <c r="J161" s="170">
        <v>42916</v>
      </c>
      <c r="K161" s="170">
        <v>42776</v>
      </c>
      <c r="L161" s="173">
        <v>-5931.8</v>
      </c>
      <c r="M161" s="173">
        <v>0</v>
      </c>
      <c r="N161" s="173">
        <v>-771</v>
      </c>
      <c r="O161" s="173">
        <v>0</v>
      </c>
      <c r="P161" s="174">
        <v>0</v>
      </c>
    </row>
    <row r="162" spans="1:16">
      <c r="A162" s="169">
        <v>42916</v>
      </c>
      <c r="B162" s="170"/>
      <c r="C162" s="171" t="s">
        <v>316</v>
      </c>
      <c r="D162" s="172" t="s">
        <v>7</v>
      </c>
      <c r="E162" s="173"/>
      <c r="F162" s="173"/>
      <c r="G162" s="173"/>
      <c r="H162" s="173"/>
      <c r="I162" s="173"/>
      <c r="J162" s="170">
        <v>42916</v>
      </c>
      <c r="K162" s="170">
        <v>42804</v>
      </c>
      <c r="L162" s="173">
        <v>-12510.42</v>
      </c>
      <c r="M162" s="173">
        <v>0</v>
      </c>
      <c r="N162" s="173">
        <v>-1627</v>
      </c>
      <c r="O162" s="173">
        <v>0</v>
      </c>
      <c r="P162" s="174">
        <v>0</v>
      </c>
    </row>
    <row r="163" spans="1:16">
      <c r="A163" s="169">
        <v>42916</v>
      </c>
      <c r="B163" s="170"/>
      <c r="C163" s="171" t="s">
        <v>316</v>
      </c>
      <c r="D163" s="172" t="s">
        <v>7</v>
      </c>
      <c r="E163" s="173"/>
      <c r="F163" s="173"/>
      <c r="G163" s="173"/>
      <c r="H163" s="173"/>
      <c r="I163" s="173"/>
      <c r="J163" s="170">
        <v>42916</v>
      </c>
      <c r="K163" s="170">
        <v>42835</v>
      </c>
      <c r="L163" s="173">
        <v>-19896.7</v>
      </c>
      <c r="M163" s="173">
        <v>0</v>
      </c>
      <c r="N163" s="173">
        <v>-2588</v>
      </c>
      <c r="O163" s="173">
        <v>0</v>
      </c>
      <c r="P163" s="174">
        <v>0</v>
      </c>
    </row>
    <row r="164" spans="1:16">
      <c r="A164" s="169">
        <v>42916</v>
      </c>
      <c r="B164" s="170"/>
      <c r="C164" s="171" t="s">
        <v>316</v>
      </c>
      <c r="D164" s="172" t="s">
        <v>7</v>
      </c>
      <c r="E164" s="173"/>
      <c r="F164" s="173"/>
      <c r="G164" s="173"/>
      <c r="H164" s="173"/>
      <c r="I164" s="173"/>
      <c r="J164" s="170">
        <v>42916</v>
      </c>
      <c r="K164" s="170">
        <v>42858</v>
      </c>
      <c r="L164" s="173">
        <v>-9381</v>
      </c>
      <c r="M164" s="173">
        <v>0</v>
      </c>
      <c r="N164" s="173">
        <v>-1220</v>
      </c>
      <c r="O164" s="173">
        <v>0</v>
      </c>
      <c r="P164" s="174">
        <v>0</v>
      </c>
    </row>
    <row r="165" spans="1:16">
      <c r="A165" s="169">
        <v>42916</v>
      </c>
      <c r="B165" s="170"/>
      <c r="C165" s="171" t="s">
        <v>316</v>
      </c>
      <c r="D165" s="172" t="s">
        <v>7</v>
      </c>
      <c r="E165" s="173"/>
      <c r="F165" s="173"/>
      <c r="G165" s="173"/>
      <c r="H165" s="173"/>
      <c r="I165" s="173"/>
      <c r="J165" s="170">
        <v>42916</v>
      </c>
      <c r="K165" s="170">
        <v>42859</v>
      </c>
      <c r="L165" s="173">
        <v>-14359.21</v>
      </c>
      <c r="M165" s="173">
        <v>-500</v>
      </c>
      <c r="N165" s="173">
        <v>-1802</v>
      </c>
      <c r="O165" s="173">
        <v>0</v>
      </c>
      <c r="P165" s="174">
        <v>0</v>
      </c>
    </row>
    <row r="166" spans="1:16">
      <c r="A166" s="169">
        <v>42916</v>
      </c>
      <c r="B166" s="170"/>
      <c r="C166" s="171" t="s">
        <v>316</v>
      </c>
      <c r="D166" s="172" t="s">
        <v>7</v>
      </c>
      <c r="E166" s="173"/>
      <c r="F166" s="173"/>
      <c r="G166" s="173"/>
      <c r="H166" s="173"/>
      <c r="I166" s="173"/>
      <c r="J166" s="170">
        <v>42916</v>
      </c>
      <c r="K166" s="170">
        <v>42895</v>
      </c>
      <c r="L166" s="173">
        <v>-8631.41</v>
      </c>
      <c r="M166" s="173">
        <v>-500</v>
      </c>
      <c r="N166" s="173">
        <v>-1057</v>
      </c>
      <c r="O166" s="173">
        <v>0</v>
      </c>
      <c r="P166" s="174">
        <v>0</v>
      </c>
    </row>
    <row r="167" spans="1:16">
      <c r="A167" s="169">
        <v>42916</v>
      </c>
      <c r="B167" s="170"/>
      <c r="C167" s="171" t="s">
        <v>316</v>
      </c>
      <c r="D167" s="172" t="s">
        <v>8</v>
      </c>
      <c r="E167" s="173"/>
      <c r="F167" s="173"/>
      <c r="G167" s="173"/>
      <c r="H167" s="173"/>
      <c r="I167" s="173"/>
      <c r="J167" s="170">
        <v>42916</v>
      </c>
      <c r="K167" s="170">
        <v>42745</v>
      </c>
      <c r="L167" s="173">
        <v>-2774</v>
      </c>
      <c r="M167" s="173">
        <v>0</v>
      </c>
      <c r="N167" s="173">
        <v>-361</v>
      </c>
      <c r="O167" s="173">
        <v>0</v>
      </c>
      <c r="P167" s="174">
        <v>0</v>
      </c>
    </row>
    <row r="168" spans="1:16">
      <c r="A168" s="169">
        <v>42916</v>
      </c>
      <c r="B168" s="170"/>
      <c r="C168" s="171" t="s">
        <v>316</v>
      </c>
      <c r="D168" s="172" t="s">
        <v>12</v>
      </c>
      <c r="E168" s="173"/>
      <c r="F168" s="173"/>
      <c r="G168" s="173"/>
      <c r="H168" s="173"/>
      <c r="I168" s="173"/>
      <c r="J168" s="170">
        <v>42916</v>
      </c>
      <c r="K168" s="170">
        <v>42835</v>
      </c>
      <c r="L168" s="173">
        <v>-5328.1</v>
      </c>
      <c r="M168" s="173">
        <v>-500</v>
      </c>
      <c r="N168" s="173">
        <v>-628</v>
      </c>
      <c r="O168" s="173">
        <v>0</v>
      </c>
      <c r="P168" s="174">
        <v>0</v>
      </c>
    </row>
    <row r="169" spans="1:16">
      <c r="A169" s="169">
        <v>42916</v>
      </c>
      <c r="B169" s="170">
        <v>42917</v>
      </c>
      <c r="C169" s="171" t="s">
        <v>318</v>
      </c>
      <c r="D169" s="172" t="s">
        <v>8</v>
      </c>
      <c r="E169" s="173">
        <v>384426.16</v>
      </c>
      <c r="F169" s="173">
        <v>0</v>
      </c>
      <c r="G169" s="173">
        <v>49976</v>
      </c>
      <c r="H169" s="173">
        <v>0</v>
      </c>
      <c r="I169" s="173">
        <v>0</v>
      </c>
      <c r="J169" s="170">
        <v>42916</v>
      </c>
      <c r="K169" s="170">
        <v>42907</v>
      </c>
      <c r="L169" s="173">
        <v>-12000</v>
      </c>
      <c r="M169" s="173">
        <v>0</v>
      </c>
      <c r="N169" s="173">
        <v>-1560</v>
      </c>
      <c r="O169" s="173">
        <v>0</v>
      </c>
      <c r="P169" s="174">
        <v>0</v>
      </c>
    </row>
    <row r="170" spans="1:16">
      <c r="A170" s="169">
        <v>42916</v>
      </c>
      <c r="B170" s="170">
        <v>42917</v>
      </c>
      <c r="C170" s="171" t="s">
        <v>318</v>
      </c>
      <c r="D170" s="172" t="s">
        <v>9</v>
      </c>
      <c r="E170" s="173">
        <v>1136499.71</v>
      </c>
      <c r="F170" s="173">
        <v>0</v>
      </c>
      <c r="G170" s="173">
        <v>147744</v>
      </c>
      <c r="H170" s="173">
        <v>0</v>
      </c>
      <c r="I170" s="173">
        <v>0</v>
      </c>
      <c r="J170" s="170">
        <v>42916</v>
      </c>
      <c r="K170" s="170">
        <v>42839</v>
      </c>
      <c r="L170" s="173">
        <v>-252000</v>
      </c>
      <c r="M170" s="173">
        <v>0</v>
      </c>
      <c r="N170" s="173">
        <v>-32760</v>
      </c>
      <c r="O170" s="173">
        <v>0</v>
      </c>
      <c r="P170" s="174">
        <v>0</v>
      </c>
    </row>
    <row r="171" spans="1:16">
      <c r="A171" s="169">
        <v>42916</v>
      </c>
      <c r="B171" s="170"/>
      <c r="C171" s="171" t="s">
        <v>318</v>
      </c>
      <c r="D171" s="172" t="s">
        <v>9</v>
      </c>
      <c r="E171" s="173"/>
      <c r="F171" s="173"/>
      <c r="G171" s="173"/>
      <c r="H171" s="173"/>
      <c r="I171" s="173"/>
      <c r="J171" s="170">
        <v>42916</v>
      </c>
      <c r="K171" s="170">
        <v>42907</v>
      </c>
      <c r="L171" s="173">
        <v>-10000</v>
      </c>
      <c r="M171" s="173">
        <v>0</v>
      </c>
      <c r="N171" s="173">
        <v>-1300</v>
      </c>
      <c r="O171" s="173">
        <v>0</v>
      </c>
      <c r="P171" s="174">
        <v>0</v>
      </c>
    </row>
    <row r="172" spans="1:16">
      <c r="A172" s="169">
        <v>42916</v>
      </c>
      <c r="B172" s="170">
        <v>42917</v>
      </c>
      <c r="C172" s="171" t="s">
        <v>317</v>
      </c>
      <c r="D172" s="172" t="s">
        <v>7</v>
      </c>
      <c r="E172" s="173">
        <v>3498970.65</v>
      </c>
      <c r="F172" s="173">
        <v>0</v>
      </c>
      <c r="G172" s="173">
        <v>454867</v>
      </c>
      <c r="H172" s="173">
        <v>88931</v>
      </c>
      <c r="I172" s="173">
        <v>26679</v>
      </c>
      <c r="J172" s="170">
        <v>42916</v>
      </c>
      <c r="K172" s="170"/>
      <c r="L172" s="173"/>
      <c r="M172" s="173"/>
      <c r="N172" s="173"/>
      <c r="O172" s="173"/>
      <c r="P172" s="174"/>
    </row>
    <row r="173" spans="1:16">
      <c r="A173" s="169">
        <v>42923</v>
      </c>
      <c r="B173" s="170">
        <v>42924</v>
      </c>
      <c r="C173" s="171" t="s">
        <v>318</v>
      </c>
      <c r="D173" s="172" t="s">
        <v>8</v>
      </c>
      <c r="E173" s="173">
        <v>1371745.85</v>
      </c>
      <c r="F173" s="173">
        <v>0</v>
      </c>
      <c r="G173" s="173">
        <v>178328</v>
      </c>
      <c r="H173" s="173">
        <v>0</v>
      </c>
      <c r="I173" s="173">
        <v>0</v>
      </c>
      <c r="J173" s="170">
        <v>42923</v>
      </c>
      <c r="K173" s="170">
        <v>42865</v>
      </c>
      <c r="L173" s="173">
        <v>-178000</v>
      </c>
      <c r="M173" s="173">
        <v>0</v>
      </c>
      <c r="N173" s="173">
        <v>-23140</v>
      </c>
      <c r="O173" s="173">
        <v>0</v>
      </c>
      <c r="P173" s="174">
        <v>0</v>
      </c>
    </row>
    <row r="174" spans="1:16">
      <c r="A174" s="169">
        <v>42923</v>
      </c>
      <c r="B174" s="170">
        <v>42924</v>
      </c>
      <c r="C174" s="171" t="s">
        <v>318</v>
      </c>
      <c r="D174" s="172" t="s">
        <v>9</v>
      </c>
      <c r="E174" s="173">
        <v>1381050.23</v>
      </c>
      <c r="F174" s="173">
        <v>0</v>
      </c>
      <c r="G174" s="173">
        <v>179538</v>
      </c>
      <c r="H174" s="173">
        <v>0</v>
      </c>
      <c r="I174" s="173">
        <v>0</v>
      </c>
      <c r="J174" s="170">
        <v>42923</v>
      </c>
      <c r="K174" s="170">
        <v>42853</v>
      </c>
      <c r="L174" s="173">
        <v>-61000</v>
      </c>
      <c r="M174" s="173">
        <v>0</v>
      </c>
      <c r="N174" s="173">
        <v>-7930</v>
      </c>
      <c r="O174" s="173">
        <v>0</v>
      </c>
      <c r="P174" s="174">
        <v>0</v>
      </c>
    </row>
    <row r="175" spans="1:16">
      <c r="A175" s="169">
        <v>42923</v>
      </c>
      <c r="B175" s="170"/>
      <c r="C175" s="171" t="s">
        <v>318</v>
      </c>
      <c r="D175" s="172" t="s">
        <v>9</v>
      </c>
      <c r="E175" s="173"/>
      <c r="F175" s="173"/>
      <c r="G175" s="173"/>
      <c r="H175" s="173"/>
      <c r="I175" s="173"/>
      <c r="J175" s="170">
        <v>42923</v>
      </c>
      <c r="K175" s="170">
        <v>42865</v>
      </c>
      <c r="L175" s="173">
        <v>-12000</v>
      </c>
      <c r="M175" s="173">
        <v>0</v>
      </c>
      <c r="N175" s="173">
        <v>-1560</v>
      </c>
      <c r="O175" s="173">
        <v>0</v>
      </c>
      <c r="P175" s="174">
        <v>0</v>
      </c>
    </row>
    <row r="176" spans="1:16">
      <c r="A176" s="169">
        <v>42923</v>
      </c>
      <c r="B176" s="170"/>
      <c r="C176" s="171" t="s">
        <v>318</v>
      </c>
      <c r="D176" s="172" t="s">
        <v>11</v>
      </c>
      <c r="E176" s="173"/>
      <c r="F176" s="173"/>
      <c r="G176" s="173"/>
      <c r="H176" s="173"/>
      <c r="I176" s="173"/>
      <c r="J176" s="170">
        <v>42923</v>
      </c>
      <c r="K176" s="170">
        <v>42832</v>
      </c>
      <c r="L176" s="173">
        <v>-47500</v>
      </c>
      <c r="M176" s="173">
        <v>0</v>
      </c>
      <c r="N176" s="173">
        <v>-6175</v>
      </c>
      <c r="O176" s="173">
        <v>0</v>
      </c>
      <c r="P176" s="174">
        <v>0</v>
      </c>
    </row>
    <row r="177" spans="1:16">
      <c r="A177" s="169">
        <v>42926</v>
      </c>
      <c r="B177" s="170">
        <v>42927</v>
      </c>
      <c r="C177" s="171" t="s">
        <v>316</v>
      </c>
      <c r="D177" s="172" t="s">
        <v>7</v>
      </c>
      <c r="E177" s="173">
        <v>807545432.76999998</v>
      </c>
      <c r="F177" s="173">
        <v>3390300</v>
      </c>
      <c r="G177" s="173">
        <v>104550731</v>
      </c>
      <c r="H177" s="173">
        <v>2310119.75</v>
      </c>
      <c r="I177" s="173">
        <v>698828</v>
      </c>
      <c r="J177" s="170">
        <v>42926</v>
      </c>
      <c r="K177" s="170"/>
      <c r="L177" s="173"/>
      <c r="M177" s="173"/>
      <c r="N177" s="173"/>
      <c r="O177" s="173"/>
      <c r="P177" s="174"/>
    </row>
    <row r="178" spans="1:16">
      <c r="A178" s="169">
        <v>42926</v>
      </c>
      <c r="B178" s="170">
        <v>42927</v>
      </c>
      <c r="C178" s="171" t="s">
        <v>316</v>
      </c>
      <c r="D178" s="172" t="s">
        <v>8</v>
      </c>
      <c r="E178" s="173">
        <v>45434106.82</v>
      </c>
      <c r="F178" s="173">
        <v>130400</v>
      </c>
      <c r="G178" s="173">
        <v>5891500</v>
      </c>
      <c r="H178" s="173">
        <v>77423</v>
      </c>
      <c r="I178" s="173">
        <v>23229</v>
      </c>
      <c r="J178" s="170">
        <v>42926</v>
      </c>
      <c r="K178" s="170"/>
      <c r="L178" s="173"/>
      <c r="M178" s="173"/>
      <c r="N178" s="173"/>
      <c r="O178" s="173"/>
      <c r="P178" s="174"/>
    </row>
    <row r="179" spans="1:16">
      <c r="A179" s="169">
        <v>42926</v>
      </c>
      <c r="B179" s="170">
        <v>42927</v>
      </c>
      <c r="C179" s="171" t="s">
        <v>316</v>
      </c>
      <c r="D179" s="172" t="s">
        <v>9</v>
      </c>
      <c r="E179" s="173">
        <v>23717259.530000001</v>
      </c>
      <c r="F179" s="173">
        <v>30000</v>
      </c>
      <c r="G179" s="173">
        <v>3079812</v>
      </c>
      <c r="H179" s="173">
        <v>9453</v>
      </c>
      <c r="I179" s="173">
        <v>2836</v>
      </c>
      <c r="J179" s="170">
        <v>42926</v>
      </c>
      <c r="K179" s="170"/>
      <c r="L179" s="173"/>
      <c r="M179" s="173"/>
      <c r="N179" s="173"/>
      <c r="O179" s="173"/>
      <c r="P179" s="174"/>
    </row>
    <row r="180" spans="1:16">
      <c r="A180" s="169">
        <v>42926</v>
      </c>
      <c r="B180" s="170">
        <v>42927</v>
      </c>
      <c r="C180" s="171" t="s">
        <v>316</v>
      </c>
      <c r="D180" s="172" t="s">
        <v>11</v>
      </c>
      <c r="E180" s="173">
        <v>3735232.56</v>
      </c>
      <c r="F180" s="173">
        <v>11000</v>
      </c>
      <c r="G180" s="173">
        <v>484150</v>
      </c>
      <c r="H180" s="173">
        <v>4933.8</v>
      </c>
      <c r="I180" s="173">
        <v>1480</v>
      </c>
      <c r="J180" s="170">
        <v>42926</v>
      </c>
      <c r="K180" s="170"/>
      <c r="L180" s="173"/>
      <c r="M180" s="173"/>
      <c r="N180" s="173"/>
      <c r="O180" s="173"/>
      <c r="P180" s="174"/>
    </row>
    <row r="181" spans="1:16">
      <c r="A181" s="169">
        <v>42926</v>
      </c>
      <c r="B181" s="170">
        <v>42927</v>
      </c>
      <c r="C181" s="171" t="s">
        <v>316</v>
      </c>
      <c r="D181" s="172" t="s">
        <v>12</v>
      </c>
      <c r="E181" s="173">
        <v>34695613.380000003</v>
      </c>
      <c r="F181" s="173">
        <v>296300</v>
      </c>
      <c r="G181" s="173">
        <v>4475361</v>
      </c>
      <c r="H181" s="173">
        <v>70822.98</v>
      </c>
      <c r="I181" s="173">
        <v>21247</v>
      </c>
      <c r="J181" s="170">
        <v>42926</v>
      </c>
      <c r="K181" s="170"/>
      <c r="L181" s="173"/>
      <c r="M181" s="173"/>
      <c r="N181" s="173"/>
      <c r="O181" s="173"/>
      <c r="P181" s="174"/>
    </row>
    <row r="182" spans="1:16">
      <c r="A182" s="169">
        <v>42926</v>
      </c>
      <c r="B182" s="170">
        <v>42927</v>
      </c>
      <c r="C182" s="171" t="s">
        <v>316</v>
      </c>
      <c r="D182" s="172" t="s">
        <v>13</v>
      </c>
      <c r="E182" s="173">
        <v>104244850.20999999</v>
      </c>
      <c r="F182" s="173">
        <v>577400</v>
      </c>
      <c r="G182" s="173">
        <v>13480504</v>
      </c>
      <c r="H182" s="173">
        <v>20514</v>
      </c>
      <c r="I182" s="173">
        <v>6155</v>
      </c>
      <c r="J182" s="170">
        <v>42926</v>
      </c>
      <c r="K182" s="170"/>
      <c r="L182" s="173"/>
      <c r="M182" s="173"/>
      <c r="N182" s="173"/>
      <c r="O182" s="173"/>
      <c r="P182" s="174"/>
    </row>
    <row r="183" spans="1:16">
      <c r="A183" s="169">
        <v>42927</v>
      </c>
      <c r="B183" s="170">
        <v>42928</v>
      </c>
      <c r="C183" s="171" t="s">
        <v>316</v>
      </c>
      <c r="D183" s="172" t="s">
        <v>7</v>
      </c>
      <c r="E183" s="173">
        <v>330255243.01999998</v>
      </c>
      <c r="F183" s="173">
        <v>2301100</v>
      </c>
      <c r="G183" s="173">
        <v>42648939</v>
      </c>
      <c r="H183" s="173">
        <v>283149.21999999997</v>
      </c>
      <c r="I183" s="173">
        <v>87312</v>
      </c>
      <c r="J183" s="170">
        <v>42927</v>
      </c>
      <c r="K183" s="170"/>
      <c r="L183" s="173"/>
      <c r="M183" s="173"/>
      <c r="N183" s="173"/>
      <c r="O183" s="173"/>
      <c r="P183" s="174"/>
    </row>
    <row r="184" spans="1:16">
      <c r="A184" s="169">
        <v>42928</v>
      </c>
      <c r="B184" s="170">
        <v>42929</v>
      </c>
      <c r="C184" s="171" t="s">
        <v>316</v>
      </c>
      <c r="D184" s="172" t="s">
        <v>12</v>
      </c>
      <c r="E184" s="173">
        <v>2668642.09</v>
      </c>
      <c r="F184" s="173">
        <v>0</v>
      </c>
      <c r="G184" s="173">
        <v>346922</v>
      </c>
      <c r="H184" s="173">
        <v>0</v>
      </c>
      <c r="I184" s="173">
        <v>0</v>
      </c>
      <c r="J184" s="170">
        <v>42928</v>
      </c>
      <c r="K184" s="170"/>
      <c r="L184" s="173"/>
      <c r="M184" s="173"/>
      <c r="N184" s="173"/>
      <c r="O184" s="173"/>
      <c r="P184" s="174"/>
    </row>
    <row r="185" spans="1:16">
      <c r="A185" s="169">
        <v>42930</v>
      </c>
      <c r="B185" s="170">
        <v>42931</v>
      </c>
      <c r="C185" s="171" t="s">
        <v>318</v>
      </c>
      <c r="D185" s="172" t="s">
        <v>8</v>
      </c>
      <c r="E185" s="173">
        <v>2034848.74</v>
      </c>
      <c r="F185" s="173">
        <v>0</v>
      </c>
      <c r="G185" s="173">
        <v>264532</v>
      </c>
      <c r="H185" s="173">
        <v>0</v>
      </c>
      <c r="I185" s="173">
        <v>0</v>
      </c>
      <c r="J185" s="170">
        <v>42930</v>
      </c>
      <c r="K185" s="170">
        <v>42832</v>
      </c>
      <c r="L185" s="173">
        <v>-185000</v>
      </c>
      <c r="M185" s="173">
        <v>0</v>
      </c>
      <c r="N185" s="173">
        <v>-24050</v>
      </c>
      <c r="O185" s="173">
        <v>0</v>
      </c>
      <c r="P185" s="174">
        <v>0</v>
      </c>
    </row>
    <row r="186" spans="1:16">
      <c r="A186" s="169">
        <v>42930</v>
      </c>
      <c r="B186" s="170"/>
      <c r="C186" s="171" t="s">
        <v>318</v>
      </c>
      <c r="D186" s="172" t="s">
        <v>8</v>
      </c>
      <c r="E186" s="173"/>
      <c r="F186" s="173"/>
      <c r="G186" s="173"/>
      <c r="H186" s="173"/>
      <c r="I186" s="173"/>
      <c r="J186" s="170">
        <v>42930</v>
      </c>
      <c r="K186" s="170">
        <v>42865</v>
      </c>
      <c r="L186" s="173">
        <v>-12000</v>
      </c>
      <c r="M186" s="173">
        <v>0</v>
      </c>
      <c r="N186" s="173">
        <v>-1560</v>
      </c>
      <c r="O186" s="173">
        <v>0</v>
      </c>
      <c r="P186" s="174">
        <v>0</v>
      </c>
    </row>
    <row r="187" spans="1:16">
      <c r="A187" s="169">
        <v>42930</v>
      </c>
      <c r="B187" s="170">
        <v>42931</v>
      </c>
      <c r="C187" s="171" t="s">
        <v>318</v>
      </c>
      <c r="D187" s="172" t="s">
        <v>9</v>
      </c>
      <c r="E187" s="173">
        <v>3076323.87</v>
      </c>
      <c r="F187" s="173">
        <v>0</v>
      </c>
      <c r="G187" s="173">
        <v>399922</v>
      </c>
      <c r="H187" s="173">
        <v>0</v>
      </c>
      <c r="I187" s="173">
        <v>0</v>
      </c>
      <c r="J187" s="170">
        <v>42930</v>
      </c>
      <c r="K187" s="170">
        <v>42916</v>
      </c>
      <c r="L187" s="173">
        <v>-57600</v>
      </c>
      <c r="M187" s="173">
        <v>0</v>
      </c>
      <c r="N187" s="173">
        <v>-7488</v>
      </c>
      <c r="O187" s="173">
        <v>0</v>
      </c>
      <c r="P187" s="174">
        <v>0</v>
      </c>
    </row>
    <row r="188" spans="1:16">
      <c r="A188" s="169">
        <v>42930</v>
      </c>
      <c r="B188" s="170">
        <v>42931</v>
      </c>
      <c r="C188" s="171" t="s">
        <v>318</v>
      </c>
      <c r="D188" s="172" t="s">
        <v>11</v>
      </c>
      <c r="E188" s="173">
        <v>101828.61</v>
      </c>
      <c r="F188" s="173">
        <v>0</v>
      </c>
      <c r="G188" s="173">
        <v>13238</v>
      </c>
      <c r="H188" s="173">
        <v>0</v>
      </c>
      <c r="I188" s="173">
        <v>0</v>
      </c>
      <c r="J188" s="170">
        <v>42930</v>
      </c>
      <c r="K188" s="170"/>
      <c r="L188" s="173"/>
      <c r="M188" s="173"/>
      <c r="N188" s="173"/>
      <c r="O188" s="173"/>
      <c r="P188" s="174"/>
    </row>
    <row r="189" spans="1:16">
      <c r="A189" s="169">
        <v>42930</v>
      </c>
      <c r="B189" s="170">
        <v>42931</v>
      </c>
      <c r="C189" s="171" t="s">
        <v>317</v>
      </c>
      <c r="D189" s="172" t="s">
        <v>7</v>
      </c>
      <c r="E189" s="173">
        <v>6424425.7199999997</v>
      </c>
      <c r="F189" s="173">
        <v>0</v>
      </c>
      <c r="G189" s="173">
        <v>835178</v>
      </c>
      <c r="H189" s="173">
        <v>82489.440000000002</v>
      </c>
      <c r="I189" s="173">
        <v>24747</v>
      </c>
      <c r="J189" s="170">
        <v>42930</v>
      </c>
      <c r="K189" s="170"/>
      <c r="L189" s="173"/>
      <c r="M189" s="173"/>
      <c r="N189" s="173"/>
      <c r="O189" s="173"/>
      <c r="P189" s="174"/>
    </row>
    <row r="190" spans="1:16">
      <c r="A190" s="169">
        <v>42937</v>
      </c>
      <c r="B190" s="170">
        <v>42938</v>
      </c>
      <c r="C190" s="171" t="s">
        <v>318</v>
      </c>
      <c r="D190" s="172" t="s">
        <v>8</v>
      </c>
      <c r="E190" s="173">
        <v>1397363.42</v>
      </c>
      <c r="F190" s="173">
        <v>0</v>
      </c>
      <c r="G190" s="173">
        <v>181655</v>
      </c>
      <c r="H190" s="173">
        <v>0</v>
      </c>
      <c r="I190" s="173">
        <v>0</v>
      </c>
      <c r="J190" s="170">
        <v>42937</v>
      </c>
      <c r="K190" s="170">
        <v>42874</v>
      </c>
      <c r="L190" s="173">
        <v>-41000</v>
      </c>
      <c r="M190" s="173">
        <v>0</v>
      </c>
      <c r="N190" s="173">
        <v>-5330</v>
      </c>
      <c r="O190" s="173">
        <v>0</v>
      </c>
      <c r="P190" s="174">
        <v>0</v>
      </c>
    </row>
    <row r="191" spans="1:16">
      <c r="A191" s="169">
        <v>42937</v>
      </c>
      <c r="B191" s="170"/>
      <c r="C191" s="171" t="s">
        <v>318</v>
      </c>
      <c r="D191" s="172" t="s">
        <v>8</v>
      </c>
      <c r="E191" s="173"/>
      <c r="F191" s="173"/>
      <c r="G191" s="173"/>
      <c r="H191" s="173"/>
      <c r="I191" s="173"/>
      <c r="J191" s="170">
        <v>42937</v>
      </c>
      <c r="K191" s="170">
        <v>42916</v>
      </c>
      <c r="L191" s="173">
        <v>-35000</v>
      </c>
      <c r="M191" s="173">
        <v>0</v>
      </c>
      <c r="N191" s="173">
        <v>-4550</v>
      </c>
      <c r="O191" s="173">
        <v>0</v>
      </c>
      <c r="P191" s="174">
        <v>0</v>
      </c>
    </row>
    <row r="192" spans="1:16">
      <c r="A192" s="169">
        <v>42937</v>
      </c>
      <c r="B192" s="170"/>
      <c r="C192" s="171" t="s">
        <v>318</v>
      </c>
      <c r="D192" s="172" t="s">
        <v>8</v>
      </c>
      <c r="E192" s="173"/>
      <c r="F192" s="173"/>
      <c r="G192" s="173"/>
      <c r="H192" s="173"/>
      <c r="I192" s="173"/>
      <c r="J192" s="170">
        <v>42937</v>
      </c>
      <c r="K192" s="170">
        <v>42930</v>
      </c>
      <c r="L192" s="173">
        <v>-60000</v>
      </c>
      <c r="M192" s="173">
        <v>0</v>
      </c>
      <c r="N192" s="173">
        <v>-7800</v>
      </c>
      <c r="O192" s="173">
        <v>0</v>
      </c>
      <c r="P192" s="174">
        <v>0</v>
      </c>
    </row>
    <row r="193" spans="1:16">
      <c r="A193" s="169">
        <v>42937</v>
      </c>
      <c r="B193" s="170">
        <v>42938</v>
      </c>
      <c r="C193" s="171" t="s">
        <v>318</v>
      </c>
      <c r="D193" s="172" t="s">
        <v>9</v>
      </c>
      <c r="E193" s="173">
        <v>2862626.04</v>
      </c>
      <c r="F193" s="173">
        <v>0</v>
      </c>
      <c r="G193" s="173">
        <v>372144</v>
      </c>
      <c r="H193" s="173">
        <v>0</v>
      </c>
      <c r="I193" s="173">
        <v>0</v>
      </c>
      <c r="J193" s="170">
        <v>42937</v>
      </c>
      <c r="K193" s="170">
        <v>42916</v>
      </c>
      <c r="L193" s="173">
        <v>-50500</v>
      </c>
      <c r="M193" s="173">
        <v>0</v>
      </c>
      <c r="N193" s="173">
        <v>-6565</v>
      </c>
      <c r="O193" s="173">
        <v>0</v>
      </c>
      <c r="P193" s="174">
        <v>0</v>
      </c>
    </row>
    <row r="194" spans="1:16">
      <c r="A194" s="169">
        <v>42937</v>
      </c>
      <c r="B194" s="170"/>
      <c r="C194" s="171" t="s">
        <v>318</v>
      </c>
      <c r="D194" s="172" t="s">
        <v>9</v>
      </c>
      <c r="E194" s="173"/>
      <c r="F194" s="173"/>
      <c r="G194" s="173"/>
      <c r="H194" s="173"/>
      <c r="I194" s="173"/>
      <c r="J194" s="170">
        <v>42937</v>
      </c>
      <c r="K194" s="170">
        <v>42923</v>
      </c>
      <c r="L194" s="173">
        <v>-94000</v>
      </c>
      <c r="M194" s="173">
        <v>0</v>
      </c>
      <c r="N194" s="173">
        <v>-12220</v>
      </c>
      <c r="O194" s="173">
        <v>0</v>
      </c>
      <c r="P194" s="174">
        <v>0</v>
      </c>
    </row>
    <row r="195" spans="1:16">
      <c r="A195" s="169">
        <v>42937</v>
      </c>
      <c r="B195" s="170"/>
      <c r="C195" s="171" t="s">
        <v>318</v>
      </c>
      <c r="D195" s="172" t="s">
        <v>9</v>
      </c>
      <c r="E195" s="173"/>
      <c r="F195" s="173"/>
      <c r="G195" s="173"/>
      <c r="H195" s="173"/>
      <c r="I195" s="173"/>
      <c r="J195" s="170">
        <v>42937</v>
      </c>
      <c r="K195" s="170">
        <v>42930</v>
      </c>
      <c r="L195" s="173">
        <v>-91000</v>
      </c>
      <c r="M195" s="173">
        <v>0</v>
      </c>
      <c r="N195" s="173">
        <v>-11830</v>
      </c>
      <c r="O195" s="173">
        <v>0</v>
      </c>
      <c r="P195" s="174">
        <v>0</v>
      </c>
    </row>
    <row r="196" spans="1:16">
      <c r="A196" s="169">
        <v>42937</v>
      </c>
      <c r="B196" s="170">
        <v>42938</v>
      </c>
      <c r="C196" s="171" t="s">
        <v>318</v>
      </c>
      <c r="D196" s="172" t="s">
        <v>11</v>
      </c>
      <c r="E196" s="173">
        <v>206184.16</v>
      </c>
      <c r="F196" s="173">
        <v>0</v>
      </c>
      <c r="G196" s="173">
        <v>26805</v>
      </c>
      <c r="H196" s="173">
        <v>0</v>
      </c>
      <c r="I196" s="173">
        <v>0</v>
      </c>
      <c r="J196" s="170">
        <v>42937</v>
      </c>
      <c r="K196" s="170"/>
      <c r="L196" s="173"/>
      <c r="M196" s="173"/>
      <c r="N196" s="173"/>
      <c r="O196" s="173"/>
      <c r="P196" s="174"/>
    </row>
    <row r="197" spans="1:16">
      <c r="A197" s="169">
        <v>42937</v>
      </c>
      <c r="B197" s="170">
        <v>42938</v>
      </c>
      <c r="C197" s="171" t="s">
        <v>317</v>
      </c>
      <c r="D197" s="172" t="s">
        <v>7</v>
      </c>
      <c r="E197" s="173">
        <v>3565375.41</v>
      </c>
      <c r="F197" s="173">
        <v>0</v>
      </c>
      <c r="G197" s="173">
        <v>463501</v>
      </c>
      <c r="H197" s="173">
        <v>0</v>
      </c>
      <c r="I197" s="173">
        <v>0</v>
      </c>
      <c r="J197" s="170">
        <v>42937</v>
      </c>
      <c r="K197" s="170"/>
      <c r="L197" s="173"/>
      <c r="M197" s="173"/>
      <c r="N197" s="173"/>
      <c r="O197" s="173"/>
      <c r="P197" s="174"/>
    </row>
    <row r="198" spans="1:16">
      <c r="A198" s="169">
        <v>42941</v>
      </c>
      <c r="B198" s="170">
        <v>42942</v>
      </c>
      <c r="C198" s="171" t="s">
        <v>316</v>
      </c>
      <c r="D198" s="172" t="s">
        <v>7</v>
      </c>
      <c r="E198" s="173">
        <v>6474290.1900000004</v>
      </c>
      <c r="F198" s="173">
        <v>500</v>
      </c>
      <c r="G198" s="173">
        <v>841592</v>
      </c>
      <c r="H198" s="173">
        <v>0</v>
      </c>
      <c r="I198" s="173">
        <v>0</v>
      </c>
      <c r="J198" s="170">
        <v>42941</v>
      </c>
      <c r="K198" s="170"/>
      <c r="L198" s="173"/>
      <c r="M198" s="173"/>
      <c r="N198" s="173"/>
      <c r="O198" s="173"/>
      <c r="P198" s="174"/>
    </row>
    <row r="199" spans="1:16">
      <c r="A199" s="169">
        <v>42941</v>
      </c>
      <c r="B199" s="170">
        <v>42942</v>
      </c>
      <c r="C199" s="171" t="s">
        <v>316</v>
      </c>
      <c r="D199" s="172" t="s">
        <v>8</v>
      </c>
      <c r="E199" s="173">
        <v>542508.19999999995</v>
      </c>
      <c r="F199" s="173">
        <v>0</v>
      </c>
      <c r="G199" s="173">
        <v>70532</v>
      </c>
      <c r="H199" s="173">
        <v>0</v>
      </c>
      <c r="I199" s="173">
        <v>0</v>
      </c>
      <c r="J199" s="170">
        <v>42941</v>
      </c>
      <c r="K199" s="170"/>
      <c r="L199" s="173"/>
      <c r="M199" s="173"/>
      <c r="N199" s="173"/>
      <c r="O199" s="173"/>
      <c r="P199" s="174"/>
    </row>
    <row r="200" spans="1:16">
      <c r="A200" s="169">
        <v>42941</v>
      </c>
      <c r="B200" s="170">
        <v>42942</v>
      </c>
      <c r="C200" s="171" t="s">
        <v>316</v>
      </c>
      <c r="D200" s="172" t="s">
        <v>9</v>
      </c>
      <c r="E200" s="173">
        <v>49798.42</v>
      </c>
      <c r="F200" s="173">
        <v>0</v>
      </c>
      <c r="G200" s="173">
        <v>6472</v>
      </c>
      <c r="H200" s="173">
        <v>0</v>
      </c>
      <c r="I200" s="173">
        <v>0</v>
      </c>
      <c r="J200" s="170">
        <v>42941</v>
      </c>
      <c r="K200" s="170"/>
      <c r="L200" s="173"/>
      <c r="M200" s="173"/>
      <c r="N200" s="173"/>
      <c r="O200" s="173"/>
      <c r="P200" s="174"/>
    </row>
    <row r="201" spans="1:16">
      <c r="A201" s="169">
        <v>42941</v>
      </c>
      <c r="B201" s="170">
        <v>42942</v>
      </c>
      <c r="C201" s="171" t="s">
        <v>316</v>
      </c>
      <c r="D201" s="172" t="s">
        <v>11</v>
      </c>
      <c r="E201" s="173">
        <v>17499.099999999999</v>
      </c>
      <c r="F201" s="173">
        <v>0</v>
      </c>
      <c r="G201" s="173">
        <v>2275</v>
      </c>
      <c r="H201" s="173">
        <v>0</v>
      </c>
      <c r="I201" s="173">
        <v>0</v>
      </c>
      <c r="J201" s="170">
        <v>42941</v>
      </c>
      <c r="K201" s="170"/>
      <c r="L201" s="173"/>
      <c r="M201" s="173"/>
      <c r="N201" s="173"/>
      <c r="O201" s="173"/>
      <c r="P201" s="174"/>
    </row>
    <row r="202" spans="1:16">
      <c r="A202" s="169">
        <v>42941</v>
      </c>
      <c r="B202" s="170">
        <v>42942</v>
      </c>
      <c r="C202" s="171" t="s">
        <v>316</v>
      </c>
      <c r="D202" s="172" t="s">
        <v>12</v>
      </c>
      <c r="E202" s="173">
        <v>1213685.42</v>
      </c>
      <c r="F202" s="173">
        <v>500</v>
      </c>
      <c r="G202" s="173">
        <v>157717</v>
      </c>
      <c r="H202" s="173">
        <v>0</v>
      </c>
      <c r="I202" s="173">
        <v>0</v>
      </c>
      <c r="J202" s="170">
        <v>42941</v>
      </c>
      <c r="K202" s="170"/>
      <c r="L202" s="173"/>
      <c r="M202" s="173"/>
      <c r="N202" s="173"/>
      <c r="O202" s="173"/>
      <c r="P202" s="174"/>
    </row>
    <row r="203" spans="1:16">
      <c r="A203" s="169">
        <v>42941</v>
      </c>
      <c r="B203" s="170">
        <v>42942</v>
      </c>
      <c r="C203" s="171" t="s">
        <v>316</v>
      </c>
      <c r="D203" s="172" t="s">
        <v>13</v>
      </c>
      <c r="E203" s="173">
        <v>3993880.02</v>
      </c>
      <c r="F203" s="173">
        <v>4400</v>
      </c>
      <c r="G203" s="173">
        <v>518637</v>
      </c>
      <c r="H203" s="173">
        <v>0</v>
      </c>
      <c r="I203" s="173">
        <v>0</v>
      </c>
      <c r="J203" s="170">
        <v>42941</v>
      </c>
      <c r="K203" s="170"/>
      <c r="L203" s="173"/>
      <c r="M203" s="173"/>
      <c r="N203" s="173"/>
      <c r="O203" s="173"/>
      <c r="P203" s="174"/>
    </row>
    <row r="204" spans="1:16">
      <c r="A204" s="169">
        <v>42947</v>
      </c>
      <c r="B204" s="170"/>
      <c r="C204" s="171" t="s">
        <v>316</v>
      </c>
      <c r="D204" s="172" t="s">
        <v>7</v>
      </c>
      <c r="E204" s="173">
        <v>0</v>
      </c>
      <c r="F204" s="173">
        <v>0</v>
      </c>
      <c r="G204" s="173">
        <v>-3475</v>
      </c>
      <c r="H204" s="173">
        <v>0</v>
      </c>
      <c r="I204" s="173">
        <v>3475</v>
      </c>
      <c r="J204" s="170">
        <v>42947</v>
      </c>
      <c r="K204" s="170">
        <v>42858</v>
      </c>
      <c r="L204" s="173">
        <v>-949.5</v>
      </c>
      <c r="M204" s="173">
        <v>0</v>
      </c>
      <c r="N204" s="173">
        <v>-123</v>
      </c>
      <c r="O204" s="173">
        <v>0</v>
      </c>
      <c r="P204" s="174">
        <v>0</v>
      </c>
    </row>
    <row r="205" spans="1:16">
      <c r="A205" s="169">
        <v>42947</v>
      </c>
      <c r="B205" s="170"/>
      <c r="C205" s="171" t="s">
        <v>316</v>
      </c>
      <c r="D205" s="172" t="s">
        <v>7</v>
      </c>
      <c r="E205" s="173"/>
      <c r="F205" s="173"/>
      <c r="G205" s="173"/>
      <c r="H205" s="173"/>
      <c r="I205" s="173"/>
      <c r="J205" s="170">
        <v>42947</v>
      </c>
      <c r="K205" s="170">
        <v>42895</v>
      </c>
      <c r="L205" s="173">
        <v>-10948.61</v>
      </c>
      <c r="M205" s="173">
        <v>-500</v>
      </c>
      <c r="N205" s="173">
        <v>-1357</v>
      </c>
      <c r="O205" s="173">
        <v>0</v>
      </c>
      <c r="P205" s="174">
        <v>0</v>
      </c>
    </row>
    <row r="206" spans="1:16">
      <c r="A206" s="169">
        <v>42947</v>
      </c>
      <c r="B206" s="170"/>
      <c r="C206" s="171" t="s">
        <v>316</v>
      </c>
      <c r="D206" s="172" t="s">
        <v>7</v>
      </c>
      <c r="E206" s="173"/>
      <c r="F206" s="173"/>
      <c r="G206" s="173"/>
      <c r="H206" s="173"/>
      <c r="I206" s="173"/>
      <c r="J206" s="170">
        <v>42947</v>
      </c>
      <c r="K206" s="170">
        <v>42927</v>
      </c>
      <c r="L206" s="173">
        <v>-9346.74</v>
      </c>
      <c r="M206" s="173">
        <v>0</v>
      </c>
      <c r="N206" s="173">
        <v>-1216</v>
      </c>
      <c r="O206" s="173">
        <v>0</v>
      </c>
      <c r="P206" s="174">
        <v>0</v>
      </c>
    </row>
    <row r="207" spans="1:16">
      <c r="A207" s="169">
        <v>42947</v>
      </c>
      <c r="B207" s="170"/>
      <c r="C207" s="171" t="s">
        <v>316</v>
      </c>
      <c r="D207" s="172" t="s">
        <v>8</v>
      </c>
      <c r="E207" s="173"/>
      <c r="F207" s="173"/>
      <c r="G207" s="173"/>
      <c r="H207" s="173"/>
      <c r="I207" s="173"/>
      <c r="J207" s="170">
        <v>42947</v>
      </c>
      <c r="K207" s="170">
        <v>42926</v>
      </c>
      <c r="L207" s="173">
        <v>-10236</v>
      </c>
      <c r="M207" s="173">
        <v>0</v>
      </c>
      <c r="N207" s="173">
        <v>-1331</v>
      </c>
      <c r="O207" s="173">
        <v>0</v>
      </c>
      <c r="P207" s="174">
        <v>0</v>
      </c>
    </row>
    <row r="208" spans="1:16">
      <c r="A208" s="169">
        <v>42947</v>
      </c>
      <c r="B208" s="170"/>
      <c r="C208" s="171" t="s">
        <v>316</v>
      </c>
      <c r="D208" s="172" t="s">
        <v>12</v>
      </c>
      <c r="E208" s="173"/>
      <c r="F208" s="173"/>
      <c r="G208" s="173"/>
      <c r="H208" s="173"/>
      <c r="I208" s="173"/>
      <c r="J208" s="170">
        <v>42947</v>
      </c>
      <c r="K208" s="170">
        <v>42745</v>
      </c>
      <c r="L208" s="173">
        <v>-10720.5</v>
      </c>
      <c r="M208" s="173">
        <v>0</v>
      </c>
      <c r="N208" s="173">
        <v>-1393</v>
      </c>
      <c r="O208" s="173">
        <v>0</v>
      </c>
      <c r="P208" s="174">
        <v>0</v>
      </c>
    </row>
    <row r="209" spans="1:16">
      <c r="A209" s="169">
        <v>42947</v>
      </c>
      <c r="B209" s="170"/>
      <c r="C209" s="171" t="s">
        <v>316</v>
      </c>
      <c r="D209" s="172" t="s">
        <v>12</v>
      </c>
      <c r="E209" s="173"/>
      <c r="F209" s="173"/>
      <c r="G209" s="173"/>
      <c r="H209" s="173"/>
      <c r="I209" s="173"/>
      <c r="J209" s="170">
        <v>42947</v>
      </c>
      <c r="K209" s="170">
        <v>42776</v>
      </c>
      <c r="L209" s="173">
        <v>-1784.7</v>
      </c>
      <c r="M209" s="173">
        <v>0</v>
      </c>
      <c r="N209" s="173">
        <v>-232</v>
      </c>
      <c r="O209" s="173">
        <v>0</v>
      </c>
      <c r="P209" s="174">
        <v>0</v>
      </c>
    </row>
    <row r="210" spans="1:16">
      <c r="A210" s="169">
        <v>42947</v>
      </c>
      <c r="B210" s="170"/>
      <c r="C210" s="171" t="s">
        <v>316</v>
      </c>
      <c r="D210" s="172" t="s">
        <v>12</v>
      </c>
      <c r="E210" s="173"/>
      <c r="F210" s="173"/>
      <c r="G210" s="173"/>
      <c r="H210" s="173"/>
      <c r="I210" s="173"/>
      <c r="J210" s="170">
        <v>42947</v>
      </c>
      <c r="K210" s="170">
        <v>42804</v>
      </c>
      <c r="L210" s="173">
        <v>-12285</v>
      </c>
      <c r="M210" s="173">
        <v>0</v>
      </c>
      <c r="N210" s="173">
        <v>-1597</v>
      </c>
      <c r="O210" s="173">
        <v>0</v>
      </c>
      <c r="P210" s="174">
        <v>0</v>
      </c>
    </row>
    <row r="211" spans="1:16">
      <c r="A211" s="169">
        <v>42947</v>
      </c>
      <c r="B211" s="170"/>
      <c r="C211" s="171" t="s">
        <v>316</v>
      </c>
      <c r="D211" s="172" t="s">
        <v>12</v>
      </c>
      <c r="E211" s="173"/>
      <c r="F211" s="173"/>
      <c r="G211" s="173"/>
      <c r="H211" s="173"/>
      <c r="I211" s="173"/>
      <c r="J211" s="170">
        <v>42947</v>
      </c>
      <c r="K211" s="170">
        <v>42835</v>
      </c>
      <c r="L211" s="173">
        <v>-9291.4</v>
      </c>
      <c r="M211" s="173">
        <v>0</v>
      </c>
      <c r="N211" s="173">
        <v>-1208</v>
      </c>
      <c r="O211" s="173">
        <v>0</v>
      </c>
      <c r="P211" s="174">
        <v>0</v>
      </c>
    </row>
    <row r="212" spans="1:16">
      <c r="A212" s="169">
        <v>42957</v>
      </c>
      <c r="B212" s="170">
        <v>42958</v>
      </c>
      <c r="C212" s="171" t="s">
        <v>316</v>
      </c>
      <c r="D212" s="172" t="s">
        <v>7</v>
      </c>
      <c r="E212" s="173">
        <v>1140892301.0799999</v>
      </c>
      <c r="F212" s="173">
        <v>5786000</v>
      </c>
      <c r="G212" s="173">
        <v>147591799</v>
      </c>
      <c r="H212" s="173">
        <v>2569395.1800000002</v>
      </c>
      <c r="I212" s="173">
        <v>781778</v>
      </c>
      <c r="J212" s="170">
        <v>42957</v>
      </c>
      <c r="K212" s="170">
        <v>42004</v>
      </c>
      <c r="L212" s="173">
        <v>0</v>
      </c>
      <c r="M212" s="173">
        <v>0</v>
      </c>
      <c r="N212" s="173">
        <v>-9048</v>
      </c>
      <c r="O212" s="173">
        <v>0</v>
      </c>
      <c r="P212" s="174">
        <v>0</v>
      </c>
    </row>
    <row r="213" spans="1:16">
      <c r="A213" s="169">
        <v>42957</v>
      </c>
      <c r="B213" s="170"/>
      <c r="C213" s="171" t="s">
        <v>316</v>
      </c>
      <c r="D213" s="172" t="s">
        <v>7</v>
      </c>
      <c r="E213" s="173"/>
      <c r="F213" s="173"/>
      <c r="G213" s="173"/>
      <c r="H213" s="173"/>
      <c r="I213" s="173"/>
      <c r="J213" s="170">
        <v>42957</v>
      </c>
      <c r="K213" s="170">
        <v>42369</v>
      </c>
      <c r="L213" s="173">
        <v>0</v>
      </c>
      <c r="M213" s="173">
        <v>0</v>
      </c>
      <c r="N213" s="173">
        <v>-9048</v>
      </c>
      <c r="O213" s="173">
        <v>0</v>
      </c>
      <c r="P213" s="174">
        <v>0</v>
      </c>
    </row>
    <row r="214" spans="1:16">
      <c r="A214" s="169">
        <v>42957</v>
      </c>
      <c r="B214" s="170"/>
      <c r="C214" s="171" t="s">
        <v>316</v>
      </c>
      <c r="D214" s="172" t="s">
        <v>7</v>
      </c>
      <c r="E214" s="173"/>
      <c r="F214" s="173"/>
      <c r="G214" s="173"/>
      <c r="H214" s="173"/>
      <c r="I214" s="173"/>
      <c r="J214" s="170">
        <v>42957</v>
      </c>
      <c r="K214" s="170">
        <v>42735</v>
      </c>
      <c r="L214" s="173">
        <v>0</v>
      </c>
      <c r="M214" s="173">
        <v>0</v>
      </c>
      <c r="N214" s="173">
        <v>-11544</v>
      </c>
      <c r="O214" s="173">
        <v>0</v>
      </c>
      <c r="P214" s="174">
        <v>0</v>
      </c>
    </row>
    <row r="215" spans="1:16">
      <c r="A215" s="169">
        <v>42957</v>
      </c>
      <c r="B215" s="170">
        <v>42958</v>
      </c>
      <c r="C215" s="171" t="s">
        <v>316</v>
      </c>
      <c r="D215" s="172" t="s">
        <v>8</v>
      </c>
      <c r="E215" s="173">
        <v>44084726.539999999</v>
      </c>
      <c r="F215" s="173">
        <v>125000</v>
      </c>
      <c r="G215" s="173">
        <v>5716489</v>
      </c>
      <c r="H215" s="173">
        <v>35792</v>
      </c>
      <c r="I215" s="173">
        <v>10739</v>
      </c>
      <c r="J215" s="170">
        <v>42957</v>
      </c>
      <c r="K215" s="170"/>
      <c r="L215" s="173"/>
      <c r="M215" s="173"/>
      <c r="N215" s="173"/>
      <c r="O215" s="173"/>
      <c r="P215" s="174"/>
    </row>
    <row r="216" spans="1:16">
      <c r="A216" s="169">
        <v>42957</v>
      </c>
      <c r="B216" s="170">
        <v>42958</v>
      </c>
      <c r="C216" s="171" t="s">
        <v>316</v>
      </c>
      <c r="D216" s="172" t="s">
        <v>9</v>
      </c>
      <c r="E216" s="173">
        <v>18234954.07</v>
      </c>
      <c r="F216" s="173">
        <v>28500</v>
      </c>
      <c r="G216" s="173">
        <v>2367214</v>
      </c>
      <c r="H216" s="173">
        <v>2463</v>
      </c>
      <c r="I216" s="173">
        <v>739</v>
      </c>
      <c r="J216" s="170">
        <v>42957</v>
      </c>
      <c r="K216" s="170"/>
      <c r="L216" s="173"/>
      <c r="M216" s="173"/>
      <c r="N216" s="173"/>
      <c r="O216" s="173"/>
      <c r="P216" s="174"/>
    </row>
    <row r="217" spans="1:16">
      <c r="A217" s="169">
        <v>42957</v>
      </c>
      <c r="B217" s="170">
        <v>42958</v>
      </c>
      <c r="C217" s="171" t="s">
        <v>316</v>
      </c>
      <c r="D217" s="172" t="s">
        <v>11</v>
      </c>
      <c r="E217" s="173">
        <v>3723916.76</v>
      </c>
      <c r="F217" s="173">
        <v>11000</v>
      </c>
      <c r="G217" s="173">
        <v>482676</v>
      </c>
      <c r="H217" s="173">
        <v>4933.8</v>
      </c>
      <c r="I217" s="173">
        <v>1480</v>
      </c>
      <c r="J217" s="170">
        <v>42957</v>
      </c>
      <c r="K217" s="170"/>
      <c r="L217" s="173"/>
      <c r="M217" s="173"/>
      <c r="N217" s="173"/>
      <c r="O217" s="173"/>
      <c r="P217" s="174"/>
    </row>
    <row r="218" spans="1:16">
      <c r="A218" s="169">
        <v>42957</v>
      </c>
      <c r="B218" s="170">
        <v>42958</v>
      </c>
      <c r="C218" s="171" t="s">
        <v>316</v>
      </c>
      <c r="D218" s="172" t="s">
        <v>12</v>
      </c>
      <c r="E218" s="173">
        <v>35556879.409999996</v>
      </c>
      <c r="F218" s="173">
        <v>315500</v>
      </c>
      <c r="G218" s="173">
        <v>4584580</v>
      </c>
      <c r="H218" s="173">
        <v>70822.98</v>
      </c>
      <c r="I218" s="173">
        <v>21247</v>
      </c>
      <c r="J218" s="170">
        <v>42957</v>
      </c>
      <c r="K218" s="170"/>
      <c r="L218" s="173"/>
      <c r="M218" s="173"/>
      <c r="N218" s="173"/>
      <c r="O218" s="173"/>
      <c r="P218" s="174"/>
    </row>
    <row r="219" spans="1:16">
      <c r="A219" s="169">
        <v>42957</v>
      </c>
      <c r="B219" s="170">
        <v>42958</v>
      </c>
      <c r="C219" s="171" t="s">
        <v>316</v>
      </c>
      <c r="D219" s="172" t="s">
        <v>13</v>
      </c>
      <c r="E219" s="173">
        <v>107587422.77</v>
      </c>
      <c r="F219" s="173">
        <v>610700</v>
      </c>
      <c r="G219" s="173">
        <v>13910751</v>
      </c>
      <c r="H219" s="173">
        <v>20514</v>
      </c>
      <c r="I219" s="173">
        <v>6155</v>
      </c>
      <c r="J219" s="170">
        <v>42957</v>
      </c>
      <c r="K219" s="170"/>
      <c r="L219" s="173"/>
      <c r="M219" s="173"/>
      <c r="N219" s="173"/>
      <c r="O219" s="173"/>
      <c r="P219" s="174"/>
    </row>
    <row r="220" spans="1:16">
      <c r="A220" s="169">
        <v>42958</v>
      </c>
      <c r="B220" s="170"/>
      <c r="C220" s="171" t="s">
        <v>318</v>
      </c>
      <c r="D220" s="172" t="s">
        <v>8</v>
      </c>
      <c r="E220" s="173"/>
      <c r="F220" s="173"/>
      <c r="G220" s="173"/>
      <c r="H220" s="173"/>
      <c r="I220" s="173"/>
      <c r="J220" s="170">
        <v>42958</v>
      </c>
      <c r="K220" s="170">
        <v>42874</v>
      </c>
      <c r="L220" s="173">
        <v>-99000</v>
      </c>
      <c r="M220" s="173">
        <v>0</v>
      </c>
      <c r="N220" s="173">
        <v>-12870</v>
      </c>
      <c r="O220" s="173">
        <v>0</v>
      </c>
      <c r="P220" s="174">
        <v>0</v>
      </c>
    </row>
    <row r="221" spans="1:16">
      <c r="A221" s="169">
        <v>42958</v>
      </c>
      <c r="B221" s="170"/>
      <c r="C221" s="171" t="s">
        <v>318</v>
      </c>
      <c r="D221" s="172" t="s">
        <v>8</v>
      </c>
      <c r="E221" s="173"/>
      <c r="F221" s="173"/>
      <c r="G221" s="173"/>
      <c r="H221" s="173"/>
      <c r="I221" s="173"/>
      <c r="J221" s="170">
        <v>42958</v>
      </c>
      <c r="K221" s="170">
        <v>42930</v>
      </c>
      <c r="L221" s="173">
        <v>-67500</v>
      </c>
      <c r="M221" s="173">
        <v>0</v>
      </c>
      <c r="N221" s="173">
        <v>-8775</v>
      </c>
      <c r="O221" s="173">
        <v>0</v>
      </c>
      <c r="P221" s="174">
        <v>0</v>
      </c>
    </row>
    <row r="222" spans="1:16">
      <c r="A222" s="169">
        <v>42958</v>
      </c>
      <c r="B222" s="170"/>
      <c r="C222" s="171" t="s">
        <v>318</v>
      </c>
      <c r="D222" s="172" t="s">
        <v>8</v>
      </c>
      <c r="E222" s="173"/>
      <c r="F222" s="173"/>
      <c r="G222" s="173"/>
      <c r="H222" s="173"/>
      <c r="I222" s="173"/>
      <c r="J222" s="170">
        <v>42958</v>
      </c>
      <c r="K222" s="170">
        <v>42937</v>
      </c>
      <c r="L222" s="173">
        <v>-57500</v>
      </c>
      <c r="M222" s="173">
        <v>0</v>
      </c>
      <c r="N222" s="173">
        <v>-7475</v>
      </c>
      <c r="O222" s="173">
        <v>0</v>
      </c>
      <c r="P222" s="174">
        <v>0</v>
      </c>
    </row>
    <row r="223" spans="1:16">
      <c r="A223" s="169">
        <v>42958</v>
      </c>
      <c r="B223" s="170">
        <v>42959</v>
      </c>
      <c r="C223" s="171" t="s">
        <v>318</v>
      </c>
      <c r="D223" s="172" t="s">
        <v>9</v>
      </c>
      <c r="E223" s="173">
        <v>61666.47</v>
      </c>
      <c r="F223" s="173">
        <v>0</v>
      </c>
      <c r="G223" s="173">
        <v>8017</v>
      </c>
      <c r="H223" s="173">
        <v>0</v>
      </c>
      <c r="I223" s="173">
        <v>0</v>
      </c>
      <c r="J223" s="170">
        <v>42958</v>
      </c>
      <c r="K223" s="170">
        <v>42902</v>
      </c>
      <c r="L223" s="173">
        <v>-52000</v>
      </c>
      <c r="M223" s="173">
        <v>0</v>
      </c>
      <c r="N223" s="173">
        <v>-6760</v>
      </c>
      <c r="O223" s="173">
        <v>0</v>
      </c>
      <c r="P223" s="174">
        <v>0</v>
      </c>
    </row>
    <row r="224" spans="1:16">
      <c r="A224" s="169">
        <v>42958</v>
      </c>
      <c r="B224" s="170"/>
      <c r="C224" s="171" t="s">
        <v>318</v>
      </c>
      <c r="D224" s="172" t="s">
        <v>9</v>
      </c>
      <c r="E224" s="173"/>
      <c r="F224" s="173"/>
      <c r="G224" s="173"/>
      <c r="H224" s="173"/>
      <c r="I224" s="173"/>
      <c r="J224" s="170">
        <v>42958</v>
      </c>
      <c r="K224" s="170">
        <v>42907</v>
      </c>
      <c r="L224" s="173">
        <v>-207000</v>
      </c>
      <c r="M224" s="173">
        <v>0</v>
      </c>
      <c r="N224" s="173">
        <v>-26910</v>
      </c>
      <c r="O224" s="173">
        <v>0</v>
      </c>
      <c r="P224" s="174">
        <v>0</v>
      </c>
    </row>
    <row r="225" spans="1:16">
      <c r="A225" s="169">
        <v>42958</v>
      </c>
      <c r="B225" s="170"/>
      <c r="C225" s="171" t="s">
        <v>318</v>
      </c>
      <c r="D225" s="172" t="s">
        <v>9</v>
      </c>
      <c r="E225" s="173"/>
      <c r="F225" s="173"/>
      <c r="G225" s="173"/>
      <c r="H225" s="173"/>
      <c r="I225" s="173"/>
      <c r="J225" s="170">
        <v>42958</v>
      </c>
      <c r="K225" s="170">
        <v>42930</v>
      </c>
      <c r="L225" s="173">
        <v>-110000</v>
      </c>
      <c r="M225" s="173">
        <v>0</v>
      </c>
      <c r="N225" s="173">
        <v>-14300</v>
      </c>
      <c r="O225" s="173">
        <v>0</v>
      </c>
      <c r="P225" s="174">
        <v>0</v>
      </c>
    </row>
    <row r="226" spans="1:16">
      <c r="A226" s="169">
        <v>42958</v>
      </c>
      <c r="B226" s="170"/>
      <c r="C226" s="171" t="s">
        <v>318</v>
      </c>
      <c r="D226" s="172" t="s">
        <v>9</v>
      </c>
      <c r="E226" s="173"/>
      <c r="F226" s="173"/>
      <c r="G226" s="173"/>
      <c r="H226" s="173"/>
      <c r="I226" s="173"/>
      <c r="J226" s="170">
        <v>42958</v>
      </c>
      <c r="K226" s="170">
        <v>42937</v>
      </c>
      <c r="L226" s="173">
        <v>-371000</v>
      </c>
      <c r="M226" s="173">
        <v>0</v>
      </c>
      <c r="N226" s="173">
        <v>-48230</v>
      </c>
      <c r="O226" s="173">
        <v>0</v>
      </c>
      <c r="P226" s="174">
        <v>0</v>
      </c>
    </row>
    <row r="227" spans="1:16">
      <c r="A227" s="169">
        <v>42958</v>
      </c>
      <c r="B227" s="170">
        <v>42959</v>
      </c>
      <c r="C227" s="171" t="s">
        <v>317</v>
      </c>
      <c r="D227" s="172" t="s">
        <v>7</v>
      </c>
      <c r="E227" s="173">
        <v>6271010.7800000003</v>
      </c>
      <c r="F227" s="173">
        <v>0</v>
      </c>
      <c r="G227" s="173">
        <v>815231</v>
      </c>
      <c r="H227" s="173">
        <v>0</v>
      </c>
      <c r="I227" s="173">
        <v>0</v>
      </c>
      <c r="J227" s="170">
        <v>42958</v>
      </c>
      <c r="K227" s="170"/>
      <c r="L227" s="173"/>
      <c r="M227" s="173"/>
      <c r="N227" s="173"/>
      <c r="O227" s="173"/>
      <c r="P227" s="174"/>
    </row>
    <row r="228" spans="1:16">
      <c r="A228" s="169">
        <v>42965</v>
      </c>
      <c r="B228" s="170">
        <v>42966</v>
      </c>
      <c r="C228" s="171" t="s">
        <v>318</v>
      </c>
      <c r="D228" s="172" t="s">
        <v>8</v>
      </c>
      <c r="E228" s="173">
        <v>1208940.26</v>
      </c>
      <c r="F228" s="173">
        <v>0</v>
      </c>
      <c r="G228" s="173">
        <v>157160</v>
      </c>
      <c r="H228" s="173">
        <v>0</v>
      </c>
      <c r="I228" s="173">
        <v>0</v>
      </c>
      <c r="J228" s="170">
        <v>42965</v>
      </c>
      <c r="K228" s="170"/>
      <c r="L228" s="173"/>
      <c r="M228" s="173"/>
      <c r="N228" s="173"/>
      <c r="O228" s="173"/>
      <c r="P228" s="174"/>
    </row>
    <row r="229" spans="1:16">
      <c r="A229" s="169">
        <v>42965</v>
      </c>
      <c r="B229" s="170">
        <v>42966</v>
      </c>
      <c r="C229" s="171" t="s">
        <v>318</v>
      </c>
      <c r="D229" s="172" t="s">
        <v>9</v>
      </c>
      <c r="E229" s="173">
        <v>984988.15</v>
      </c>
      <c r="F229" s="173">
        <v>0</v>
      </c>
      <c r="G229" s="173">
        <v>128049</v>
      </c>
      <c r="H229" s="173">
        <v>0</v>
      </c>
      <c r="I229" s="173">
        <v>0</v>
      </c>
      <c r="J229" s="170">
        <v>42965</v>
      </c>
      <c r="K229" s="170">
        <v>42916</v>
      </c>
      <c r="L229" s="173">
        <v>-49000</v>
      </c>
      <c r="M229" s="173">
        <v>0</v>
      </c>
      <c r="N229" s="173">
        <v>-6370</v>
      </c>
      <c r="O229" s="173">
        <v>0</v>
      </c>
      <c r="P229" s="174">
        <v>0</v>
      </c>
    </row>
    <row r="230" spans="1:16">
      <c r="A230" s="169">
        <v>42965</v>
      </c>
      <c r="B230" s="170"/>
      <c r="C230" s="171" t="s">
        <v>318</v>
      </c>
      <c r="D230" s="172" t="s">
        <v>9</v>
      </c>
      <c r="E230" s="173"/>
      <c r="F230" s="173"/>
      <c r="G230" s="173"/>
      <c r="H230" s="173"/>
      <c r="I230" s="173"/>
      <c r="J230" s="170">
        <v>42965</v>
      </c>
      <c r="K230" s="170">
        <v>42958</v>
      </c>
      <c r="L230" s="173">
        <v>-36500</v>
      </c>
      <c r="M230" s="173">
        <v>0</v>
      </c>
      <c r="N230" s="173">
        <v>-4745</v>
      </c>
      <c r="O230" s="173">
        <v>0</v>
      </c>
      <c r="P230" s="174">
        <v>0</v>
      </c>
    </row>
    <row r="231" spans="1:16">
      <c r="A231" s="169">
        <v>42965</v>
      </c>
      <c r="B231" s="170">
        <v>42966</v>
      </c>
      <c r="C231" s="171" t="s">
        <v>318</v>
      </c>
      <c r="D231" s="172" t="s">
        <v>11</v>
      </c>
      <c r="E231" s="173">
        <v>1702102.3</v>
      </c>
      <c r="F231" s="173">
        <v>0</v>
      </c>
      <c r="G231" s="173">
        <v>221274</v>
      </c>
      <c r="H231" s="173">
        <v>0</v>
      </c>
      <c r="I231" s="173">
        <v>0</v>
      </c>
      <c r="J231" s="170">
        <v>42965</v>
      </c>
      <c r="K231" s="170"/>
      <c r="L231" s="173"/>
      <c r="M231" s="173"/>
      <c r="N231" s="173"/>
      <c r="O231" s="173"/>
      <c r="P231" s="174"/>
    </row>
    <row r="232" spans="1:16">
      <c r="A232" s="169">
        <v>42972</v>
      </c>
      <c r="B232" s="170">
        <v>42973</v>
      </c>
      <c r="C232" s="171" t="s">
        <v>316</v>
      </c>
      <c r="D232" s="172" t="s">
        <v>7</v>
      </c>
      <c r="E232" s="173">
        <v>3950698.46</v>
      </c>
      <c r="F232" s="173">
        <v>1000</v>
      </c>
      <c r="G232" s="173">
        <v>513470</v>
      </c>
      <c r="H232" s="173">
        <v>0</v>
      </c>
      <c r="I232" s="173">
        <v>0</v>
      </c>
      <c r="J232" s="170">
        <v>42972</v>
      </c>
      <c r="K232" s="170"/>
      <c r="L232" s="173"/>
      <c r="M232" s="173"/>
      <c r="N232" s="173"/>
      <c r="O232" s="173"/>
      <c r="P232" s="174"/>
    </row>
    <row r="233" spans="1:16">
      <c r="A233" s="169">
        <v>42972</v>
      </c>
      <c r="B233" s="170">
        <v>42973</v>
      </c>
      <c r="C233" s="171" t="s">
        <v>316</v>
      </c>
      <c r="D233" s="172" t="s">
        <v>8</v>
      </c>
      <c r="E233" s="173">
        <v>382712.19</v>
      </c>
      <c r="F233" s="173">
        <v>0</v>
      </c>
      <c r="G233" s="173">
        <v>49752</v>
      </c>
      <c r="H233" s="173">
        <v>0</v>
      </c>
      <c r="I233" s="173">
        <v>0</v>
      </c>
      <c r="J233" s="170">
        <v>42972</v>
      </c>
      <c r="K233" s="170"/>
      <c r="L233" s="173"/>
      <c r="M233" s="173"/>
      <c r="N233" s="173"/>
      <c r="O233" s="173"/>
      <c r="P233" s="174"/>
    </row>
    <row r="234" spans="1:16">
      <c r="A234" s="169">
        <v>42972</v>
      </c>
      <c r="B234" s="170">
        <v>42973</v>
      </c>
      <c r="C234" s="171" t="s">
        <v>316</v>
      </c>
      <c r="D234" s="172" t="s">
        <v>9</v>
      </c>
      <c r="E234" s="173">
        <v>42658</v>
      </c>
      <c r="F234" s="173">
        <v>0</v>
      </c>
      <c r="G234" s="173">
        <v>5546</v>
      </c>
      <c r="H234" s="173">
        <v>0</v>
      </c>
      <c r="I234" s="173">
        <v>0</v>
      </c>
      <c r="J234" s="170">
        <v>42972</v>
      </c>
      <c r="K234" s="170"/>
      <c r="L234" s="173"/>
      <c r="M234" s="173"/>
      <c r="N234" s="173"/>
      <c r="O234" s="173"/>
      <c r="P234" s="174"/>
    </row>
    <row r="235" spans="1:16">
      <c r="A235" s="169">
        <v>42972</v>
      </c>
      <c r="B235" s="170">
        <v>42973</v>
      </c>
      <c r="C235" s="171" t="s">
        <v>316</v>
      </c>
      <c r="D235" s="172" t="s">
        <v>12</v>
      </c>
      <c r="E235" s="173">
        <v>871637.75</v>
      </c>
      <c r="F235" s="173">
        <v>39200</v>
      </c>
      <c r="G235" s="173">
        <v>111262</v>
      </c>
      <c r="H235" s="173">
        <v>0</v>
      </c>
      <c r="I235" s="173">
        <v>0</v>
      </c>
      <c r="J235" s="170">
        <v>42972</v>
      </c>
      <c r="K235" s="170"/>
      <c r="L235" s="173"/>
      <c r="M235" s="173"/>
      <c r="N235" s="173"/>
      <c r="O235" s="173"/>
      <c r="P235" s="174"/>
    </row>
    <row r="236" spans="1:16">
      <c r="A236" s="169">
        <v>42972</v>
      </c>
      <c r="B236" s="170">
        <v>42973</v>
      </c>
      <c r="C236" s="171" t="s">
        <v>316</v>
      </c>
      <c r="D236" s="172" t="s">
        <v>13</v>
      </c>
      <c r="E236" s="173">
        <v>1237808.28</v>
      </c>
      <c r="F236" s="173">
        <v>0</v>
      </c>
      <c r="G236" s="173">
        <v>160915</v>
      </c>
      <c r="H236" s="173">
        <v>0</v>
      </c>
      <c r="I236" s="173">
        <v>0</v>
      </c>
      <c r="J236" s="170">
        <v>42972</v>
      </c>
      <c r="K236" s="170"/>
      <c r="L236" s="173"/>
      <c r="M236" s="173"/>
      <c r="N236" s="173"/>
      <c r="O236" s="173"/>
      <c r="P236" s="174"/>
    </row>
    <row r="237" spans="1:16">
      <c r="A237" s="169">
        <v>42975</v>
      </c>
      <c r="B237" s="170">
        <v>42976</v>
      </c>
      <c r="C237" s="171" t="s">
        <v>318</v>
      </c>
      <c r="D237" s="172" t="s">
        <v>8</v>
      </c>
      <c r="E237" s="173">
        <v>2357170.7200000002</v>
      </c>
      <c r="F237" s="173">
        <v>0</v>
      </c>
      <c r="G237" s="173">
        <v>306432</v>
      </c>
      <c r="H237" s="173">
        <v>0</v>
      </c>
      <c r="I237" s="173">
        <v>0</v>
      </c>
      <c r="J237" s="170">
        <v>42975</v>
      </c>
      <c r="K237" s="170"/>
      <c r="L237" s="173"/>
      <c r="M237" s="173"/>
      <c r="N237" s="173"/>
      <c r="O237" s="173"/>
      <c r="P237" s="174"/>
    </row>
    <row r="238" spans="1:16">
      <c r="A238" s="169">
        <v>42975</v>
      </c>
      <c r="B238" s="170">
        <v>42976</v>
      </c>
      <c r="C238" s="171" t="s">
        <v>318</v>
      </c>
      <c r="D238" s="172" t="s">
        <v>9</v>
      </c>
      <c r="E238" s="173">
        <v>6776071.0999999996</v>
      </c>
      <c r="F238" s="173">
        <v>0</v>
      </c>
      <c r="G238" s="173">
        <v>880890</v>
      </c>
      <c r="H238" s="173">
        <v>0</v>
      </c>
      <c r="I238" s="173">
        <v>0</v>
      </c>
      <c r="J238" s="170">
        <v>42975</v>
      </c>
      <c r="K238" s="170">
        <v>42930</v>
      </c>
      <c r="L238" s="173">
        <v>-188000</v>
      </c>
      <c r="M238" s="173">
        <v>0</v>
      </c>
      <c r="N238" s="173">
        <v>-24440</v>
      </c>
      <c r="O238" s="173">
        <v>0</v>
      </c>
      <c r="P238" s="174">
        <v>0</v>
      </c>
    </row>
    <row r="239" spans="1:16">
      <c r="A239" s="169">
        <v>42975</v>
      </c>
      <c r="B239" s="170"/>
      <c r="C239" s="171" t="s">
        <v>318</v>
      </c>
      <c r="D239" s="172" t="s">
        <v>9</v>
      </c>
      <c r="E239" s="173"/>
      <c r="F239" s="173"/>
      <c r="G239" s="173"/>
      <c r="H239" s="173"/>
      <c r="I239" s="173"/>
      <c r="J239" s="170">
        <v>42975</v>
      </c>
      <c r="K239" s="170">
        <v>42937</v>
      </c>
      <c r="L239" s="173">
        <v>-73500</v>
      </c>
      <c r="M239" s="173">
        <v>0</v>
      </c>
      <c r="N239" s="173">
        <v>-9555</v>
      </c>
      <c r="O239" s="173">
        <v>0</v>
      </c>
      <c r="P239" s="174">
        <v>0</v>
      </c>
    </row>
    <row r="240" spans="1:16">
      <c r="A240" s="169">
        <v>42975</v>
      </c>
      <c r="B240" s="170">
        <v>42976</v>
      </c>
      <c r="C240" s="171" t="s">
        <v>318</v>
      </c>
      <c r="D240" s="172" t="s">
        <v>11</v>
      </c>
      <c r="E240" s="173">
        <v>2362441.1</v>
      </c>
      <c r="F240" s="173">
        <v>0</v>
      </c>
      <c r="G240" s="173">
        <v>307118</v>
      </c>
      <c r="H240" s="173">
        <v>0</v>
      </c>
      <c r="I240" s="173">
        <v>0</v>
      </c>
      <c r="J240" s="170">
        <v>42975</v>
      </c>
      <c r="K240" s="170"/>
      <c r="L240" s="173"/>
      <c r="M240" s="173"/>
      <c r="N240" s="173"/>
      <c r="O240" s="173"/>
      <c r="P240" s="174"/>
    </row>
    <row r="241" spans="1:16">
      <c r="A241" s="169">
        <v>42975</v>
      </c>
      <c r="B241" s="170">
        <v>42976</v>
      </c>
      <c r="C241" s="171" t="s">
        <v>317</v>
      </c>
      <c r="D241" s="172" t="s">
        <v>7</v>
      </c>
      <c r="E241" s="173">
        <v>5478147.8700000001</v>
      </c>
      <c r="F241" s="173">
        <v>0</v>
      </c>
      <c r="G241" s="173">
        <v>712161</v>
      </c>
      <c r="H241" s="173">
        <v>0</v>
      </c>
      <c r="I241" s="173">
        <v>0</v>
      </c>
      <c r="J241" s="170">
        <v>42975</v>
      </c>
      <c r="K241" s="170"/>
      <c r="L241" s="173"/>
      <c r="M241" s="173"/>
      <c r="N241" s="173"/>
      <c r="O241" s="173"/>
      <c r="P241" s="174"/>
    </row>
    <row r="242" spans="1:16">
      <c r="A242" s="169">
        <v>42978</v>
      </c>
      <c r="B242" s="170"/>
      <c r="C242" s="171" t="s">
        <v>316</v>
      </c>
      <c r="D242" s="172" t="s">
        <v>7</v>
      </c>
      <c r="E242" s="173">
        <v>0</v>
      </c>
      <c r="F242" s="173">
        <v>0</v>
      </c>
      <c r="G242" s="173">
        <v>-6864</v>
      </c>
      <c r="H242" s="173">
        <v>0</v>
      </c>
      <c r="I242" s="173">
        <v>6864</v>
      </c>
      <c r="J242" s="170">
        <v>42978</v>
      </c>
      <c r="K242" s="170">
        <v>42895</v>
      </c>
      <c r="L242" s="173">
        <v>-2101.0700000000002</v>
      </c>
      <c r="M242" s="173">
        <v>0</v>
      </c>
      <c r="N242" s="173">
        <v>-273</v>
      </c>
      <c r="O242" s="173">
        <v>0</v>
      </c>
      <c r="P242" s="174">
        <v>0</v>
      </c>
    </row>
    <row r="243" spans="1:16">
      <c r="A243" s="169">
        <v>42978</v>
      </c>
      <c r="B243" s="170"/>
      <c r="C243" s="171" t="s">
        <v>316</v>
      </c>
      <c r="D243" s="172" t="s">
        <v>7</v>
      </c>
      <c r="E243" s="173"/>
      <c r="F243" s="173"/>
      <c r="G243" s="173"/>
      <c r="H243" s="173"/>
      <c r="I243" s="173"/>
      <c r="J243" s="170">
        <v>42978</v>
      </c>
      <c r="K243" s="170">
        <v>42927</v>
      </c>
      <c r="L243" s="173">
        <v>-11880.9</v>
      </c>
      <c r="M243" s="173">
        <v>0</v>
      </c>
      <c r="N243" s="173">
        <v>-1544</v>
      </c>
      <c r="O243" s="173">
        <v>0</v>
      </c>
      <c r="P243" s="174">
        <v>0</v>
      </c>
    </row>
    <row r="244" spans="1:16">
      <c r="A244" s="169">
        <v>42978</v>
      </c>
      <c r="B244" s="170"/>
      <c r="C244" s="171" t="s">
        <v>316</v>
      </c>
      <c r="D244" s="172" t="s">
        <v>7</v>
      </c>
      <c r="E244" s="173"/>
      <c r="F244" s="173"/>
      <c r="G244" s="173"/>
      <c r="H244" s="173"/>
      <c r="I244" s="173"/>
      <c r="J244" s="170">
        <v>42978</v>
      </c>
      <c r="K244" s="170">
        <v>42957</v>
      </c>
      <c r="L244" s="173">
        <v>-5896.6</v>
      </c>
      <c r="M244" s="173">
        <v>0</v>
      </c>
      <c r="N244" s="173">
        <v>-766</v>
      </c>
      <c r="O244" s="173">
        <v>0</v>
      </c>
      <c r="P244" s="174">
        <v>0</v>
      </c>
    </row>
    <row r="245" spans="1:16">
      <c r="A245" s="169">
        <v>42978</v>
      </c>
      <c r="B245" s="170"/>
      <c r="C245" s="171" t="s">
        <v>316</v>
      </c>
      <c r="D245" s="172" t="s">
        <v>13</v>
      </c>
      <c r="E245" s="173"/>
      <c r="F245" s="173"/>
      <c r="G245" s="173"/>
      <c r="H245" s="173"/>
      <c r="I245" s="173"/>
      <c r="J245" s="170">
        <v>42978</v>
      </c>
      <c r="K245" s="170">
        <v>42895</v>
      </c>
      <c r="L245" s="173">
        <v>-4392</v>
      </c>
      <c r="M245" s="173">
        <v>0</v>
      </c>
      <c r="N245" s="173">
        <v>-571</v>
      </c>
      <c r="O245" s="173">
        <v>0</v>
      </c>
      <c r="P245" s="174">
        <v>0</v>
      </c>
    </row>
    <row r="246" spans="1:16">
      <c r="A246" s="169">
        <v>42979</v>
      </c>
      <c r="B246" s="170">
        <v>42980</v>
      </c>
      <c r="C246" s="171" t="s">
        <v>318</v>
      </c>
      <c r="D246" s="172" t="s">
        <v>8</v>
      </c>
      <c r="E246" s="173">
        <v>603749.89</v>
      </c>
      <c r="F246" s="173">
        <v>0</v>
      </c>
      <c r="G246" s="173">
        <v>78487</v>
      </c>
      <c r="H246" s="173">
        <v>0</v>
      </c>
      <c r="I246" s="173">
        <v>0</v>
      </c>
      <c r="J246" s="170">
        <v>42979</v>
      </c>
      <c r="K246" s="170">
        <v>42731</v>
      </c>
      <c r="L246" s="173">
        <v>-116000</v>
      </c>
      <c r="M246" s="173">
        <v>0</v>
      </c>
      <c r="N246" s="173">
        <v>-15080</v>
      </c>
      <c r="O246" s="173">
        <v>0</v>
      </c>
      <c r="P246" s="174">
        <v>0</v>
      </c>
    </row>
    <row r="247" spans="1:16">
      <c r="A247" s="169">
        <v>42979</v>
      </c>
      <c r="B247" s="170">
        <v>42980</v>
      </c>
      <c r="C247" s="171" t="s">
        <v>318</v>
      </c>
      <c r="D247" s="172" t="s">
        <v>9</v>
      </c>
      <c r="E247" s="173">
        <v>941740.97</v>
      </c>
      <c r="F247" s="173">
        <v>0</v>
      </c>
      <c r="G247" s="173">
        <v>122427</v>
      </c>
      <c r="H247" s="173">
        <v>0</v>
      </c>
      <c r="I247" s="173">
        <v>0</v>
      </c>
      <c r="J247" s="170">
        <v>42979</v>
      </c>
      <c r="K247" s="170">
        <v>42865</v>
      </c>
      <c r="L247" s="173">
        <v>-65000</v>
      </c>
      <c r="M247" s="173">
        <v>0</v>
      </c>
      <c r="N247" s="173">
        <v>-8450</v>
      </c>
      <c r="O247" s="173">
        <v>0</v>
      </c>
      <c r="P247" s="174">
        <v>0</v>
      </c>
    </row>
    <row r="248" spans="1:16">
      <c r="A248" s="169">
        <v>42986</v>
      </c>
      <c r="B248" s="170">
        <v>42987</v>
      </c>
      <c r="C248" s="171" t="s">
        <v>316</v>
      </c>
      <c r="D248" s="172" t="s">
        <v>7</v>
      </c>
      <c r="E248" s="173">
        <v>1142465608.03</v>
      </c>
      <c r="F248" s="173">
        <v>5683000</v>
      </c>
      <c r="G248" s="173">
        <v>147808903</v>
      </c>
      <c r="H248" s="173">
        <v>2541461.1800000002</v>
      </c>
      <c r="I248" s="173">
        <v>770069</v>
      </c>
      <c r="J248" s="170">
        <v>42986</v>
      </c>
      <c r="K248" s="170"/>
      <c r="L248" s="173"/>
      <c r="M248" s="173"/>
      <c r="N248" s="173"/>
      <c r="O248" s="173"/>
      <c r="P248" s="174"/>
    </row>
    <row r="249" spans="1:16">
      <c r="A249" s="169">
        <v>42986</v>
      </c>
      <c r="B249" s="170">
        <v>42987</v>
      </c>
      <c r="C249" s="171" t="s">
        <v>316</v>
      </c>
      <c r="D249" s="172" t="s">
        <v>8</v>
      </c>
      <c r="E249" s="173">
        <v>44414725.090000004</v>
      </c>
      <c r="F249" s="173">
        <v>126000</v>
      </c>
      <c r="G249" s="173">
        <v>5759405</v>
      </c>
      <c r="H249" s="173">
        <v>35792</v>
      </c>
      <c r="I249" s="173">
        <v>10739</v>
      </c>
      <c r="J249" s="170">
        <v>42986</v>
      </c>
      <c r="K249" s="170"/>
      <c r="L249" s="173"/>
      <c r="M249" s="173"/>
      <c r="N249" s="173"/>
      <c r="O249" s="173"/>
      <c r="P249" s="174"/>
    </row>
    <row r="250" spans="1:16">
      <c r="A250" s="169">
        <v>42986</v>
      </c>
      <c r="B250" s="170">
        <v>42987</v>
      </c>
      <c r="C250" s="171" t="s">
        <v>316</v>
      </c>
      <c r="D250" s="172" t="s">
        <v>9</v>
      </c>
      <c r="E250" s="173">
        <v>18079311.640000001</v>
      </c>
      <c r="F250" s="173">
        <v>27000</v>
      </c>
      <c r="G250" s="173">
        <v>2347200</v>
      </c>
      <c r="H250" s="173">
        <v>2463</v>
      </c>
      <c r="I250" s="173">
        <v>739</v>
      </c>
      <c r="J250" s="170">
        <v>42986</v>
      </c>
      <c r="K250" s="170"/>
      <c r="L250" s="173"/>
      <c r="M250" s="173"/>
      <c r="N250" s="173"/>
      <c r="O250" s="173"/>
      <c r="P250" s="174"/>
    </row>
    <row r="251" spans="1:16">
      <c r="A251" s="169">
        <v>42986</v>
      </c>
      <c r="B251" s="170">
        <v>42987</v>
      </c>
      <c r="C251" s="171" t="s">
        <v>316</v>
      </c>
      <c r="D251" s="172" t="s">
        <v>11</v>
      </c>
      <c r="E251" s="173">
        <v>3151122.8</v>
      </c>
      <c r="F251" s="173">
        <v>11000</v>
      </c>
      <c r="G251" s="173">
        <v>408210</v>
      </c>
      <c r="H251" s="173">
        <v>4933.8</v>
      </c>
      <c r="I251" s="173">
        <v>1480</v>
      </c>
      <c r="J251" s="170">
        <v>42986</v>
      </c>
      <c r="K251" s="170"/>
      <c r="L251" s="173"/>
      <c r="M251" s="173"/>
      <c r="N251" s="173"/>
      <c r="O251" s="173"/>
      <c r="P251" s="174"/>
    </row>
    <row r="252" spans="1:16">
      <c r="A252" s="169">
        <v>42986</v>
      </c>
      <c r="B252" s="170">
        <v>42987</v>
      </c>
      <c r="C252" s="171" t="s">
        <v>316</v>
      </c>
      <c r="D252" s="172" t="s">
        <v>12</v>
      </c>
      <c r="E252" s="173">
        <v>30419698.02</v>
      </c>
      <c r="F252" s="173">
        <v>227400</v>
      </c>
      <c r="G252" s="173">
        <v>3928271</v>
      </c>
      <c r="H252" s="173">
        <v>51832.08</v>
      </c>
      <c r="I252" s="173">
        <v>15549</v>
      </c>
      <c r="J252" s="170">
        <v>42986</v>
      </c>
      <c r="K252" s="170"/>
      <c r="L252" s="173"/>
      <c r="M252" s="173"/>
      <c r="N252" s="173"/>
      <c r="O252" s="173"/>
      <c r="P252" s="174"/>
    </row>
    <row r="253" spans="1:16">
      <c r="A253" s="169">
        <v>42986</v>
      </c>
      <c r="B253" s="170">
        <v>42987</v>
      </c>
      <c r="C253" s="171" t="s">
        <v>316</v>
      </c>
      <c r="D253" s="172" t="s">
        <v>13</v>
      </c>
      <c r="E253" s="173">
        <v>109007462.31</v>
      </c>
      <c r="F253" s="173">
        <v>579400</v>
      </c>
      <c r="G253" s="173">
        <v>14099376</v>
      </c>
      <c r="H253" s="173">
        <v>20514</v>
      </c>
      <c r="I253" s="173">
        <v>6155</v>
      </c>
      <c r="J253" s="170">
        <v>42986</v>
      </c>
      <c r="K253" s="170"/>
      <c r="L253" s="173"/>
      <c r="M253" s="173"/>
      <c r="N253" s="173"/>
      <c r="O253" s="173"/>
      <c r="P253" s="174"/>
    </row>
    <row r="254" spans="1:16">
      <c r="A254" s="169">
        <v>42989</v>
      </c>
      <c r="B254" s="170">
        <v>42990</v>
      </c>
      <c r="C254" s="171" t="s">
        <v>318</v>
      </c>
      <c r="D254" s="172" t="s">
        <v>8</v>
      </c>
      <c r="E254" s="173">
        <v>1324825.31</v>
      </c>
      <c r="F254" s="173">
        <v>0</v>
      </c>
      <c r="G254" s="173">
        <v>172226</v>
      </c>
      <c r="H254" s="173">
        <v>0</v>
      </c>
      <c r="I254" s="173">
        <v>0</v>
      </c>
      <c r="J254" s="170">
        <v>42989</v>
      </c>
      <c r="K254" s="170">
        <v>42307</v>
      </c>
      <c r="L254" s="173">
        <v>-237000</v>
      </c>
      <c r="M254" s="173">
        <v>0</v>
      </c>
      <c r="N254" s="173">
        <v>-30810</v>
      </c>
      <c r="O254" s="173">
        <v>0</v>
      </c>
      <c r="P254" s="174">
        <v>0</v>
      </c>
    </row>
    <row r="255" spans="1:16">
      <c r="A255" s="169">
        <v>42989</v>
      </c>
      <c r="B255" s="170"/>
      <c r="C255" s="171" t="s">
        <v>318</v>
      </c>
      <c r="D255" s="172" t="s">
        <v>8</v>
      </c>
      <c r="E255" s="173"/>
      <c r="F255" s="173"/>
      <c r="G255" s="173"/>
      <c r="H255" s="173"/>
      <c r="I255" s="173"/>
      <c r="J255" s="170">
        <v>42989</v>
      </c>
      <c r="K255" s="170">
        <v>42975</v>
      </c>
      <c r="L255" s="173">
        <v>-93500</v>
      </c>
      <c r="M255" s="173">
        <v>0</v>
      </c>
      <c r="N255" s="173">
        <v>-12155</v>
      </c>
      <c r="O255" s="173">
        <v>0</v>
      </c>
      <c r="P255" s="174">
        <v>0</v>
      </c>
    </row>
    <row r="256" spans="1:16">
      <c r="A256" s="169">
        <v>42989</v>
      </c>
      <c r="B256" s="170">
        <v>42990</v>
      </c>
      <c r="C256" s="171" t="s">
        <v>318</v>
      </c>
      <c r="D256" s="172" t="s">
        <v>9</v>
      </c>
      <c r="E256" s="173">
        <v>405510.31</v>
      </c>
      <c r="F256" s="173">
        <v>0</v>
      </c>
      <c r="G256" s="173">
        <v>52716</v>
      </c>
      <c r="H256" s="173">
        <v>0</v>
      </c>
      <c r="I256" s="173">
        <v>0</v>
      </c>
      <c r="J256" s="170">
        <v>42989</v>
      </c>
      <c r="K256" s="170">
        <v>42979</v>
      </c>
      <c r="L256" s="173">
        <v>-349000</v>
      </c>
      <c r="M256" s="173">
        <v>0</v>
      </c>
      <c r="N256" s="173">
        <v>-45370</v>
      </c>
      <c r="O256" s="173">
        <v>0</v>
      </c>
      <c r="P256" s="174">
        <v>0</v>
      </c>
    </row>
    <row r="257" spans="1:16">
      <c r="A257" s="169">
        <v>42989</v>
      </c>
      <c r="B257" s="170">
        <v>42990</v>
      </c>
      <c r="C257" s="171" t="s">
        <v>318</v>
      </c>
      <c r="D257" s="172" t="s">
        <v>11</v>
      </c>
      <c r="E257" s="173">
        <v>258478.21</v>
      </c>
      <c r="F257" s="173">
        <v>0</v>
      </c>
      <c r="G257" s="173">
        <v>33602</v>
      </c>
      <c r="H257" s="173">
        <v>0</v>
      </c>
      <c r="I257" s="173">
        <v>0</v>
      </c>
      <c r="J257" s="170">
        <v>42989</v>
      </c>
      <c r="K257" s="170"/>
      <c r="L257" s="173"/>
      <c r="M257" s="173"/>
      <c r="N257" s="173"/>
      <c r="O257" s="173"/>
      <c r="P257" s="174"/>
    </row>
    <row r="258" spans="1:16">
      <c r="A258" s="169">
        <v>42989</v>
      </c>
      <c r="B258" s="170">
        <v>42990</v>
      </c>
      <c r="C258" s="171" t="s">
        <v>317</v>
      </c>
      <c r="D258" s="172" t="s">
        <v>7</v>
      </c>
      <c r="E258" s="173">
        <v>6884437.8700000001</v>
      </c>
      <c r="F258" s="173">
        <v>0</v>
      </c>
      <c r="G258" s="173">
        <v>894975</v>
      </c>
      <c r="H258" s="173">
        <v>59221.17</v>
      </c>
      <c r="I258" s="173">
        <v>17766</v>
      </c>
      <c r="J258" s="170">
        <v>42989</v>
      </c>
      <c r="K258" s="170"/>
      <c r="L258" s="173"/>
      <c r="M258" s="173"/>
      <c r="N258" s="173"/>
      <c r="O258" s="173"/>
      <c r="P258" s="174"/>
    </row>
    <row r="259" spans="1:16">
      <c r="A259" s="169">
        <v>42991</v>
      </c>
      <c r="B259" s="170">
        <v>42992</v>
      </c>
      <c r="C259" s="171" t="s">
        <v>316</v>
      </c>
      <c r="D259" s="172" t="s">
        <v>7</v>
      </c>
      <c r="E259" s="173">
        <v>9282.9500000000007</v>
      </c>
      <c r="F259" s="173">
        <v>0</v>
      </c>
      <c r="G259" s="173">
        <v>1207</v>
      </c>
      <c r="H259" s="173">
        <v>0</v>
      </c>
      <c r="I259" s="173">
        <v>0</v>
      </c>
      <c r="J259" s="170">
        <v>42991</v>
      </c>
      <c r="K259" s="170"/>
      <c r="L259" s="173"/>
      <c r="M259" s="173"/>
      <c r="N259" s="173"/>
      <c r="O259" s="173"/>
      <c r="P259" s="174"/>
    </row>
    <row r="260" spans="1:16">
      <c r="A260" s="169">
        <v>42991</v>
      </c>
      <c r="B260" s="170">
        <v>42992</v>
      </c>
      <c r="C260" s="171" t="s">
        <v>316</v>
      </c>
      <c r="D260" s="172" t="s">
        <v>8</v>
      </c>
      <c r="E260" s="173">
        <v>5828</v>
      </c>
      <c r="F260" s="173">
        <v>0</v>
      </c>
      <c r="G260" s="173">
        <v>758</v>
      </c>
      <c r="H260" s="173">
        <v>0</v>
      </c>
      <c r="I260" s="173">
        <v>0</v>
      </c>
      <c r="J260" s="170">
        <v>42991</v>
      </c>
      <c r="K260" s="170"/>
      <c r="L260" s="173"/>
      <c r="M260" s="173"/>
      <c r="N260" s="173"/>
      <c r="O260" s="173"/>
      <c r="P260" s="174"/>
    </row>
    <row r="261" spans="1:16">
      <c r="A261" s="169">
        <v>42991</v>
      </c>
      <c r="B261" s="170">
        <v>42992</v>
      </c>
      <c r="C261" s="171" t="s">
        <v>316</v>
      </c>
      <c r="D261" s="172" t="s">
        <v>13</v>
      </c>
      <c r="E261" s="173">
        <v>390388.62</v>
      </c>
      <c r="F261" s="173">
        <v>0</v>
      </c>
      <c r="G261" s="173">
        <v>50750</v>
      </c>
      <c r="H261" s="173">
        <v>0</v>
      </c>
      <c r="I261" s="173">
        <v>0</v>
      </c>
      <c r="J261" s="170">
        <v>42991</v>
      </c>
      <c r="K261" s="170"/>
      <c r="L261" s="173"/>
      <c r="M261" s="173"/>
      <c r="N261" s="173"/>
      <c r="O261" s="173"/>
      <c r="P261" s="174"/>
    </row>
    <row r="262" spans="1:16">
      <c r="A262" s="12">
        <v>42993</v>
      </c>
      <c r="B262" s="13">
        <v>42994</v>
      </c>
      <c r="C262" s="14" t="s">
        <v>318</v>
      </c>
      <c r="D262" s="15" t="s">
        <v>8</v>
      </c>
      <c r="E262" s="16">
        <v>1065339.92</v>
      </c>
      <c r="F262" s="16">
        <v>0</v>
      </c>
      <c r="G262" s="16">
        <v>138495</v>
      </c>
      <c r="H262" s="16">
        <v>0</v>
      </c>
      <c r="I262" s="16">
        <v>0</v>
      </c>
      <c r="J262" s="13">
        <v>42993</v>
      </c>
      <c r="K262" s="13"/>
      <c r="L262" s="16"/>
      <c r="M262" s="16"/>
      <c r="N262" s="16"/>
      <c r="O262" s="16"/>
      <c r="P262" s="17"/>
    </row>
    <row r="263" spans="1:16">
      <c r="A263" s="169">
        <v>42993</v>
      </c>
      <c r="B263" s="170">
        <v>42994</v>
      </c>
      <c r="C263" s="171" t="s">
        <v>318</v>
      </c>
      <c r="D263" s="172" t="s">
        <v>9</v>
      </c>
      <c r="E263" s="173">
        <v>12889114.02</v>
      </c>
      <c r="F263" s="173">
        <v>0</v>
      </c>
      <c r="G263" s="173">
        <v>1675584</v>
      </c>
      <c r="H263" s="173">
        <v>0</v>
      </c>
      <c r="I263" s="173">
        <v>0</v>
      </c>
      <c r="J263" s="170">
        <v>42993</v>
      </c>
      <c r="K263" s="170">
        <v>42979</v>
      </c>
      <c r="L263" s="173">
        <v>-106000</v>
      </c>
      <c r="M263" s="173">
        <v>0</v>
      </c>
      <c r="N263" s="173">
        <v>-13780</v>
      </c>
      <c r="O263" s="173">
        <v>0</v>
      </c>
      <c r="P263" s="174">
        <v>0</v>
      </c>
    </row>
    <row r="264" spans="1:16">
      <c r="A264" s="169">
        <v>42993</v>
      </c>
      <c r="B264" s="170"/>
      <c r="C264" s="171" t="s">
        <v>318</v>
      </c>
      <c r="D264" s="172" t="s">
        <v>11</v>
      </c>
      <c r="E264" s="173"/>
      <c r="F264" s="173"/>
      <c r="G264" s="173"/>
      <c r="H264" s="173"/>
      <c r="I264" s="173"/>
      <c r="J264" s="170">
        <v>42993</v>
      </c>
      <c r="K264" s="170">
        <v>42965</v>
      </c>
      <c r="L264" s="173">
        <v>-465000</v>
      </c>
      <c r="M264" s="173">
        <v>0</v>
      </c>
      <c r="N264" s="173">
        <v>-60450</v>
      </c>
      <c r="O264" s="173">
        <v>0</v>
      </c>
      <c r="P264" s="174">
        <v>0</v>
      </c>
    </row>
    <row r="265" spans="1:16">
      <c r="A265" s="169">
        <v>43000</v>
      </c>
      <c r="B265" s="170">
        <v>43001</v>
      </c>
      <c r="C265" s="171" t="s">
        <v>318</v>
      </c>
      <c r="D265" s="172" t="s">
        <v>8</v>
      </c>
      <c r="E265" s="173">
        <v>386946.88</v>
      </c>
      <c r="F265" s="173">
        <v>0</v>
      </c>
      <c r="G265" s="173">
        <v>50304</v>
      </c>
      <c r="H265" s="173">
        <v>0</v>
      </c>
      <c r="I265" s="173">
        <v>0</v>
      </c>
      <c r="J265" s="170">
        <v>43000</v>
      </c>
      <c r="K265" s="170">
        <v>42993</v>
      </c>
      <c r="L265" s="173">
        <v>-56000</v>
      </c>
      <c r="M265" s="173">
        <v>0</v>
      </c>
      <c r="N265" s="173">
        <v>-7280</v>
      </c>
      <c r="O265" s="173">
        <v>0</v>
      </c>
      <c r="P265" s="174">
        <v>0</v>
      </c>
    </row>
    <row r="266" spans="1:16">
      <c r="A266" s="169">
        <v>43000</v>
      </c>
      <c r="B266" s="170">
        <v>43001</v>
      </c>
      <c r="C266" s="171" t="s">
        <v>318</v>
      </c>
      <c r="D266" s="172" t="s">
        <v>9</v>
      </c>
      <c r="E266" s="173">
        <v>752497.54</v>
      </c>
      <c r="F266" s="173">
        <v>0</v>
      </c>
      <c r="G266" s="173">
        <v>97825</v>
      </c>
      <c r="H266" s="173">
        <v>0</v>
      </c>
      <c r="I266" s="173">
        <v>0</v>
      </c>
      <c r="J266" s="170">
        <v>43000</v>
      </c>
      <c r="K266" s="170">
        <v>42993</v>
      </c>
      <c r="L266" s="173">
        <v>-65500</v>
      </c>
      <c r="M266" s="173">
        <v>0</v>
      </c>
      <c r="N266" s="173">
        <v>-8515</v>
      </c>
      <c r="O266" s="173">
        <v>0</v>
      </c>
      <c r="P266" s="174">
        <v>0</v>
      </c>
    </row>
    <row r="267" spans="1:16">
      <c r="A267" s="169">
        <v>43000</v>
      </c>
      <c r="B267" s="170">
        <v>43001</v>
      </c>
      <c r="C267" s="171" t="s">
        <v>318</v>
      </c>
      <c r="D267" s="172" t="s">
        <v>11</v>
      </c>
      <c r="E267" s="173">
        <v>16627.310000000001</v>
      </c>
      <c r="F267" s="173">
        <v>0</v>
      </c>
      <c r="G267" s="173">
        <v>2162</v>
      </c>
      <c r="H267" s="173">
        <v>0</v>
      </c>
      <c r="I267" s="173">
        <v>0</v>
      </c>
      <c r="J267" s="170">
        <v>43000</v>
      </c>
      <c r="K267" s="170"/>
      <c r="L267" s="173"/>
      <c r="M267" s="173"/>
      <c r="N267" s="173"/>
      <c r="O267" s="173"/>
      <c r="P267" s="174"/>
    </row>
    <row r="268" spans="1:16">
      <c r="A268" s="169">
        <v>43000</v>
      </c>
      <c r="B268" s="170">
        <v>43001</v>
      </c>
      <c r="C268" s="171" t="s">
        <v>317</v>
      </c>
      <c r="D268" s="172" t="s">
        <v>7</v>
      </c>
      <c r="E268" s="173">
        <v>3536909.06</v>
      </c>
      <c r="F268" s="173">
        <v>0</v>
      </c>
      <c r="G268" s="173">
        <v>459795</v>
      </c>
      <c r="H268" s="173">
        <v>0</v>
      </c>
      <c r="I268" s="173">
        <v>0</v>
      </c>
      <c r="J268" s="170">
        <v>43000</v>
      </c>
      <c r="K268" s="170"/>
      <c r="L268" s="173"/>
      <c r="M268" s="173"/>
      <c r="N268" s="173"/>
      <c r="O268" s="173"/>
      <c r="P268" s="174"/>
    </row>
    <row r="269" spans="1:16">
      <c r="A269" s="169">
        <v>43003</v>
      </c>
      <c r="B269" s="170">
        <v>43004</v>
      </c>
      <c r="C269" s="171" t="s">
        <v>316</v>
      </c>
      <c r="D269" s="172" t="s">
        <v>7</v>
      </c>
      <c r="E269" s="173">
        <v>7772735.9800000004</v>
      </c>
      <c r="F269" s="173">
        <v>1000</v>
      </c>
      <c r="G269" s="173">
        <v>1009369</v>
      </c>
      <c r="H269" s="173">
        <v>18486.8</v>
      </c>
      <c r="I269" s="173">
        <v>8702</v>
      </c>
      <c r="J269" s="170">
        <v>43003</v>
      </c>
      <c r="K269" s="170"/>
      <c r="L269" s="173"/>
      <c r="M269" s="173"/>
      <c r="N269" s="173"/>
      <c r="O269" s="173"/>
      <c r="P269" s="174"/>
    </row>
    <row r="270" spans="1:16">
      <c r="A270" s="169">
        <v>43003</v>
      </c>
      <c r="B270" s="170">
        <v>43004</v>
      </c>
      <c r="C270" s="171" t="s">
        <v>316</v>
      </c>
      <c r="D270" s="172" t="s">
        <v>8</v>
      </c>
      <c r="E270" s="173">
        <v>189512.92</v>
      </c>
      <c r="F270" s="173">
        <v>0</v>
      </c>
      <c r="G270" s="173">
        <v>24636</v>
      </c>
      <c r="H270" s="173">
        <v>0</v>
      </c>
      <c r="I270" s="173">
        <v>0</v>
      </c>
      <c r="J270" s="170">
        <v>43003</v>
      </c>
      <c r="K270" s="170"/>
      <c r="L270" s="173"/>
      <c r="M270" s="173"/>
      <c r="N270" s="173"/>
      <c r="O270" s="173"/>
      <c r="P270" s="174"/>
    </row>
    <row r="271" spans="1:16">
      <c r="A271" s="169">
        <v>43003</v>
      </c>
      <c r="B271" s="170">
        <v>43004</v>
      </c>
      <c r="C271" s="171" t="s">
        <v>316</v>
      </c>
      <c r="D271" s="172" t="s">
        <v>9</v>
      </c>
      <c r="E271" s="173">
        <v>68495.8</v>
      </c>
      <c r="F271" s="173">
        <v>0</v>
      </c>
      <c r="G271" s="173">
        <v>8905</v>
      </c>
      <c r="H271" s="173">
        <v>0</v>
      </c>
      <c r="I271" s="173">
        <v>0</v>
      </c>
      <c r="J271" s="170">
        <v>43003</v>
      </c>
      <c r="K271" s="170"/>
      <c r="L271" s="173"/>
      <c r="M271" s="173"/>
      <c r="N271" s="173"/>
      <c r="O271" s="173"/>
      <c r="P271" s="174"/>
    </row>
    <row r="272" spans="1:16">
      <c r="A272" s="169">
        <v>43003</v>
      </c>
      <c r="B272" s="170">
        <v>43004</v>
      </c>
      <c r="C272" s="171" t="s">
        <v>316</v>
      </c>
      <c r="D272" s="172" t="s">
        <v>11</v>
      </c>
      <c r="E272" s="173">
        <v>263924.14</v>
      </c>
      <c r="F272" s="173">
        <v>0</v>
      </c>
      <c r="G272" s="173">
        <v>34309</v>
      </c>
      <c r="H272" s="173">
        <v>0</v>
      </c>
      <c r="I272" s="173">
        <v>0</v>
      </c>
      <c r="J272" s="170">
        <v>43003</v>
      </c>
      <c r="K272" s="170"/>
      <c r="L272" s="173"/>
      <c r="M272" s="173"/>
      <c r="N272" s="173"/>
      <c r="O272" s="173"/>
      <c r="P272" s="174"/>
    </row>
    <row r="273" spans="1:16">
      <c r="A273" s="169">
        <v>43003</v>
      </c>
      <c r="B273" s="170">
        <v>43004</v>
      </c>
      <c r="C273" s="171" t="s">
        <v>316</v>
      </c>
      <c r="D273" s="172" t="s">
        <v>12</v>
      </c>
      <c r="E273" s="173">
        <v>2227172.7799999998</v>
      </c>
      <c r="F273" s="173">
        <v>18700</v>
      </c>
      <c r="G273" s="173">
        <v>287385</v>
      </c>
      <c r="H273" s="173">
        <v>15095.4</v>
      </c>
      <c r="I273" s="173">
        <v>4529</v>
      </c>
      <c r="J273" s="170">
        <v>43003</v>
      </c>
      <c r="K273" s="170"/>
      <c r="L273" s="173"/>
      <c r="M273" s="173"/>
      <c r="N273" s="173"/>
      <c r="O273" s="173"/>
      <c r="P273" s="174"/>
    </row>
    <row r="274" spans="1:16">
      <c r="A274" s="169">
        <v>43003</v>
      </c>
      <c r="B274" s="170">
        <v>43004</v>
      </c>
      <c r="C274" s="171" t="s">
        <v>316</v>
      </c>
      <c r="D274" s="172" t="s">
        <v>13</v>
      </c>
      <c r="E274" s="173">
        <v>3204646.76</v>
      </c>
      <c r="F274" s="173">
        <v>9500</v>
      </c>
      <c r="G274" s="173">
        <v>415373</v>
      </c>
      <c r="H274" s="173">
        <v>0</v>
      </c>
      <c r="I274" s="173">
        <v>0</v>
      </c>
      <c r="J274" s="170">
        <v>43003</v>
      </c>
      <c r="K274" s="170"/>
      <c r="L274" s="173"/>
      <c r="M274" s="173"/>
      <c r="N274" s="173"/>
      <c r="O274" s="173"/>
      <c r="P274" s="174"/>
    </row>
    <row r="275" spans="1:16">
      <c r="A275" s="169">
        <v>43007</v>
      </c>
      <c r="B275" s="170">
        <v>43008</v>
      </c>
      <c r="C275" s="171" t="s">
        <v>318</v>
      </c>
      <c r="D275" s="172" t="s">
        <v>8</v>
      </c>
      <c r="E275" s="173">
        <v>400927.27</v>
      </c>
      <c r="F275" s="173">
        <v>0</v>
      </c>
      <c r="G275" s="173">
        <v>52121</v>
      </c>
      <c r="H275" s="173">
        <v>0</v>
      </c>
      <c r="I275" s="173">
        <v>0</v>
      </c>
      <c r="J275" s="170">
        <v>43007</v>
      </c>
      <c r="K275" s="170"/>
      <c r="L275" s="173"/>
      <c r="M275" s="173"/>
      <c r="N275" s="173"/>
      <c r="O275" s="173"/>
      <c r="P275" s="174"/>
    </row>
    <row r="276" spans="1:16">
      <c r="A276" s="169">
        <v>43007</v>
      </c>
      <c r="B276" s="170">
        <v>43008</v>
      </c>
      <c r="C276" s="171" t="s">
        <v>318</v>
      </c>
      <c r="D276" s="172" t="s">
        <v>9</v>
      </c>
      <c r="E276" s="173">
        <v>788020.09</v>
      </c>
      <c r="F276" s="173">
        <v>0</v>
      </c>
      <c r="G276" s="173">
        <v>102442</v>
      </c>
      <c r="H276" s="173">
        <v>0</v>
      </c>
      <c r="I276" s="173">
        <v>0</v>
      </c>
      <c r="J276" s="170">
        <v>43007</v>
      </c>
      <c r="K276" s="170">
        <v>42720</v>
      </c>
      <c r="L276" s="173">
        <v>-99000</v>
      </c>
      <c r="M276" s="173">
        <v>0</v>
      </c>
      <c r="N276" s="173">
        <v>-12870</v>
      </c>
      <c r="O276" s="173">
        <v>0</v>
      </c>
      <c r="P276" s="174">
        <v>0</v>
      </c>
    </row>
    <row r="277" spans="1:16">
      <c r="A277" s="169">
        <v>43007</v>
      </c>
      <c r="B277" s="170"/>
      <c r="C277" s="171" t="s">
        <v>318</v>
      </c>
      <c r="D277" s="172" t="s">
        <v>9</v>
      </c>
      <c r="E277" s="173"/>
      <c r="F277" s="173"/>
      <c r="G277" s="173"/>
      <c r="H277" s="173"/>
      <c r="I277" s="173"/>
      <c r="J277" s="170">
        <v>43007</v>
      </c>
      <c r="K277" s="170">
        <v>42865</v>
      </c>
      <c r="L277" s="173">
        <v>-55000</v>
      </c>
      <c r="M277" s="173">
        <v>0</v>
      </c>
      <c r="N277" s="173">
        <v>-7150</v>
      </c>
      <c r="O277" s="173">
        <v>0</v>
      </c>
      <c r="P277" s="174">
        <v>0</v>
      </c>
    </row>
    <row r="278" spans="1:16">
      <c r="A278" s="169">
        <v>43007</v>
      </c>
      <c r="B278" s="170"/>
      <c r="C278" s="171" t="s">
        <v>318</v>
      </c>
      <c r="D278" s="172" t="s">
        <v>9</v>
      </c>
      <c r="E278" s="173"/>
      <c r="F278" s="173"/>
      <c r="G278" s="173"/>
      <c r="H278" s="173"/>
      <c r="I278" s="173"/>
      <c r="J278" s="170">
        <v>43007</v>
      </c>
      <c r="K278" s="170">
        <v>42975</v>
      </c>
      <c r="L278" s="173">
        <v>-21000</v>
      </c>
      <c r="M278" s="173">
        <v>0</v>
      </c>
      <c r="N278" s="173">
        <v>-2730</v>
      </c>
      <c r="O278" s="173">
        <v>0</v>
      </c>
      <c r="P278" s="174">
        <v>0</v>
      </c>
    </row>
    <row r="279" spans="1:16">
      <c r="A279" s="169">
        <v>43007</v>
      </c>
      <c r="B279" s="170">
        <v>43008</v>
      </c>
      <c r="C279" s="171" t="s">
        <v>318</v>
      </c>
      <c r="D279" s="172" t="s">
        <v>11</v>
      </c>
      <c r="E279" s="173">
        <v>133564.94</v>
      </c>
      <c r="F279" s="173">
        <v>0</v>
      </c>
      <c r="G279" s="173">
        <v>17363</v>
      </c>
      <c r="H279" s="173">
        <v>0</v>
      </c>
      <c r="I279" s="173">
        <v>0</v>
      </c>
      <c r="J279" s="170">
        <v>43007</v>
      </c>
      <c r="K279" s="170"/>
      <c r="L279" s="173"/>
      <c r="M279" s="173"/>
      <c r="N279" s="173"/>
      <c r="O279" s="173"/>
      <c r="P279" s="174"/>
    </row>
    <row r="280" spans="1:16">
      <c r="A280" s="169">
        <v>43008</v>
      </c>
      <c r="B280" s="170">
        <v>43009</v>
      </c>
      <c r="C280" s="171" t="s">
        <v>316</v>
      </c>
      <c r="D280" s="172" t="s">
        <v>7</v>
      </c>
      <c r="E280" s="173">
        <v>-6301.93</v>
      </c>
      <c r="F280" s="173">
        <v>0</v>
      </c>
      <c r="G280" s="173">
        <v>-3384</v>
      </c>
      <c r="H280" s="173">
        <v>0</v>
      </c>
      <c r="I280" s="173">
        <v>2565</v>
      </c>
      <c r="J280" s="170">
        <v>43008</v>
      </c>
      <c r="K280" s="170">
        <v>42745</v>
      </c>
      <c r="L280" s="173">
        <v>-5107.5</v>
      </c>
      <c r="M280" s="173">
        <v>0</v>
      </c>
      <c r="N280" s="173">
        <v>-664</v>
      </c>
      <c r="O280" s="173">
        <v>0</v>
      </c>
      <c r="P280" s="174">
        <v>0</v>
      </c>
    </row>
    <row r="281" spans="1:16">
      <c r="A281" s="169">
        <v>43008</v>
      </c>
      <c r="B281" s="170"/>
      <c r="C281" s="171" t="s">
        <v>316</v>
      </c>
      <c r="D281" s="172" t="s">
        <v>7</v>
      </c>
      <c r="E281" s="173"/>
      <c r="F281" s="173"/>
      <c r="G281" s="173"/>
      <c r="H281" s="173"/>
      <c r="I281" s="173"/>
      <c r="J281" s="170">
        <v>43008</v>
      </c>
      <c r="K281" s="170">
        <v>42776</v>
      </c>
      <c r="L281" s="173">
        <v>-5107.5</v>
      </c>
      <c r="M281" s="173">
        <v>0</v>
      </c>
      <c r="N281" s="173">
        <v>-664</v>
      </c>
      <c r="O281" s="173">
        <v>0</v>
      </c>
      <c r="P281" s="174">
        <v>0</v>
      </c>
    </row>
    <row r="282" spans="1:16">
      <c r="A282" s="169">
        <v>43008</v>
      </c>
      <c r="B282" s="170"/>
      <c r="C282" s="171" t="s">
        <v>316</v>
      </c>
      <c r="D282" s="172" t="s">
        <v>7</v>
      </c>
      <c r="E282" s="173"/>
      <c r="F282" s="173"/>
      <c r="G282" s="173"/>
      <c r="H282" s="173"/>
      <c r="I282" s="173"/>
      <c r="J282" s="170">
        <v>43008</v>
      </c>
      <c r="K282" s="170">
        <v>42804</v>
      </c>
      <c r="L282" s="173">
        <v>-5107.5</v>
      </c>
      <c r="M282" s="173">
        <v>0</v>
      </c>
      <c r="N282" s="173">
        <v>-664</v>
      </c>
      <c r="O282" s="173">
        <v>0</v>
      </c>
      <c r="P282" s="174">
        <v>0</v>
      </c>
    </row>
    <row r="283" spans="1:16">
      <c r="A283" s="169">
        <v>43008</v>
      </c>
      <c r="B283" s="170"/>
      <c r="C283" s="171" t="s">
        <v>316</v>
      </c>
      <c r="D283" s="172" t="s">
        <v>7</v>
      </c>
      <c r="E283" s="173"/>
      <c r="F283" s="173"/>
      <c r="G283" s="173"/>
      <c r="H283" s="173"/>
      <c r="I283" s="173"/>
      <c r="J283" s="170">
        <v>43008</v>
      </c>
      <c r="K283" s="170">
        <v>42835</v>
      </c>
      <c r="L283" s="173">
        <v>-5107.5</v>
      </c>
      <c r="M283" s="173">
        <v>0</v>
      </c>
      <c r="N283" s="173">
        <v>-664</v>
      </c>
      <c r="O283" s="173">
        <v>0</v>
      </c>
      <c r="P283" s="174">
        <v>0</v>
      </c>
    </row>
    <row r="284" spans="1:16">
      <c r="A284" s="169">
        <v>43008</v>
      </c>
      <c r="B284" s="170"/>
      <c r="C284" s="171" t="s">
        <v>316</v>
      </c>
      <c r="D284" s="172" t="s">
        <v>7</v>
      </c>
      <c r="E284" s="173"/>
      <c r="F284" s="173"/>
      <c r="G284" s="173"/>
      <c r="H284" s="173"/>
      <c r="I284" s="173"/>
      <c r="J284" s="170">
        <v>43008</v>
      </c>
      <c r="K284" s="170">
        <v>42859</v>
      </c>
      <c r="L284" s="173">
        <v>-5107.5</v>
      </c>
      <c r="M284" s="173">
        <v>0</v>
      </c>
      <c r="N284" s="173">
        <v>-664</v>
      </c>
      <c r="O284" s="173">
        <v>0</v>
      </c>
      <c r="P284" s="174">
        <v>0</v>
      </c>
    </row>
    <row r="285" spans="1:16">
      <c r="A285" s="169">
        <v>43008</v>
      </c>
      <c r="B285" s="170"/>
      <c r="C285" s="171" t="s">
        <v>316</v>
      </c>
      <c r="D285" s="172" t="s">
        <v>7</v>
      </c>
      <c r="E285" s="173"/>
      <c r="F285" s="173"/>
      <c r="G285" s="173"/>
      <c r="H285" s="173"/>
      <c r="I285" s="173"/>
      <c r="J285" s="170">
        <v>43008</v>
      </c>
      <c r="K285" s="170">
        <v>42895</v>
      </c>
      <c r="L285" s="173">
        <v>-5107.5</v>
      </c>
      <c r="M285" s="173">
        <v>0</v>
      </c>
      <c r="N285" s="173">
        <v>-664</v>
      </c>
      <c r="O285" s="173">
        <v>0</v>
      </c>
      <c r="P285" s="174">
        <v>0</v>
      </c>
    </row>
    <row r="286" spans="1:16">
      <c r="A286" s="169">
        <v>43008</v>
      </c>
      <c r="B286" s="170"/>
      <c r="C286" s="171" t="s">
        <v>316</v>
      </c>
      <c r="D286" s="172" t="s">
        <v>7</v>
      </c>
      <c r="E286" s="173"/>
      <c r="F286" s="173"/>
      <c r="G286" s="173"/>
      <c r="H286" s="173"/>
      <c r="I286" s="173"/>
      <c r="J286" s="170">
        <v>43008</v>
      </c>
      <c r="K286" s="170">
        <v>42926</v>
      </c>
      <c r="L286" s="173">
        <v>-5107.5</v>
      </c>
      <c r="M286" s="173">
        <v>0</v>
      </c>
      <c r="N286" s="173">
        <v>-664</v>
      </c>
      <c r="O286" s="173">
        <v>0</v>
      </c>
      <c r="P286" s="174">
        <v>0</v>
      </c>
    </row>
    <row r="287" spans="1:16">
      <c r="A287" s="169">
        <v>43008</v>
      </c>
      <c r="B287" s="170"/>
      <c r="C287" s="171" t="s">
        <v>316</v>
      </c>
      <c r="D287" s="172" t="s">
        <v>7</v>
      </c>
      <c r="E287" s="173"/>
      <c r="F287" s="173"/>
      <c r="G287" s="173"/>
      <c r="H287" s="173"/>
      <c r="I287" s="173"/>
      <c r="J287" s="170">
        <v>43008</v>
      </c>
      <c r="K287" s="170">
        <v>42957</v>
      </c>
      <c r="L287" s="173">
        <v>-30795.599999999999</v>
      </c>
      <c r="M287" s="173">
        <v>0</v>
      </c>
      <c r="N287" s="173">
        <v>-4003</v>
      </c>
      <c r="O287" s="173">
        <v>0</v>
      </c>
      <c r="P287" s="174">
        <v>0</v>
      </c>
    </row>
    <row r="288" spans="1:16">
      <c r="A288" s="169">
        <v>43008</v>
      </c>
      <c r="B288" s="170"/>
      <c r="C288" s="171" t="s">
        <v>316</v>
      </c>
      <c r="D288" s="172" t="s">
        <v>7</v>
      </c>
      <c r="E288" s="173"/>
      <c r="F288" s="173"/>
      <c r="G288" s="173"/>
      <c r="H288" s="173"/>
      <c r="I288" s="173"/>
      <c r="J288" s="170">
        <v>43008</v>
      </c>
      <c r="K288" s="170">
        <v>42986</v>
      </c>
      <c r="L288" s="173">
        <v>-9040</v>
      </c>
      <c r="M288" s="173">
        <v>0</v>
      </c>
      <c r="N288" s="173">
        <v>-1175</v>
      </c>
      <c r="O288" s="173">
        <v>0</v>
      </c>
      <c r="P288" s="174">
        <v>0</v>
      </c>
    </row>
    <row r="289" spans="1:16">
      <c r="A289" s="169">
        <v>43008</v>
      </c>
      <c r="B289" s="170"/>
      <c r="C289" s="171" t="s">
        <v>316</v>
      </c>
      <c r="D289" s="172" t="s">
        <v>12</v>
      </c>
      <c r="E289" s="173"/>
      <c r="F289" s="173"/>
      <c r="G289" s="173"/>
      <c r="H289" s="173"/>
      <c r="I289" s="173"/>
      <c r="J289" s="170">
        <v>43008</v>
      </c>
      <c r="K289" s="170">
        <v>42895</v>
      </c>
      <c r="L289" s="173">
        <v>-10544.3</v>
      </c>
      <c r="M289" s="173">
        <v>0</v>
      </c>
      <c r="N289" s="173">
        <v>-1371</v>
      </c>
      <c r="O289" s="173">
        <v>0</v>
      </c>
      <c r="P289" s="174">
        <v>0</v>
      </c>
    </row>
  </sheetData>
  <mergeCells count="13">
    <mergeCell ref="K3:K4"/>
    <mergeCell ref="L3:N3"/>
    <mergeCell ref="O3:P3"/>
    <mergeCell ref="A1:P1"/>
    <mergeCell ref="A2:I2"/>
    <mergeCell ref="J2:P2"/>
    <mergeCell ref="A3:A4"/>
    <mergeCell ref="B3:B4"/>
    <mergeCell ref="C3:C4"/>
    <mergeCell ref="D3:D4"/>
    <mergeCell ref="E3:G3"/>
    <mergeCell ref="H3:I3"/>
    <mergeCell ref="J3:J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sqref="A1:H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51" t="s">
        <v>298</v>
      </c>
      <c r="B1" s="252"/>
      <c r="C1" s="252"/>
      <c r="D1" s="252"/>
      <c r="E1" s="252"/>
      <c r="F1" s="252"/>
      <c r="G1" s="252"/>
      <c r="H1" s="252"/>
    </row>
    <row r="2" spans="1:8" ht="15.75" customHeight="1">
      <c r="A2" s="253"/>
      <c r="B2" s="253"/>
      <c r="C2" s="253"/>
      <c r="D2" s="253"/>
      <c r="E2" s="253"/>
      <c r="F2" s="253"/>
      <c r="G2" s="253"/>
      <c r="H2" s="253"/>
    </row>
    <row r="3" spans="1:8" ht="27" customHeight="1">
      <c r="A3" s="254" t="s">
        <v>273</v>
      </c>
      <c r="B3" s="254"/>
      <c r="C3" s="254"/>
      <c r="D3" s="118"/>
      <c r="E3" s="254" t="s">
        <v>274</v>
      </c>
      <c r="F3" s="254"/>
      <c r="G3" s="254"/>
      <c r="H3" s="254"/>
    </row>
    <row r="4" spans="1:8">
      <c r="A4" s="156" t="s">
        <v>291</v>
      </c>
      <c r="B4" s="157" t="s">
        <v>275</v>
      </c>
      <c r="C4" s="157" t="s">
        <v>276</v>
      </c>
      <c r="D4" s="118"/>
      <c r="E4" s="125" t="s">
        <v>277</v>
      </c>
      <c r="F4" s="125" t="s">
        <v>275</v>
      </c>
      <c r="G4" s="125" t="s">
        <v>276</v>
      </c>
      <c r="H4" s="125" t="s">
        <v>303</v>
      </c>
    </row>
    <row r="5" spans="1:8" ht="18">
      <c r="A5" s="158" t="s">
        <v>278</v>
      </c>
      <c r="B5" s="159"/>
      <c r="C5" s="159"/>
      <c r="D5" s="118"/>
      <c r="E5" s="124">
        <f>Таблица42[[#This Row],[13%]]+Таблица42[[#This Row],[30%]]</f>
        <v>0</v>
      </c>
      <c r="F5" s="124">
        <f>B21-Таблица42[[#This Row],[13%]]</f>
        <v>0</v>
      </c>
      <c r="G5" s="124">
        <f>C21-Таблица42[[#This Row],[30%]]</f>
        <v>0</v>
      </c>
      <c r="H5" s="124">
        <f>Таблица43[[#This Row],[13%]]+Таблица43[[#This Row],[30%]]</f>
        <v>0</v>
      </c>
    </row>
    <row r="6" spans="1:8" ht="18">
      <c r="A6" s="158" t="s">
        <v>279</v>
      </c>
      <c r="B6" s="159"/>
      <c r="C6" s="159"/>
      <c r="D6" s="118"/>
      <c r="E6" s="124">
        <f>Таблица42[[#This Row],[13%]]+Таблица42[[#This Row],[30%]]</f>
        <v>0</v>
      </c>
      <c r="F6" s="124">
        <f>B22+B23-Таблица42[[#This Row],[13%]]</f>
        <v>0</v>
      </c>
      <c r="G6" s="124">
        <f>C22+C23-Таблица42[[#This Row],[30%]]</f>
        <v>0</v>
      </c>
      <c r="H6" s="124">
        <f>Таблица43[[#This Row],[13%]]+Таблица43[[#This Row],[30%]]</f>
        <v>0</v>
      </c>
    </row>
    <row r="7" spans="1:8" ht="18">
      <c r="A7" s="158" t="s">
        <v>280</v>
      </c>
      <c r="B7" s="159"/>
      <c r="C7" s="159"/>
      <c r="D7" s="118"/>
      <c r="E7" s="124">
        <f>Таблица42[[#This Row],[13%]]+Таблица42[[#This Row],[30%]]</f>
        <v>0</v>
      </c>
      <c r="F7" s="124">
        <f>B24-Таблица42[[#This Row],[13%]]</f>
        <v>0</v>
      </c>
      <c r="G7" s="124">
        <f>C24-Таблица42[[#This Row],[30%]]</f>
        <v>0</v>
      </c>
      <c r="H7" s="124">
        <f>Таблица43[[#This Row],[13%]]+Таблица43[[#This Row],[30%]]</f>
        <v>0</v>
      </c>
    </row>
    <row r="8" spans="1:8" ht="18">
      <c r="A8" s="158" t="s">
        <v>281</v>
      </c>
      <c r="B8" s="159"/>
      <c r="C8" s="160"/>
      <c r="D8" s="118"/>
      <c r="E8" s="124">
        <f>Таблица42[[#This Row],[13%]]+Таблица42[[#This Row],[30%]]</f>
        <v>0</v>
      </c>
      <c r="F8" s="124">
        <f>B25-Таблица42[[#This Row],[13%]]</f>
        <v>0</v>
      </c>
      <c r="G8" s="124">
        <f>C25-Таблица42[[#This Row],[30%]]</f>
        <v>0</v>
      </c>
      <c r="H8" s="124">
        <f>Таблица43[[#This Row],[13%]]+Таблица43[[#This Row],[30%]]</f>
        <v>0</v>
      </c>
    </row>
    <row r="9" spans="1:8" ht="18">
      <c r="A9" s="158" t="s">
        <v>282</v>
      </c>
      <c r="B9" s="159"/>
      <c r="C9" s="160"/>
      <c r="D9" s="118"/>
      <c r="E9" s="124">
        <f>Таблица42[[#This Row],[13%]]+Таблица42[[#This Row],[30%]]</f>
        <v>0</v>
      </c>
      <c r="F9" s="124">
        <f>B26-Таблица42[[#This Row],[13%]]</f>
        <v>0</v>
      </c>
      <c r="G9" s="124">
        <f>C26-Таблица42[[#This Row],[30%]]</f>
        <v>0</v>
      </c>
      <c r="H9" s="124">
        <f>Таблица43[[#This Row],[13%]]+Таблица43[[#This Row],[30%]]</f>
        <v>0</v>
      </c>
    </row>
    <row r="10" spans="1:8" ht="18">
      <c r="A10" s="158" t="s">
        <v>283</v>
      </c>
      <c r="B10" s="159"/>
      <c r="C10" s="159"/>
      <c r="D10" s="118"/>
      <c r="E10" s="124">
        <f>Таблица42[[#This Row],[13%]]+Таблица42[[#This Row],[30%]]</f>
        <v>0</v>
      </c>
      <c r="F10" s="124">
        <f>B27-Таблица42[[#This Row],[13%]]</f>
        <v>0</v>
      </c>
      <c r="G10" s="124">
        <f>C27-Таблица42[[#This Row],[30%]]</f>
        <v>0</v>
      </c>
      <c r="H10" s="124">
        <f>Таблица43[[#This Row],[13%]]+Таблица43[[#This Row],[30%]]</f>
        <v>0</v>
      </c>
    </row>
    <row r="11" spans="1:8" ht="18">
      <c r="A11" s="158" t="s">
        <v>284</v>
      </c>
      <c r="B11" s="159"/>
      <c r="C11" s="161"/>
      <c r="D11" s="118"/>
      <c r="E11" s="124">
        <f>Таблица42[[#This Row],[13%]]+Таблица42[[#This Row],[30%]]</f>
        <v>0</v>
      </c>
      <c r="F11" s="124">
        <f>B28+B29-Таблица42[[#This Row],[13%]]</f>
        <v>0</v>
      </c>
      <c r="G11" s="124">
        <f>C28+C29-Таблица42[[#This Row],[30%]]</f>
        <v>0</v>
      </c>
      <c r="H11" s="124">
        <f>Таблица43[[#This Row],[13%]]+Таблица43[[#This Row],[30%]]</f>
        <v>0</v>
      </c>
    </row>
    <row r="12" spans="1:8" ht="18">
      <c r="A12" s="158" t="s">
        <v>285</v>
      </c>
      <c r="B12" s="159"/>
      <c r="C12" s="161"/>
      <c r="D12" s="118"/>
      <c r="E12" s="124">
        <f>Таблица42[[#This Row],[13%]]+Таблица42[[#This Row],[30%]]</f>
        <v>0</v>
      </c>
      <c r="F12" s="124">
        <f>B30-Таблица42[[#This Row],[13%]]</f>
        <v>0</v>
      </c>
      <c r="G12" s="124">
        <f>C30-Таблица42[[#This Row],[30%]]</f>
        <v>0</v>
      </c>
      <c r="H12" s="124">
        <f>Таблица43[[#This Row],[13%]]+Таблица43[[#This Row],[30%]]</f>
        <v>0</v>
      </c>
    </row>
    <row r="13" spans="1:8" ht="18">
      <c r="A13" s="158" t="s">
        <v>286</v>
      </c>
      <c r="B13" s="159"/>
      <c r="C13" s="161"/>
      <c r="D13" s="118"/>
      <c r="E13" s="124">
        <f>Таблица42[[#This Row],[13%]]+Таблица42[[#This Row],[30%]]</f>
        <v>0</v>
      </c>
      <c r="F13" s="124">
        <f>B31-Таблица42[[#This Row],[13%]]</f>
        <v>0</v>
      </c>
      <c r="G13" s="124">
        <f>C31-Таблица42[[#This Row],[30%]]</f>
        <v>0</v>
      </c>
      <c r="H13" s="124">
        <f>Таблица43[[#This Row],[13%]]+Таблица43[[#This Row],[30%]]</f>
        <v>0</v>
      </c>
    </row>
    <row r="14" spans="1:8" ht="18">
      <c r="A14" s="128" t="s">
        <v>299</v>
      </c>
      <c r="B14" s="132">
        <f>SUBTOTAL(109,[13%])</f>
        <v>0</v>
      </c>
      <c r="C14" s="132">
        <f>SUBTOTAL(109,[30%])</f>
        <v>0</v>
      </c>
      <c r="D14" s="133"/>
      <c r="E14" s="132">
        <f>SUBTOTAL(109,[Сумма по ставкам])</f>
        <v>0</v>
      </c>
      <c r="F14" s="143"/>
      <c r="G14" s="130"/>
      <c r="H14" s="131"/>
    </row>
    <row r="15" spans="1:8" ht="18">
      <c r="A15" s="129" t="s">
        <v>288</v>
      </c>
      <c r="B15" s="124">
        <f>Таблица44[[#Totals],[13%]]-Таблица42[[#Totals],[13%]]</f>
        <v>0</v>
      </c>
      <c r="C15" s="124">
        <f>Таблица44[[#Totals],[30%]]-Таблица42[[#Totals],[30%]]</f>
        <v>0</v>
      </c>
      <c r="D15" s="118"/>
      <c r="E15" s="124">
        <f>B33-Таблица43[[#Totals],[Сумма по ставкам]]</f>
        <v>0</v>
      </c>
      <c r="F15" s="118"/>
      <c r="G15" s="118"/>
      <c r="H15" s="118"/>
    </row>
    <row r="16" spans="1:8">
      <c r="A16" s="118"/>
      <c r="B16" s="121"/>
      <c r="C16" s="121"/>
      <c r="D16" s="118"/>
      <c r="E16" s="118"/>
      <c r="F16" s="118"/>
      <c r="G16" s="118"/>
      <c r="H16" s="118"/>
    </row>
    <row r="17" spans="1:8">
      <c r="A17" s="118"/>
      <c r="B17" s="118"/>
      <c r="C17" s="118"/>
      <c r="D17" s="120"/>
      <c r="E17" s="118"/>
      <c r="F17" s="118"/>
      <c r="G17" s="118"/>
      <c r="H17" s="118"/>
    </row>
    <row r="18" spans="1:8" ht="24.75" customHeight="1">
      <c r="A18" s="255" t="s">
        <v>289</v>
      </c>
      <c r="B18" s="255"/>
      <c r="C18" s="255"/>
      <c r="D18" s="120"/>
      <c r="E18" s="255" t="s">
        <v>290</v>
      </c>
      <c r="F18" s="255"/>
      <c r="G18" s="255"/>
      <c r="H18" s="255"/>
    </row>
    <row r="19" spans="1:8" ht="14.25" customHeight="1">
      <c r="A19" s="255"/>
      <c r="B19" s="255"/>
      <c r="C19" s="255"/>
      <c r="D19" s="119"/>
      <c r="E19" s="256" t="s">
        <v>275</v>
      </c>
      <c r="F19" s="256"/>
      <c r="G19" s="256" t="s">
        <v>276</v>
      </c>
      <c r="H19" s="256"/>
    </row>
    <row r="20" spans="1:8">
      <c r="A20" s="126" t="s">
        <v>291</v>
      </c>
      <c r="B20" s="149" t="s">
        <v>275</v>
      </c>
      <c r="C20" s="126" t="s">
        <v>276</v>
      </c>
      <c r="D20" s="151" t="s">
        <v>137</v>
      </c>
      <c r="E20" s="152" t="s">
        <v>292</v>
      </c>
      <c r="F20" s="150" t="s">
        <v>293</v>
      </c>
      <c r="G20" s="148" t="s">
        <v>301</v>
      </c>
      <c r="H20" s="148" t="s">
        <v>302</v>
      </c>
    </row>
    <row r="21" spans="1:8" ht="18">
      <c r="A21" s="127" t="s">
        <v>272</v>
      </c>
      <c r="B21" s="124"/>
      <c r="C21" s="124"/>
      <c r="D21" s="147"/>
      <c r="E21" s="124"/>
      <c r="F21" s="124"/>
      <c r="G21" s="124"/>
      <c r="H21" s="124"/>
    </row>
    <row r="22" spans="1:8" ht="18">
      <c r="A22" s="155"/>
      <c r="B22" s="124"/>
      <c r="C22" s="124"/>
      <c r="D22" s="147"/>
      <c r="E22" s="124"/>
      <c r="F22" s="124"/>
      <c r="G22" s="124"/>
      <c r="H22" s="124"/>
    </row>
    <row r="23" spans="1:8" ht="18">
      <c r="A23" s="155"/>
      <c r="B23" s="124"/>
      <c r="C23" s="124"/>
      <c r="D23" s="147"/>
      <c r="E23" s="124"/>
      <c r="F23" s="124"/>
      <c r="G23" s="124"/>
      <c r="H23" s="124"/>
    </row>
    <row r="24" spans="1:8" ht="18">
      <c r="A24" s="155"/>
      <c r="B24" s="124"/>
      <c r="C24" s="124"/>
      <c r="D24" s="147"/>
      <c r="E24" s="124"/>
      <c r="F24" s="124"/>
      <c r="G24" s="124"/>
      <c r="H24" s="124"/>
    </row>
    <row r="25" spans="1:8" ht="18">
      <c r="A25" s="155"/>
      <c r="B25" s="124"/>
      <c r="C25" s="124"/>
      <c r="D25" s="147"/>
      <c r="E25" s="124"/>
      <c r="F25" s="124"/>
      <c r="G25" s="124"/>
      <c r="H25" s="124"/>
    </row>
    <row r="26" spans="1:8" ht="18">
      <c r="A26" s="155"/>
      <c r="B26" s="124"/>
      <c r="C26" s="124"/>
      <c r="D26" s="147"/>
      <c r="E26" s="124"/>
      <c r="F26" s="124"/>
      <c r="G26" s="124"/>
      <c r="H26" s="124"/>
    </row>
    <row r="27" spans="1:8" ht="18">
      <c r="A27" s="155"/>
      <c r="B27" s="124"/>
      <c r="C27" s="124"/>
      <c r="D27" s="147"/>
      <c r="E27" s="124"/>
      <c r="F27" s="124"/>
      <c r="G27" s="124"/>
      <c r="H27" s="124"/>
    </row>
    <row r="28" spans="1:8" ht="18">
      <c r="A28" s="155"/>
      <c r="B28" s="124"/>
      <c r="C28" s="124"/>
      <c r="D28" s="147"/>
      <c r="E28" s="124"/>
      <c r="F28" s="124"/>
      <c r="G28" s="124"/>
      <c r="H28" s="124"/>
    </row>
    <row r="29" spans="1:8" ht="18">
      <c r="A29" s="155"/>
      <c r="B29" s="124"/>
      <c r="C29" s="124"/>
      <c r="D29" s="147"/>
      <c r="E29" s="124"/>
      <c r="F29" s="124"/>
      <c r="G29" s="124"/>
      <c r="H29" s="124"/>
    </row>
    <row r="30" spans="1:8" ht="18">
      <c r="A30" s="155"/>
      <c r="B30" s="124"/>
      <c r="C30" s="124"/>
      <c r="D30" s="147"/>
      <c r="E30" s="124"/>
      <c r="F30" s="124"/>
      <c r="G30" s="124"/>
      <c r="H30" s="124"/>
    </row>
    <row r="31" spans="1:8" ht="18">
      <c r="A31" s="127"/>
      <c r="B31" s="142"/>
      <c r="C31" s="124"/>
      <c r="D31" s="118"/>
      <c r="E31" s="124"/>
      <c r="F31" s="124"/>
      <c r="G31" s="124"/>
      <c r="H31" s="124"/>
    </row>
    <row r="32" spans="1:8" ht="18">
      <c r="A32" s="145" t="s">
        <v>287</v>
      </c>
      <c r="B32" s="132">
        <f>SUBTOTAL(109,[13%])</f>
        <v>0</v>
      </c>
      <c r="C32" s="132">
        <f>SUBTOTAL(109,[30%])</f>
        <v>0</v>
      </c>
      <c r="D32" s="153"/>
      <c r="E32" s="154"/>
      <c r="F32" s="154"/>
      <c r="G32" s="154"/>
      <c r="H32" s="154"/>
    </row>
    <row r="33" spans="1:8" ht="18">
      <c r="A33" s="144" t="s">
        <v>300</v>
      </c>
      <c r="B33" s="132">
        <f>Таблица44[[#Totals],[13%]]+Таблица44[[#Totals],[30%]]</f>
        <v>0</v>
      </c>
      <c r="C33" s="132"/>
      <c r="D33" s="118"/>
      <c r="E33" s="134"/>
      <c r="F33" s="134"/>
      <c r="G33" s="134"/>
      <c r="H33" s="134"/>
    </row>
    <row r="34" spans="1:8" ht="18">
      <c r="C34" s="138"/>
      <c r="D34" s="118"/>
      <c r="E34" s="6"/>
      <c r="F34" s="6"/>
      <c r="G34" s="6"/>
      <c r="H34" s="6"/>
    </row>
    <row r="35" spans="1:8">
      <c r="A35" s="118"/>
      <c r="B35" s="122"/>
      <c r="C35" s="118"/>
      <c r="D35" s="118"/>
      <c r="E35" s="118"/>
      <c r="F35" s="118"/>
      <c r="G35" s="118"/>
      <c r="H35" s="118"/>
    </row>
    <row r="36" spans="1:8">
      <c r="A36" s="137" t="s">
        <v>294</v>
      </c>
      <c r="B36" s="141"/>
      <c r="C36" s="118"/>
      <c r="D36" s="118"/>
      <c r="F36" s="118"/>
      <c r="G36" s="118"/>
      <c r="H36" s="118"/>
    </row>
    <row r="37" spans="1:8" ht="18">
      <c r="A37" s="127" t="s">
        <v>295</v>
      </c>
      <c r="B37" s="124">
        <f>B33</f>
        <v>0</v>
      </c>
      <c r="C37" s="118"/>
      <c r="D37" s="118"/>
      <c r="E37" s="135"/>
      <c r="F37" s="118"/>
      <c r="G37" s="118"/>
      <c r="H37" s="118"/>
    </row>
    <row r="38" spans="1:8" ht="18">
      <c r="A38" s="127" t="s">
        <v>304</v>
      </c>
      <c r="B38" s="142"/>
      <c r="C38" s="136"/>
      <c r="D38" s="118"/>
      <c r="F38" s="118"/>
      <c r="G38" s="118"/>
      <c r="H38" s="118"/>
    </row>
    <row r="39" spans="1:8" ht="18">
      <c r="A39" s="127" t="s">
        <v>296</v>
      </c>
      <c r="B39" s="124">
        <f>B37-B38</f>
        <v>0</v>
      </c>
      <c r="C39" s="118"/>
      <c r="D39" s="118"/>
    </row>
    <row r="40" spans="1:8">
      <c r="D40" s="118"/>
    </row>
    <row r="41" spans="1:8">
      <c r="A41" s="249" t="s">
        <v>305</v>
      </c>
      <c r="B41" s="250"/>
      <c r="D41" s="118"/>
    </row>
    <row r="42" spans="1:8">
      <c r="A42" s="249"/>
      <c r="B42" s="250"/>
      <c r="C42" s="118"/>
      <c r="D42" s="118"/>
    </row>
    <row r="43" spans="1:8" ht="18">
      <c r="A43" s="139"/>
      <c r="B43" s="140"/>
      <c r="C43" s="123"/>
      <c r="D43" s="118"/>
    </row>
    <row r="44" spans="1:8" ht="18">
      <c r="A44" s="137" t="s">
        <v>297</v>
      </c>
      <c r="B44" s="142"/>
      <c r="C44" s="118"/>
      <c r="D44" s="118"/>
    </row>
    <row r="45" spans="1:8">
      <c r="D45" s="118"/>
    </row>
    <row r="46" spans="1:8" ht="51.75" customHeight="1">
      <c r="A46" s="162" t="s">
        <v>306</v>
      </c>
      <c r="B46" s="163"/>
      <c r="D46" s="118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140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01" t="s">
        <v>256</v>
      </c>
      <c r="B1" s="201"/>
      <c r="C1" s="201"/>
      <c r="D1" s="201"/>
      <c r="E1" s="112"/>
      <c r="F1" s="112"/>
      <c r="G1" s="112"/>
      <c r="H1" s="112"/>
      <c r="I1" s="112"/>
      <c r="J1" s="112"/>
    </row>
    <row r="2" spans="1:10">
      <c r="B2" s="96"/>
      <c r="C2" s="65" t="s">
        <v>231</v>
      </c>
      <c r="D2" s="65" t="s">
        <v>232</v>
      </c>
      <c r="E2" s="6"/>
      <c r="F2" s="6"/>
      <c r="G2" s="6"/>
      <c r="H2" s="6"/>
      <c r="I2" s="6"/>
      <c r="J2" s="6"/>
    </row>
    <row r="3" spans="1:10">
      <c r="B3" s="97" t="s">
        <v>233</v>
      </c>
      <c r="C3" s="66">
        <f>SUM(Таблица26[130])</f>
        <v>0</v>
      </c>
      <c r="D3" s="66">
        <f>SUM(Таблица26[140])</f>
        <v>0</v>
      </c>
    </row>
    <row r="4" spans="1:10" ht="15.75" thickBot="1">
      <c r="B4" s="96"/>
      <c r="C4" s="96"/>
      <c r="D4" s="96"/>
    </row>
    <row r="5" spans="1:10" ht="43.15" customHeight="1">
      <c r="A5" s="98" t="s">
        <v>187</v>
      </c>
      <c r="B5" s="99" t="s">
        <v>234</v>
      </c>
      <c r="C5" s="100" t="s">
        <v>235</v>
      </c>
      <c r="D5" s="101" t="s">
        <v>235</v>
      </c>
    </row>
    <row r="6" spans="1:10" s="103" customFormat="1" ht="12" thickBot="1">
      <c r="A6" s="102" t="s">
        <v>188</v>
      </c>
      <c r="B6" s="106" t="s">
        <v>240</v>
      </c>
      <c r="C6" s="107" t="s">
        <v>236</v>
      </c>
      <c r="D6" s="108" t="s">
        <v>237</v>
      </c>
    </row>
    <row r="7" spans="1:10">
      <c r="A7" s="52"/>
      <c r="B7" s="104" t="s">
        <v>241</v>
      </c>
      <c r="C7" s="105"/>
      <c r="D7" s="105"/>
    </row>
    <row r="9" spans="1:10">
      <c r="B9" t="s">
        <v>238</v>
      </c>
    </row>
    <row r="10" spans="1:10">
      <c r="B10" t="s">
        <v>239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35" t="s">
        <v>257</v>
      </c>
      <c r="B1" s="236"/>
      <c r="C1" s="236"/>
      <c r="D1" s="236"/>
      <c r="E1" s="236"/>
    </row>
    <row r="2" spans="1:6" ht="19.5" customHeight="1">
      <c r="A2" s="237" t="s">
        <v>186</v>
      </c>
      <c r="B2" s="238"/>
      <c r="C2" s="238"/>
      <c r="D2" s="238"/>
      <c r="E2" s="239"/>
    </row>
    <row r="3" spans="1:6" ht="30">
      <c r="A3" s="78" t="s">
        <v>187</v>
      </c>
      <c r="B3" s="78" t="s">
        <v>68</v>
      </c>
      <c r="C3" s="78" t="s">
        <v>69</v>
      </c>
      <c r="D3" s="78" t="s">
        <v>70</v>
      </c>
      <c r="E3" s="78" t="s">
        <v>71</v>
      </c>
    </row>
    <row r="4" spans="1:6">
      <c r="A4" s="79" t="s">
        <v>188</v>
      </c>
      <c r="B4" s="77" t="s">
        <v>72</v>
      </c>
      <c r="C4" s="77" t="s">
        <v>73</v>
      </c>
      <c r="D4" s="77" t="s">
        <v>74</v>
      </c>
      <c r="E4" s="77" t="s">
        <v>75</v>
      </c>
    </row>
    <row r="5" spans="1:6">
      <c r="A5" s="80"/>
      <c r="B5" s="81" t="s">
        <v>139</v>
      </c>
      <c r="C5" s="82"/>
      <c r="D5" s="83"/>
      <c r="E5" s="84"/>
    </row>
    <row r="6" spans="1:6">
      <c r="D6" t="s">
        <v>196</v>
      </c>
    </row>
    <row r="7" spans="1:6">
      <c r="D7" t="s">
        <v>189</v>
      </c>
    </row>
    <row r="8" spans="1:6" ht="20.25" customHeight="1">
      <c r="D8" s="227" t="s">
        <v>190</v>
      </c>
      <c r="E8" s="227"/>
    </row>
    <row r="9" spans="1:6">
      <c r="C9" s="6"/>
      <c r="D9" s="6" t="s">
        <v>193</v>
      </c>
      <c r="E9" s="56"/>
      <c r="F9" s="6"/>
    </row>
    <row r="10" spans="1:6">
      <c r="C10" s="56"/>
      <c r="D10" s="57" t="s">
        <v>191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227" t="s">
        <v>192</v>
      </c>
      <c r="E11" s="227"/>
    </row>
    <row r="12" spans="1:6">
      <c r="D12" s="6" t="s">
        <v>194</v>
      </c>
      <c r="E12" s="54"/>
    </row>
    <row r="13" spans="1:6">
      <c r="D13" s="55" t="s">
        <v>191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41" t="s">
        <v>258</v>
      </c>
      <c r="B1" s="242"/>
      <c r="C1" s="242"/>
      <c r="D1" s="242"/>
      <c r="E1" s="242"/>
      <c r="F1" s="242"/>
      <c r="G1" s="242"/>
      <c r="H1" s="242"/>
    </row>
    <row r="2" spans="1:8" ht="30.75" thickBot="1">
      <c r="A2" s="75" t="s">
        <v>187</v>
      </c>
      <c r="B2" s="73" t="s">
        <v>79</v>
      </c>
      <c r="C2" s="73" t="s">
        <v>1</v>
      </c>
      <c r="D2" s="73" t="s">
        <v>80</v>
      </c>
      <c r="E2" s="73" t="s">
        <v>81</v>
      </c>
      <c r="F2" s="73" t="s">
        <v>82</v>
      </c>
      <c r="G2" s="73" t="s">
        <v>83</v>
      </c>
      <c r="H2" s="74" t="s">
        <v>84</v>
      </c>
    </row>
    <row r="3" spans="1:8">
      <c r="A3" s="76" t="s">
        <v>188</v>
      </c>
      <c r="B3" s="59" t="s">
        <v>85</v>
      </c>
      <c r="C3" s="59" t="s">
        <v>86</v>
      </c>
      <c r="D3" s="59" t="s">
        <v>87</v>
      </c>
      <c r="E3" s="59" t="s">
        <v>88</v>
      </c>
      <c r="F3" s="59" t="s">
        <v>89</v>
      </c>
      <c r="G3" s="59" t="s">
        <v>90</v>
      </c>
      <c r="H3" s="60" t="s">
        <v>91</v>
      </c>
    </row>
    <row r="4" spans="1:8">
      <c r="A4" s="69"/>
      <c r="B4" s="70" t="s">
        <v>140</v>
      </c>
      <c r="C4" s="71"/>
      <c r="D4" s="71"/>
      <c r="E4" s="71"/>
      <c r="F4" s="72"/>
      <c r="G4" s="72"/>
      <c r="H4" s="72"/>
    </row>
    <row r="5" spans="1:8">
      <c r="A5" s="92" t="s">
        <v>220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197</v>
      </c>
    </row>
    <row r="7" spans="1:8">
      <c r="A7" s="61" t="s">
        <v>198</v>
      </c>
      <c r="C7" s="54"/>
      <c r="D7" s="54"/>
      <c r="E7" s="243" t="s">
        <v>199</v>
      </c>
      <c r="F7" s="243"/>
      <c r="G7" s="243"/>
      <c r="H7" s="243"/>
    </row>
    <row r="8" spans="1:8">
      <c r="A8" s="85" t="s">
        <v>200</v>
      </c>
      <c r="B8" s="85" t="s">
        <v>201</v>
      </c>
      <c r="C8" s="85" t="s">
        <v>226</v>
      </c>
      <c r="D8" s="85" t="s">
        <v>202</v>
      </c>
      <c r="E8" s="85" t="s">
        <v>203</v>
      </c>
      <c r="F8" s="85" t="s">
        <v>204</v>
      </c>
      <c r="G8" s="85" t="s">
        <v>216</v>
      </c>
      <c r="H8" s="85" t="s">
        <v>217</v>
      </c>
    </row>
    <row r="9" spans="1:8">
      <c r="A9" s="6" t="s">
        <v>214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244" t="s">
        <v>205</v>
      </c>
      <c r="F11" s="244"/>
      <c r="G11" s="244"/>
      <c r="H11" s="244"/>
    </row>
    <row r="12" spans="1:8">
      <c r="C12" s="54"/>
      <c r="D12" s="86"/>
      <c r="E12" s="245" t="s">
        <v>206</v>
      </c>
      <c r="F12" s="246"/>
      <c r="G12" s="247"/>
      <c r="H12" s="248" t="s">
        <v>218</v>
      </c>
    </row>
    <row r="13" spans="1:8" ht="15.75" thickBot="1">
      <c r="C13" s="90" t="s">
        <v>226</v>
      </c>
      <c r="D13" s="86" t="s">
        <v>207</v>
      </c>
      <c r="E13" s="87" t="s">
        <v>208</v>
      </c>
      <c r="F13" s="88" t="s">
        <v>209</v>
      </c>
      <c r="G13" s="89" t="s">
        <v>210</v>
      </c>
      <c r="H13" s="248"/>
    </row>
    <row r="14" spans="1:8">
      <c r="A14" s="6" t="s">
        <v>215</v>
      </c>
      <c r="C14" s="54"/>
    </row>
    <row r="15" spans="1:8">
      <c r="C15" s="62">
        <f>SUM(Таблица30[Столбец1])+SUM(Таблица31[Столбец3])</f>
        <v>0</v>
      </c>
      <c r="D15" t="s">
        <v>211</v>
      </c>
      <c r="E15" s="54"/>
    </row>
    <row r="16" spans="1:8">
      <c r="A16" s="61" t="s">
        <v>212</v>
      </c>
      <c r="E16" s="54"/>
    </row>
    <row r="17" spans="1:8" ht="37.5" customHeight="1">
      <c r="A17" s="90" t="s">
        <v>200</v>
      </c>
      <c r="B17" s="90" t="s">
        <v>201</v>
      </c>
      <c r="C17" s="90" t="s">
        <v>226</v>
      </c>
      <c r="D17" s="90" t="s">
        <v>227</v>
      </c>
      <c r="E17" s="91" t="s">
        <v>228</v>
      </c>
    </row>
    <row r="18" spans="1:8">
      <c r="A18" t="s">
        <v>219</v>
      </c>
      <c r="F18" s="63"/>
    </row>
    <row r="19" spans="1:8" ht="15.75" thickBot="1">
      <c r="C19" s="64">
        <f>SUM(C18:C18)</f>
        <v>0</v>
      </c>
      <c r="D19" t="s">
        <v>213</v>
      </c>
      <c r="F19" s="63"/>
    </row>
    <row r="20" spans="1:8" ht="15.75" thickTop="1">
      <c r="C20" s="65">
        <f>tax_13+tax_30</f>
        <v>0</v>
      </c>
      <c r="D20" t="s">
        <v>225</v>
      </c>
    </row>
    <row r="21" spans="1:8">
      <c r="C21" s="66"/>
      <c r="H21" s="67"/>
    </row>
    <row r="22" spans="1:8">
      <c r="A22" s="240" t="s">
        <v>224</v>
      </c>
      <c r="B22" s="240"/>
      <c r="C22" s="240"/>
      <c r="D22" s="240"/>
      <c r="E22" s="240"/>
      <c r="F22" s="240"/>
      <c r="G22" s="67"/>
      <c r="H22" s="67"/>
    </row>
    <row r="23" spans="1:8">
      <c r="A23" s="68" t="s">
        <v>63</v>
      </c>
      <c r="B23" s="68" t="s">
        <v>64</v>
      </c>
      <c r="C23" s="68" t="s">
        <v>65</v>
      </c>
      <c r="D23" s="68" t="s">
        <v>82</v>
      </c>
      <c r="E23" s="68" t="s">
        <v>69</v>
      </c>
      <c r="F23" s="68" t="s">
        <v>222</v>
      </c>
      <c r="G23" s="67"/>
    </row>
    <row r="24" spans="1:8">
      <c r="A24" t="s">
        <v>221</v>
      </c>
      <c r="D24" s="54"/>
      <c r="E24" s="54"/>
      <c r="F24" s="54"/>
    </row>
    <row r="25" spans="1:8">
      <c r="A25" t="s">
        <v>223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99</v>
      </c>
      <c r="B1" s="34" t="s">
        <v>100</v>
      </c>
      <c r="C1" s="34" t="s">
        <v>101</v>
      </c>
      <c r="D1" s="34" t="s">
        <v>102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60" t="s">
        <v>259</v>
      </c>
      <c r="B1" s="260"/>
      <c r="C1" s="260"/>
      <c r="D1" s="260"/>
      <c r="E1" s="260"/>
      <c r="F1" s="260"/>
      <c r="G1" s="260"/>
      <c r="H1" s="260"/>
      <c r="I1" s="260"/>
    </row>
    <row r="2" spans="1:9" ht="34.5" customHeight="1">
      <c r="A2" s="33" t="s">
        <v>63</v>
      </c>
      <c r="B2" s="48" t="s">
        <v>64</v>
      </c>
      <c r="C2" s="48" t="s">
        <v>65</v>
      </c>
      <c r="D2" s="48" t="s">
        <v>100</v>
      </c>
      <c r="E2" s="48" t="s">
        <v>102</v>
      </c>
      <c r="F2" s="52" t="s">
        <v>177</v>
      </c>
      <c r="G2" s="52" t="s">
        <v>1</v>
      </c>
      <c r="H2" s="52" t="s">
        <v>178</v>
      </c>
      <c r="I2" s="53" t="s">
        <v>179</v>
      </c>
    </row>
    <row r="3" spans="1:9">
      <c r="A3" t="s">
        <v>182</v>
      </c>
      <c r="B3" s="49"/>
      <c r="C3" s="49"/>
      <c r="D3" s="50"/>
      <c r="E3" s="49"/>
      <c r="F3" s="49"/>
      <c r="G3" s="49"/>
      <c r="H3" s="49"/>
      <c r="I3" s="51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121</v>
      </c>
    </row>
    <row r="2" spans="1:1">
      <c r="A2" t="s">
        <v>77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I3" sqref="I3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57" t="s">
        <v>269</v>
      </c>
      <c r="B1" s="258"/>
      <c r="C1" s="258"/>
      <c r="D1" s="258"/>
      <c r="E1" s="258"/>
      <c r="F1" s="258"/>
      <c r="G1" s="258"/>
      <c r="H1" s="258"/>
      <c r="I1" s="258"/>
    </row>
    <row r="2" spans="1:9" ht="15.75">
      <c r="A2" s="113"/>
    </row>
    <row r="3" spans="1:9" ht="31.5" customHeight="1">
      <c r="A3" s="259" t="s">
        <v>268</v>
      </c>
      <c r="B3" s="259"/>
      <c r="C3" s="259"/>
      <c r="D3" s="259"/>
      <c r="E3" s="259"/>
      <c r="F3" s="259"/>
      <c r="G3" s="259"/>
      <c r="H3" s="259"/>
      <c r="I3" s="117">
        <f>SUBTOTAL(109,Таблица52[Недоплата])</f>
        <v>0</v>
      </c>
    </row>
    <row r="4" spans="1:9" ht="15.75">
      <c r="A4" s="113"/>
    </row>
    <row r="5" spans="1:9" ht="25.5">
      <c r="A5" s="114" t="s">
        <v>263</v>
      </c>
      <c r="B5" s="114" t="s">
        <v>63</v>
      </c>
      <c r="C5" s="114" t="s">
        <v>64</v>
      </c>
      <c r="D5" s="114" t="s">
        <v>65</v>
      </c>
      <c r="E5" s="114" t="s">
        <v>79</v>
      </c>
      <c r="F5" s="114" t="s">
        <v>266</v>
      </c>
      <c r="G5" s="114" t="s">
        <v>264</v>
      </c>
      <c r="H5" s="114" t="s">
        <v>232</v>
      </c>
      <c r="I5" s="114" t="s">
        <v>265</v>
      </c>
    </row>
    <row r="6" spans="1:9">
      <c r="A6" s="115" t="s">
        <v>262</v>
      </c>
      <c r="B6" s="115"/>
      <c r="C6" s="115"/>
      <c r="D6" s="115"/>
      <c r="E6" s="110"/>
      <c r="F6" s="110"/>
      <c r="G6" s="116"/>
      <c r="H6" s="116"/>
      <c r="I6" s="116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23</vt:i4>
      </vt:variant>
      <vt:variant>
        <vt:lpstr>Именованные диапазоны</vt:lpstr>
      </vt:variant>
      <vt:variant>
        <vt:i4>26</vt:i4>
      </vt:variant>
    </vt:vector>
  </HeadingPairs>
  <TitlesOfParts>
    <vt:vector size="49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Сотрудники фонда</vt:lpstr>
      <vt:lpstr>НДФЛ6 Раздел 1 Общие итоги</vt:lpstr>
      <vt:lpstr>НДФЛ6 Раздел 1 Итоги по ставкам</vt:lpstr>
      <vt:lpstr>НФДЛ Раздел 2</vt:lpstr>
      <vt:lpstr>Сверка удержанного налога</vt:lpstr>
      <vt:lpstr>Расхождение налога</vt:lpstr>
      <vt:lpstr>Операции перерасчета</vt:lpstr>
      <vt:lpstr>Расшифровка 6 НДФЛ</vt:lpstr>
      <vt:lpstr>Расшифровка 6 НДФЛ (дет)</vt:lpstr>
      <vt:lpstr>tax_retained_report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'НДФЛ6 Раздел 1 Итоги по ставкам'!tax_13</vt:lpstr>
      <vt:lpstr>tax_13</vt:lpstr>
      <vt:lpstr>'НДФЛ6 Раздел 1 Итоги по ставкам'!tax_13_amount</vt:lpstr>
      <vt:lpstr>tax_13_amount</vt:lpstr>
      <vt:lpstr>'НДФЛ6 Раздел 1 Итоги по ставкам'!tax_30</vt:lpstr>
      <vt:lpstr>tax_30</vt:lpstr>
      <vt:lpstr>tax_retained_report!TAX_NOT_RETAINED</vt:lpstr>
      <vt:lpstr>'Сверка удержанного налога'!TAX_NOT_RETAINED</vt:lpstr>
      <vt:lpstr>tax_retained_report!TAX_RETAINED_DATE</vt:lpstr>
      <vt:lpstr>'Сверка удержанного налога'!TAX_RETAINED_DATE</vt:lpstr>
      <vt:lpstr>tax_retained_report!TAX_RETURN</vt:lpstr>
      <vt:lpstr>'Сверка удержанного налога'!TAX_RETURN</vt:lpstr>
      <vt:lpstr>tax_retained_report!TAX_RETURN_83</vt:lpstr>
      <vt:lpstr>'Сверка удержанного налога'!TAX_RETURN_83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2017-10-18T08:29:10Z</dcterms:modified>
</cp:coreProperties>
</file>