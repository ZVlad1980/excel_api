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tables/table3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23.xml" ContentType="application/vnd.openxmlformats-officedocument.spreadsheetml.table+xml"/>
  <Override PartName="/xl/tables/table32.xml" ContentType="application/vnd.openxmlformats-officedocument.spreadsheetml.table+xml"/>
  <Override PartName="/xl/tables/table41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tables/table21.xml" ContentType="application/vnd.openxmlformats-officedocument.spreadsheetml.table+xml"/>
  <Override PartName="/xl/tables/table30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tables/table40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/>
  <bookViews>
    <workbookView xWindow="0" yWindow="0" windowWidth="12450" windowHeight="11685" tabRatio="698" firstSheet="5" activeTab="5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Settings" sheetId="103" state="hidden" r:id="rId5"/>
    <sheet name="Отчеты" sheetId="6" r:id="rId6"/>
    <sheet name="НДФЛ6 Раздел 1 Общие итоги" sheetId="284" r:id="rId7"/>
    <sheet name="НДФЛ6 Раздел 1 Итоги по ставкам" sheetId="278" r:id="rId8"/>
    <sheet name="НФДЛ Раздел 2" sheetId="276" r:id="rId9"/>
    <sheet name="ndfl6_part2" sheetId="249" state="hidden" r:id="rId10"/>
    <sheet name="ndfl6_part1_general" sheetId="71" state="hidden" r:id="rId11"/>
    <sheet name="ndfl6_part1_rates" sheetId="69" state="hidden" r:id="rId12"/>
    <sheet name="funds_employees" sheetId="73" state="hidden" r:id="rId13"/>
    <sheet name="funds_employees_report" sheetId="123" state="hidden" r:id="rId14"/>
    <sheet name="ndfl6_part1" sheetId="248" state="hidden" r:id="rId15"/>
  </sheets>
  <functionGroups/>
  <definedNames>
    <definedName name="data_source_name">Settings!$B$3</definedName>
    <definedName name="end_date">Отчеты!$C$5</definedName>
    <definedName name="EndDate">Отчеты!$C$5</definedName>
    <definedName name="menu_item_selected">Settings!$B$6</definedName>
    <definedName name="oracle_owner">Settings!$B$4</definedName>
    <definedName name="output">Отчеты!$B$8</definedName>
    <definedName name="report_code">Settings!$B$7</definedName>
    <definedName name="ReportSelected">Отчеты!$C$2</definedName>
    <definedName name="start_date">Отчеты!$C$4</definedName>
    <definedName name="start_sheet_name">Settings!$B$5</definedName>
    <definedName name="StartDate">Отчеты!$C$4</definedName>
    <definedName name="StartDateRow">Отчеты!$4:$4</definedName>
    <definedName name="tax_13" localSheetId="7">'НДФЛ6 Раздел 1 Итоги по ставкам'!$C$25</definedName>
    <definedName name="tax_13">ndfl6_part1_rates!$C$15</definedName>
    <definedName name="tax_13_amount" localSheetId="7">'НДФЛ6 Раздел 1 Итоги по ставкам'!$C$25</definedName>
    <definedName name="tax_13_amount">ndfl6_part1_rates!$C$15</definedName>
    <definedName name="tax_30" localSheetId="7">'НДФЛ6 Раздел 1 Итоги по ставкам'!$C$35</definedName>
    <definedName name="tax_30">ndfl6_part1_rates!$C$19</definedName>
  </definedNames>
  <calcPr calcId="124519"/>
</workbook>
</file>

<file path=xl/calcChain.xml><?xml version="1.0" encoding="utf-8"?>
<calcChain xmlns="http://schemas.openxmlformats.org/spreadsheetml/2006/main">
  <c r="E17" i="284"/>
  <c r="E11"/>
  <c r="C35" i="278"/>
  <c r="F47"/>
  <c r="E47"/>
  <c r="D47"/>
  <c r="C25"/>
  <c r="H6"/>
  <c r="G6"/>
  <c r="F6"/>
  <c r="E6"/>
  <c r="D6"/>
  <c r="C6"/>
  <c r="D2" i="276"/>
  <c r="C2"/>
  <c r="C36" i="278" l="1"/>
  <c r="D2" i="249" l="1"/>
  <c r="C2"/>
  <c r="F25" i="69"/>
  <c r="E25"/>
  <c r="D25"/>
  <c r="H5"/>
  <c r="G5"/>
  <c r="F5"/>
  <c r="E5"/>
  <c r="D5"/>
  <c r="C5"/>
  <c r="C15"/>
  <c r="C19"/>
  <c r="E13" i="71"/>
  <c r="E10"/>
  <c r="B6" i="103"/>
  <c r="C20" i="69" l="1"/>
</calcChain>
</file>

<file path=xl/comments1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sharedStrings.xml><?xml version="1.0" encoding="utf-8"?>
<sst xmlns="http://schemas.openxmlformats.org/spreadsheetml/2006/main" count="746" uniqueCount="285">
  <si>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</si>
  <si>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</si>
  <si>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</si>
  <si>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</si>
  <si>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</si>
  <si>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</si>
  <si>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</si>
  <si>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</si>
  <si>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</si>
  <si>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</si>
  <si>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</si>
  <si>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</si>
  <si>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</si>
  <si>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</si>
  <si>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</si>
  <si>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</si>
  <si>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</si>
  <si>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</si>
  <si>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</si>
  <si>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</si>
  <si>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</si>
  <si>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</si>
  <si>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</si>
  <si>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</si>
  <si>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</si>
  <si>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VBZ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</si>
  <si>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</si>
  <si>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</si>
  <si>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</si>
  <si>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</si>
  <si>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</si>
  <si>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</si>
  <si>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</si>
  <si>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</si>
  <si>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</si>
  <si>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</si>
  <si>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</si>
  <si>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</si>
  <si>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</si>
  <si>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</si>
  <si>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</si>
  <si>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</si>
  <si>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</si>
  <si>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</si>
  <si>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</si>
  <si>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</si>
  <si>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</si>
  <si>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</si>
  <si>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</si>
  <si>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</si>
  <si>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</si>
  <si>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</si>
  <si>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</si>
  <si>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</si>
  <si>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</si>
  <si>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</si>
  <si>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</si>
  <si>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</si>
  <si>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</si>
  <si>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</si>
  <si>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</si>
  <si>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</si>
  <si>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</si>
  <si>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</si>
  <si>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</si>
  <si>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</si>
  <si>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</si>
  <si>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</si>
  <si>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</si>
  <si>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</si>
  <si>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</si>
  <si>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</si>
  <si>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</si>
  <si>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</si>
  <si>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</si>
  <si>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</si>
  <si>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</si>
  <si>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</si>
  <si>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</si>
  <si>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</si>
  <si>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</si>
  <si>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</si>
  <si>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</si>
  <si>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</si>
  <si>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</si>
  <si>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</si>
  <si>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</si>
  <si>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</si>
  <si>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</si>
  <si>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</si>
  <si>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</si>
  <si>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</si>
  <si>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</si>
  <si>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</si>
  <si>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Период с:</t>
  </si>
  <si>
    <t>Период по: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</si>
  <si>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</si>
  <si>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</si>
  <si>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</si>
  <si>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</si>
  <si>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</si>
  <si>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</si>
  <si>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</si>
  <si>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</si>
  <si>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</si>
  <si>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</si>
  <si>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</si>
  <si>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</si>
  <si>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</si>
  <si>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</si>
  <si>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</si>
  <si>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</si>
  <si>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</si>
  <si>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</si>
  <si>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</si>
  <si>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</si>
  <si>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</si>
  <si>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</si>
  <si>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</si>
  <si>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</si>
  <si>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</si>
  <si>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</si>
  <si>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</si>
  <si>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</si>
  <si>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</si>
  <si>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</si>
  <si>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</si>
  <si>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</si>
  <si>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</si>
  <si>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</si>
  <si>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</si>
  <si>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</si>
  <si>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</si>
  <si>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</si>
  <si>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</si>
  <si>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</si>
  <si>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</si>
  <si>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</si>
  <si>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</si>
  <si>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</si>
  <si>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</si>
  <si>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</si>
  <si>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</si>
  <si>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</si>
  <si>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</si>
  <si>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</si>
  <si>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</si>
  <si>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</si>
  <si>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</si>
  <si>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</si>
  <si>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</si>
  <si>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</si>
  <si>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</si>
  <si>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</si>
  <si>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</si>
  <si>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</si>
  <si>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</si>
  <si>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</si>
  <si>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</si>
  <si>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</si>
  <si>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</si>
  <si>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</si>
  <si>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</si>
  <si>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</si>
  <si>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ndfl_report_api.get_report</t>
  </si>
  <si>
    <t>Oracle</t>
  </si>
  <si>
    <t>x_err_msg</t>
  </si>
  <si>
    <t>p_from_date</t>
  </si>
  <si>
    <t>p_end_date</t>
  </si>
  <si>
    <t>test_run</t>
  </si>
  <si>
    <t>module3.test_run</t>
  </si>
  <si>
    <t>output</t>
  </si>
  <si>
    <t>AfterAction</t>
  </si>
  <si>
    <t>Break</t>
  </si>
  <si>
    <t>parse_fio</t>
  </si>
  <si>
    <t>EmployeesApi.parse_fio</t>
  </si>
  <si>
    <t>employees_send</t>
  </si>
  <si>
    <t>ndfl_report_api.load_employees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</si>
  <si>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</si>
  <si>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</si>
  <si>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</si>
  <si>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</si>
  <si>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</si>
  <si>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</si>
  <si>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</si>
  <si>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</si>
  <si>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</si>
  <si>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</si>
  <si>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</si>
  <si>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FONDDB</t>
  </si>
  <si>
    <t>ndfl_prepare_data</t>
  </si>
  <si>
    <t>ndfl_report_api.ndfl_prepare_data</t>
  </si>
  <si>
    <t>НДФЛ6: подготовка данных</t>
  </si>
  <si>
    <t>Раздел 1 справок 6-НДФЛ (общие итоги)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</si>
  <si>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</si>
  <si>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</si>
  <si>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</si>
  <si>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</si>
  <si>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</si>
  <si>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</si>
  <si>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</si>
  <si>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</si>
  <si>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</si>
  <si>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</si>
  <si>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</si>
  <si>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Раздел 1 справок 6-НДФЛ (итоги по ставкам)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</si>
  <si>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</si>
  <si>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</si>
  <si>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</si>
  <si>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</si>
  <si>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</si>
  <si>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</si>
  <si>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</si>
  <si>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</si>
  <si>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</si>
  <si>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</si>
  <si>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</si>
  <si>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</si>
  <si>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</si>
  <si>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</si>
  <si>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</si>
  <si>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</si>
  <si>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</si>
  <si>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</si>
  <si>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</si>
  <si>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</si>
  <si>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</si>
  <si>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</si>
  <si>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</si>
  <si>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</si>
  <si>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</si>
  <si>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</si>
  <si>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</si>
  <si>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</si>
  <si>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</si>
  <si>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</si>
  <si>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</si>
  <si>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</si>
  <si>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</si>
  <si>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</si>
  <si>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</si>
  <si>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</si>
  <si>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</si>
  <si>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</si>
  <si>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</si>
  <si>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</si>
  <si>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</si>
  <si>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</si>
  <si>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</si>
  <si>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</si>
  <si>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</si>
  <si>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Пенсия</t>
  </si>
  <si>
    <t>Ритуалки</t>
  </si>
  <si>
    <t>Выкупные суммы</t>
  </si>
  <si>
    <t>недоплата: 25876 руб., см. ниже</t>
  </si>
  <si>
    <t>Архипова</t>
  </si>
  <si>
    <t>Людмила</t>
  </si>
  <si>
    <t>Максимовна</t>
  </si>
  <si>
    <t>Высогорец</t>
  </si>
  <si>
    <t>Федор</t>
  </si>
  <si>
    <t>Михайлович</t>
  </si>
  <si>
    <t>Гойсан</t>
  </si>
  <si>
    <t>Богдан</t>
  </si>
  <si>
    <t>Степанович</t>
  </si>
  <si>
    <t>Губанов</t>
  </si>
  <si>
    <t>Михаил</t>
  </si>
  <si>
    <t>Денисов</t>
  </si>
  <si>
    <t>Виктор</t>
  </si>
  <si>
    <t>Георгиевич</t>
  </si>
  <si>
    <t>Сейвальд</t>
  </si>
  <si>
    <t>Нелли</t>
  </si>
  <si>
    <t>Петровна</t>
  </si>
  <si>
    <t>Фишер</t>
  </si>
  <si>
    <t>Павел</t>
  </si>
  <si>
    <t>Августович</t>
  </si>
  <si>
    <t>вык.сум.сх.2</t>
  </si>
  <si>
    <t>вык.сум.сх.3</t>
  </si>
  <si>
    <t>вык.сум.сх.5</t>
  </si>
  <si>
    <t>пенсии сх.1</t>
  </si>
  <si>
    <t>Ok</t>
  </si>
  <si>
    <t>НДФЛ6 Раздел 2</t>
  </si>
  <si>
    <t>ndfl6_part2</t>
  </si>
  <si>
    <t>НФДЛ Раздел 2</t>
  </si>
  <si>
    <t>НДФЛ6 Раздел 1 + Раздел 2</t>
  </si>
  <si>
    <t>ndfl6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</si>
</sst>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18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0" fontId="7" fillId="0" borderId="0"/>
    <xf numFmtId="165" fontId="16" fillId="0" borderId="0"/>
    <xf numFmtId="0" fontId="11" fillId="0" borderId="0"/>
  </cellStyleXfs>
  <cellXfs count="160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14" fontId="0" fillId="0" borderId="2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1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2" fillId="0" borderId="0" xfId="1" applyNumberFormat="1" applyFont="1"/>
    <xf numFmtId="4" fontId="7" fillId="0" borderId="0" xfId="1" applyNumberFormat="1"/>
    <xf numFmtId="0" fontId="13" fillId="0" borderId="0" xfId="0" applyFont="1"/>
    <xf numFmtId="0" fontId="14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right"/>
    </xf>
    <xf numFmtId="0" fontId="15" fillId="0" borderId="0" xfId="0" applyFont="1" applyFill="1"/>
    <xf numFmtId="4" fontId="15" fillId="0" borderId="0" xfId="0" applyNumberFormat="1" applyFont="1" applyFill="1"/>
    <xf numFmtId="3" fontId="15" fillId="0" borderId="0" xfId="0" applyNumberFormat="1" applyFont="1" applyFill="1"/>
    <xf numFmtId="0" fontId="7" fillId="0" borderId="0" xfId="1"/>
    <xf numFmtId="49" fontId="12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2" fillId="2" borderId="34" xfId="1" applyNumberFormat="1" applyFont="1" applyFill="1" applyBorder="1" applyAlignment="1">
      <alignment horizontal="center" wrapText="1"/>
    </xf>
    <xf numFmtId="4" fontId="12" fillId="2" borderId="34" xfId="1" applyNumberFormat="1" applyFont="1" applyFill="1" applyBorder="1" applyAlignment="1">
      <alignment horizontal="center" wrapText="1"/>
    </xf>
    <xf numFmtId="4" fontId="12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7" fillId="2" borderId="36" xfId="0" applyNumberFormat="1" applyFont="1" applyFill="1" applyBorder="1" applyAlignment="1" applyProtection="1">
      <alignment horizontal="center" wrapText="1"/>
    </xf>
    <xf numFmtId="49" fontId="17" fillId="2" borderId="37" xfId="0" applyNumberFormat="1" applyFont="1" applyFill="1" applyBorder="1" applyAlignment="1" applyProtection="1">
      <alignment horizontal="center" wrapText="1"/>
    </xf>
    <xf numFmtId="49" fontId="17" fillId="2" borderId="38" xfId="0" applyNumberFormat="1" applyFont="1" applyFill="1" applyBorder="1" applyAlignment="1" applyProtection="1">
      <alignment horizontal="center" wrapText="1"/>
    </xf>
    <xf numFmtId="0" fontId="0" fillId="0" borderId="0" xfId="0" applyFont="1" applyFill="1" applyBorder="1"/>
    <xf numFmtId="4" fontId="0" fillId="0" borderId="0" xfId="0" applyNumberFormat="1" applyFont="1" applyFill="1" applyBorder="1"/>
    <xf numFmtId="3" fontId="0" fillId="0" borderId="0" xfId="0" applyNumberFormat="1" applyFont="1" applyFill="1" applyBorder="1"/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" fillId="0" borderId="1" xfId="0" applyFont="1" applyBorder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3" fillId="0" borderId="0" xfId="0" applyFont="1" applyAlignment="1">
      <alignment horizontal="center"/>
    </xf>
    <xf numFmtId="0" fontId="1" fillId="0" borderId="31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14" fontId="7" fillId="0" borderId="39" xfId="1" applyNumberFormat="1" applyFill="1" applyBorder="1"/>
    <xf numFmtId="4" fontId="7" fillId="0" borderId="7" xfId="1" applyNumberFormat="1" applyFill="1" applyBorder="1"/>
    <xf numFmtId="0" fontId="3" fillId="0" borderId="0" xfId="0" applyFont="1" applyFill="1" applyAlignment="1">
      <alignment horizontal="right"/>
    </xf>
    <xf numFmtId="0" fontId="3" fillId="0" borderId="0" xfId="0" applyFont="1" applyFill="1"/>
    <xf numFmtId="4" fontId="3" fillId="0" borderId="0" xfId="0" applyNumberFormat="1" applyFont="1" applyFill="1"/>
    <xf numFmtId="3" fontId="3" fillId="0" borderId="0" xfId="0" applyNumberFormat="1" applyFont="1" applyFill="1"/>
  </cellXfs>
  <cellStyles count="4">
    <cellStyle name="Обычный" xfId="0" builtinId="0"/>
    <cellStyle name="Обычный 2" xfId="2"/>
    <cellStyle name="Обычный 3" xfId="3"/>
    <cellStyle name="Обычный 4" xfId="1"/>
  </cellStyles>
  <dxfs count="226">
    <dxf>
      <border>
        <top style="thin">
          <color rgb="FF000000"/>
        </top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rgb="FFFFFFFF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rgb="FF000000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>
    <xdr:from>
      <xdr:col>3</xdr:col>
      <xdr:colOff>66676</xdr:colOff>
      <xdr:row>0</xdr:row>
      <xdr:rowOff>28575</xdr:rowOff>
    </xdr:from>
    <xdr:to>
      <xdr:col>3</xdr:col>
      <xdr:colOff>466726</xdr:colOff>
      <xdr:row>0</xdr:row>
      <xdr:rowOff>400050</xdr:rowOff>
    </xdr:to>
    <xdr:sp macro="[0]!send" textlink="">
      <xdr:nvSpPr>
        <xdr:cNvPr id="4" name="Молния 3"/>
        <xdr:cNvSpPr/>
      </xdr:nvSpPr>
      <xdr:spPr>
        <a:xfrm>
          <a:off x="7010401" y="28575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Таблица2" displayName="Таблица2" ref="A3:J4" totalsRowShown="0" headerRowDxfId="225" dataDxfId="223" headerRowBorderDxfId="224" tableBorderDxfId="222" totalsRowBorderDxfId="221">
  <autoFilter ref="A3:J4"/>
  <tableColumns count="10">
    <tableColumn id="1" name="1" dataDxfId="220"/>
    <tableColumn id="2" name="2" dataDxfId="219"/>
    <tableColumn id="5" name="3" dataDxfId="218"/>
    <tableColumn id="6" name="4" dataDxfId="217"/>
    <tableColumn id="7" name="5" dataDxfId="216"/>
    <tableColumn id="10" name="6" dataDxfId="215"/>
    <tableColumn id="11" name="7" dataDxfId="214"/>
    <tableColumn id="12" name="8" dataDxfId="213"/>
    <tableColumn id="13" name="9" dataDxfId="212"/>
    <tableColumn id="14" name="10" dataDxfId="2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4:P5" totalsRowShown="0" headerRowDxfId="210" dataDxfId="208" headerRowBorderDxfId="209" tableBorderDxfId="207" totalsRowBorderDxfId="206">
  <autoFilter ref="A4:P5"/>
  <tableColumns count="16">
    <tableColumn id="1" name="1" dataDxfId="205"/>
    <tableColumn id="2" name="2" dataDxfId="204"/>
    <tableColumn id="3" name="3" dataDxfId="203"/>
    <tableColumn id="4" name="4" dataDxfId="202"/>
    <tableColumn id="5" name="5" dataDxfId="201"/>
    <tableColumn id="6" name="6" dataDxfId="200"/>
    <tableColumn id="7" name="7" dataDxfId="199"/>
    <tableColumn id="8" name="8" dataDxfId="198"/>
    <tableColumn id="9" name="9" dataDxfId="197"/>
    <tableColumn id="10" name="10" dataDxfId="196"/>
    <tableColumn id="11" name="11" dataDxfId="195"/>
    <tableColumn id="12" name="12" dataDxfId="194"/>
    <tableColumn id="13" name="13" dataDxfId="193"/>
    <tableColumn id="14" name="14" dataDxfId="192"/>
    <tableColumn id="15" name="15" dataDxfId="191"/>
    <tableColumn id="16" name="16" dataDxfId="19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2:I3" totalsRowShown="0" headerRowDxfId="189" dataDxfId="187" headerRowBorderDxfId="188" tableBorderDxfId="186" totalsRowBorderDxfId="185">
  <autoFilter ref="A2:I3">
    <filterColumn colId="1"/>
  </autoFilter>
  <tableColumns count="9">
    <tableColumn id="1" name="1" dataDxfId="184"/>
    <tableColumn id="3" name="2" dataDxfId="183"/>
    <tableColumn id="2" name="3" dataDxfId="182"/>
    <tableColumn id="5" name="4" dataDxfId="181"/>
    <tableColumn id="6" name="5" dataDxfId="180"/>
    <tableColumn id="7" name="6" dataDxfId="179"/>
    <tableColumn id="10" name="7" dataDxfId="178"/>
    <tableColumn id="11" name="8" dataDxfId="177"/>
    <tableColumn id="12" name="9" dataDxfId="17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3:R4" totalsRowShown="0" headerRowDxfId="175" dataDxfId="173" headerRowBorderDxfId="174" tableBorderDxfId="172" totalsRowBorderDxfId="171">
  <autoFilter ref="A3:R4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170"/>
    <tableColumn id="20" name="2" dataDxfId="169"/>
    <tableColumn id="19" name="3" dataDxfId="168"/>
    <tableColumn id="18" name="4" dataDxfId="167"/>
    <tableColumn id="17" name="5" dataDxfId="166"/>
    <tableColumn id="23" name="6" dataDxfId="165"/>
    <tableColumn id="22" name="7" dataDxfId="164"/>
    <tableColumn id="21" name="8" dataDxfId="163"/>
    <tableColumn id="28" name="9" dataDxfId="162"/>
    <tableColumn id="29" name="10" dataDxfId="161"/>
    <tableColumn id="27" name="11" dataDxfId="160"/>
    <tableColumn id="26" name="12" dataDxfId="159"/>
    <tableColumn id="25" name="13" dataDxfId="158"/>
    <tableColumn id="5" name="14" dataDxfId="157"/>
    <tableColumn id="4" name="15" dataDxfId="156"/>
    <tableColumn id="3" name="16" dataDxfId="155"/>
    <tableColumn id="2" name="17" dataDxfId="154"/>
    <tableColumn id="24" name="18" dataDxfId="15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Menu" displayName="Menu" ref="D2:E14" totalsRowShown="0">
  <autoFilter ref="D2:E14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0" name="Actions" displayName="Actions" ref="G2:J21" totalsRowShown="0">
  <autoFilter ref="G2:J21">
    <filterColumn colId="3"/>
  </autoFilter>
  <tableColumns count="4">
    <tableColumn id="1" name="Code"/>
    <tableColumn id="2" name="Type"/>
    <tableColumn id="3" name="ActionCode"/>
    <tableColumn id="4" name="AfterAc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1" name="Programs" displayName="Programs" ref="V2:Z8" totalsRowShown="0">
  <autoFilter ref="V2:Z8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2" name="Reports" displayName="Reports" ref="L2:Q20" totalsRowShown="0">
  <autoFilter ref="L2:Q20">
    <filterColumn colId="3"/>
    <filterColumn colId="4"/>
  </autoFilter>
  <tableColumns count="6">
    <tableColumn id="1" name="Code"/>
    <tableColumn id="2" name="TemplateSheetName"/>
    <tableColumn id="3" name="NewSheetName"/>
    <tableColumn id="5" name="CreateMode"/>
    <tableColumn id="6" name="Program"/>
    <tableColumn id="4" name="Report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3" name="SubReports" displayName="SubReports" ref="S2:T12" totalsRowShown="0">
  <autoFilter ref="S2:T12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4" name="GeneralOptions" displayName="GeneralOptions" ref="A2:B8" headerRowBorderDxfId="152" tableBorderDxfId="151" totalsRowBorderDxfId="150">
  <autoFilter ref="A2:B8"/>
  <tableColumns count="2">
    <tableColumn id="1" name="Key" totalsRowLabel="Итог" totalsRowDxfId="149"/>
    <tableColumn id="2" name="Value" totalsRowFunction="count" totalsRowDxfId="14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7" name="ActionTypes" displayName="ActionTypes" ref="AJ2:AJ4" totalsRowShown="0" tableBorderDxfId="147">
  <autoFilter ref="AJ2:AJ4"/>
  <tableColumns count="1">
    <tableColumn id="1" name="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8" name="CreateModes" displayName="CreateModes" ref="AL2:AL4" totalsRowShown="0">
  <autoFilter ref="AL2:AL4"/>
  <tableColumns count="1">
    <tableColumn id="1" name="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0" name="ReportTypes" displayName="ReportTypes" ref="AN2:AN4" totalsRowShown="0">
  <autoFilter ref="AN2:AN4"/>
  <tableColumns count="1">
    <tableColumn id="1" name="Co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5" name="ProgramTypes" displayName="ProgramTypes" ref="AP2:AP4" totalsRowShown="0">
  <autoFilter ref="AP2:AP4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9" name="ParamPurpose" displayName="ParamPurpose" ref="AR2:AR3" totalsRowShown="0">
  <autoFilter ref="AR2:AR3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1" name="ReturnTypes" displayName="ReturnTypes" ref="AT2:AT3" totalsRowShown="0">
  <autoFilter ref="AT2:AT3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3" name="Direction" displayName="Direction" ref="AV2:AV4" totalsRowShown="0">
  <autoFilter ref="AV2:AV4"/>
  <tableColumns count="1">
    <tableColumn id="1" name="Cod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2" name="Parameters" displayName="Parameters" ref="AB2:AH13" totalsRowShown="0">
  <autoFilter ref="AB2:AH13">
    <filterColumn colId="5"/>
    <filterColumn colId="6"/>
  </autoFilter>
  <tableColumns count="7">
    <tableColumn id="1" name="Program" dataDxfId="146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4" name="YesNo" displayName="YesNo" ref="AX2:AX4" totalsRowShown="0">
  <autoFilter ref="AX2:AX4"/>
  <tableColumns count="1">
    <tableColumn id="1" name="Cod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7" name="AfterAction" displayName="AfterAction" ref="AZ2:AZ3" totalsRowShown="0">
  <autoFilter ref="AZ2:AZ3"/>
  <tableColumns count="1">
    <tableColumn id="1" name="Cod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16" name="Таблица16" displayName="Таблица16" ref="C3:C5" totalsRowShown="0" headerRowDxfId="145" dataDxfId="144" tableBorderDxfId="143">
  <tableColumns count="1">
    <tableColumn id="1" name="Столбец1" dataDxfId="142"/>
  </tableColumns>
  <tableStyleInfo name="TableStyleMedium2" showFirstColumn="0" showLastColumn="0" showRowStripes="0" showColumnStripes="0"/>
</table>
</file>

<file path=xl/tables/table22.xml><?xml version="1.0" encoding="utf-8"?>
<table xmlns="http://schemas.openxmlformats.org/spreadsheetml/2006/main" id="54" name="ndfl6_recalc_prev_year55" displayName="ndfl6_recalc_prev_year55" ref="D13:E16" headerRowCount="0" totalsRowShown="0">
  <tableColumns count="2">
    <tableColumn id="1" name="Столбец1"/>
    <tableColumn id="2" name="Столбец2" headerRowDxfId="15" dataDxfId="14"/>
  </tableColumns>
  <tableStyleInfo showFirstColumn="0" showLastColumn="0" showRowStripes="0" showColumnStripes="0"/>
</table>
</file>

<file path=xl/tables/table23.xml><?xml version="1.0" encoding="utf-8"?>
<table xmlns="http://schemas.openxmlformats.org/spreadsheetml/2006/main" id="55" name="ndfl6_part1_general_recalc_curr56" displayName="ndfl6_part1_general_recalc_curr56" ref="D9:E10" headerRowCount="0" totalsRowShown="0">
  <tableColumns count="2">
    <tableColumn id="1" name="Столбец1"/>
    <tableColumn id="2" name="Столбец2" headerRowDxfId="13" dataDxfId="12"/>
  </tableColumns>
  <tableStyleInfo showFirstColumn="0" showLastColumn="0" showRowStripes="0" showColumnStripes="0"/>
</table>
</file>

<file path=xl/tables/table24.xml><?xml version="1.0" encoding="utf-8"?>
<table xmlns="http://schemas.openxmlformats.org/spreadsheetml/2006/main" id="56" name="Таблица457" displayName="Таблица457" ref="B5:E5" headerRowCount="0" totalsRowShown="0" headerRowDxfId="3" dataDxfId="2" tableBorderDxfId="1" totalsRowBorderDxfId="0">
  <tableColumns count="4">
    <tableColumn id="1" name="Столбец1" headerRowDxfId="11" dataDxfId="10" dataCellStyle="Обычный 4"/>
    <tableColumn id="2" name="Столбец2" headerRowDxfId="9" dataDxfId="8" headerRowCellStyle="Обычный 4" dataCellStyle="Обычный 4"/>
    <tableColumn id="3" name="Столбец3" headerRowDxfId="7" dataDxfId="6"/>
    <tableColumn id="4" name="Столбец4" headerRowDxfId="5" dataDxfId="4" headerRowCellStyle="Обычный 4" dataCellStyle="Обычный 4"/>
  </tableColumns>
  <tableStyleInfo name="TableStyleLight1" showFirstColumn="0" showLastColumn="0" showRowStripes="0" showColumnStripes="0"/>
</table>
</file>

<file path=xl/tables/table25.xml><?xml version="1.0" encoding="utf-8"?>
<table xmlns="http://schemas.openxmlformats.org/spreadsheetml/2006/main" id="49" name="Таблица2950" displayName="Таблица2950" ref="A4:H6" headerRowCount="0" totalsRowCount="1" headerRowDxfId="40" dataDxfId="39">
  <tableColumns count="8">
    <tableColumn id="1" name="Столбец1" totalsRowLabel="Итого:" headerRowDxfId="56" dataDxfId="55" totalsRowDxfId="26"/>
    <tableColumn id="2" name="Столбец2" headerRowDxfId="54" dataDxfId="53" totalsRowDxfId="25"/>
    <tableColumn id="3" name="Столбец3" totalsRowFunction="sum" headerRowDxfId="52" dataDxfId="51" totalsRowDxfId="24"/>
    <tableColumn id="4" name="Столбец4" totalsRowFunction="sum" headerRowDxfId="50" dataDxfId="49" totalsRowDxfId="23"/>
    <tableColumn id="5" name="Столбец5" totalsRowFunction="sum" headerRowDxfId="48" dataDxfId="47" totalsRowDxfId="22"/>
    <tableColumn id="6" name="Столбец6" totalsRowFunction="sum" headerRowDxfId="46" dataDxfId="45" totalsRowDxfId="21"/>
    <tableColumn id="7" name="Столбец7" totalsRowFunction="sum" headerRowDxfId="44" dataDxfId="43" totalsRowDxfId="20"/>
    <tableColumn id="8" name="Столбец8" totalsRowFunction="sum" headerRowDxfId="42" dataDxfId="41" totalsRowDxfId="19"/>
  </tableColumns>
  <tableStyleInfo name="TableStyleLight1" showFirstColumn="0" showLastColumn="0" showRowStripes="0" showColumnStripes="0"/>
</table>
</file>

<file path=xl/tables/table26.xml><?xml version="1.0" encoding="utf-8"?>
<table xmlns="http://schemas.openxmlformats.org/spreadsheetml/2006/main" id="50" name="Таблица3051" displayName="Таблица3051" ref="A10:H16" headerRowCount="0">
  <tableColumns count="8">
    <tableColumn id="1" name="тип" totalsRowLabel="Итог"/>
    <tableColumn id="2" name="схема"/>
    <tableColumn id="3" name="Столбец1" totalsRowFunction="sum" dataDxfId="37" totalsRowDxfId="38"/>
    <tableColumn id="4" name="Столбец2" dataDxfId="36"/>
    <tableColumn id="5" name="итог" dataDxfId="35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27.xml><?xml version="1.0" encoding="utf-8"?>
<table xmlns="http://schemas.openxmlformats.org/spreadsheetml/2006/main" id="51" name="Таблица3152" displayName="Таблица3152" ref="A21:H24" headerRowCount="0">
  <tableColumns count="8">
    <tableColumn id="1" name="Столбец1" totalsRowLabel="Итог" headerRowDxfId="34"/>
    <tableColumn id="2" name="Столбец2"/>
    <tableColumn id="3" name="Столбец3" totalsRowFunction="sum" headerRowDxfId="32" dataDxfId="31" totalsRowDxfId="33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28.xml><?xml version="1.0" encoding="utf-8"?>
<table xmlns="http://schemas.openxmlformats.org/spreadsheetml/2006/main" id="52" name="Таблица553" displayName="Таблица553" ref="A28:E34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29.xml><?xml version="1.0" encoding="utf-8"?>
<table xmlns="http://schemas.openxmlformats.org/spreadsheetml/2006/main" id="53" name="Таблица4754" displayName="Таблица4754" ref="A39:F47" totalsRowCount="1" headerRowDxfId="27">
  <autoFilter ref="A39:F46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30" totalsRowDxfId="18"/>
    <tableColumn id="5" name="Налог удержанный" totalsRowFunction="sum" dataDxfId="29" totalsRowDxfId="17"/>
    <tableColumn id="6" name="Разница" totalsRowFunction="sum" dataDxfId="28" totalsRowDxfId="16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48" name="Таблица2649" displayName="Таблица2649" ref="B5:D37" totalsRowShown="0" headerRowDxfId="59" headerRowBorderDxfId="57" tableBorderDxfId="58" headerRowCellStyle="Обычный 4">
  <autoFilter ref="B5:D37"/>
  <tableColumns count="3">
    <tableColumn id="1" name="100" dataDxfId="62" dataCellStyle="Обычный 4"/>
    <tableColumn id="2" name="130" dataDxfId="61" dataCellStyle="Обычный 4"/>
    <tableColumn id="3" name="140" dataDxfId="60" dataCellStyle="Обычный 4"/>
  </tableColumns>
  <tableStyleInfo name="TableStyleLight1" showFirstColumn="0" showLastColumn="0" showRowStripes="0" showColumnStripes="0"/>
</table>
</file>

<file path=xl/tables/table31.xml><?xml version="1.0" encoding="utf-8"?>
<table xmlns="http://schemas.openxmlformats.org/spreadsheetml/2006/main" id="26" name="Таблица26" displayName="Таблица26" ref="B5:D6" totalsRowShown="0" headerRowDxfId="141" headerRowBorderDxfId="140" tableBorderDxfId="139" headerRowCellStyle="Обычный 4">
  <autoFilter ref="B5:D6"/>
  <tableColumns count="3">
    <tableColumn id="1" name="100" dataDxfId="138" dataCellStyle="Обычный 4"/>
    <tableColumn id="2" name="130" dataDxfId="137" dataCellStyle="Обычный 4"/>
    <tableColumn id="3" name="140" dataDxfId="136" dataCellStyle="Обычный 4"/>
  </tableColumns>
  <tableStyleInfo name="TableStyleLight1" showFirstColumn="0" showLastColumn="0" showRowStripes="0" showColumnStripes="0"/>
</table>
</file>

<file path=xl/tables/table32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135" dataDxfId="134"/>
  </tableColumns>
  <tableStyleInfo showFirstColumn="0" showLastColumn="0" showRowStripes="0" showColumnStripes="0"/>
</table>
</file>

<file path=xl/tables/table33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133" dataDxfId="132"/>
  </tableColumns>
  <tableStyleInfo showFirstColumn="0" showLastColumn="0" showRowStripes="0" showColumnStripes="0"/>
</table>
</file>

<file path=xl/tables/table34.xml><?xml version="1.0" encoding="utf-8"?>
<table xmlns="http://schemas.openxmlformats.org/spreadsheetml/2006/main" id="4" name="Таблица4" displayName="Таблица4" ref="B5:E5" headerRowCount="0" totalsRowShown="0" headerRowDxfId="131" dataDxfId="130" tableBorderDxfId="129" totalsRowBorderDxfId="128">
  <tableColumns count="4">
    <tableColumn id="1" name="Столбец1" headerRowDxfId="127" dataDxfId="126" dataCellStyle="Обычный 4"/>
    <tableColumn id="2" name="Столбец2" headerRowDxfId="125" dataDxfId="124" headerRowCellStyle="Обычный 4" dataCellStyle="Обычный 4"/>
    <tableColumn id="3" name="Столбец3" headerRowDxfId="123" dataDxfId="122"/>
    <tableColumn id="4" name="Столбец4" headerRowDxfId="121" dataDxfId="120" headerRowCellStyle="Обычный 4" dataCellStyle="Обычный 4"/>
  </tableColumns>
  <tableStyleInfo name="TableStyleLight1" showFirstColumn="0" showLastColumn="0" showRowStripes="0" showColumnStripes="0"/>
</table>
</file>

<file path=xl/tables/table35.xml><?xml version="1.0" encoding="utf-8"?>
<table xmlns="http://schemas.openxmlformats.org/spreadsheetml/2006/main" id="29" name="Таблица29" displayName="Таблица29" ref="A4:H5" headerRowCount="0" totalsRowCount="1" headerRowDxfId="119" dataDxfId="118">
  <tableColumns count="8">
    <tableColumn id="1" name="Столбец1" totalsRowLabel="Итого:" headerRowDxfId="117" dataDxfId="116" totalsRowDxfId="115"/>
    <tableColumn id="2" name="Столбец2" headerRowDxfId="114" dataDxfId="113" totalsRowDxfId="112"/>
    <tableColumn id="3" name="Столбец3" totalsRowFunction="sum" headerRowDxfId="111" dataDxfId="110" totalsRowDxfId="109"/>
    <tableColumn id="4" name="Столбец4" totalsRowFunction="sum" headerRowDxfId="108" dataDxfId="107" totalsRowDxfId="106"/>
    <tableColumn id="5" name="Столбец5" totalsRowFunction="sum" headerRowDxfId="105" dataDxfId="104" totalsRowDxfId="103"/>
    <tableColumn id="6" name="Столбец6" totalsRowFunction="sum" headerRowDxfId="102" dataDxfId="101" totalsRowDxfId="100"/>
    <tableColumn id="7" name="Столбец7" totalsRowFunction="sum" headerRowDxfId="99" dataDxfId="98" totalsRowDxfId="97"/>
    <tableColumn id="8" name="Столбец8" totalsRowFunction="sum" headerRowDxfId="96" dataDxfId="95" totalsRowDxfId="94"/>
  </tableColumns>
  <tableStyleInfo name="TableStyleLight1" showFirstColumn="0" showLastColumn="0" showRowStripes="0" showColumnStripes="0"/>
</table>
</file>

<file path=xl/tables/table36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93" totalsRowDxfId="92"/>
    <tableColumn id="4" name="Столбец2" dataDxfId="91"/>
    <tableColumn id="5" name="итог" dataDxfId="90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37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89"/>
    <tableColumn id="2" name="Столбец2"/>
    <tableColumn id="3" name="Столбец3" totalsRowFunction="sum" headerRowDxfId="88" dataDxfId="87" totalsRowDxfId="86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38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39.xml><?xml version="1.0" encoding="utf-8"?>
<table xmlns="http://schemas.openxmlformats.org/spreadsheetml/2006/main" id="47" name="Таблица47" displayName="Таблица47" ref="A23:F25" totalsRowCount="1" headerRowDxfId="85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84"/>
    <tableColumn id="5" name="Налог удержанный" totalsRowFunction="sum" dataDxfId="83"/>
    <tableColumn id="6" name="Разница" totalsRowFunction="sum" dataDxfId="82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8" name="Таблица8" displayName="Таблица8" ref="A1:D2" insertRow="1" totalsRowShown="0" headerRowDxfId="81" headerRowBorderDxfId="80" tableBorderDxfId="79" totalsRowBorderDxfId="78">
  <autoFilter ref="A1:D2">
    <filterColumn colId="2"/>
    <filterColumn colId="3"/>
  </autoFilter>
  <tableColumns count="4">
    <tableColumn id="1" name="ФИО" dataDxfId="77"/>
    <tableColumn id="5" name="Дата рождения" dataDxfId="76"/>
    <tableColumn id="2" name="Снилс"/>
    <tableColumn id="3" name="ИНН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id="25" name="Таблица8526" displayName="Таблица8526" ref="A1:I2" totalsRowShown="0" headerRowDxfId="75" headerRowBorderDxfId="74" tableBorderDxfId="73" totalsRowBorderDxfId="72">
  <autoFilter ref="A1:I2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71"/>
    <tableColumn id="6" name="Имя" dataDxfId="70"/>
    <tableColumn id="4" name="Отчество" dataDxfId="69"/>
    <tableColumn id="5" name="Дата рождения" dataDxfId="68"/>
    <tableColumn id="3" name="ИНН" dataDxfId="67"/>
    <tableColumn id="1" name="Участник/Не участник" dataDxfId="66"/>
    <tableColumn id="2" name="Доход" dataDxfId="65"/>
    <tableColumn id="8" name="Пенсионные схемы" dataDxfId="64"/>
    <tableColumn id="9" name="Типы дохода" dataDxfId="6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18" Type="http://schemas.openxmlformats.org/officeDocument/2006/relationships/table" Target="../tables/table2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17" Type="http://schemas.openxmlformats.org/officeDocument/2006/relationships/table" Target="../tables/table19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8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5" Type="http://schemas.openxmlformats.org/officeDocument/2006/relationships/table" Target="../tables/table17.xml"/><Relationship Id="rId10" Type="http://schemas.openxmlformats.org/officeDocument/2006/relationships/table" Target="../tables/table12.xml"/><Relationship Id="rId19" Type="http://schemas.openxmlformats.org/officeDocument/2006/relationships/comments" Target="../comments1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7.bin"/><Relationship Id="rId4" Type="http://schemas.openxmlformats.org/officeDocument/2006/relationships/table" Target="../tables/table2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29.xml"/><Relationship Id="rId5" Type="http://schemas.openxmlformats.org/officeDocument/2006/relationships/table" Target="../tables/table28.xml"/><Relationship Id="rId4" Type="http://schemas.openxmlformats.org/officeDocument/2006/relationships/table" Target="../tables/table2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3.xml"/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11.bin"/><Relationship Id="rId4" Type="http://schemas.openxmlformats.org/officeDocument/2006/relationships/table" Target="../tables/table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39.xml"/><Relationship Id="rId5" Type="http://schemas.openxmlformats.org/officeDocument/2006/relationships/table" Target="../tables/table38.xml"/><Relationship Id="rId4" Type="http://schemas.openxmlformats.org/officeDocument/2006/relationships/table" Target="../tables/table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4"/>
  <sheetViews>
    <sheetView workbookViewId="0">
      <selection activeCell="A4" sqref="A4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31.5" customHeight="1">
      <c r="A1" s="112" t="s">
        <v>4</v>
      </c>
      <c r="B1" s="112"/>
      <c r="C1" s="112"/>
      <c r="D1" s="112"/>
      <c r="E1" s="112"/>
      <c r="F1" s="113" t="s">
        <v>23</v>
      </c>
      <c r="G1" s="113"/>
      <c r="H1" s="113"/>
      <c r="I1" s="113"/>
      <c r="J1" s="113"/>
    </row>
    <row r="2" spans="1:10" ht="78" customHeight="1">
      <c r="A2" s="19" t="s">
        <v>0</v>
      </c>
      <c r="B2" s="19" t="s">
        <v>30</v>
      </c>
      <c r="C2" s="20" t="s">
        <v>1</v>
      </c>
      <c r="D2" s="20" t="s">
        <v>2</v>
      </c>
      <c r="E2" s="19" t="s">
        <v>22</v>
      </c>
      <c r="F2" s="21" t="s">
        <v>29</v>
      </c>
      <c r="G2" s="21" t="s">
        <v>33</v>
      </c>
      <c r="H2" s="21" t="s">
        <v>1</v>
      </c>
      <c r="I2" s="21" t="s">
        <v>2</v>
      </c>
      <c r="J2" s="21" t="s">
        <v>22</v>
      </c>
    </row>
    <row r="3" spans="1:10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3" t="s">
        <v>12</v>
      </c>
      <c r="G3" s="23" t="s">
        <v>13</v>
      </c>
      <c r="H3" s="23" t="s">
        <v>14</v>
      </c>
      <c r="I3" s="23" t="s">
        <v>15</v>
      </c>
      <c r="J3" s="23" t="s">
        <v>16</v>
      </c>
    </row>
    <row r="4" spans="1:10">
      <c r="A4" s="1" t="s">
        <v>28</v>
      </c>
      <c r="B4" s="1"/>
      <c r="C4" s="24"/>
      <c r="D4" s="24"/>
      <c r="E4" s="24"/>
      <c r="F4" s="1"/>
      <c r="G4" s="1"/>
      <c r="H4" s="24"/>
      <c r="I4" s="24"/>
      <c r="J4" s="24"/>
    </row>
  </sheetData>
  <mergeCells count="2">
    <mergeCell ref="A1:E1"/>
    <mergeCell ref="F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5"/>
  <sheetViews>
    <sheetView workbookViewId="0">
      <selection activeCell="A5" sqref="A5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31.5" customHeight="1">
      <c r="A1" s="118" t="s">
        <v>4</v>
      </c>
      <c r="B1" s="119"/>
      <c r="C1" s="119"/>
      <c r="D1" s="119"/>
      <c r="E1" s="119"/>
      <c r="F1" s="119"/>
      <c r="G1" s="119"/>
      <c r="H1" s="119"/>
      <c r="I1" s="120"/>
      <c r="J1" s="121" t="s">
        <v>23</v>
      </c>
      <c r="K1" s="122"/>
      <c r="L1" s="122"/>
      <c r="M1" s="122"/>
      <c r="N1" s="122"/>
      <c r="O1" s="122"/>
      <c r="P1" s="123"/>
    </row>
    <row r="2" spans="1:16" ht="24" customHeight="1">
      <c r="A2" s="124" t="s">
        <v>0</v>
      </c>
      <c r="B2" s="126" t="s">
        <v>30</v>
      </c>
      <c r="C2" s="126" t="s">
        <v>3</v>
      </c>
      <c r="D2" s="126" t="s">
        <v>31</v>
      </c>
      <c r="E2" s="128" t="s">
        <v>5</v>
      </c>
      <c r="F2" s="129"/>
      <c r="G2" s="130"/>
      <c r="H2" s="128" t="s">
        <v>6</v>
      </c>
      <c r="I2" s="131"/>
      <c r="J2" s="132" t="s">
        <v>29</v>
      </c>
      <c r="K2" s="132" t="s">
        <v>33</v>
      </c>
      <c r="L2" s="114" t="s">
        <v>5</v>
      </c>
      <c r="M2" s="115"/>
      <c r="N2" s="116"/>
      <c r="O2" s="114" t="s">
        <v>6</v>
      </c>
      <c r="P2" s="117"/>
    </row>
    <row r="3" spans="1:16" ht="38.25" customHeight="1">
      <c r="A3" s="125"/>
      <c r="B3" s="127"/>
      <c r="C3" s="127"/>
      <c r="D3" s="127"/>
      <c r="E3" s="2" t="s">
        <v>1</v>
      </c>
      <c r="F3" s="2" t="s">
        <v>2</v>
      </c>
      <c r="G3" s="18" t="s">
        <v>22</v>
      </c>
      <c r="H3" s="2" t="s">
        <v>1</v>
      </c>
      <c r="I3" s="3" t="s">
        <v>22</v>
      </c>
      <c r="J3" s="133"/>
      <c r="K3" s="133"/>
      <c r="L3" s="4" t="s">
        <v>1</v>
      </c>
      <c r="M3" s="4" t="s">
        <v>2</v>
      </c>
      <c r="N3" s="4" t="s">
        <v>22</v>
      </c>
      <c r="O3" s="4" t="s">
        <v>1</v>
      </c>
      <c r="P3" s="5" t="s">
        <v>22</v>
      </c>
    </row>
    <row r="4" spans="1:16">
      <c r="A4" s="10" t="s">
        <v>7</v>
      </c>
      <c r="B4" s="8" t="s">
        <v>8</v>
      </c>
      <c r="C4" s="8" t="s">
        <v>9</v>
      </c>
      <c r="D4" s="8" t="s">
        <v>10</v>
      </c>
      <c r="E4" s="8" t="s">
        <v>11</v>
      </c>
      <c r="F4" s="8" t="s">
        <v>12</v>
      </c>
      <c r="G4" s="8" t="s">
        <v>13</v>
      </c>
      <c r="H4" s="8" t="s">
        <v>14</v>
      </c>
      <c r="I4" s="8" t="s">
        <v>15</v>
      </c>
      <c r="J4" s="9" t="s">
        <v>16</v>
      </c>
      <c r="K4" s="9" t="s">
        <v>17</v>
      </c>
      <c r="L4" s="9" t="s">
        <v>18</v>
      </c>
      <c r="M4" s="9" t="s">
        <v>19</v>
      </c>
      <c r="N4" s="9" t="s">
        <v>20</v>
      </c>
      <c r="O4" s="9" t="s">
        <v>21</v>
      </c>
      <c r="P4" s="11" t="s">
        <v>24</v>
      </c>
    </row>
    <row r="5" spans="1:16">
      <c r="A5" s="12" t="s">
        <v>34</v>
      </c>
      <c r="B5" s="13"/>
      <c r="C5" s="14"/>
      <c r="D5" s="15"/>
      <c r="E5" s="16"/>
      <c r="F5" s="16"/>
      <c r="G5" s="16"/>
      <c r="H5" s="16"/>
      <c r="I5" s="16"/>
      <c r="J5" s="13"/>
      <c r="K5" s="13"/>
      <c r="L5" s="16"/>
      <c r="M5" s="16"/>
      <c r="N5" s="16"/>
      <c r="O5" s="16"/>
      <c r="P5" s="17"/>
    </row>
  </sheetData>
  <mergeCells count="12">
    <mergeCell ref="L2:N2"/>
    <mergeCell ref="O2:P2"/>
    <mergeCell ref="A1:I1"/>
    <mergeCell ref="J1:P1"/>
    <mergeCell ref="A2:A3"/>
    <mergeCell ref="B2:B3"/>
    <mergeCell ref="C2:C3"/>
    <mergeCell ref="D2:D3"/>
    <mergeCell ref="E2:G2"/>
    <mergeCell ref="H2:I2"/>
    <mergeCell ref="J2:J3"/>
    <mergeCell ref="K2:K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I3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9" ht="31.5">
      <c r="A1" s="19" t="s">
        <v>36</v>
      </c>
      <c r="B1" s="19" t="s">
        <v>46</v>
      </c>
      <c r="C1" s="19" t="s">
        <v>37</v>
      </c>
      <c r="D1" s="25" t="s">
        <v>38</v>
      </c>
      <c r="E1" s="25" t="s">
        <v>39</v>
      </c>
      <c r="F1" s="19" t="s">
        <v>40</v>
      </c>
      <c r="G1" s="21" t="s">
        <v>41</v>
      </c>
      <c r="H1" s="21" t="s">
        <v>42</v>
      </c>
      <c r="I1" s="21" t="s">
        <v>43</v>
      </c>
    </row>
    <row r="2" spans="1:9">
      <c r="A2" s="22" t="s">
        <v>7</v>
      </c>
      <c r="B2" s="22" t="s">
        <v>8</v>
      </c>
      <c r="C2" s="22" t="s">
        <v>9</v>
      </c>
      <c r="D2" s="22" t="s">
        <v>10</v>
      </c>
      <c r="E2" s="22" t="s">
        <v>11</v>
      </c>
      <c r="F2" s="22" t="s">
        <v>12</v>
      </c>
      <c r="G2" s="23" t="s">
        <v>13</v>
      </c>
      <c r="H2" s="23" t="s">
        <v>14</v>
      </c>
      <c r="I2" s="23" t="s">
        <v>15</v>
      </c>
    </row>
    <row r="3" spans="1:9">
      <c r="A3" s="1" t="s">
        <v>44</v>
      </c>
      <c r="B3" s="27"/>
      <c r="C3" s="27"/>
      <c r="D3" s="28"/>
      <c r="E3" s="27"/>
      <c r="F3" s="27"/>
      <c r="G3" s="24"/>
      <c r="H3" s="29"/>
      <c r="I3" s="29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4"/>
  <sheetViews>
    <sheetView workbookViewId="0">
      <selection activeCell="A4" sqref="A4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31.5" customHeight="1">
      <c r="A1" s="112" t="s">
        <v>60</v>
      </c>
      <c r="B1" s="112"/>
      <c r="C1" s="112"/>
      <c r="D1" s="112"/>
      <c r="E1" s="112" t="s">
        <v>59</v>
      </c>
      <c r="F1" s="112"/>
      <c r="G1" s="112"/>
      <c r="H1" s="112"/>
      <c r="I1" s="112"/>
      <c r="J1" s="112"/>
      <c r="K1" s="134" t="s">
        <v>53</v>
      </c>
      <c r="L1" s="134" t="s">
        <v>54</v>
      </c>
      <c r="M1" s="134" t="s">
        <v>39</v>
      </c>
      <c r="N1" s="134" t="s">
        <v>55</v>
      </c>
      <c r="O1" s="112" t="s">
        <v>61</v>
      </c>
      <c r="P1" s="112"/>
      <c r="Q1" s="112"/>
      <c r="R1" s="112"/>
    </row>
    <row r="2" spans="1:18" ht="31.5">
      <c r="A2" s="19" t="s">
        <v>52</v>
      </c>
      <c r="B2" s="19" t="s">
        <v>58</v>
      </c>
      <c r="C2" s="19" t="s">
        <v>48</v>
      </c>
      <c r="D2" s="19" t="s">
        <v>62</v>
      </c>
      <c r="E2" s="19" t="s">
        <v>51</v>
      </c>
      <c r="F2" s="19" t="s">
        <v>52</v>
      </c>
      <c r="G2" s="19" t="s">
        <v>48</v>
      </c>
      <c r="H2" s="19" t="s">
        <v>62</v>
      </c>
      <c r="I2" s="19" t="s">
        <v>56</v>
      </c>
      <c r="J2" s="19" t="s">
        <v>57</v>
      </c>
      <c r="K2" s="134"/>
      <c r="L2" s="134"/>
      <c r="M2" s="134"/>
      <c r="N2" s="134"/>
      <c r="O2" s="19" t="s">
        <v>63</v>
      </c>
      <c r="P2" s="19" t="s">
        <v>64</v>
      </c>
      <c r="Q2" s="19" t="s">
        <v>65</v>
      </c>
      <c r="R2" s="19" t="s">
        <v>66</v>
      </c>
    </row>
    <row r="3" spans="1:18" ht="15" customHeight="1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2" t="s">
        <v>13</v>
      </c>
      <c r="H3" s="22" t="s">
        <v>14</v>
      </c>
      <c r="I3" s="22" t="s">
        <v>15</v>
      </c>
      <c r="J3" s="22" t="s">
        <v>16</v>
      </c>
      <c r="K3" s="22" t="s">
        <v>17</v>
      </c>
      <c r="L3" s="22" t="s">
        <v>18</v>
      </c>
      <c r="M3" s="22" t="s">
        <v>19</v>
      </c>
      <c r="N3" s="22" t="s">
        <v>20</v>
      </c>
      <c r="O3" s="22" t="s">
        <v>21</v>
      </c>
      <c r="P3" s="22" t="s">
        <v>24</v>
      </c>
      <c r="Q3" s="22" t="s">
        <v>49</v>
      </c>
      <c r="R3" s="22" t="s">
        <v>50</v>
      </c>
    </row>
    <row r="4" spans="1:18">
      <c r="A4" s="30" t="s">
        <v>67</v>
      </c>
      <c r="B4" s="30"/>
      <c r="C4" s="1"/>
      <c r="D4" s="27"/>
      <c r="E4" s="30"/>
      <c r="F4" s="30"/>
      <c r="G4" s="1"/>
      <c r="H4" s="27"/>
      <c r="I4" s="24"/>
      <c r="J4" s="24"/>
      <c r="K4" s="30"/>
      <c r="L4" s="30"/>
      <c r="M4" s="30"/>
      <c r="N4" s="30"/>
      <c r="O4" s="30"/>
      <c r="P4" s="29"/>
      <c r="Q4" s="29"/>
      <c r="R4" s="29"/>
    </row>
  </sheetData>
  <mergeCells count="7">
    <mergeCell ref="O1:R1"/>
    <mergeCell ref="A1:D1"/>
    <mergeCell ref="E1:J1"/>
    <mergeCell ref="K1:K2"/>
    <mergeCell ref="L1:L2"/>
    <mergeCell ref="M1:M2"/>
    <mergeCell ref="N1:N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ettings"/>
  <dimension ref="A1:AZ21"/>
  <sheetViews>
    <sheetView workbookViewId="0">
      <selection activeCell="E7" sqref="E7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23" customWidth="1"/>
    <col min="11" max="11" width="7.5703125" customWidth="1"/>
    <col min="12" max="13" width="30.7109375" bestFit="1" customWidth="1"/>
    <col min="14" max="14" width="32.42578125" bestFit="1" customWidth="1"/>
    <col min="15" max="16" width="16.7109375" customWidth="1"/>
    <col min="17" max="17" width="13.85546875" customWidth="1"/>
    <col min="18" max="18" width="7.5703125" customWidth="1"/>
    <col min="19" max="19" width="23" customWidth="1"/>
    <col min="20" max="20" width="30.7109375" bestFit="1" customWidth="1"/>
    <col min="21" max="21" width="7.5703125" customWidth="1"/>
    <col min="22" max="22" width="19.7109375" bestFit="1" customWidth="1"/>
    <col min="23" max="25" width="17.85546875" customWidth="1"/>
    <col min="26" max="26" width="34" bestFit="1" customWidth="1"/>
    <col min="27" max="27" width="7.5703125" customWidth="1"/>
    <col min="28" max="28" width="19.7109375" bestFit="1" customWidth="1"/>
    <col min="29" max="29" width="14.140625" bestFit="1" customWidth="1"/>
    <col min="30" max="30" width="11.28515625" customWidth="1"/>
    <col min="31" max="31" width="11.85546875" bestFit="1" customWidth="1"/>
    <col min="32" max="34" width="13.7109375" customWidth="1"/>
    <col min="35" max="35" width="7.5703125" customWidth="1"/>
    <col min="36" max="36" width="11.85546875" bestFit="1" customWidth="1"/>
    <col min="37" max="37" width="7.5703125" customWidth="1"/>
    <col min="38" max="38" width="13.140625" bestFit="1" customWidth="1"/>
    <col min="39" max="39" width="7.5703125" customWidth="1"/>
    <col min="40" max="40" width="12.140625" bestFit="1" customWidth="1"/>
    <col min="41" max="41" width="7.5703125" customWidth="1"/>
    <col min="42" max="42" width="13.7109375" bestFit="1" customWidth="1"/>
    <col min="43" max="43" width="7.5703125" customWidth="1"/>
    <col min="44" max="44" width="14" bestFit="1" customWidth="1"/>
    <col min="45" max="45" width="7.5703125" customWidth="1"/>
    <col min="46" max="46" width="12.140625" bestFit="1" customWidth="1"/>
    <col min="47" max="47" width="7.5703125" customWidth="1"/>
    <col min="48" max="48" width="13.5703125" customWidth="1"/>
    <col min="49" max="49" width="7.5703125" customWidth="1"/>
    <col min="52" max="52" width="11.28515625" bestFit="1" customWidth="1"/>
  </cols>
  <sheetData>
    <row r="1" spans="1:52" ht="29.25" customHeight="1">
      <c r="A1" s="136" t="s">
        <v>118</v>
      </c>
      <c r="B1" s="136"/>
      <c r="D1" s="135" t="s">
        <v>119</v>
      </c>
      <c r="E1" s="135"/>
      <c r="G1" s="135" t="s">
        <v>114</v>
      </c>
      <c r="H1" s="135"/>
      <c r="I1" s="135"/>
      <c r="J1" s="135"/>
      <c r="L1" s="135" t="s">
        <v>109</v>
      </c>
      <c r="M1" s="135"/>
      <c r="N1" s="135"/>
      <c r="O1" s="135"/>
      <c r="P1" s="135"/>
      <c r="Q1" s="135"/>
      <c r="S1" s="135" t="s">
        <v>115</v>
      </c>
      <c r="T1" s="135"/>
      <c r="V1" s="135" t="s">
        <v>106</v>
      </c>
      <c r="W1" s="135"/>
      <c r="X1" s="135"/>
      <c r="Y1" s="135"/>
      <c r="Z1" s="135"/>
      <c r="AB1" s="135" t="s">
        <v>146</v>
      </c>
      <c r="AC1" s="135"/>
      <c r="AD1" s="135"/>
      <c r="AE1" s="135"/>
      <c r="AF1" s="135"/>
      <c r="AG1" s="135"/>
      <c r="AH1" s="135"/>
      <c r="AJ1" s="38" t="s">
        <v>132</v>
      </c>
      <c r="AL1" s="38" t="s">
        <v>134</v>
      </c>
      <c r="AN1" s="38" t="s">
        <v>136</v>
      </c>
      <c r="AP1" s="38" t="s">
        <v>145</v>
      </c>
      <c r="AR1" s="38" t="s">
        <v>154</v>
      </c>
      <c r="AT1" s="38" t="s">
        <v>155</v>
      </c>
      <c r="AV1" s="38" t="s">
        <v>147</v>
      </c>
      <c r="AX1" s="38" t="s">
        <v>160</v>
      </c>
      <c r="AZ1" s="38" t="s">
        <v>172</v>
      </c>
    </row>
    <row r="2" spans="1:52">
      <c r="A2" s="6" t="s">
        <v>139</v>
      </c>
      <c r="B2" s="6" t="s">
        <v>117</v>
      </c>
      <c r="D2" t="s">
        <v>110</v>
      </c>
      <c r="E2" t="s">
        <v>124</v>
      </c>
      <c r="G2" t="s">
        <v>110</v>
      </c>
      <c r="H2" t="s">
        <v>126</v>
      </c>
      <c r="I2" t="s">
        <v>113</v>
      </c>
      <c r="J2" t="s">
        <v>172</v>
      </c>
      <c r="L2" t="s">
        <v>110</v>
      </c>
      <c r="M2" t="s">
        <v>32</v>
      </c>
      <c r="N2" t="s">
        <v>98</v>
      </c>
      <c r="O2" t="s">
        <v>133</v>
      </c>
      <c r="P2" t="s">
        <v>128</v>
      </c>
      <c r="Q2" t="s">
        <v>120</v>
      </c>
      <c r="S2" t="s">
        <v>110</v>
      </c>
      <c r="T2" t="s">
        <v>116</v>
      </c>
      <c r="V2" t="s">
        <v>110</v>
      </c>
      <c r="W2" t="s">
        <v>126</v>
      </c>
      <c r="X2" t="s">
        <v>142</v>
      </c>
      <c r="Y2" t="s">
        <v>148</v>
      </c>
      <c r="Z2" t="s">
        <v>130</v>
      </c>
      <c r="AB2" t="s">
        <v>128</v>
      </c>
      <c r="AC2" t="s">
        <v>156</v>
      </c>
      <c r="AD2" t="s">
        <v>147</v>
      </c>
      <c r="AE2" t="s">
        <v>157</v>
      </c>
      <c r="AF2" t="s">
        <v>158</v>
      </c>
      <c r="AG2" t="s">
        <v>163</v>
      </c>
      <c r="AH2" t="s">
        <v>171</v>
      </c>
      <c r="AJ2" t="s">
        <v>110</v>
      </c>
      <c r="AL2" t="s">
        <v>110</v>
      </c>
      <c r="AN2" t="s">
        <v>110</v>
      </c>
      <c r="AP2" t="s">
        <v>110</v>
      </c>
      <c r="AR2" t="s">
        <v>110</v>
      </c>
      <c r="AT2" t="s">
        <v>110</v>
      </c>
      <c r="AV2" t="s">
        <v>110</v>
      </c>
      <c r="AX2" t="s">
        <v>110</v>
      </c>
      <c r="AZ2" t="s">
        <v>110</v>
      </c>
    </row>
    <row r="3" spans="1:52">
      <c r="A3" s="6" t="s">
        <v>188</v>
      </c>
      <c r="B3" s="6" t="s">
        <v>189</v>
      </c>
      <c r="D3" t="s">
        <v>26</v>
      </c>
      <c r="E3" t="s">
        <v>28</v>
      </c>
      <c r="G3" t="s">
        <v>28</v>
      </c>
      <c r="H3" t="s">
        <v>107</v>
      </c>
      <c r="I3" t="s">
        <v>28</v>
      </c>
      <c r="L3" t="s">
        <v>28</v>
      </c>
      <c r="M3" t="s">
        <v>28</v>
      </c>
      <c r="N3" t="s">
        <v>26</v>
      </c>
      <c r="O3" t="s">
        <v>131</v>
      </c>
      <c r="P3" t="s">
        <v>129</v>
      </c>
      <c r="Q3" t="s">
        <v>137</v>
      </c>
      <c r="S3" t="s">
        <v>122</v>
      </c>
      <c r="T3" t="s">
        <v>140</v>
      </c>
      <c r="V3" s="6" t="s">
        <v>179</v>
      </c>
      <c r="W3" t="s">
        <v>127</v>
      </c>
      <c r="X3" t="s">
        <v>144</v>
      </c>
      <c r="Z3" t="s">
        <v>181</v>
      </c>
      <c r="AB3" s="6" t="s">
        <v>129</v>
      </c>
      <c r="AC3" t="s">
        <v>166</v>
      </c>
      <c r="AD3" t="s">
        <v>150</v>
      </c>
      <c r="AG3">
        <v>2000</v>
      </c>
      <c r="AH3" t="s">
        <v>144</v>
      </c>
      <c r="AJ3" s="36" t="s">
        <v>107</v>
      </c>
      <c r="AL3" t="s">
        <v>131</v>
      </c>
      <c r="AN3" t="s">
        <v>137</v>
      </c>
      <c r="AP3" t="s">
        <v>127</v>
      </c>
      <c r="AR3" t="s">
        <v>153</v>
      </c>
      <c r="AT3" t="s">
        <v>149</v>
      </c>
      <c r="AV3" t="s">
        <v>151</v>
      </c>
      <c r="AX3" t="s">
        <v>144</v>
      </c>
      <c r="AZ3" t="s">
        <v>173</v>
      </c>
    </row>
    <row r="4" spans="1:52">
      <c r="A4" s="7" t="s">
        <v>104</v>
      </c>
      <c r="B4" s="7" t="s">
        <v>25</v>
      </c>
      <c r="D4" t="s">
        <v>35</v>
      </c>
      <c r="E4" t="s">
        <v>34</v>
      </c>
      <c r="G4" t="s">
        <v>34</v>
      </c>
      <c r="H4" t="s">
        <v>107</v>
      </c>
      <c r="I4" t="s">
        <v>34</v>
      </c>
      <c r="L4" t="s">
        <v>34</v>
      </c>
      <c r="M4" t="s">
        <v>34</v>
      </c>
      <c r="N4" t="s">
        <v>35</v>
      </c>
      <c r="O4" t="s">
        <v>131</v>
      </c>
      <c r="P4" t="s">
        <v>129</v>
      </c>
      <c r="Q4" t="s">
        <v>137</v>
      </c>
      <c r="S4" t="s">
        <v>122</v>
      </c>
      <c r="T4" s="6" t="s">
        <v>201</v>
      </c>
      <c r="V4" s="6" t="s">
        <v>129</v>
      </c>
      <c r="W4" t="s">
        <v>165</v>
      </c>
      <c r="X4" t="s">
        <v>144</v>
      </c>
      <c r="Y4" t="s">
        <v>149</v>
      </c>
      <c r="Z4" s="6" t="s">
        <v>164</v>
      </c>
      <c r="AA4" s="6"/>
      <c r="AB4" s="46" t="s">
        <v>129</v>
      </c>
      <c r="AC4" s="6" t="s">
        <v>159</v>
      </c>
      <c r="AD4" s="6" t="s">
        <v>151</v>
      </c>
      <c r="AE4" s="6" t="s">
        <v>152</v>
      </c>
      <c r="AF4" s="6" t="s">
        <v>144</v>
      </c>
      <c r="AG4" s="6">
        <v>40</v>
      </c>
      <c r="AH4" s="6" t="s">
        <v>143</v>
      </c>
      <c r="AJ4" s="37" t="s">
        <v>108</v>
      </c>
      <c r="AL4" t="s">
        <v>135</v>
      </c>
      <c r="AN4" t="s">
        <v>121</v>
      </c>
      <c r="AP4" t="s">
        <v>165</v>
      </c>
      <c r="AV4" t="s">
        <v>150</v>
      </c>
      <c r="AX4" t="s">
        <v>143</v>
      </c>
    </row>
    <row r="5" spans="1:52">
      <c r="A5" s="7" t="s">
        <v>105</v>
      </c>
      <c r="B5" s="7" t="s">
        <v>27</v>
      </c>
      <c r="D5" t="s">
        <v>45</v>
      </c>
      <c r="E5" t="s">
        <v>44</v>
      </c>
      <c r="G5" t="s">
        <v>44</v>
      </c>
      <c r="H5" t="s">
        <v>107</v>
      </c>
      <c r="I5" t="s">
        <v>44</v>
      </c>
      <c r="L5" t="s">
        <v>44</v>
      </c>
      <c r="M5" t="s">
        <v>44</v>
      </c>
      <c r="N5" t="s">
        <v>45</v>
      </c>
      <c r="O5" t="s">
        <v>131</v>
      </c>
      <c r="P5" t="s">
        <v>129</v>
      </c>
      <c r="Q5" t="s">
        <v>137</v>
      </c>
      <c r="S5" t="s">
        <v>122</v>
      </c>
      <c r="T5" s="6" t="s">
        <v>202</v>
      </c>
      <c r="V5" s="6" t="s">
        <v>169</v>
      </c>
      <c r="W5" t="s">
        <v>127</v>
      </c>
      <c r="X5" s="6" t="s">
        <v>143</v>
      </c>
      <c r="Y5" s="6"/>
      <c r="Z5" s="6" t="s">
        <v>170</v>
      </c>
      <c r="AB5" s="46" t="s">
        <v>129</v>
      </c>
      <c r="AC5" s="6" t="s">
        <v>167</v>
      </c>
      <c r="AD5" s="6" t="s">
        <v>151</v>
      </c>
      <c r="AE5" s="6" t="s">
        <v>161</v>
      </c>
      <c r="AF5" s="6" t="s">
        <v>144</v>
      </c>
      <c r="AG5" s="6">
        <v>20</v>
      </c>
      <c r="AH5" s="6" t="s">
        <v>143</v>
      </c>
    </row>
    <row r="6" spans="1:52">
      <c r="A6" s="6" t="s">
        <v>125</v>
      </c>
      <c r="B6" s="6" t="str">
        <f>VLOOKUP(ReportSelected,Menu[],2,FALSE)</f>
        <v>ndfl6</v>
      </c>
      <c r="D6" t="s">
        <v>68</v>
      </c>
      <c r="E6" t="s">
        <v>67</v>
      </c>
      <c r="G6" t="s">
        <v>67</v>
      </c>
      <c r="H6" t="s">
        <v>107</v>
      </c>
      <c r="I6" t="s">
        <v>67</v>
      </c>
      <c r="L6" t="s">
        <v>67</v>
      </c>
      <c r="M6" t="s">
        <v>67</v>
      </c>
      <c r="N6" t="s">
        <v>68</v>
      </c>
      <c r="O6" t="s">
        <v>131</v>
      </c>
      <c r="P6" t="s">
        <v>129</v>
      </c>
      <c r="Q6" t="s">
        <v>137</v>
      </c>
      <c r="S6" s="6" t="s">
        <v>78</v>
      </c>
      <c r="T6" s="6" t="s">
        <v>141</v>
      </c>
      <c r="V6" s="6" t="s">
        <v>174</v>
      </c>
      <c r="W6" t="s">
        <v>127</v>
      </c>
      <c r="X6" t="s">
        <v>143</v>
      </c>
      <c r="Y6" s="6"/>
      <c r="Z6" t="s">
        <v>175</v>
      </c>
      <c r="AB6" s="46" t="s">
        <v>129</v>
      </c>
      <c r="AC6" s="6" t="s">
        <v>168</v>
      </c>
      <c r="AD6" s="6" t="s">
        <v>151</v>
      </c>
      <c r="AE6" s="6" t="s">
        <v>162</v>
      </c>
      <c r="AF6" s="6" t="s">
        <v>144</v>
      </c>
      <c r="AG6" s="6">
        <v>20</v>
      </c>
      <c r="AH6" s="6" t="s">
        <v>143</v>
      </c>
    </row>
    <row r="7" spans="1:52">
      <c r="A7" s="39" t="s">
        <v>152</v>
      </c>
      <c r="B7" s="6" t="s">
        <v>202</v>
      </c>
      <c r="D7" t="s">
        <v>192</v>
      </c>
      <c r="E7" s="6" t="s">
        <v>190</v>
      </c>
      <c r="G7" t="s">
        <v>122</v>
      </c>
      <c r="H7" t="s">
        <v>107</v>
      </c>
      <c r="I7" t="s">
        <v>122</v>
      </c>
      <c r="L7" t="s">
        <v>122</v>
      </c>
      <c r="M7" t="s">
        <v>122</v>
      </c>
      <c r="N7" t="s">
        <v>77</v>
      </c>
      <c r="O7" t="s">
        <v>131</v>
      </c>
      <c r="Q7" t="s">
        <v>121</v>
      </c>
      <c r="S7" s="6" t="s">
        <v>78</v>
      </c>
      <c r="T7" s="6" t="s">
        <v>223</v>
      </c>
      <c r="V7" s="6" t="s">
        <v>180</v>
      </c>
      <c r="W7" t="s">
        <v>165</v>
      </c>
      <c r="X7" t="s">
        <v>144</v>
      </c>
      <c r="Y7" s="6"/>
      <c r="Z7" s="6" t="s">
        <v>177</v>
      </c>
      <c r="AB7" s="46" t="s">
        <v>169</v>
      </c>
      <c r="AC7" s="6" t="s">
        <v>159</v>
      </c>
      <c r="AD7" s="6" t="s">
        <v>151</v>
      </c>
      <c r="AE7" s="6" t="s">
        <v>152</v>
      </c>
      <c r="AF7" s="6" t="s">
        <v>144</v>
      </c>
      <c r="AG7" s="6">
        <v>40</v>
      </c>
      <c r="AH7" s="6" t="s">
        <v>143</v>
      </c>
    </row>
    <row r="8" spans="1:52">
      <c r="A8" s="6"/>
      <c r="B8" s="6"/>
      <c r="D8" s="6" t="s">
        <v>283</v>
      </c>
      <c r="E8" s="6" t="s">
        <v>284</v>
      </c>
      <c r="G8" t="s">
        <v>78</v>
      </c>
      <c r="H8" t="s">
        <v>107</v>
      </c>
      <c r="I8" t="s">
        <v>78</v>
      </c>
      <c r="L8" t="s">
        <v>78</v>
      </c>
      <c r="M8" t="s">
        <v>78</v>
      </c>
      <c r="N8" t="s">
        <v>79</v>
      </c>
      <c r="O8" t="s">
        <v>131</v>
      </c>
      <c r="Q8" t="s">
        <v>121</v>
      </c>
      <c r="S8" s="6" t="s">
        <v>78</v>
      </c>
      <c r="T8" s="6" t="s">
        <v>224</v>
      </c>
      <c r="V8" s="6" t="s">
        <v>190</v>
      </c>
      <c r="W8" t="s">
        <v>165</v>
      </c>
      <c r="X8" t="s">
        <v>144</v>
      </c>
      <c r="Y8" s="6"/>
      <c r="Z8" s="6" t="s">
        <v>191</v>
      </c>
      <c r="AB8" s="47" t="s">
        <v>169</v>
      </c>
      <c r="AC8" s="6" t="s">
        <v>167</v>
      </c>
      <c r="AD8" s="6" t="s">
        <v>151</v>
      </c>
      <c r="AE8" s="6" t="s">
        <v>161</v>
      </c>
      <c r="AF8" s="6" t="s">
        <v>144</v>
      </c>
      <c r="AG8" s="6">
        <v>20</v>
      </c>
      <c r="AH8" s="6" t="s">
        <v>143</v>
      </c>
    </row>
    <row r="9" spans="1:52">
      <c r="A9" s="6"/>
      <c r="B9" s="6"/>
      <c r="D9" s="6" t="s">
        <v>238</v>
      </c>
      <c r="E9" t="s">
        <v>239</v>
      </c>
      <c r="G9" t="s">
        <v>111</v>
      </c>
      <c r="H9" t="s">
        <v>107</v>
      </c>
      <c r="I9" t="s">
        <v>186</v>
      </c>
      <c r="J9" t="s">
        <v>173</v>
      </c>
      <c r="L9" t="s">
        <v>187</v>
      </c>
      <c r="M9" t="s">
        <v>185</v>
      </c>
      <c r="N9" t="s">
        <v>99</v>
      </c>
      <c r="O9" t="s">
        <v>131</v>
      </c>
      <c r="P9" t="s">
        <v>129</v>
      </c>
      <c r="Q9" t="s">
        <v>137</v>
      </c>
      <c r="S9" s="6" t="s">
        <v>78</v>
      </c>
      <c r="T9" s="6" t="s">
        <v>228</v>
      </c>
      <c r="AB9" s="47" t="s">
        <v>169</v>
      </c>
      <c r="AC9" s="6" t="s">
        <v>168</v>
      </c>
      <c r="AD9" s="6" t="s">
        <v>151</v>
      </c>
      <c r="AE9" s="6" t="s">
        <v>162</v>
      </c>
      <c r="AF9" s="6" t="s">
        <v>144</v>
      </c>
      <c r="AG9" s="6">
        <v>20</v>
      </c>
      <c r="AH9" s="6" t="s">
        <v>143</v>
      </c>
    </row>
    <row r="10" spans="1:52">
      <c r="A10" s="6"/>
      <c r="B10" s="6"/>
      <c r="D10" t="s">
        <v>77</v>
      </c>
      <c r="E10" t="s">
        <v>122</v>
      </c>
      <c r="G10" t="s">
        <v>111</v>
      </c>
      <c r="H10" t="s">
        <v>108</v>
      </c>
      <c r="I10" t="s">
        <v>174</v>
      </c>
      <c r="L10" t="s">
        <v>186</v>
      </c>
      <c r="M10" t="s">
        <v>97</v>
      </c>
      <c r="N10" t="s">
        <v>99</v>
      </c>
      <c r="O10" t="s">
        <v>131</v>
      </c>
      <c r="P10" s="6"/>
      <c r="Q10" t="s">
        <v>137</v>
      </c>
      <c r="S10" s="6" t="s">
        <v>78</v>
      </c>
      <c r="T10" s="6" t="s">
        <v>230</v>
      </c>
      <c r="AB10" s="6" t="s">
        <v>180</v>
      </c>
      <c r="AC10" t="s">
        <v>166</v>
      </c>
      <c r="AD10" t="s">
        <v>150</v>
      </c>
      <c r="AG10">
        <v>2000</v>
      </c>
      <c r="AH10" t="s">
        <v>144</v>
      </c>
    </row>
    <row r="11" spans="1:52">
      <c r="A11" s="6"/>
      <c r="B11" s="6"/>
      <c r="D11" t="s">
        <v>79</v>
      </c>
      <c r="E11" t="s">
        <v>78</v>
      </c>
      <c r="G11" t="s">
        <v>176</v>
      </c>
      <c r="H11" t="s">
        <v>108</v>
      </c>
      <c r="I11" t="s">
        <v>179</v>
      </c>
      <c r="L11" s="6" t="s">
        <v>201</v>
      </c>
      <c r="M11" s="6" t="s">
        <v>203</v>
      </c>
      <c r="N11" s="6" t="s">
        <v>201</v>
      </c>
      <c r="O11" t="s">
        <v>131</v>
      </c>
      <c r="P11" t="s">
        <v>129</v>
      </c>
      <c r="Q11" t="s">
        <v>137</v>
      </c>
      <c r="S11" s="6" t="s">
        <v>281</v>
      </c>
      <c r="T11" s="6" t="s">
        <v>250</v>
      </c>
      <c r="AB11" s="6" t="s">
        <v>180</v>
      </c>
      <c r="AC11" s="6" t="s">
        <v>178</v>
      </c>
      <c r="AD11" s="6" t="s">
        <v>151</v>
      </c>
      <c r="AE11" s="6" t="s">
        <v>162</v>
      </c>
      <c r="AF11" s="6" t="s">
        <v>144</v>
      </c>
      <c r="AG11" s="6">
        <v>20</v>
      </c>
      <c r="AH11" s="6" t="s">
        <v>143</v>
      </c>
    </row>
    <row r="12" spans="1:52">
      <c r="A12" s="6"/>
      <c r="B12" s="6"/>
      <c r="D12" s="6" t="s">
        <v>280</v>
      </c>
      <c r="E12" s="6" t="s">
        <v>281</v>
      </c>
      <c r="G12" t="s">
        <v>176</v>
      </c>
      <c r="H12" t="s">
        <v>108</v>
      </c>
      <c r="I12" t="s">
        <v>180</v>
      </c>
      <c r="L12" s="6" t="s">
        <v>202</v>
      </c>
      <c r="M12" s="6" t="s">
        <v>203</v>
      </c>
      <c r="N12" s="6" t="s">
        <v>202</v>
      </c>
      <c r="O12" t="s">
        <v>131</v>
      </c>
      <c r="P12" t="s">
        <v>129</v>
      </c>
      <c r="Q12" t="s">
        <v>137</v>
      </c>
      <c r="S12" s="6"/>
      <c r="AB12" s="47" t="s">
        <v>190</v>
      </c>
      <c r="AC12" t="s">
        <v>166</v>
      </c>
      <c r="AD12" t="s">
        <v>150</v>
      </c>
      <c r="AG12">
        <v>2000</v>
      </c>
      <c r="AH12" t="s">
        <v>144</v>
      </c>
    </row>
    <row r="13" spans="1:52">
      <c r="D13" t="s">
        <v>123</v>
      </c>
      <c r="E13" t="s">
        <v>111</v>
      </c>
      <c r="G13" t="s">
        <v>176</v>
      </c>
      <c r="H13" t="s">
        <v>107</v>
      </c>
      <c r="I13" t="s">
        <v>187</v>
      </c>
      <c r="L13" t="s">
        <v>140</v>
      </c>
      <c r="M13" s="6" t="s">
        <v>203</v>
      </c>
      <c r="N13" t="s">
        <v>140</v>
      </c>
      <c r="O13" t="s">
        <v>131</v>
      </c>
      <c r="P13" t="s">
        <v>129</v>
      </c>
      <c r="Q13" t="s">
        <v>137</v>
      </c>
      <c r="AB13" s="47" t="s">
        <v>190</v>
      </c>
      <c r="AC13" s="6" t="s">
        <v>168</v>
      </c>
      <c r="AD13" s="6" t="s">
        <v>151</v>
      </c>
      <c r="AE13" s="6" t="s">
        <v>162</v>
      </c>
      <c r="AF13" s="6" t="s">
        <v>144</v>
      </c>
      <c r="AG13" s="6">
        <v>20</v>
      </c>
      <c r="AH13" s="6" t="s">
        <v>143</v>
      </c>
    </row>
    <row r="14" spans="1:52">
      <c r="D14" t="s">
        <v>96</v>
      </c>
      <c r="E14" t="s">
        <v>112</v>
      </c>
      <c r="G14" t="s">
        <v>112</v>
      </c>
      <c r="H14" t="s">
        <v>107</v>
      </c>
      <c r="I14" t="s">
        <v>187</v>
      </c>
      <c r="L14" t="s">
        <v>141</v>
      </c>
      <c r="M14" s="6" t="s">
        <v>203</v>
      </c>
      <c r="N14" s="6" t="s">
        <v>141</v>
      </c>
      <c r="O14" t="s">
        <v>131</v>
      </c>
      <c r="P14" t="s">
        <v>129</v>
      </c>
      <c r="Q14" t="s">
        <v>137</v>
      </c>
    </row>
    <row r="15" spans="1:52">
      <c r="D15" s="6"/>
      <c r="G15" s="6" t="s">
        <v>190</v>
      </c>
      <c r="H15" t="s">
        <v>108</v>
      </c>
      <c r="I15" s="6" t="s">
        <v>190</v>
      </c>
      <c r="J15" s="6"/>
      <c r="L15" s="6" t="s">
        <v>223</v>
      </c>
      <c r="M15" s="6" t="s">
        <v>203</v>
      </c>
      <c r="N15" s="6" t="s">
        <v>223</v>
      </c>
      <c r="O15" t="s">
        <v>131</v>
      </c>
      <c r="P15" t="s">
        <v>129</v>
      </c>
      <c r="Q15" t="s">
        <v>137</v>
      </c>
    </row>
    <row r="16" spans="1:52">
      <c r="G16" s="6" t="s">
        <v>239</v>
      </c>
      <c r="H16" t="s">
        <v>107</v>
      </c>
      <c r="I16" t="s">
        <v>78</v>
      </c>
      <c r="J16" s="6"/>
      <c r="L16" s="6" t="s">
        <v>224</v>
      </c>
      <c r="M16" s="6" t="s">
        <v>203</v>
      </c>
      <c r="N16" s="6" t="s">
        <v>224</v>
      </c>
      <c r="O16" t="s">
        <v>131</v>
      </c>
      <c r="P16" t="s">
        <v>129</v>
      </c>
      <c r="Q16" t="s">
        <v>137</v>
      </c>
    </row>
    <row r="17" spans="7:17">
      <c r="G17" s="6" t="s">
        <v>239</v>
      </c>
      <c r="H17" t="s">
        <v>107</v>
      </c>
      <c r="I17" s="6" t="s">
        <v>122</v>
      </c>
      <c r="J17" s="6"/>
      <c r="L17" s="6" t="s">
        <v>228</v>
      </c>
      <c r="M17" s="6" t="s">
        <v>203</v>
      </c>
      <c r="N17" s="6" t="s">
        <v>228</v>
      </c>
      <c r="O17" t="s">
        <v>131</v>
      </c>
      <c r="P17" t="s">
        <v>129</v>
      </c>
      <c r="Q17" t="s">
        <v>137</v>
      </c>
    </row>
    <row r="18" spans="7:17">
      <c r="G18" s="6" t="s">
        <v>281</v>
      </c>
      <c r="H18" t="s">
        <v>107</v>
      </c>
      <c r="I18" s="6" t="s">
        <v>281</v>
      </c>
      <c r="J18" s="6"/>
      <c r="L18" s="6" t="s">
        <v>230</v>
      </c>
      <c r="M18" s="6" t="s">
        <v>203</v>
      </c>
      <c r="N18" s="6" t="s">
        <v>230</v>
      </c>
      <c r="O18" t="s">
        <v>131</v>
      </c>
      <c r="P18" t="s">
        <v>129</v>
      </c>
      <c r="Q18" t="s">
        <v>137</v>
      </c>
    </row>
    <row r="19" spans="7:17">
      <c r="G19" s="6" t="s">
        <v>284</v>
      </c>
      <c r="H19" s="6" t="s">
        <v>107</v>
      </c>
      <c r="I19" s="6" t="s">
        <v>281</v>
      </c>
      <c r="J19" s="6"/>
      <c r="L19" s="6" t="s">
        <v>281</v>
      </c>
      <c r="M19" s="6" t="s">
        <v>281</v>
      </c>
      <c r="N19" s="6" t="s">
        <v>282</v>
      </c>
      <c r="O19" t="s">
        <v>131</v>
      </c>
      <c r="Q19" t="s">
        <v>121</v>
      </c>
    </row>
    <row r="20" spans="7:17">
      <c r="G20" s="6" t="s">
        <v>284</v>
      </c>
      <c r="H20" s="6" t="s">
        <v>107</v>
      </c>
      <c r="I20" t="s">
        <v>78</v>
      </c>
      <c r="J20" s="6"/>
      <c r="L20" s="6" t="s">
        <v>250</v>
      </c>
      <c r="M20" s="6" t="s">
        <v>203</v>
      </c>
      <c r="N20" s="6" t="s">
        <v>250</v>
      </c>
      <c r="O20" t="s">
        <v>131</v>
      </c>
      <c r="P20" t="s">
        <v>129</v>
      </c>
      <c r="Q20" t="s">
        <v>137</v>
      </c>
    </row>
    <row r="21" spans="7:17">
      <c r="G21" s="6" t="s">
        <v>284</v>
      </c>
      <c r="H21" s="6" t="s">
        <v>107</v>
      </c>
      <c r="I21" s="6" t="s">
        <v>122</v>
      </c>
      <c r="J21" s="6"/>
    </row>
  </sheetData>
  <dataConsolidate/>
  <mergeCells count="7">
    <mergeCell ref="AB1:AH1"/>
    <mergeCell ref="V1:Z1"/>
    <mergeCell ref="L1:Q1"/>
    <mergeCell ref="S1:T1"/>
    <mergeCell ref="A1:B1"/>
    <mergeCell ref="D1:E1"/>
    <mergeCell ref="G1:J1"/>
  </mergeCells>
  <dataValidations count="13">
    <dataValidation type="list" allowBlank="1" showInputMessage="1" showErrorMessage="1" sqref="AI3:AI6">
      <formula1>INDIRECT("ParamPurpose[Code]")</formula1>
    </dataValidation>
    <dataValidation type="list" allowBlank="1" showInputMessage="1" showErrorMessage="1" sqref="AD3:AD13">
      <formula1>INDIRECT("Direction[Code]")</formula1>
    </dataValidation>
    <dataValidation type="list" allowBlank="1" showInputMessage="1" showErrorMessage="1" sqref="B7 L11:L12 T4:T11 S3:S12">
      <formula1>INDIRECT("Reports[Code]")</formula1>
    </dataValidation>
    <dataValidation type="list" allowBlank="1" showInputMessage="1" showErrorMessage="1" sqref="W3:W8">
      <formula1>INDIRECT("ProgramTypes[Code]")</formula1>
    </dataValidation>
    <dataValidation type="list" allowBlank="1" showInputMessage="1" showErrorMessage="1" sqref="Y3:Y8">
      <formula1>INDIRECT("ReturnTypes[Code]")</formula1>
    </dataValidation>
    <dataValidation type="list" allowBlank="1" showInputMessage="1" showErrorMessage="1" sqref="AF3:AF13 AH3:AH13">
      <formula1>INDIRECT("YesNo[Code]")</formula1>
    </dataValidation>
    <dataValidation type="whole" allowBlank="1" showInputMessage="1" showErrorMessage="1" sqref="AG3:AG13">
      <formula1>1</formula1>
      <formula2>32767</formula2>
    </dataValidation>
    <dataValidation type="list" allowBlank="1" showInputMessage="1" showErrorMessage="1" sqref="O3:O20">
      <formula1>INDIRECT("CreateModes[Code]")</formula1>
    </dataValidation>
    <dataValidation type="list" allowBlank="1" showInputMessage="1" showErrorMessage="1" sqref="Q3:Q20">
      <formula1>INDIRECT("ReportTypes[Code]")</formula1>
    </dataValidation>
    <dataValidation type="list" allowBlank="1" showInputMessage="1" showErrorMessage="1" sqref="P3:P20">
      <formula1>INDIRECT("Programs[Code]")</formula1>
    </dataValidation>
    <dataValidation type="list" allowBlank="1" showInputMessage="1" showErrorMessage="1" sqref="E14:E15 E3:E6 E9:E11">
      <formula1>INDIRECT("Actions[Code]")</formula1>
    </dataValidation>
    <dataValidation type="list" allowBlank="1" showInputMessage="1" showErrorMessage="1" sqref="H3:H21">
      <formula1>INDIRECT("ActionTypes[Code]")</formula1>
    </dataValidation>
    <dataValidation type="list" allowBlank="1" showInputMessage="1" showErrorMessage="1" sqref="J3:J21">
      <formula1>INDIRECT("AfterAction")</formula1>
    </dataValidation>
  </dataValidations>
  <pageMargins left="0.7" right="0.7" top="0.75" bottom="0.75" header="0.3" footer="0.3"/>
  <pageSetup paperSize="9" orientation="portrait" r:id="rId1"/>
  <legacyDrawing r:id="rId2"/>
  <tableParts count="16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Reports"/>
  <dimension ref="A1:F24"/>
  <sheetViews>
    <sheetView showGridLines="0" showRowColHeaders="0" tabSelected="1" zoomScale="175" zoomScaleNormal="175" workbookViewId="0">
      <selection activeCell="C2" sqref="C2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93</v>
      </c>
      <c r="C2" s="40" t="s">
        <v>283</v>
      </c>
      <c r="D2" s="32"/>
      <c r="E2" s="32"/>
    </row>
    <row r="3" spans="1:6" ht="28.5" customHeight="1">
      <c r="A3" s="32"/>
      <c r="B3" s="31"/>
      <c r="C3" s="43" t="s">
        <v>138</v>
      </c>
      <c r="D3" s="32"/>
      <c r="E3" s="32"/>
    </row>
    <row r="4" spans="1:6">
      <c r="A4" s="32"/>
      <c r="B4" s="31" t="s">
        <v>94</v>
      </c>
      <c r="C4" s="42">
        <v>42736</v>
      </c>
      <c r="D4" s="32"/>
      <c r="E4" s="32"/>
    </row>
    <row r="5" spans="1:6">
      <c r="A5" s="32"/>
      <c r="B5" s="31" t="s">
        <v>95</v>
      </c>
      <c r="C5" s="41">
        <v>42916</v>
      </c>
      <c r="D5" s="32"/>
      <c r="E5" s="32"/>
    </row>
    <row r="6" spans="1:6">
      <c r="A6" s="32"/>
      <c r="B6" s="32"/>
      <c r="C6" s="32"/>
      <c r="D6" s="32"/>
      <c r="E6" s="32"/>
    </row>
    <row r="7" spans="1:6" ht="1.5" customHeight="1">
      <c r="A7" s="140"/>
      <c r="B7" s="140"/>
      <c r="C7" s="140"/>
      <c r="D7" s="140"/>
      <c r="E7" s="140"/>
    </row>
    <row r="8" spans="1:6" ht="51" customHeight="1">
      <c r="A8" s="45"/>
      <c r="B8" s="141" t="s">
        <v>279</v>
      </c>
      <c r="C8" s="141"/>
      <c r="D8" s="141"/>
      <c r="E8" s="45"/>
    </row>
    <row r="9" spans="1:6" s="44" customFormat="1" ht="14.25" customHeight="1">
      <c r="A9" s="140"/>
      <c r="B9" s="140"/>
      <c r="C9" s="140"/>
      <c r="D9" s="140"/>
      <c r="E9" s="140"/>
    </row>
    <row r="10" spans="1:6" hidden="1">
      <c r="A10" s="137"/>
      <c r="B10" s="138"/>
      <c r="C10" s="138"/>
      <c r="D10" s="138"/>
      <c r="E10" s="139"/>
    </row>
    <row r="11" spans="1:6" hidden="1"/>
    <row r="12" spans="1:6" hidden="1"/>
    <row r="13" spans="1:6" hidden="1"/>
    <row r="14" spans="1:6" hidden="1">
      <c r="F14" s="26" t="s">
        <v>47</v>
      </c>
    </row>
    <row r="15" spans="1:6" hidden="1"/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>
      <c r="E24" s="26" t="s">
        <v>47</v>
      </c>
    </row>
  </sheetData>
  <dataConsolidate/>
  <mergeCells count="4">
    <mergeCell ref="A10:E10"/>
    <mergeCell ref="A7:E7"/>
    <mergeCell ref="A9:E9"/>
    <mergeCell ref="B8:D8"/>
  </mergeCells>
  <dataValidations count="1">
    <dataValidation type="list" allowBlank="1" showInputMessage="1" showErrorMessage="1" sqref="C2">
      <formula1>INDIRECT("Menu[Code]")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13"/>
  <dimension ref="A1:F17"/>
  <sheetViews>
    <sheetView zoomScale="130" zoomScaleNormal="130" workbookViewId="0">
      <selection sqref="A1:E1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28.5" customHeight="1">
      <c r="A1" s="142" t="s">
        <v>193</v>
      </c>
      <c r="B1" s="142"/>
      <c r="C1" s="142"/>
      <c r="D1" s="142"/>
      <c r="E1" s="142"/>
    </row>
    <row r="2" spans="1:6" ht="19.5" customHeight="1">
      <c r="A2" s="143" t="s">
        <v>194</v>
      </c>
      <c r="B2" s="144"/>
      <c r="C2" s="144"/>
      <c r="D2" s="144"/>
      <c r="E2" s="145"/>
    </row>
    <row r="3" spans="1:6" ht="30">
      <c r="A3" s="78" t="s">
        <v>195</v>
      </c>
      <c r="B3" s="78" t="s">
        <v>69</v>
      </c>
      <c r="C3" s="78" t="s">
        <v>70</v>
      </c>
      <c r="D3" s="78" t="s">
        <v>71</v>
      </c>
      <c r="E3" s="78" t="s">
        <v>72</v>
      </c>
    </row>
    <row r="4" spans="1:6">
      <c r="A4" s="79" t="s">
        <v>196</v>
      </c>
      <c r="B4" s="77" t="s">
        <v>73</v>
      </c>
      <c r="C4" s="77" t="s">
        <v>74</v>
      </c>
      <c r="D4" s="77" t="s">
        <v>75</v>
      </c>
      <c r="E4" s="77" t="s">
        <v>76</v>
      </c>
    </row>
    <row r="5" spans="1:6">
      <c r="A5" s="80"/>
      <c r="B5" s="81">
        <v>158081</v>
      </c>
      <c r="C5" s="82">
        <v>1038801276</v>
      </c>
      <c r="D5" s="83"/>
      <c r="E5" s="84">
        <v>318799</v>
      </c>
    </row>
    <row r="6" spans="1:6">
      <c r="D6" t="s">
        <v>204</v>
      </c>
    </row>
    <row r="7" spans="1:6">
      <c r="D7" t="s">
        <v>197</v>
      </c>
    </row>
    <row r="8" spans="1:6" ht="20.25" customHeight="1">
      <c r="D8" s="135" t="s">
        <v>198</v>
      </c>
      <c r="E8" s="135"/>
    </row>
    <row r="9" spans="1:6">
      <c r="C9" s="6"/>
      <c r="D9" s="6" t="s">
        <v>275</v>
      </c>
      <c r="E9" s="56">
        <v>29120</v>
      </c>
      <c r="F9" s="6"/>
    </row>
    <row r="10" spans="1:6">
      <c r="C10" s="6"/>
      <c r="D10" s="6" t="s">
        <v>276</v>
      </c>
      <c r="E10" s="56">
        <v>62790</v>
      </c>
      <c r="F10" s="6"/>
    </row>
    <row r="11" spans="1:6">
      <c r="C11" s="56"/>
      <c r="D11" s="57" t="s">
        <v>199</v>
      </c>
      <c r="E11" s="58">
        <f>SUBTOTAL(109,ndfl6_part1_general_recalc_curr56[[#All],[Столбец2]])</f>
        <v>91910</v>
      </c>
      <c r="F11" s="6"/>
    </row>
    <row r="12" spans="1:6" ht="19.5" customHeight="1">
      <c r="C12" s="54"/>
      <c r="D12" s="135" t="s">
        <v>200</v>
      </c>
      <c r="E12" s="135"/>
    </row>
    <row r="13" spans="1:6">
      <c r="D13" s="6" t="s">
        <v>275</v>
      </c>
      <c r="E13" s="54">
        <v>131300</v>
      </c>
    </row>
    <row r="14" spans="1:6">
      <c r="D14" s="6" t="s">
        <v>276</v>
      </c>
      <c r="E14" s="54">
        <v>89505</v>
      </c>
    </row>
    <row r="15" spans="1:6">
      <c r="D15" s="6" t="s">
        <v>277</v>
      </c>
      <c r="E15" s="54">
        <v>3900</v>
      </c>
    </row>
    <row r="16" spans="1:6">
      <c r="D16" s="6" t="s">
        <v>278</v>
      </c>
      <c r="E16" s="56">
        <v>2184</v>
      </c>
    </row>
    <row r="17" spans="4:5">
      <c r="D17" s="55" t="s">
        <v>199</v>
      </c>
      <c r="E17" s="58">
        <f>SUBTOTAL(109,ndfl6_recalc_prev_year55[[#All],[Столбец2]])</f>
        <v>226889</v>
      </c>
    </row>
  </sheetData>
  <mergeCells count="4">
    <mergeCell ref="A1:E1"/>
    <mergeCell ref="A2:E2"/>
    <mergeCell ref="D8:E8"/>
    <mergeCell ref="D12:E1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11"/>
  <dimension ref="A1:H47"/>
  <sheetViews>
    <sheetView topLeftCell="A8" zoomScale="115" zoomScaleNormal="115" workbookViewId="0">
      <selection sqref="A1:H1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28.5" customHeight="1" thickBot="1">
      <c r="A1" s="147" t="s">
        <v>205</v>
      </c>
      <c r="B1" s="147"/>
      <c r="C1" s="147"/>
      <c r="D1" s="147"/>
      <c r="E1" s="147"/>
      <c r="F1" s="147"/>
      <c r="G1" s="147"/>
      <c r="H1" s="147"/>
    </row>
    <row r="2" spans="1:8" ht="30.75" thickBot="1">
      <c r="A2" s="75" t="s">
        <v>195</v>
      </c>
      <c r="B2" s="73" t="s">
        <v>80</v>
      </c>
      <c r="C2" s="73" t="s">
        <v>1</v>
      </c>
      <c r="D2" s="73" t="s">
        <v>81</v>
      </c>
      <c r="E2" s="73" t="s">
        <v>82</v>
      </c>
      <c r="F2" s="73" t="s">
        <v>83</v>
      </c>
      <c r="G2" s="73" t="s">
        <v>84</v>
      </c>
      <c r="H2" s="74" t="s">
        <v>85</v>
      </c>
    </row>
    <row r="3" spans="1:8">
      <c r="A3" s="76" t="s">
        <v>196</v>
      </c>
      <c r="B3" s="59" t="s">
        <v>86</v>
      </c>
      <c r="C3" s="59" t="s">
        <v>87</v>
      </c>
      <c r="D3" s="59" t="s">
        <v>88</v>
      </c>
      <c r="E3" s="59" t="s">
        <v>89</v>
      </c>
      <c r="F3" s="59" t="s">
        <v>90</v>
      </c>
      <c r="G3" s="59" t="s">
        <v>91</v>
      </c>
      <c r="H3" s="60" t="s">
        <v>92</v>
      </c>
    </row>
    <row r="4" spans="1:8">
      <c r="A4" s="69"/>
      <c r="B4" s="70">
        <v>13</v>
      </c>
      <c r="C4" s="71">
        <v>7989304071.1400003</v>
      </c>
      <c r="D4" s="71"/>
      <c r="E4" s="71">
        <v>39565464.359999999</v>
      </c>
      <c r="F4" s="72">
        <v>1033465911</v>
      </c>
      <c r="G4" s="72"/>
      <c r="H4" s="72"/>
    </row>
    <row r="5" spans="1:8">
      <c r="A5" s="109"/>
      <c r="B5" s="46">
        <v>30</v>
      </c>
      <c r="C5" s="110">
        <v>17325236.129999999</v>
      </c>
      <c r="D5" s="110"/>
      <c r="E5" s="110"/>
      <c r="F5" s="111">
        <v>5197600</v>
      </c>
      <c r="G5" s="111"/>
      <c r="H5" s="111"/>
    </row>
    <row r="6" spans="1:8">
      <c r="A6" s="156" t="s">
        <v>229</v>
      </c>
      <c r="B6" s="157"/>
      <c r="C6" s="158">
        <f>SUBTOTAL(109,[Столбец3])</f>
        <v>8006629307.2700005</v>
      </c>
      <c r="D6" s="158">
        <f>SUBTOTAL(109,[Столбец4])</f>
        <v>0</v>
      </c>
      <c r="E6" s="158">
        <f>SUBTOTAL(109,[Столбец5])</f>
        <v>39565464.359999999</v>
      </c>
      <c r="F6" s="159">
        <f>SUBTOTAL(109,[Столбец6])</f>
        <v>1038663511</v>
      </c>
      <c r="G6" s="159">
        <f>SUBTOTAL(109,[Столбец7])</f>
        <v>0</v>
      </c>
      <c r="H6" s="159">
        <f>SUBTOTAL(109,[Столбец8])</f>
        <v>0</v>
      </c>
    </row>
    <row r="7" spans="1:8">
      <c r="A7" t="s">
        <v>206</v>
      </c>
    </row>
    <row r="8" spans="1:8">
      <c r="A8" s="61" t="s">
        <v>207</v>
      </c>
      <c r="C8" s="54"/>
      <c r="D8" s="54"/>
      <c r="E8" s="148" t="s">
        <v>208</v>
      </c>
      <c r="F8" s="148"/>
      <c r="G8" s="148"/>
      <c r="H8" s="148"/>
    </row>
    <row r="9" spans="1:8">
      <c r="A9" s="85" t="s">
        <v>209</v>
      </c>
      <c r="B9" s="85" t="s">
        <v>210</v>
      </c>
      <c r="C9" s="85" t="s">
        <v>235</v>
      </c>
      <c r="D9" s="85" t="s">
        <v>211</v>
      </c>
      <c r="E9" s="85" t="s">
        <v>212</v>
      </c>
      <c r="F9" s="85" t="s">
        <v>213</v>
      </c>
      <c r="G9" s="85" t="s">
        <v>225</v>
      </c>
      <c r="H9" s="85" t="s">
        <v>226</v>
      </c>
    </row>
    <row r="10" spans="1:8">
      <c r="A10" s="6" t="s">
        <v>251</v>
      </c>
      <c r="B10" t="s">
        <v>7</v>
      </c>
      <c r="C10" s="54">
        <v>6749439056.29</v>
      </c>
      <c r="D10" s="54">
        <v>-361544.42</v>
      </c>
      <c r="E10">
        <v>-92610.95</v>
      </c>
      <c r="F10">
        <v>-268933.46999999997</v>
      </c>
      <c r="G10">
        <v>0</v>
      </c>
      <c r="H10">
        <v>0</v>
      </c>
    </row>
    <row r="11" spans="1:8">
      <c r="A11" s="6" t="s">
        <v>251</v>
      </c>
      <c r="B11" t="s">
        <v>8</v>
      </c>
      <c r="C11" s="54">
        <v>234519590.44999999</v>
      </c>
      <c r="D11" s="54">
        <v>-13173.47</v>
      </c>
      <c r="E11">
        <v>-6400</v>
      </c>
      <c r="F11">
        <v>-6773.47</v>
      </c>
      <c r="G11">
        <v>0</v>
      </c>
      <c r="H11">
        <v>0</v>
      </c>
    </row>
    <row r="12" spans="1:8">
      <c r="A12" s="6" t="s">
        <v>251</v>
      </c>
      <c r="B12" t="s">
        <v>9</v>
      </c>
      <c r="C12" s="54">
        <v>113788811.95999999</v>
      </c>
      <c r="D12" s="54">
        <v>0</v>
      </c>
      <c r="E12">
        <v>0</v>
      </c>
      <c r="F12">
        <v>0</v>
      </c>
      <c r="G12">
        <v>0</v>
      </c>
      <c r="H12">
        <v>0</v>
      </c>
    </row>
    <row r="13" spans="1:8">
      <c r="A13" s="6" t="s">
        <v>251</v>
      </c>
      <c r="B13" t="s">
        <v>11</v>
      </c>
      <c r="C13" s="54">
        <v>20616625.66</v>
      </c>
      <c r="D13" s="54">
        <v>0</v>
      </c>
      <c r="E13">
        <v>0</v>
      </c>
      <c r="F13">
        <v>0</v>
      </c>
      <c r="G13">
        <v>0</v>
      </c>
      <c r="H13">
        <v>0</v>
      </c>
    </row>
    <row r="14" spans="1:8">
      <c r="A14" s="6" t="s">
        <v>251</v>
      </c>
      <c r="B14" t="s">
        <v>12</v>
      </c>
      <c r="C14" s="54">
        <v>199151217.93000001</v>
      </c>
      <c r="D14" s="54">
        <v>-5328.1</v>
      </c>
      <c r="E14">
        <v>0</v>
      </c>
      <c r="F14">
        <v>-5328.1</v>
      </c>
      <c r="G14">
        <v>0</v>
      </c>
      <c r="H14">
        <v>0</v>
      </c>
    </row>
    <row r="15" spans="1:8">
      <c r="A15" s="6" t="s">
        <v>251</v>
      </c>
      <c r="B15" t="s">
        <v>13</v>
      </c>
      <c r="C15" s="54">
        <v>543227048.69000006</v>
      </c>
      <c r="D15" s="54">
        <v>0</v>
      </c>
      <c r="E15">
        <v>0</v>
      </c>
      <c r="F15">
        <v>0</v>
      </c>
      <c r="G15">
        <v>0</v>
      </c>
      <c r="H15">
        <v>0</v>
      </c>
    </row>
    <row r="16" spans="1:8">
      <c r="A16" s="6" t="s">
        <v>252</v>
      </c>
      <c r="B16" s="6" t="s">
        <v>7</v>
      </c>
      <c r="C16" s="56">
        <v>68832352.579999998</v>
      </c>
      <c r="D16" s="56">
        <v>0</v>
      </c>
      <c r="E16" s="56">
        <v>0</v>
      </c>
      <c r="F16" s="6">
        <v>0</v>
      </c>
      <c r="G16" s="6">
        <v>0</v>
      </c>
      <c r="H16" s="6">
        <v>0</v>
      </c>
    </row>
    <row r="17" spans="1:8">
      <c r="A17" s="6"/>
      <c r="C17" s="54"/>
      <c r="D17" s="54"/>
    </row>
    <row r="18" spans="1:8" ht="15.75" thickBot="1">
      <c r="C18" s="54"/>
      <c r="E18" s="149" t="s">
        <v>214</v>
      </c>
      <c r="F18" s="149"/>
      <c r="G18" s="149"/>
      <c r="H18" s="149"/>
    </row>
    <row r="19" spans="1:8">
      <c r="C19" s="54"/>
      <c r="D19" s="86"/>
      <c r="E19" s="150" t="s">
        <v>215</v>
      </c>
      <c r="F19" s="151"/>
      <c r="G19" s="152"/>
      <c r="H19" s="153" t="s">
        <v>227</v>
      </c>
    </row>
    <row r="20" spans="1:8" ht="15.75" thickBot="1">
      <c r="C20" s="90" t="s">
        <v>235</v>
      </c>
      <c r="D20" s="86" t="s">
        <v>216</v>
      </c>
      <c r="E20" s="87" t="s">
        <v>217</v>
      </c>
      <c r="F20" s="88" t="s">
        <v>218</v>
      </c>
      <c r="G20" s="89" t="s">
        <v>219</v>
      </c>
      <c r="H20" s="153"/>
    </row>
    <row r="21" spans="1:8">
      <c r="A21" s="6" t="s">
        <v>253</v>
      </c>
      <c r="B21" t="s">
        <v>8</v>
      </c>
      <c r="C21" s="54">
        <v>37195326.229999997</v>
      </c>
      <c r="D21">
        <v>37419326.229999997</v>
      </c>
      <c r="E21">
        <v>249500</v>
      </c>
      <c r="F21">
        <v>-224000</v>
      </c>
      <c r="G21">
        <v>25500</v>
      </c>
      <c r="H21">
        <v>-1010000</v>
      </c>
    </row>
    <row r="22" spans="1:8">
      <c r="A22" s="6"/>
      <c r="B22" t="s">
        <v>9</v>
      </c>
      <c r="C22" s="54">
        <v>12556685.75</v>
      </c>
      <c r="D22">
        <v>13039685.75</v>
      </c>
      <c r="E22">
        <v>488000</v>
      </c>
      <c r="F22">
        <v>-483000</v>
      </c>
      <c r="G22">
        <v>5000</v>
      </c>
      <c r="H22">
        <v>-688500</v>
      </c>
    </row>
    <row r="23" spans="1:8">
      <c r="A23" s="6"/>
      <c r="B23" t="s">
        <v>10</v>
      </c>
      <c r="C23" s="54">
        <v>5304944.7699999996</v>
      </c>
      <c r="D23">
        <v>5304944.7699999996</v>
      </c>
      <c r="E23">
        <v>0</v>
      </c>
      <c r="F23">
        <v>0</v>
      </c>
      <c r="G23">
        <v>0</v>
      </c>
      <c r="H23">
        <v>0</v>
      </c>
    </row>
    <row r="24" spans="1:8">
      <c r="A24" s="6"/>
      <c r="B24" s="6" t="s">
        <v>11</v>
      </c>
      <c r="C24" s="56">
        <v>4672410.83</v>
      </c>
      <c r="D24" s="6">
        <v>4672410.83</v>
      </c>
      <c r="E24" s="6">
        <v>0</v>
      </c>
      <c r="F24" s="6">
        <v>0</v>
      </c>
      <c r="G24" s="6">
        <v>0</v>
      </c>
      <c r="H24" s="6">
        <v>-30000</v>
      </c>
    </row>
    <row r="25" spans="1:8">
      <c r="C25" s="62">
        <f>SUM(Таблица3051[Столбец1])+SUM(Таблица3152[Столбец3])</f>
        <v>7989304071.1399994</v>
      </c>
      <c r="D25" t="s">
        <v>220</v>
      </c>
      <c r="E25" s="54"/>
    </row>
    <row r="26" spans="1:8">
      <c r="A26" s="61" t="s">
        <v>221</v>
      </c>
      <c r="E26" s="54"/>
    </row>
    <row r="27" spans="1:8" ht="37.5" customHeight="1">
      <c r="A27" s="90" t="s">
        <v>209</v>
      </c>
      <c r="B27" s="90" t="s">
        <v>210</v>
      </c>
      <c r="C27" s="90" t="s">
        <v>235</v>
      </c>
      <c r="D27" s="90" t="s">
        <v>236</v>
      </c>
      <c r="E27" s="91" t="s">
        <v>237</v>
      </c>
    </row>
    <row r="28" spans="1:8">
      <c r="A28" t="s">
        <v>251</v>
      </c>
      <c r="B28" t="s">
        <v>7</v>
      </c>
      <c r="C28">
        <v>15815850.630000001</v>
      </c>
      <c r="D28">
        <v>4744781</v>
      </c>
      <c r="E28" t="s">
        <v>254</v>
      </c>
      <c r="F28" s="63"/>
    </row>
    <row r="29" spans="1:8">
      <c r="B29" t="s">
        <v>8</v>
      </c>
      <c r="C29">
        <v>158796</v>
      </c>
      <c r="D29">
        <v>47642</v>
      </c>
      <c r="F29" s="63"/>
    </row>
    <row r="30" spans="1:8">
      <c r="B30" t="s">
        <v>9</v>
      </c>
      <c r="C30">
        <v>21768</v>
      </c>
      <c r="D30">
        <v>6531</v>
      </c>
      <c r="F30" s="63"/>
    </row>
    <row r="31" spans="1:8">
      <c r="B31" t="s">
        <v>11</v>
      </c>
      <c r="C31">
        <v>27076.3</v>
      </c>
      <c r="D31">
        <v>8125</v>
      </c>
      <c r="F31" s="63"/>
    </row>
    <row r="32" spans="1:8">
      <c r="B32" t="s">
        <v>12</v>
      </c>
      <c r="C32">
        <v>408075.38</v>
      </c>
      <c r="D32">
        <v>122422</v>
      </c>
      <c r="F32" s="63"/>
    </row>
    <row r="33" spans="1:8">
      <c r="B33" t="s">
        <v>13</v>
      </c>
      <c r="C33">
        <v>123311</v>
      </c>
      <c r="D33">
        <v>36993</v>
      </c>
      <c r="F33" s="63"/>
    </row>
    <row r="34" spans="1:8">
      <c r="A34" s="6" t="s">
        <v>252</v>
      </c>
      <c r="B34" s="6" t="s">
        <v>7</v>
      </c>
      <c r="C34" s="6">
        <v>770358.82</v>
      </c>
      <c r="D34" s="6">
        <v>231106</v>
      </c>
      <c r="E34" s="6"/>
      <c r="F34" s="63"/>
    </row>
    <row r="35" spans="1:8" ht="15.75" thickBot="1">
      <c r="C35" s="64">
        <f>SUM(C28:C34)</f>
        <v>17325236.130000003</v>
      </c>
      <c r="D35" t="s">
        <v>222</v>
      </c>
      <c r="F35" s="63"/>
    </row>
    <row r="36" spans="1:8" ht="15.75" thickTop="1">
      <c r="C36" s="65">
        <f>tax_13+tax_30</f>
        <v>8006629307.2699995</v>
      </c>
      <c r="D36" t="s">
        <v>234</v>
      </c>
    </row>
    <row r="37" spans="1:8">
      <c r="C37" s="66"/>
      <c r="H37" s="67"/>
    </row>
    <row r="38" spans="1:8">
      <c r="A38" s="146" t="s">
        <v>233</v>
      </c>
      <c r="B38" s="146"/>
      <c r="C38" s="146"/>
      <c r="D38" s="146"/>
      <c r="E38" s="146"/>
      <c r="F38" s="146"/>
      <c r="G38" s="67"/>
      <c r="H38" s="67"/>
    </row>
    <row r="39" spans="1:8">
      <c r="A39" s="68" t="s">
        <v>64</v>
      </c>
      <c r="B39" s="68" t="s">
        <v>65</v>
      </c>
      <c r="C39" s="68" t="s">
        <v>66</v>
      </c>
      <c r="D39" s="68" t="s">
        <v>83</v>
      </c>
      <c r="E39" s="68" t="s">
        <v>70</v>
      </c>
      <c r="F39" s="68" t="s">
        <v>231</v>
      </c>
      <c r="G39" s="67"/>
    </row>
    <row r="40" spans="1:8">
      <c r="A40" t="s">
        <v>255</v>
      </c>
      <c r="B40" t="s">
        <v>256</v>
      </c>
      <c r="C40" t="s">
        <v>257</v>
      </c>
      <c r="D40" s="54">
        <v>24950</v>
      </c>
      <c r="E40" s="54">
        <v>24949</v>
      </c>
      <c r="F40" s="54">
        <v>1</v>
      </c>
    </row>
    <row r="41" spans="1:8">
      <c r="A41" t="s">
        <v>258</v>
      </c>
      <c r="B41" t="s">
        <v>259</v>
      </c>
      <c r="C41" t="s">
        <v>260</v>
      </c>
      <c r="D41" s="54">
        <v>16296</v>
      </c>
      <c r="E41" s="54">
        <v>10411</v>
      </c>
      <c r="F41" s="54">
        <v>5885</v>
      </c>
    </row>
    <row r="42" spans="1:8">
      <c r="A42" t="s">
        <v>261</v>
      </c>
      <c r="B42" t="s">
        <v>262</v>
      </c>
      <c r="C42" t="s">
        <v>263</v>
      </c>
      <c r="D42" s="54">
        <v>8208</v>
      </c>
      <c r="E42" s="54">
        <v>5245</v>
      </c>
      <c r="F42" s="54">
        <v>2963</v>
      </c>
    </row>
    <row r="43" spans="1:8">
      <c r="A43" t="s">
        <v>264</v>
      </c>
      <c r="B43" t="s">
        <v>265</v>
      </c>
      <c r="C43" t="s">
        <v>263</v>
      </c>
      <c r="D43" s="54">
        <v>17502</v>
      </c>
      <c r="E43" s="54">
        <v>10856</v>
      </c>
      <c r="F43" s="54">
        <v>6646</v>
      </c>
    </row>
    <row r="44" spans="1:8">
      <c r="A44" t="s">
        <v>266</v>
      </c>
      <c r="B44" t="s">
        <v>267</v>
      </c>
      <c r="C44" t="s">
        <v>268</v>
      </c>
      <c r="D44" s="54">
        <v>18336</v>
      </c>
      <c r="E44" s="54">
        <v>15480</v>
      </c>
      <c r="F44" s="54">
        <v>2856</v>
      </c>
    </row>
    <row r="45" spans="1:8">
      <c r="A45" t="s">
        <v>269</v>
      </c>
      <c r="B45" t="s">
        <v>270</v>
      </c>
      <c r="C45" t="s">
        <v>271</v>
      </c>
      <c r="D45" s="54">
        <v>9708</v>
      </c>
      <c r="E45" s="54">
        <v>7199</v>
      </c>
      <c r="F45" s="54">
        <v>2509</v>
      </c>
    </row>
    <row r="46" spans="1:8">
      <c r="A46" t="s">
        <v>272</v>
      </c>
      <c r="B46" t="s">
        <v>273</v>
      </c>
      <c r="C46" t="s">
        <v>274</v>
      </c>
      <c r="D46" s="54">
        <v>14367</v>
      </c>
      <c r="E46" s="54">
        <v>9351</v>
      </c>
      <c r="F46" s="54">
        <v>5016</v>
      </c>
    </row>
    <row r="47" spans="1:8">
      <c r="A47" t="s">
        <v>232</v>
      </c>
      <c r="D47" s="54">
        <f>SUBTOTAL(109,[Налог исчисленный])</f>
        <v>109367</v>
      </c>
      <c r="E47" s="54">
        <f>SUBTOTAL(109,[Налог удержанный])</f>
        <v>83491</v>
      </c>
      <c r="F47" s="54">
        <f>SUBTOTAL(109,[Разница])</f>
        <v>25876</v>
      </c>
      <c r="G47" s="54"/>
      <c r="H47" s="54"/>
    </row>
  </sheetData>
  <mergeCells count="6">
    <mergeCell ref="A1:H1"/>
    <mergeCell ref="E8:H8"/>
    <mergeCell ref="E18:H18"/>
    <mergeCell ref="E19:G19"/>
    <mergeCell ref="H19:H20"/>
    <mergeCell ref="A38:F38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>
  <dimension ref="A1:D40"/>
  <sheetViews>
    <sheetView zoomScale="145" zoomScaleNormal="145" workbookViewId="0"/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4">
      <c r="B1" s="96"/>
      <c r="C1" s="65" t="s">
        <v>240</v>
      </c>
      <c r="D1" s="65" t="s">
        <v>241</v>
      </c>
    </row>
    <row r="2" spans="1:4">
      <c r="B2" s="97" t="s">
        <v>242</v>
      </c>
      <c r="C2" s="66">
        <f>SUM(Таблица2649[130])</f>
        <v>8006629307.2700005</v>
      </c>
      <c r="D2" s="66">
        <f>SUM(Таблица2649[140])</f>
        <v>1038801276</v>
      </c>
    </row>
    <row r="3" spans="1:4" ht="15.75" thickBot="1">
      <c r="B3" s="96"/>
      <c r="C3" s="96"/>
      <c r="D3" s="96"/>
    </row>
    <row r="4" spans="1:4" ht="43.15" customHeight="1">
      <c r="A4" s="98" t="s">
        <v>195</v>
      </c>
      <c r="B4" s="99" t="s">
        <v>243</v>
      </c>
      <c r="C4" s="100" t="s">
        <v>244</v>
      </c>
      <c r="D4" s="101" t="s">
        <v>244</v>
      </c>
    </row>
    <row r="5" spans="1:4" s="103" customFormat="1" ht="12" thickBot="1">
      <c r="A5" s="102" t="s">
        <v>196</v>
      </c>
      <c r="B5" s="106" t="s">
        <v>249</v>
      </c>
      <c r="C5" s="107" t="s">
        <v>245</v>
      </c>
      <c r="D5" s="108" t="s">
        <v>246</v>
      </c>
    </row>
    <row r="6" spans="1:4">
      <c r="A6" s="52"/>
      <c r="B6" s="104">
        <v>42745</v>
      </c>
      <c r="C6" s="105">
        <v>1283236306.8800001</v>
      </c>
      <c r="D6" s="105">
        <v>166565614</v>
      </c>
    </row>
    <row r="7" spans="1:4">
      <c r="A7" s="6"/>
      <c r="B7" s="104">
        <v>42748</v>
      </c>
      <c r="C7" s="105">
        <v>5153171.72</v>
      </c>
      <c r="D7" s="105">
        <v>669913</v>
      </c>
    </row>
    <row r="8" spans="1:4">
      <c r="A8" s="6"/>
      <c r="B8" s="104">
        <v>42760</v>
      </c>
      <c r="C8" s="105">
        <v>12551085.619999999</v>
      </c>
      <c r="D8" s="105">
        <v>1630610</v>
      </c>
    </row>
    <row r="9" spans="1:4">
      <c r="A9" s="6"/>
      <c r="B9" s="104">
        <v>42762</v>
      </c>
      <c r="C9" s="105">
        <v>4946399.78</v>
      </c>
      <c r="D9" s="105">
        <v>671161</v>
      </c>
    </row>
    <row r="10" spans="1:4">
      <c r="A10" s="6"/>
      <c r="B10" s="104">
        <v>42776</v>
      </c>
      <c r="C10" s="105">
        <v>1287578504.8199999</v>
      </c>
      <c r="D10" s="105">
        <v>167044920</v>
      </c>
    </row>
    <row r="11" spans="1:4">
      <c r="A11" s="6"/>
      <c r="B11" s="104">
        <v>42779</v>
      </c>
      <c r="C11" s="105">
        <v>4825209.93</v>
      </c>
      <c r="D11" s="105">
        <v>646568</v>
      </c>
    </row>
    <row r="12" spans="1:4">
      <c r="A12" s="6"/>
      <c r="B12" s="104">
        <v>42793</v>
      </c>
      <c r="C12" s="105">
        <v>8154389.2400000002</v>
      </c>
      <c r="D12" s="105">
        <v>1064515</v>
      </c>
    </row>
    <row r="13" spans="1:4">
      <c r="A13" s="6"/>
      <c r="B13" s="104">
        <v>42794</v>
      </c>
      <c r="C13" s="105">
        <v>6597302.0999999996</v>
      </c>
      <c r="D13" s="105">
        <v>857649</v>
      </c>
    </row>
    <row r="14" spans="1:4">
      <c r="A14" s="6"/>
      <c r="B14" s="104">
        <v>42804</v>
      </c>
      <c r="C14" s="105">
        <v>1289439144.4000001</v>
      </c>
      <c r="D14" s="105">
        <v>167205252</v>
      </c>
    </row>
    <row r="15" spans="1:4">
      <c r="A15" s="6"/>
      <c r="B15" s="104">
        <v>42807</v>
      </c>
      <c r="C15" s="105">
        <v>6888208.5700000003</v>
      </c>
      <c r="D15" s="105">
        <v>895467</v>
      </c>
    </row>
    <row r="16" spans="1:4">
      <c r="A16" s="6"/>
      <c r="B16" s="104">
        <v>42818</v>
      </c>
      <c r="C16" s="105">
        <v>12032292.210000001</v>
      </c>
      <c r="D16" s="105">
        <v>1562754</v>
      </c>
    </row>
    <row r="17" spans="1:4">
      <c r="A17" s="6"/>
      <c r="B17" s="104">
        <v>42821</v>
      </c>
      <c r="C17" s="105">
        <v>5595558.9900000002</v>
      </c>
      <c r="D17" s="105">
        <v>736304</v>
      </c>
    </row>
    <row r="18" spans="1:4">
      <c r="A18" s="6"/>
      <c r="B18" s="104">
        <v>42832</v>
      </c>
      <c r="C18" s="105">
        <v>16965626.34</v>
      </c>
      <c r="D18" s="105">
        <v>2283896</v>
      </c>
    </row>
    <row r="19" spans="1:4">
      <c r="A19" s="6"/>
      <c r="B19" s="104">
        <v>42835</v>
      </c>
      <c r="C19" s="105">
        <v>1310320177.8299999</v>
      </c>
      <c r="D19" s="105">
        <v>169862940</v>
      </c>
    </row>
    <row r="20" spans="1:4">
      <c r="A20" s="6"/>
      <c r="B20" s="104">
        <v>42839</v>
      </c>
      <c r="C20" s="105">
        <v>1611442.36</v>
      </c>
      <c r="D20" s="105">
        <v>256287</v>
      </c>
    </row>
    <row r="21" spans="1:4">
      <c r="A21" s="6"/>
      <c r="B21" s="104">
        <v>42846</v>
      </c>
      <c r="C21" s="105">
        <v>6324114.5999999996</v>
      </c>
      <c r="D21" s="105">
        <v>822138</v>
      </c>
    </row>
    <row r="22" spans="1:4">
      <c r="A22" s="6"/>
      <c r="B22" s="104">
        <v>42850</v>
      </c>
      <c r="C22" s="105">
        <v>10239982.59</v>
      </c>
      <c r="D22" s="105">
        <v>1330199</v>
      </c>
    </row>
    <row r="23" spans="1:4">
      <c r="A23" s="6"/>
      <c r="B23" s="104">
        <v>42853</v>
      </c>
      <c r="C23" s="105">
        <v>808776.25</v>
      </c>
      <c r="D23" s="105">
        <v>106701</v>
      </c>
    </row>
    <row r="24" spans="1:4">
      <c r="A24" s="6"/>
      <c r="B24" s="104">
        <v>42857</v>
      </c>
      <c r="C24" s="105">
        <v>27403809.07</v>
      </c>
      <c r="D24" s="105">
        <v>3546044</v>
      </c>
    </row>
    <row r="25" spans="1:4">
      <c r="A25" s="6"/>
      <c r="B25" s="104">
        <v>42858</v>
      </c>
      <c r="C25" s="105">
        <v>325372976.16000003</v>
      </c>
      <c r="D25" s="105">
        <v>42057245</v>
      </c>
    </row>
    <row r="26" spans="1:4">
      <c r="A26" s="6"/>
      <c r="B26" s="104">
        <v>42859</v>
      </c>
      <c r="C26" s="105">
        <v>952727745.70000005</v>
      </c>
      <c r="D26" s="105">
        <v>123725817</v>
      </c>
    </row>
    <row r="27" spans="1:4">
      <c r="A27" s="6"/>
      <c r="B27" s="104">
        <v>42865</v>
      </c>
      <c r="C27" s="105">
        <v>11166283.720000001</v>
      </c>
      <c r="D27" s="105">
        <v>1469217</v>
      </c>
    </row>
    <row r="28" spans="1:4">
      <c r="A28" s="6"/>
      <c r="B28" s="104">
        <v>42874</v>
      </c>
      <c r="C28" s="105">
        <v>6141243.1699999999</v>
      </c>
      <c r="D28" s="105">
        <v>798364</v>
      </c>
    </row>
    <row r="29" spans="1:4">
      <c r="A29" s="6"/>
      <c r="B29" s="104">
        <v>42880</v>
      </c>
      <c r="C29" s="105">
        <v>11707334.43</v>
      </c>
      <c r="D29" s="105">
        <v>1522917</v>
      </c>
    </row>
    <row r="30" spans="1:4">
      <c r="A30" s="6"/>
      <c r="B30" s="104">
        <v>42881</v>
      </c>
      <c r="C30" s="105">
        <v>2352052.9300000002</v>
      </c>
      <c r="D30" s="105">
        <v>305766</v>
      </c>
    </row>
    <row r="31" spans="1:4">
      <c r="A31" s="6"/>
      <c r="B31" s="104">
        <v>42888</v>
      </c>
      <c r="C31" s="105">
        <v>6281071.54</v>
      </c>
      <c r="D31" s="105">
        <v>820805</v>
      </c>
    </row>
    <row r="32" spans="1:4">
      <c r="A32" s="6"/>
      <c r="B32" s="104">
        <v>42895</v>
      </c>
      <c r="C32" s="105">
        <v>1331399189.9100001</v>
      </c>
      <c r="D32" s="105">
        <v>172679309</v>
      </c>
    </row>
    <row r="33" spans="1:4">
      <c r="A33" s="6"/>
      <c r="B33" s="104">
        <v>42899</v>
      </c>
      <c r="C33" s="105">
        <v>3650589.45</v>
      </c>
      <c r="D33" s="105">
        <v>474576</v>
      </c>
    </row>
    <row r="34" spans="1:4">
      <c r="A34" s="6"/>
      <c r="B34" s="104">
        <v>42902</v>
      </c>
      <c r="C34" s="105">
        <v>32595233.170000002</v>
      </c>
      <c r="D34" s="105">
        <v>4237379</v>
      </c>
    </row>
    <row r="35" spans="1:4">
      <c r="A35" s="6"/>
      <c r="B35" s="104">
        <v>42907</v>
      </c>
      <c r="C35" s="105">
        <v>2320966.84</v>
      </c>
      <c r="D35" s="105">
        <v>304584</v>
      </c>
    </row>
    <row r="36" spans="1:4">
      <c r="A36" s="6"/>
      <c r="B36" s="104">
        <v>42912</v>
      </c>
      <c r="C36" s="105">
        <v>15134289.43</v>
      </c>
      <c r="D36" s="105">
        <v>1967099</v>
      </c>
    </row>
    <row r="37" spans="1:4">
      <c r="A37" s="6"/>
      <c r="B37" s="154">
        <v>42916</v>
      </c>
      <c r="C37" s="155">
        <v>5108827.5199999996</v>
      </c>
      <c r="D37" s="155">
        <v>679266</v>
      </c>
    </row>
    <row r="39" spans="1:4">
      <c r="B39" t="s">
        <v>247</v>
      </c>
    </row>
    <row r="40" spans="1:4">
      <c r="B40" t="s">
        <v>248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dimension ref="A1:D9"/>
  <sheetViews>
    <sheetView zoomScale="145" zoomScaleNormal="145" workbookViewId="0">
      <selection activeCell="B6" sqref="B6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4">
      <c r="B1" s="96"/>
      <c r="C1" s="65" t="s">
        <v>240</v>
      </c>
      <c r="D1" s="65" t="s">
        <v>241</v>
      </c>
    </row>
    <row r="2" spans="1:4">
      <c r="B2" s="97" t="s">
        <v>242</v>
      </c>
      <c r="C2" s="66">
        <f>SUM(Таблица26[130])</f>
        <v>0</v>
      </c>
      <c r="D2" s="66">
        <f>SUM(Таблица26[140])</f>
        <v>0</v>
      </c>
    </row>
    <row r="3" spans="1:4" ht="15.75" thickBot="1">
      <c r="B3" s="96"/>
      <c r="C3" s="96"/>
      <c r="D3" s="96"/>
    </row>
    <row r="4" spans="1:4" ht="43.15" customHeight="1">
      <c r="A4" s="98" t="s">
        <v>195</v>
      </c>
      <c r="B4" s="99" t="s">
        <v>243</v>
      </c>
      <c r="C4" s="100" t="s">
        <v>244</v>
      </c>
      <c r="D4" s="101" t="s">
        <v>244</v>
      </c>
    </row>
    <row r="5" spans="1:4" s="103" customFormat="1" ht="12" thickBot="1">
      <c r="A5" s="102" t="s">
        <v>196</v>
      </c>
      <c r="B5" s="106" t="s">
        <v>249</v>
      </c>
      <c r="C5" s="107" t="s">
        <v>245</v>
      </c>
      <c r="D5" s="108" t="s">
        <v>246</v>
      </c>
    </row>
    <row r="6" spans="1:4">
      <c r="A6" s="52"/>
      <c r="B6" s="104" t="s">
        <v>250</v>
      </c>
      <c r="C6" s="105"/>
      <c r="D6" s="105"/>
    </row>
    <row r="8" spans="1:4">
      <c r="B8" t="s">
        <v>247</v>
      </c>
    </row>
    <row r="9" spans="1:4">
      <c r="B9" t="s">
        <v>248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B10" sqref="B10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28.5" customHeight="1">
      <c r="A1" s="142" t="s">
        <v>193</v>
      </c>
      <c r="B1" s="142"/>
      <c r="C1" s="142"/>
      <c r="D1" s="142"/>
      <c r="E1" s="142"/>
    </row>
    <row r="2" spans="1:6" ht="19.5" customHeight="1">
      <c r="A2" s="143" t="s">
        <v>194</v>
      </c>
      <c r="B2" s="144"/>
      <c r="C2" s="144"/>
      <c r="D2" s="144"/>
      <c r="E2" s="145"/>
    </row>
    <row r="3" spans="1:6" ht="30">
      <c r="A3" s="78" t="s">
        <v>195</v>
      </c>
      <c r="B3" s="78" t="s">
        <v>69</v>
      </c>
      <c r="C3" s="78" t="s">
        <v>70</v>
      </c>
      <c r="D3" s="78" t="s">
        <v>71</v>
      </c>
      <c r="E3" s="78" t="s">
        <v>72</v>
      </c>
    </row>
    <row r="4" spans="1:6">
      <c r="A4" s="79" t="s">
        <v>196</v>
      </c>
      <c r="B4" s="77" t="s">
        <v>73</v>
      </c>
      <c r="C4" s="77" t="s">
        <v>74</v>
      </c>
      <c r="D4" s="77" t="s">
        <v>75</v>
      </c>
      <c r="E4" s="77" t="s">
        <v>76</v>
      </c>
    </row>
    <row r="5" spans="1:6">
      <c r="A5" s="80"/>
      <c r="B5" s="81" t="s">
        <v>140</v>
      </c>
      <c r="C5" s="82"/>
      <c r="D5" s="83"/>
      <c r="E5" s="84"/>
    </row>
    <row r="6" spans="1:6">
      <c r="D6" t="s">
        <v>204</v>
      </c>
    </row>
    <row r="7" spans="1:6">
      <c r="D7" t="s">
        <v>197</v>
      </c>
    </row>
    <row r="8" spans="1:6" ht="20.25" customHeight="1">
      <c r="D8" s="135" t="s">
        <v>198</v>
      </c>
      <c r="E8" s="135"/>
    </row>
    <row r="9" spans="1:6">
      <c r="C9" s="6"/>
      <c r="D9" s="6" t="s">
        <v>201</v>
      </c>
      <c r="E9" s="56"/>
      <c r="F9" s="6"/>
    </row>
    <row r="10" spans="1:6">
      <c r="C10" s="56"/>
      <c r="D10" s="57" t="s">
        <v>199</v>
      </c>
      <c r="E10" s="58">
        <f>SUBTOTAL(109,ndfl6_part1_general_recalc_curr[[#All],[Столбец2]])</f>
        <v>0</v>
      </c>
      <c r="F10" s="6"/>
    </row>
    <row r="11" spans="1:6" ht="19.5" customHeight="1">
      <c r="C11" s="54"/>
      <c r="D11" s="135" t="s">
        <v>200</v>
      </c>
      <c r="E11" s="135"/>
    </row>
    <row r="12" spans="1:6">
      <c r="D12" s="6" t="s">
        <v>202</v>
      </c>
      <c r="E12" s="54"/>
    </row>
    <row r="13" spans="1:6">
      <c r="D13" s="55" t="s">
        <v>199</v>
      </c>
      <c r="E13" s="58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topLeftCell="A8" zoomScale="115" zoomScaleNormal="115" workbookViewId="0">
      <selection activeCell="D15" sqref="D15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28.5" customHeight="1" thickBot="1">
      <c r="A1" s="147" t="s">
        <v>205</v>
      </c>
      <c r="B1" s="147"/>
      <c r="C1" s="147"/>
      <c r="D1" s="147"/>
      <c r="E1" s="147"/>
      <c r="F1" s="147"/>
      <c r="G1" s="147"/>
      <c r="H1" s="147"/>
    </row>
    <row r="2" spans="1:8" ht="30.75" thickBot="1">
      <c r="A2" s="75" t="s">
        <v>195</v>
      </c>
      <c r="B2" s="73" t="s">
        <v>80</v>
      </c>
      <c r="C2" s="73" t="s">
        <v>1</v>
      </c>
      <c r="D2" s="73" t="s">
        <v>81</v>
      </c>
      <c r="E2" s="73" t="s">
        <v>82</v>
      </c>
      <c r="F2" s="73" t="s">
        <v>83</v>
      </c>
      <c r="G2" s="73" t="s">
        <v>84</v>
      </c>
      <c r="H2" s="74" t="s">
        <v>85</v>
      </c>
    </row>
    <row r="3" spans="1:8">
      <c r="A3" s="76" t="s">
        <v>196</v>
      </c>
      <c r="B3" s="59" t="s">
        <v>86</v>
      </c>
      <c r="C3" s="59" t="s">
        <v>87</v>
      </c>
      <c r="D3" s="59" t="s">
        <v>88</v>
      </c>
      <c r="E3" s="59" t="s">
        <v>89</v>
      </c>
      <c r="F3" s="59" t="s">
        <v>90</v>
      </c>
      <c r="G3" s="59" t="s">
        <v>91</v>
      </c>
      <c r="H3" s="60" t="s">
        <v>92</v>
      </c>
    </row>
    <row r="4" spans="1:8">
      <c r="A4" s="69"/>
      <c r="B4" s="70" t="s">
        <v>141</v>
      </c>
      <c r="C4" s="71"/>
      <c r="D4" s="71"/>
      <c r="E4" s="71"/>
      <c r="F4" s="72"/>
      <c r="G4" s="72"/>
      <c r="H4" s="72"/>
    </row>
    <row r="5" spans="1:8">
      <c r="A5" s="92" t="s">
        <v>229</v>
      </c>
      <c r="B5" s="93"/>
      <c r="C5" s="94">
        <f>SUBTOTAL(109,[Столбец3])</f>
        <v>0</v>
      </c>
      <c r="D5" s="94">
        <f>SUBTOTAL(109,[Столбец4])</f>
        <v>0</v>
      </c>
      <c r="E5" s="94">
        <f>SUBTOTAL(109,[Столбец5])</f>
        <v>0</v>
      </c>
      <c r="F5" s="95">
        <f>SUBTOTAL(109,[Столбец6])</f>
        <v>0</v>
      </c>
      <c r="G5" s="95">
        <f>SUBTOTAL(109,[Столбец7])</f>
        <v>0</v>
      </c>
      <c r="H5" s="95">
        <f>SUBTOTAL(109,[Столбец8])</f>
        <v>0</v>
      </c>
    </row>
    <row r="6" spans="1:8">
      <c r="A6" t="s">
        <v>206</v>
      </c>
    </row>
    <row r="7" spans="1:8">
      <c r="A7" s="61" t="s">
        <v>207</v>
      </c>
      <c r="C7" s="54"/>
      <c r="D7" s="54"/>
      <c r="E7" s="148" t="s">
        <v>208</v>
      </c>
      <c r="F7" s="148"/>
      <c r="G7" s="148"/>
      <c r="H7" s="148"/>
    </row>
    <row r="8" spans="1:8">
      <c r="A8" s="85" t="s">
        <v>209</v>
      </c>
      <c r="B8" s="85" t="s">
        <v>210</v>
      </c>
      <c r="C8" s="85" t="s">
        <v>235</v>
      </c>
      <c r="D8" s="85" t="s">
        <v>211</v>
      </c>
      <c r="E8" s="85" t="s">
        <v>212</v>
      </c>
      <c r="F8" s="85" t="s">
        <v>213</v>
      </c>
      <c r="G8" s="85" t="s">
        <v>225</v>
      </c>
      <c r="H8" s="85" t="s">
        <v>226</v>
      </c>
    </row>
    <row r="9" spans="1:8">
      <c r="A9" s="6" t="s">
        <v>223</v>
      </c>
      <c r="C9" s="54"/>
      <c r="D9" s="54"/>
    </row>
    <row r="10" spans="1:8">
      <c r="A10" s="6"/>
      <c r="C10" s="54"/>
      <c r="D10" s="54"/>
    </row>
    <row r="11" spans="1:8" ht="15.75" thickBot="1">
      <c r="C11" s="54"/>
      <c r="E11" s="149" t="s">
        <v>214</v>
      </c>
      <c r="F11" s="149"/>
      <c r="G11" s="149"/>
      <c r="H11" s="149"/>
    </row>
    <row r="12" spans="1:8">
      <c r="C12" s="54"/>
      <c r="D12" s="86"/>
      <c r="E12" s="150" t="s">
        <v>215</v>
      </c>
      <c r="F12" s="151"/>
      <c r="G12" s="152"/>
      <c r="H12" s="153" t="s">
        <v>227</v>
      </c>
    </row>
    <row r="13" spans="1:8" ht="15.75" thickBot="1">
      <c r="C13" s="90" t="s">
        <v>235</v>
      </c>
      <c r="D13" s="86" t="s">
        <v>216</v>
      </c>
      <c r="E13" s="87" t="s">
        <v>217</v>
      </c>
      <c r="F13" s="88" t="s">
        <v>218</v>
      </c>
      <c r="G13" s="89" t="s">
        <v>219</v>
      </c>
      <c r="H13" s="153"/>
    </row>
    <row r="14" spans="1:8">
      <c r="A14" s="6" t="s">
        <v>224</v>
      </c>
      <c r="C14" s="54"/>
    </row>
    <row r="15" spans="1:8">
      <c r="C15" s="62">
        <f>SUM(Таблица30[Столбец1])+SUM(Таблица31[Столбец3])</f>
        <v>0</v>
      </c>
      <c r="D15" t="s">
        <v>220</v>
      </c>
      <c r="E15" s="54"/>
    </row>
    <row r="16" spans="1:8">
      <c r="A16" s="61" t="s">
        <v>221</v>
      </c>
      <c r="E16" s="54"/>
    </row>
    <row r="17" spans="1:8" ht="37.5" customHeight="1">
      <c r="A17" s="90" t="s">
        <v>209</v>
      </c>
      <c r="B17" s="90" t="s">
        <v>210</v>
      </c>
      <c r="C17" s="90" t="s">
        <v>235</v>
      </c>
      <c r="D17" s="90" t="s">
        <v>236</v>
      </c>
      <c r="E17" s="91" t="s">
        <v>237</v>
      </c>
    </row>
    <row r="18" spans="1:8">
      <c r="A18" t="s">
        <v>228</v>
      </c>
      <c r="F18" s="63"/>
    </row>
    <row r="19" spans="1:8" ht="15.75" thickBot="1">
      <c r="C19" s="64">
        <f>SUM(C18:C18)</f>
        <v>0</v>
      </c>
      <c r="D19" t="s">
        <v>222</v>
      </c>
      <c r="F19" s="63"/>
    </row>
    <row r="20" spans="1:8" ht="15.75" thickTop="1">
      <c r="C20" s="65">
        <f>tax_13+tax_30</f>
        <v>0</v>
      </c>
      <c r="D20" t="s">
        <v>234</v>
      </c>
    </row>
    <row r="21" spans="1:8">
      <c r="C21" s="66"/>
      <c r="H21" s="67"/>
    </row>
    <row r="22" spans="1:8">
      <c r="A22" s="146" t="s">
        <v>233</v>
      </c>
      <c r="B22" s="146"/>
      <c r="C22" s="146"/>
      <c r="D22" s="146"/>
      <c r="E22" s="146"/>
      <c r="F22" s="146"/>
      <c r="G22" s="67"/>
      <c r="H22" s="67"/>
    </row>
    <row r="23" spans="1:8">
      <c r="A23" s="68" t="s">
        <v>64</v>
      </c>
      <c r="B23" s="68" t="s">
        <v>65</v>
      </c>
      <c r="C23" s="68" t="s">
        <v>66</v>
      </c>
      <c r="D23" s="68" t="s">
        <v>83</v>
      </c>
      <c r="E23" s="68" t="s">
        <v>70</v>
      </c>
      <c r="F23" s="68" t="s">
        <v>231</v>
      </c>
      <c r="G23" s="67"/>
    </row>
    <row r="24" spans="1:8">
      <c r="A24" t="s">
        <v>230</v>
      </c>
      <c r="D24" s="54"/>
      <c r="E24" s="54"/>
      <c r="F24" s="54"/>
    </row>
    <row r="25" spans="1:8">
      <c r="A25" t="s">
        <v>232</v>
      </c>
      <c r="D25" s="54">
        <f>SUBTOTAL(109,[Налог исчисленный])</f>
        <v>0</v>
      </c>
      <c r="E25" s="54">
        <f>SUBTOTAL(109,[Налог удержанный])</f>
        <v>0</v>
      </c>
      <c r="F25" s="54">
        <f>SUBTOTAL(109,[Разница])</f>
        <v>0</v>
      </c>
      <c r="G25" s="54"/>
      <c r="H25" s="54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100</v>
      </c>
      <c r="B1" s="34" t="s">
        <v>101</v>
      </c>
      <c r="C1" s="34" t="s">
        <v>102</v>
      </c>
      <c r="D1" s="34" t="s">
        <v>103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2"/>
  <dimension ref="A1:I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4.5" customHeight="1">
      <c r="A1" s="33" t="s">
        <v>64</v>
      </c>
      <c r="B1" s="48" t="s">
        <v>65</v>
      </c>
      <c r="C1" s="48" t="s">
        <v>66</v>
      </c>
      <c r="D1" s="48" t="s">
        <v>101</v>
      </c>
      <c r="E1" s="48" t="s">
        <v>103</v>
      </c>
      <c r="F1" s="52" t="s">
        <v>182</v>
      </c>
      <c r="G1" s="52" t="s">
        <v>1</v>
      </c>
      <c r="H1" s="52" t="s">
        <v>183</v>
      </c>
      <c r="I1" s="53" t="s">
        <v>184</v>
      </c>
    </row>
    <row r="2" spans="1:9">
      <c r="A2" t="s">
        <v>187</v>
      </c>
      <c r="B2" s="49"/>
      <c r="C2" s="49"/>
      <c r="D2" s="50"/>
      <c r="E2" s="49"/>
      <c r="F2" s="49"/>
      <c r="G2" s="49"/>
      <c r="H2" s="49"/>
      <c r="I2" s="5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122</v>
      </c>
    </row>
    <row r="2" spans="1:1">
      <c r="A2" t="s">
        <v>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18</vt:i4>
      </vt:variant>
    </vt:vector>
  </HeadingPairs>
  <TitlesOfParts>
    <vt:vector size="33" baseType="lpstr">
      <vt:lpstr>detail_report</vt:lpstr>
      <vt:lpstr>detail_report_2</vt:lpstr>
      <vt:lpstr>error_report</vt:lpstr>
      <vt:lpstr>correcting_report</vt:lpstr>
      <vt:lpstr>Settings</vt:lpstr>
      <vt:lpstr>Отчеты</vt:lpstr>
      <vt:lpstr>НДФЛ6 Раздел 1 Общие итоги</vt:lpstr>
      <vt:lpstr>НДФЛ6 Раздел 1 Итоги по ставкам</vt:lpstr>
      <vt:lpstr>НФДЛ Раздел 2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data_source_name</vt:lpstr>
      <vt:lpstr>end_date</vt:lpstr>
      <vt:lpstr>EndDate</vt:lpstr>
      <vt:lpstr>menu_item_selected</vt:lpstr>
      <vt:lpstr>oracle_owner</vt:lpstr>
      <vt:lpstr>output</vt:lpstr>
      <vt:lpstr>report_code</vt:lpstr>
      <vt:lpstr>ReportSelected</vt:lpstr>
      <vt:lpstr>start_date</vt:lpstr>
      <vt:lpstr>start_sheet_name</vt:lpstr>
      <vt:lpstr>StartDate</vt:lpstr>
      <vt:lpstr>StartDateRow</vt:lpstr>
      <vt:lpstr>'НДФЛ6 Раздел 1 Итоги по ставкам'!tax_13</vt:lpstr>
      <vt:lpstr>tax_13</vt:lpstr>
      <vt:lpstr>'НДФЛ6 Раздел 1 Итоги по ставкам'!tax_13_amount</vt:lpstr>
      <vt:lpstr>tax_13_amount</vt:lpstr>
      <vt:lpstr>'НДФЛ6 Раздел 1 Итоги по ставкам'!tax_30</vt:lpstr>
      <vt:lpstr>tax_30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2017-08-09T09:11:08Z</dcterms:modified>
</cp:coreProperties>
</file>