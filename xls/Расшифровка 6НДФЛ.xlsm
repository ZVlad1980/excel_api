
<file path=[Content_Types].xml><?xml version="1.0" encoding="utf-8"?>
<Types xmlns="http://schemas.openxmlformats.org/package/2006/content-types">
  <Override PartName="/xl/tables/table4.xml" ContentType="application/vnd.openxmlformats-officedocument.spreadsheetml.table+xml"/>
  <Override PartName="/xl/tables/table16.xml" ContentType="application/vnd.openxmlformats-officedocument.spreadsheetml.table+xml"/>
  <Override PartName="/xl/tables/table25.xml" ContentType="application/vnd.openxmlformats-officedocument.spreadsheetml.table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tables/table10.xml" ContentType="application/vnd.openxmlformats-officedocument.spreadsheetml.table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tables/table9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19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docProps/core.xml" ContentType="application/vnd.openxmlformats-package.core-properties+xml"/>
  <Default Extension="bin" ContentType="application/vnd.openxmlformats-officedocument.spreadsheetml.printerSettings"/>
  <Override PartName="/xl/tables/table3.xml" ContentType="application/vnd.openxmlformats-officedocument.spreadsheetml.table+xml"/>
  <Override PartName="/xl/tables/table15.xml" ContentType="application/vnd.openxmlformats-officedocument.spreadsheetml.table+xml"/>
  <Override PartName="/xl/tables/table24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ЭтаКнига"/>
  <bookViews>
    <workbookView xWindow="0" yWindow="0" windowWidth="12450" windowHeight="11685" firstSheet="5" activeTab="5"/>
  </bookViews>
  <sheets>
    <sheet name="detail_report" sheetId="55" state="hidden" r:id="rId1"/>
    <sheet name="detail_report_2" sheetId="56" state="hidden" r:id="rId2"/>
    <sheet name="error_report" sheetId="57" state="hidden" r:id="rId3"/>
    <sheet name="correcting_report" sheetId="60" state="hidden" r:id="rId4"/>
    <sheet name="Settings" sheetId="103" state="hidden" r:id="rId5"/>
    <sheet name="Отчеты" sheetId="6" r:id="rId6"/>
    <sheet name="ndfl6_part1_rates" sheetId="69" state="hidden" r:id="rId7"/>
    <sheet name="ndfl6_part1_general" sheetId="71" state="hidden" r:id="rId8"/>
    <sheet name="funds_employees" sheetId="73" state="hidden" r:id="rId9"/>
    <sheet name="funds_employees_report" sheetId="123" state="hidden" r:id="rId10"/>
  </sheets>
  <functionGroups/>
  <definedNames>
    <definedName name="data_source_name">Settings!$B$3</definedName>
    <definedName name="end_date">Отчеты!$C$5</definedName>
    <definedName name="EndDate">Отчеты!$C$5</definedName>
    <definedName name="menu_item_selected">Settings!$B$6</definedName>
    <definedName name="oracle_owner">Settings!$B$4</definedName>
    <definedName name="output">Отчеты!$B$8</definedName>
    <definedName name="report_code">Settings!$B$7</definedName>
    <definedName name="ReportSelected">Отчеты!$C$2</definedName>
    <definedName name="start_date">Отчеты!$C$4</definedName>
    <definedName name="start_sheet_name">Settings!$B$5</definedName>
    <definedName name="StartDate">Отчеты!$C$4</definedName>
    <definedName name="StartDateRow">Отчеты!$4:$4</definedName>
  </definedNames>
  <calcPr calcId="124519"/>
</workbook>
</file>

<file path=xl/calcChain.xml><?xml version="1.0" encoding="utf-8"?>
<calcChain xmlns="http://schemas.openxmlformats.org/spreadsheetml/2006/main">
  <c r="E13" i="71"/>
  <c r="E10"/>
  <c r="B6" i="103"/>
</calcChain>
</file>

<file path=xl/comments1.xml><?xml version="1.0" encoding="utf-8"?>
<comments xmlns="http://schemas.openxmlformats.org/spreadsheetml/2006/main">
  <authors>
    <author>Zhuravov</author>
  </authors>
  <commentList>
    <comment ref="B7" authorId="0">
      <text>
        <r>
          <rPr>
            <b/>
            <sz val="9"/>
            <color indexed="81"/>
            <rFont val="Tahoma"/>
            <family val="2"/>
            <charset val="204"/>
          </rPr>
          <t>Zhuravov:</t>
        </r>
        <r>
          <rPr>
            <sz val="9"/>
            <color indexed="81"/>
            <rFont val="Tahoma"/>
            <family val="2"/>
            <charset val="204"/>
          </rPr>
          <t xml:space="preserve">
API Processor пишет сюда код текущего отчета</t>
        </r>
      </text>
    </comment>
  </commentList>
</comments>
</file>

<file path=xl/sharedStrings.xml><?xml version="1.0" encoding="utf-8"?>
<sst xmlns="http://schemas.openxmlformats.org/spreadsheetml/2006/main" count="474" uniqueCount="208">
  <si>
    <t>Дата дохода</t>
  </si>
  <si>
    <t>Доход</t>
  </si>
  <si>
    <t>Вычет</t>
  </si>
  <si>
    <t>Тип дохода</t>
  </si>
  <si>
    <t>Операции текущего периода</t>
  </si>
  <si>
    <t>Ставка 13%</t>
  </si>
  <si>
    <t>Ставка 30%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</si>
  <si>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</si>
  <si>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</si>
  <si>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</si>
  <si>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</si>
  <si>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</si>
  <si>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</si>
  <si>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</si>
  <si>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</si>
  <si>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</si>
  <si>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</si>
  <si>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</si>
  <si>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</si>
  <si>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</si>
  <si>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</si>
  <si>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</si>
  <si>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НДФЛ</t>
  </si>
  <si>
    <t>Коррекция операций предыдущих периодов</t>
  </si>
  <si>
    <t>16</t>
  </si>
  <si>
    <t>VBZ</t>
  </si>
  <si>
    <t>Расшифровка 6 НДФЛ</t>
  </si>
  <si>
    <t>Отчеты</t>
  </si>
  <si>
    <t>detail_report</t>
  </si>
  <si>
    <t>Дата
коррекции</t>
  </si>
  <si>
    <t>Срок
перечисления
дохода</t>
  </si>
  <si>
    <t>Пенсионная
схема</t>
  </si>
  <si>
    <t>TemplateSheetName</t>
  </si>
  <si>
    <t>Дата
корректи-
руемой
операции</t>
  </si>
  <si>
    <t>detail_report_2</t>
  </si>
  <si>
    <t>Расшифровка 6 НДФЛ (дет)</t>
  </si>
  <si>
    <t>Дата операции</t>
  </si>
  <si>
    <t>Номер вкладчика</t>
  </si>
  <si>
    <t>Номер ИПС</t>
  </si>
  <si>
    <t>Счет</t>
  </si>
  <si>
    <t>Субсчет</t>
  </si>
  <si>
    <t>Сумма</t>
  </si>
  <si>
    <t>Корректируемые документы</t>
  </si>
  <si>
    <t>Описание ошибки</t>
  </si>
  <si>
    <t>error_report</t>
  </si>
  <si>
    <t>Ошибки в движении средств</t>
  </si>
  <si>
    <t>Документ (ссылка)</t>
  </si>
  <si>
    <t xml:space="preserve">НДФЛ6:  Расшифровка детализированная </t>
  </si>
  <si>
    <t>Дата</t>
  </si>
  <si>
    <t>17</t>
  </si>
  <si>
    <t>18</t>
  </si>
  <si>
    <t>Год</t>
  </si>
  <si>
    <t>Квартал</t>
  </si>
  <si>
    <t>Вкладчик</t>
  </si>
  <si>
    <t>ИПС</t>
  </si>
  <si>
    <t>Суб-счет</t>
  </si>
  <si>
    <t>Исходная сумма</t>
  </si>
  <si>
    <t>Изменение</t>
  </si>
  <si>
    <t>Месяц</t>
  </si>
  <si>
    <t>Исходная операция</t>
  </si>
  <si>
    <t>Операция коррекции</t>
  </si>
  <si>
    <t>SP_FIZ_LITS</t>
  </si>
  <si>
    <t>Документ-основание</t>
  </si>
  <si>
    <t>SSYLKA</t>
  </si>
  <si>
    <t>Фамилия</t>
  </si>
  <si>
    <t>Имя</t>
  </si>
  <si>
    <t>Отчество</t>
  </si>
  <si>
    <t>correcting_report</t>
  </si>
  <si>
    <t>Операции перерасчета</t>
  </si>
  <si>
    <t>Число физ.лиц</t>
  </si>
  <si>
    <t>Налог удержанный</t>
  </si>
  <si>
    <t>Налог НЕ удержанный</t>
  </si>
  <si>
    <t>Налог возвращенный</t>
  </si>
  <si>
    <t>060</t>
  </si>
  <si>
    <t>070</t>
  </si>
  <si>
    <t>080</t>
  </si>
  <si>
    <t>090</t>
  </si>
  <si>
    <t>НДФЛ6 Раздел 1 Общие итоги</t>
  </si>
  <si>
    <t>ndfl6_part1_rates</t>
  </si>
  <si>
    <t>НДФЛ6 Раздел 1 Итоги по ставкам</t>
  </si>
  <si>
    <t>Итоги по ставкам</t>
  </si>
  <si>
    <t>Ставка</t>
  </si>
  <si>
    <t>Доход в т.ч. с дивидентов</t>
  </si>
  <si>
    <t>Вычеты</t>
  </si>
  <si>
    <t>Налог исчисленный</t>
  </si>
  <si>
    <t>НИ в т.ч. с дивидентов</t>
  </si>
  <si>
    <t>Аванс</t>
  </si>
  <si>
    <t>010</t>
  </si>
  <si>
    <t>020</t>
  </si>
  <si>
    <t>025</t>
  </si>
  <si>
    <t>030</t>
  </si>
  <si>
    <t>040</t>
  </si>
  <si>
    <t>045</t>
  </si>
  <si>
    <t>050</t>
  </si>
  <si>
    <t>Выберите отчет:</t>
  </si>
  <si>
    <t>Период с:</t>
  </si>
  <si>
    <t>Период по:</t>
  </si>
  <si>
    <t>Сотрудники фонда: отчет</t>
  </si>
  <si>
    <t>funds_employees</t>
  </si>
  <si>
    <t>NewSheetName</t>
  </si>
  <si>
    <t>Сотрудники фонда</t>
  </si>
  <si>
    <t>ФИО</t>
  </si>
  <si>
    <t>Дата рождения</t>
  </si>
  <si>
    <t>Снилс</t>
  </si>
  <si>
    <t>ИНН</t>
  </si>
  <si>
    <t>oracle_owner</t>
  </si>
  <si>
    <t>start_sheet_name</t>
  </si>
  <si>
    <t>Programs</t>
  </si>
  <si>
    <t>report</t>
  </si>
  <si>
    <t>program</t>
  </si>
  <si>
    <t>Reports</t>
  </si>
  <si>
    <t>Code</t>
  </si>
  <si>
    <t>employees_load</t>
  </si>
  <si>
    <t>employees_report</t>
  </si>
  <si>
    <t>ActionCode</t>
  </si>
  <si>
    <t>Actions</t>
  </si>
  <si>
    <t>SubReports</t>
  </si>
  <si>
    <t>SubCode</t>
  </si>
  <si>
    <t>Value</t>
  </si>
  <si>
    <t>General</t>
  </si>
  <si>
    <t>Menu</t>
  </si>
  <si>
    <t>ReportType</t>
  </si>
  <si>
    <t>compound</t>
  </si>
  <si>
    <t>ndfl6_part1_general</t>
  </si>
  <si>
    <t>Сотрудники фонда: загрузить</t>
  </si>
  <si>
    <t>Action</t>
  </si>
  <si>
    <t>menu_item_selected</t>
  </si>
  <si>
    <t>Type</t>
  </si>
  <si>
    <t>VBA</t>
  </si>
  <si>
    <t>Program</t>
  </si>
  <si>
    <t>get_report</t>
  </si>
  <si>
    <t>Routine</t>
  </si>
  <si>
    <t>Replace</t>
  </si>
  <si>
    <t>ActionTypes</t>
  </si>
  <si>
    <t>CreateMode</t>
  </si>
  <si>
    <t>CreateModes</t>
  </si>
  <si>
    <t>Rename</t>
  </si>
  <si>
    <t>ReportTypes</t>
  </si>
  <si>
    <t>simply</t>
  </si>
  <si>
    <t>Столбец1</t>
  </si>
  <si>
    <t>Key</t>
  </si>
  <si>
    <t>ndfl6_part1_general_data</t>
  </si>
  <si>
    <t>ndfl6_part1_rates_data</t>
  </si>
  <si>
    <t>ndfl6_part1_rates_reg1</t>
  </si>
  <si>
    <t>isConnect</t>
  </si>
  <si>
    <t>No</t>
  </si>
  <si>
    <t>Yes</t>
  </si>
  <si>
    <t>ProgramTypes</t>
  </si>
  <si>
    <t>Parameters</t>
  </si>
  <si>
    <t>Direction</t>
  </si>
  <si>
    <t>ReturnType</t>
  </si>
  <si>
    <t>RecordSet</t>
  </si>
  <si>
    <t>OUT</t>
  </si>
  <si>
    <t>IN</t>
  </si>
  <si>
    <t>report_code</t>
  </si>
  <si>
    <t>err_msg</t>
  </si>
  <si>
    <t>ParamPurpose</t>
  </si>
  <si>
    <t>ReturnTypes</t>
  </si>
  <si>
    <t>Name</t>
  </si>
  <si>
    <t>Source</t>
  </si>
  <si>
    <t>Required</t>
  </si>
  <si>
    <t>p_report_code</t>
  </si>
  <si>
    <t>YesNo</t>
  </si>
  <si>
    <t>start_date</t>
  </si>
  <si>
    <t>end_date</t>
  </si>
  <si>
    <t>Size</t>
  </si>
  <si>
    <t>ndfl_report_api.get_report</t>
  </si>
  <si>
    <t>Oracle</t>
  </si>
  <si>
    <t>x_err_msg</t>
  </si>
  <si>
    <t>p_from_date</t>
  </si>
  <si>
    <t>p_end_date</t>
  </si>
  <si>
    <t>test_run</t>
  </si>
  <si>
    <t>module3.test_run</t>
  </si>
  <si>
    <t>output</t>
  </si>
  <si>
    <t>AfterAction</t>
  </si>
  <si>
    <t>Break</t>
  </si>
  <si>
    <t>parse_fio</t>
  </si>
  <si>
    <t>EmployeesApi.parse_fio</t>
  </si>
  <si>
    <t>employees_send</t>
  </si>
  <si>
    <t>ndfl_report_api.load_employees</t>
  </si>
  <si>
    <t>p_load_date</t>
  </si>
  <si>
    <t>send_employees</t>
  </si>
  <si>
    <t>load_employees</t>
  </si>
  <si>
    <t>EmployeesApi.send_employees</t>
  </si>
  <si>
    <t>Участник/Не участник</t>
  </si>
  <si>
    <t>Пенсионные схемы</t>
  </si>
  <si>
    <t>Типы дохода</t>
  </si>
  <si>
    <t>funds_employees_report</t>
  </si>
  <si>
    <t>employees_sheet</t>
  </si>
  <si>
    <t>ndfl6_employees_report</t>
  </si>
  <si>
    <t>data_source_name</t>
  </si>
  <si>
    <t>FONDDB</t>
  </si>
  <si>
    <t>ndfl_prepare_data</t>
  </si>
  <si>
    <t>ndfl_report_api.ndfl_prepare_data</t>
  </si>
  <si>
    <t>НДФЛ6: подготовка данных</t>
  </si>
  <si>
    <t>Раздел 1 справок 6-НДФЛ (общие итоги)</t>
  </si>
  <si>
    <t>Итоги общие</t>
  </si>
  <si>
    <t>показатель</t>
  </si>
  <si>
    <t>поле справки</t>
  </si>
  <si>
    <t>в т.ч. За перерасчеты НДФЛ с доходов</t>
  </si>
  <si>
    <t>в текущем году</t>
  </si>
  <si>
    <t>всего</t>
  </si>
  <si>
    <t>в предыдущих годах</t>
  </si>
  <si>
    <t>ndfl6_recalc_curr_year</t>
  </si>
  <si>
    <t>ndfl6_recalc_prev_year</t>
  </si>
  <si>
    <t>EmptySheet</t>
  </si>
  <si>
    <t>Ok</t>
  </si>
  <si>
    <t xml:space="preserve"> </t>
  </si>
</sst>
</file>

<file path=xl/styles.xml><?xml version="1.0" encoding="utf-8"?>
<styleSheet xmlns="http://schemas.openxmlformats.org/spreadsheetml/2006/main">
  <numFmts count="1">
    <numFmt numFmtId="164" formatCode="#,##0.00\ _₽"/>
  </numFmts>
  <fonts count="15">
    <font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2"/>
      <color rgb="FF3D454C"/>
      <name val="Helvetica"/>
      <family val="2"/>
    </font>
    <font>
      <b/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rgb="FFFFFFFF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sz val="10"/>
      <name val="Arial Cyr"/>
      <charset val="204"/>
    </font>
    <font>
      <sz val="14"/>
      <color theme="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11"/>
      <color theme="0" tint="-0.1499984740745262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1"/>
      <color theme="1"/>
      <name val="Calibri"/>
      <scheme val="minor"/>
    </font>
    <font>
      <b/>
      <sz val="10"/>
      <name val="Arial Cyr"/>
      <charset val="204"/>
    </font>
  </fonts>
  <fills count="7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4.9989318521683403E-2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0" fontId="7" fillId="0" borderId="0"/>
  </cellStyleXfs>
  <cellXfs count="117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 wrapText="1"/>
    </xf>
    <xf numFmtId="0" fontId="1" fillId="0" borderId="6" xfId="0" applyFont="1" applyFill="1" applyBorder="1" applyAlignment="1">
      <alignment horizontal="center" vertical="center" wrapText="1"/>
    </xf>
    <xf numFmtId="0" fontId="1" fillId="0" borderId="8" xfId="0" applyFont="1" applyFill="1" applyBorder="1" applyAlignment="1">
      <alignment horizontal="center" vertical="center" wrapText="1"/>
    </xf>
    <xf numFmtId="0" fontId="0" fillId="0" borderId="0" xfId="0" applyBorder="1"/>
    <xf numFmtId="0" fontId="0" fillId="0" borderId="0" xfId="0" applyBorder="1" applyAlignment="1"/>
    <xf numFmtId="0" fontId="4" fillId="0" borderId="2" xfId="0" applyFont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4" fillId="0" borderId="16" xfId="0" applyFont="1" applyFill="1" applyBorder="1" applyAlignment="1">
      <alignment horizontal="center" vertical="center"/>
    </xf>
    <xf numFmtId="14" fontId="0" fillId="0" borderId="17" xfId="0" applyNumberFormat="1" applyBorder="1" applyAlignment="1">
      <alignment horizontal="center" vertical="center"/>
    </xf>
    <xf numFmtId="14" fontId="0" fillId="0" borderId="6" xfId="0" applyNumberFormat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0" fillId="0" borderId="6" xfId="0" applyBorder="1" applyAlignment="1">
      <alignment horizontal="center" vertical="center"/>
    </xf>
    <xf numFmtId="164" fontId="0" fillId="0" borderId="6" xfId="0" applyNumberFormat="1" applyBorder="1" applyAlignment="1">
      <alignment horizontal="right" vertical="center"/>
    </xf>
    <xf numFmtId="164" fontId="0" fillId="0" borderId="18" xfId="0" applyNumberFormat="1" applyBorder="1" applyAlignment="1">
      <alignment horizontal="right" vertical="center"/>
    </xf>
    <xf numFmtId="0" fontId="1" fillId="0" borderId="6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64" fontId="0" fillId="0" borderId="1" xfId="0" applyNumberFormat="1" applyBorder="1" applyAlignment="1">
      <alignment horizontal="right" vertical="center"/>
    </xf>
    <xf numFmtId="0" fontId="1" fillId="0" borderId="1" xfId="0" applyFont="1" applyBorder="1" applyAlignment="1">
      <alignment horizontal="center" vertical="center"/>
    </xf>
    <xf numFmtId="0" fontId="5" fillId="0" borderId="0" xfId="0" applyFont="1" applyAlignment="1">
      <alignment horizontal="center"/>
    </xf>
    <xf numFmtId="49" fontId="0" fillId="0" borderId="1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right" vertical="center"/>
    </xf>
    <xf numFmtId="49" fontId="0" fillId="0" borderId="1" xfId="0" applyNumberFormat="1" applyBorder="1" applyAlignment="1">
      <alignment horizontal="left" vertical="center"/>
    </xf>
    <xf numFmtId="1" fontId="0" fillId="0" borderId="1" xfId="0" applyNumberFormat="1" applyBorder="1" applyAlignment="1">
      <alignment horizontal="center" vertical="center"/>
    </xf>
    <xf numFmtId="0" fontId="0" fillId="4" borderId="0" xfId="0" applyFill="1" applyAlignment="1">
      <alignment horizontal="right" vertical="center" indent="1"/>
    </xf>
    <xf numFmtId="0" fontId="0" fillId="4" borderId="0" xfId="0" applyFill="1"/>
    <xf numFmtId="0" fontId="3" fillId="0" borderId="25" xfId="0" applyFont="1" applyFill="1" applyBorder="1"/>
    <xf numFmtId="4" fontId="3" fillId="0" borderId="7" xfId="0" applyNumberFormat="1" applyFont="1" applyFill="1" applyBorder="1"/>
    <xf numFmtId="3" fontId="3" fillId="0" borderId="7" xfId="0" applyNumberFormat="1" applyFont="1" applyFill="1" applyBorder="1"/>
    <xf numFmtId="3" fontId="3" fillId="0" borderId="26" xfId="0" applyNumberFormat="1" applyFont="1" applyFill="1" applyBorder="1"/>
    <xf numFmtId="0" fontId="9" fillId="0" borderId="22" xfId="0" quotePrefix="1" applyFont="1" applyFill="1" applyBorder="1" applyAlignment="1">
      <alignment horizontal="center" vertical="center"/>
    </xf>
    <xf numFmtId="0" fontId="9" fillId="0" borderId="23" xfId="0" quotePrefix="1" applyFont="1" applyFill="1" applyBorder="1" applyAlignment="1">
      <alignment horizontal="center" vertical="center"/>
    </xf>
    <xf numFmtId="0" fontId="9" fillId="0" borderId="24" xfId="0" quotePrefix="1" applyFont="1" applyFill="1" applyBorder="1" applyAlignment="1">
      <alignment horizontal="center" vertical="center"/>
    </xf>
    <xf numFmtId="0" fontId="3" fillId="0" borderId="19" xfId="0" applyFont="1" applyFill="1" applyBorder="1" applyAlignment="1">
      <alignment horizontal="center" vertical="center" wrapText="1"/>
    </xf>
    <xf numFmtId="0" fontId="3" fillId="0" borderId="20" xfId="0" applyFont="1" applyFill="1" applyBorder="1" applyAlignment="1">
      <alignment horizontal="center" vertical="center" wrapText="1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14" fontId="0" fillId="0" borderId="0" xfId="0" applyNumberFormat="1" applyAlignment="1">
      <alignment horizontal="center"/>
    </xf>
    <xf numFmtId="0" fontId="0" fillId="0" borderId="27" xfId="0" applyFont="1" applyBorder="1"/>
    <xf numFmtId="0" fontId="0" fillId="5" borderId="0" xfId="0" applyFont="1" applyFill="1" applyBorder="1"/>
    <xf numFmtId="0" fontId="3" fillId="4" borderId="0" xfId="0" applyFont="1" applyFill="1" applyAlignment="1">
      <alignment horizontal="center" vertical="center"/>
    </xf>
    <xf numFmtId="0" fontId="0" fillId="0" borderId="0" xfId="0" applyFill="1" applyBorder="1"/>
    <xf numFmtId="0" fontId="0" fillId="0" borderId="6" xfId="0" applyFill="1" applyBorder="1" applyAlignment="1">
      <alignment horizontal="left" vertical="center"/>
    </xf>
    <xf numFmtId="14" fontId="0" fillId="0" borderId="6" xfId="0" applyNumberFormat="1" applyFill="1" applyBorder="1" applyAlignment="1">
      <alignment horizontal="center" vertical="center"/>
    </xf>
    <xf numFmtId="14" fontId="0" fillId="0" borderId="2" xfId="0" applyNumberFormat="1" applyFill="1" applyBorder="1" applyAlignment="1">
      <alignment horizontal="center" vertical="center"/>
    </xf>
    <xf numFmtId="0" fontId="10" fillId="4" borderId="0" xfId="0" applyFont="1" applyFill="1" applyBorder="1"/>
    <xf numFmtId="0" fontId="0" fillId="0" borderId="0" xfId="0" applyFill="1" applyAlignment="1"/>
    <xf numFmtId="0" fontId="0" fillId="4" borderId="0" xfId="0" applyFill="1" applyBorder="1" applyAlignment="1">
      <alignment horizontal="center"/>
    </xf>
    <xf numFmtId="0" fontId="0" fillId="0" borderId="0" xfId="0" applyFont="1" applyBorder="1"/>
    <xf numFmtId="0" fontId="13" fillId="0" borderId="0" xfId="0" applyFont="1" applyBorder="1"/>
    <xf numFmtId="0" fontId="0" fillId="0" borderId="2" xfId="0" applyBorder="1" applyAlignment="1">
      <alignment horizontal="center" vertical="center"/>
    </xf>
    <xf numFmtId="0" fontId="0" fillId="0" borderId="6" xfId="0" applyBorder="1"/>
    <xf numFmtId="14" fontId="0" fillId="0" borderId="6" xfId="0" applyNumberFormat="1" applyBorder="1" applyAlignment="1">
      <alignment horizontal="center"/>
    </xf>
    <xf numFmtId="0" fontId="0" fillId="0" borderId="18" xfId="0" applyBorder="1"/>
    <xf numFmtId="0" fontId="0" fillId="0" borderId="2" xfId="0" applyBorder="1"/>
    <xf numFmtId="0" fontId="0" fillId="0" borderId="16" xfId="0" applyBorder="1"/>
    <xf numFmtId="0" fontId="3" fillId="0" borderId="0" xfId="0" applyFont="1" applyAlignment="1">
      <alignment wrapText="1"/>
    </xf>
    <xf numFmtId="0" fontId="3" fillId="3" borderId="3" xfId="0" applyFont="1" applyFill="1" applyBorder="1" applyAlignment="1">
      <alignment wrapText="1"/>
    </xf>
    <xf numFmtId="0" fontId="3" fillId="3" borderId="6" xfId="0" applyFont="1" applyFill="1" applyBorder="1" applyAlignment="1">
      <alignment wrapText="1"/>
    </xf>
    <xf numFmtId="0" fontId="3" fillId="3" borderId="8" xfId="0" applyFont="1" applyFill="1" applyBorder="1" applyAlignment="1">
      <alignment wrapText="1"/>
    </xf>
    <xf numFmtId="0" fontId="6" fillId="0" borderId="0" xfId="0" applyFont="1" applyAlignment="1">
      <alignment horizontal="right"/>
    </xf>
    <xf numFmtId="4" fontId="0" fillId="0" borderId="0" xfId="0" applyNumberFormat="1"/>
    <xf numFmtId="0" fontId="0" fillId="0" borderId="0" xfId="0" applyAlignment="1">
      <alignment horizontal="right"/>
    </xf>
    <xf numFmtId="4" fontId="0" fillId="0" borderId="0" xfId="0" applyNumberFormat="1" applyBorder="1"/>
    <xf numFmtId="0" fontId="0" fillId="0" borderId="0" xfId="0" applyBorder="1" applyAlignment="1">
      <alignment horizontal="right"/>
    </xf>
    <xf numFmtId="4" fontId="0" fillId="0" borderId="29" xfId="0" applyNumberFormat="1" applyBorder="1"/>
    <xf numFmtId="4" fontId="14" fillId="3" borderId="7" xfId="1" applyNumberFormat="1" applyFont="1" applyFill="1" applyBorder="1"/>
    <xf numFmtId="0" fontId="3" fillId="3" borderId="7" xfId="0" applyFont="1" applyFill="1" applyBorder="1"/>
    <xf numFmtId="4" fontId="14" fillId="3" borderId="26" xfId="1" applyNumberFormat="1" applyFont="1" applyFill="1" applyBorder="1" applyAlignment="1">
      <alignment horizontal="right"/>
    </xf>
    <xf numFmtId="0" fontId="6" fillId="3" borderId="30" xfId="0" quotePrefix="1" applyFont="1" applyFill="1" applyBorder="1" applyAlignment="1">
      <alignment horizontal="center"/>
    </xf>
    <xf numFmtId="0" fontId="6" fillId="3" borderId="31" xfId="0" quotePrefix="1" applyFont="1" applyFill="1" applyBorder="1" applyAlignment="1">
      <alignment horizontal="center"/>
    </xf>
    <xf numFmtId="0" fontId="6" fillId="3" borderId="32" xfId="0" quotePrefix="1" applyFont="1" applyFill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1" fillId="0" borderId="10" xfId="0" applyFont="1" applyFill="1" applyBorder="1" applyAlignment="1">
      <alignment horizontal="center" vertical="center"/>
    </xf>
    <xf numFmtId="0" fontId="3" fillId="0" borderId="11" xfId="0" applyFont="1" applyFill="1" applyBorder="1" applyAlignment="1">
      <alignment vertical="center"/>
    </xf>
    <xf numFmtId="0" fontId="3" fillId="0" borderId="9" xfId="0" applyFont="1" applyFill="1" applyBorder="1" applyAlignment="1">
      <alignment vertical="center"/>
    </xf>
    <xf numFmtId="0" fontId="3" fillId="0" borderId="14" xfId="0" applyFont="1" applyFill="1" applyBorder="1" applyAlignment="1">
      <alignment vertical="center"/>
    </xf>
    <xf numFmtId="0" fontId="1" fillId="0" borderId="12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2" fillId="0" borderId="12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1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vertical="center"/>
    </xf>
    <xf numFmtId="0" fontId="1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vertical="center"/>
    </xf>
    <xf numFmtId="0" fontId="1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4" xfId="0" applyFont="1" applyBorder="1" applyAlignment="1">
      <alignment vertical="center"/>
    </xf>
    <xf numFmtId="0" fontId="1" fillId="0" borderId="3" xfId="0" applyFont="1" applyFill="1" applyBorder="1" applyAlignment="1">
      <alignment horizontal="center" vertical="center" wrapText="1"/>
    </xf>
    <xf numFmtId="0" fontId="3" fillId="0" borderId="4" xfId="0" applyFont="1" applyFill="1" applyBorder="1" applyAlignment="1">
      <alignment vertical="center"/>
    </xf>
    <xf numFmtId="0" fontId="1" fillId="0" borderId="1" xfId="0" applyFont="1" applyBorder="1" applyAlignment="1">
      <alignment horizontal="center" vertical="center" wrapText="1"/>
    </xf>
    <xf numFmtId="0" fontId="0" fillId="4" borderId="0" xfId="0" applyFill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0" fillId="6" borderId="16" xfId="0" applyFill="1" applyBorder="1" applyAlignment="1">
      <alignment horizontal="left" vertical="top"/>
    </xf>
    <xf numFmtId="0" fontId="0" fillId="6" borderId="28" xfId="0" applyFill="1" applyBorder="1" applyAlignment="1">
      <alignment horizontal="left" vertical="top"/>
    </xf>
    <xf numFmtId="0" fontId="0" fillId="6" borderId="15" xfId="0" applyFill="1" applyBorder="1" applyAlignment="1">
      <alignment horizontal="left" vertical="top"/>
    </xf>
    <xf numFmtId="0" fontId="0" fillId="4" borderId="0" xfId="0" applyFill="1" applyBorder="1" applyAlignment="1">
      <alignment horizontal="center"/>
    </xf>
    <xf numFmtId="0" fontId="4" fillId="6" borderId="0" xfId="0" applyFont="1" applyFill="1" applyBorder="1" applyAlignment="1">
      <alignment horizontal="left" vertical="top"/>
    </xf>
    <xf numFmtId="0" fontId="8" fillId="2" borderId="1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8" fillId="2" borderId="21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3" fontId="14" fillId="3" borderId="7" xfId="1" applyNumberFormat="1" applyFont="1" applyFill="1" applyBorder="1"/>
  </cellXfs>
  <cellStyles count="2">
    <cellStyle name="Обычный" xfId="0" builtinId="0"/>
    <cellStyle name="Обычный 4" xfId="1"/>
  </cellStyles>
  <dxfs count="129"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3" formatCode="#,##0"/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d/mm/yyyy"/>
      <alignment horizontal="center" vertical="bottom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9" formatCode="dd/mm/yyyy"/>
      <alignment horizontal="center" vertical="bottom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solid">
          <fgColor indexed="64"/>
          <bgColor theme="4" tint="0.79998168889431442"/>
        </patternFill>
      </fill>
      <alignment horizontal="right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solid">
          <fgColor indexed="64"/>
          <bgColor theme="4" tint="0.79998168889431442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4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solid">
          <fgColor indexed="64"/>
          <bgColor theme="4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border outline="0">
        <left style="thin">
          <color indexed="64"/>
        </left>
        <right style="medium">
          <color indexed="64"/>
        </right>
        <top style="medium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font>
        <strike val="0"/>
        <outline val="0"/>
        <shadow val="0"/>
        <u val="none"/>
        <vertAlign val="baseline"/>
        <sz val="11"/>
        <color theme="0" tint="-0.14999847407452621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border outline="0">
        <bottom style="thin">
          <color theme="4" tint="0.39997558519241921"/>
        </bottom>
      </border>
    </dxf>
    <dxf>
      <border diagonalUp="0" diagonalDown="0" outline="0">
        <left/>
        <right/>
        <top style="thin">
          <color indexed="64"/>
        </top>
        <bottom/>
      </border>
    </dxf>
    <dxf>
      <border diagonalUp="0" diagonalDown="0" outline="0">
        <left/>
        <right/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lef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187686</xdr:colOff>
      <xdr:row>0</xdr:row>
      <xdr:rowOff>136823</xdr:rowOff>
    </xdr:from>
    <xdr:to>
      <xdr:col>4</xdr:col>
      <xdr:colOff>167604</xdr:colOff>
      <xdr:row>2</xdr:row>
      <xdr:rowOff>38288</xdr:rowOff>
    </xdr:to>
    <xdr:sp macro="[0]!Reports.go_onclick" textlink="">
      <xdr:nvSpPr>
        <xdr:cNvPr id="7" name="Стрелка вправо 6"/>
        <xdr:cNvSpPr/>
      </xdr:nvSpPr>
      <xdr:spPr>
        <a:xfrm>
          <a:off x="3845286" y="136823"/>
          <a:ext cx="790904" cy="483851"/>
        </a:xfrm>
        <a:prstGeom prst="rightArrow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500" b="1">
              <a:solidFill>
                <a:sysClr val="windowText" lastClr="000000"/>
              </a:solidFill>
            </a:rPr>
            <a:t>Go</a:t>
          </a:r>
          <a:endParaRPr lang="ru-RU" sz="15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0</xdr:row>
      <xdr:rowOff>0</xdr:rowOff>
    </xdr:from>
    <xdr:to>
      <xdr:col>0</xdr:col>
      <xdr:colOff>1095375</xdr:colOff>
      <xdr:row>0</xdr:row>
      <xdr:rowOff>400050</xdr:rowOff>
    </xdr:to>
    <xdr:sp macro="[0]!Processor.continue" textlink="">
      <xdr:nvSpPr>
        <xdr:cNvPr id="2" name="Стрелка вправо 1"/>
        <xdr:cNvSpPr/>
      </xdr:nvSpPr>
      <xdr:spPr>
        <a:xfrm>
          <a:off x="152400" y="0"/>
          <a:ext cx="942975" cy="400050"/>
        </a:xfrm>
        <a:prstGeom prst="rightArrow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ru-RU" sz="1100">
              <a:solidFill>
                <a:sysClr val="windowText" lastClr="000000"/>
              </a:solidFill>
            </a:rPr>
            <a:t>Разобрать</a:t>
          </a:r>
        </a:p>
      </xdr:txBody>
    </xdr:sp>
    <xdr:clientData/>
  </xdr:twoCellAnchor>
  <xdr:twoCellAnchor>
    <xdr:from>
      <xdr:col>3</xdr:col>
      <xdr:colOff>66676</xdr:colOff>
      <xdr:row>0</xdr:row>
      <xdr:rowOff>28575</xdr:rowOff>
    </xdr:from>
    <xdr:to>
      <xdr:col>3</xdr:col>
      <xdr:colOff>466726</xdr:colOff>
      <xdr:row>0</xdr:row>
      <xdr:rowOff>400050</xdr:rowOff>
    </xdr:to>
    <xdr:sp macro="[0]!send" textlink="">
      <xdr:nvSpPr>
        <xdr:cNvPr id="4" name="Молния 3"/>
        <xdr:cNvSpPr/>
      </xdr:nvSpPr>
      <xdr:spPr>
        <a:xfrm>
          <a:off x="7010401" y="28575"/>
          <a:ext cx="400050" cy="371475"/>
        </a:xfrm>
        <a:prstGeom prst="lightningBolt">
          <a:avLst/>
        </a:prstGeom>
        <a:solidFill>
          <a:schemeClr val="accent1"/>
        </a:solidFill>
        <a:ln>
          <a:noFill/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ru-RU" sz="1100"/>
        </a:p>
      </xdr:txBody>
    </xdr:sp>
    <xdr:clientData/>
  </xdr:twoCellAnchor>
</xdr:wsDr>
</file>

<file path=xl/tables/table1.xml><?xml version="1.0" encoding="utf-8"?>
<table xmlns="http://schemas.openxmlformats.org/spreadsheetml/2006/main" id="2" name="Таблица2" displayName="Таблица2" ref="A3:J4" totalsRowShown="0" headerRowDxfId="128" dataDxfId="126" headerRowBorderDxfId="127" tableBorderDxfId="125" totalsRowBorderDxfId="124">
  <autoFilter ref="A3:J4"/>
  <tableColumns count="10">
    <tableColumn id="1" name="1" dataDxfId="123"/>
    <tableColumn id="2" name="2" dataDxfId="122"/>
    <tableColumn id="5" name="3" dataDxfId="121"/>
    <tableColumn id="6" name="4" dataDxfId="120"/>
    <tableColumn id="7" name="5" dataDxfId="119"/>
    <tableColumn id="10" name="6" dataDxfId="118"/>
    <tableColumn id="11" name="7" dataDxfId="117"/>
    <tableColumn id="12" name="8" dataDxfId="116"/>
    <tableColumn id="13" name="9" dataDxfId="115"/>
    <tableColumn id="14" name="10" dataDxfId="11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Таблица22" displayName="Таблица22" ref="A4:P5" totalsRowShown="0" headerRowDxfId="113" dataDxfId="111" headerRowBorderDxfId="112" tableBorderDxfId="110" totalsRowBorderDxfId="109">
  <autoFilter ref="A4:P5"/>
  <tableColumns count="16">
    <tableColumn id="1" name="1" dataDxfId="108"/>
    <tableColumn id="2" name="2" dataDxfId="107"/>
    <tableColumn id="3" name="3" dataDxfId="106"/>
    <tableColumn id="4" name="4" dataDxfId="105"/>
    <tableColumn id="5" name="5" dataDxfId="104"/>
    <tableColumn id="6" name="6" dataDxfId="103"/>
    <tableColumn id="7" name="7" dataDxfId="102"/>
    <tableColumn id="8" name="8" dataDxfId="101"/>
    <tableColumn id="9" name="9" dataDxfId="100"/>
    <tableColumn id="10" name="10" dataDxfId="99"/>
    <tableColumn id="11" name="11" dataDxfId="98"/>
    <tableColumn id="12" name="12" dataDxfId="97"/>
    <tableColumn id="13" name="13" dataDxfId="96"/>
    <tableColumn id="14" name="14" dataDxfId="95"/>
    <tableColumn id="15" name="15" dataDxfId="94"/>
    <tableColumn id="16" name="16" dataDxfId="9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Таблица24" displayName="Таблица24" ref="A2:I3" totalsRowShown="0" headerRowDxfId="92" dataDxfId="90" headerRowBorderDxfId="91" tableBorderDxfId="89" totalsRowBorderDxfId="88">
  <autoFilter ref="A2:I3">
    <filterColumn colId="1"/>
  </autoFilter>
  <tableColumns count="9">
    <tableColumn id="1" name="1" dataDxfId="87"/>
    <tableColumn id="3" name="2" dataDxfId="86"/>
    <tableColumn id="2" name="3" dataDxfId="85"/>
    <tableColumn id="5" name="4" dataDxfId="84"/>
    <tableColumn id="6" name="5" dataDxfId="83"/>
    <tableColumn id="7" name="6" dataDxfId="82"/>
    <tableColumn id="10" name="7" dataDxfId="81"/>
    <tableColumn id="11" name="8" dataDxfId="80"/>
    <tableColumn id="12" name="9" dataDxfId="7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6" name="Таблица225" displayName="Таблица225" ref="A3:R4" totalsRowShown="0" headerRowDxfId="78" dataDxfId="76" headerRowBorderDxfId="77" tableBorderDxfId="75" totalsRowBorderDxfId="74">
  <autoFilter ref="A3:R4">
    <filterColumn colId="1"/>
    <filterColumn colId="2"/>
    <filterColumn colId="3"/>
    <filterColumn colId="4"/>
    <filterColumn colId="5"/>
    <filterColumn colId="6"/>
    <filterColumn colId="7"/>
    <filterColumn colId="8"/>
    <filterColumn colId="9"/>
    <filterColumn colId="10"/>
    <filterColumn colId="11"/>
    <filterColumn colId="12"/>
    <filterColumn colId="13"/>
    <filterColumn colId="14"/>
    <filterColumn colId="15"/>
    <filterColumn colId="16"/>
    <filterColumn colId="17"/>
  </autoFilter>
  <tableColumns count="18">
    <tableColumn id="1" name="1" dataDxfId="73"/>
    <tableColumn id="20" name="2" dataDxfId="72"/>
    <tableColumn id="19" name="3" dataDxfId="71"/>
    <tableColumn id="18" name="4" dataDxfId="70"/>
    <tableColumn id="17" name="5" dataDxfId="69"/>
    <tableColumn id="23" name="6" dataDxfId="68"/>
    <tableColumn id="22" name="7" dataDxfId="67"/>
    <tableColumn id="21" name="8" dataDxfId="66"/>
    <tableColumn id="28" name="9" dataDxfId="65"/>
    <tableColumn id="29" name="10" dataDxfId="64"/>
    <tableColumn id="27" name="11" dataDxfId="63"/>
    <tableColumn id="26" name="12" dataDxfId="62"/>
    <tableColumn id="25" name="13" dataDxfId="61"/>
    <tableColumn id="5" name="14" dataDxfId="60"/>
    <tableColumn id="4" name="15" dataDxfId="59"/>
    <tableColumn id="3" name="16" dataDxfId="58"/>
    <tableColumn id="2" name="17" dataDxfId="57"/>
    <tableColumn id="24" name="18" dataDxfId="5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9" name="Menu" displayName="Menu" ref="D2:E11" totalsRowShown="0">
  <autoFilter ref="D2:E11"/>
  <tableColumns count="2">
    <tableColumn id="1" name="Code"/>
    <tableColumn id="2" name="Action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10" name="Actions" displayName="Actions" ref="G2:J15" totalsRowShown="0">
  <autoFilter ref="G2:J15">
    <filterColumn colId="3"/>
  </autoFilter>
  <tableColumns count="4">
    <tableColumn id="1" name="Code"/>
    <tableColumn id="2" name="Type"/>
    <tableColumn id="3" name="ActionCode"/>
    <tableColumn id="4" name="AfterAction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11" name="Programs" displayName="Programs" ref="V2:Z8" totalsRowShown="0">
  <autoFilter ref="V2:Z8">
    <filterColumn colId="1"/>
    <filterColumn colId="2"/>
    <filterColumn colId="3"/>
  </autoFilter>
  <tableColumns count="5">
    <tableColumn id="1" name="Code"/>
    <tableColumn id="3" name="Type"/>
    <tableColumn id="4" name="isConnect"/>
    <tableColumn id="5" name="ReturnType"/>
    <tableColumn id="2" name="Routin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12" name="Reports" displayName="Reports" ref="L2:Q14" totalsRowShown="0">
  <autoFilter ref="L2:Q14">
    <filterColumn colId="3"/>
    <filterColumn colId="4"/>
  </autoFilter>
  <tableColumns count="6">
    <tableColumn id="1" name="Code"/>
    <tableColumn id="2" name="TemplateSheetName"/>
    <tableColumn id="3" name="NewSheetName"/>
    <tableColumn id="5" name="CreateMode"/>
    <tableColumn id="6" name="Program"/>
    <tableColumn id="4" name="ReportType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3" name="SubReports" displayName="SubReports" ref="S2:T7" totalsRowShown="0">
  <autoFilter ref="S2:T7"/>
  <tableColumns count="2">
    <tableColumn id="1" name="Code"/>
    <tableColumn id="2" name="SubCod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4" name="GeneralOptions" displayName="GeneralOptions" ref="A2:B8" headerRowBorderDxfId="55" tableBorderDxfId="54" totalsRowBorderDxfId="53">
  <autoFilter ref="A2:B8"/>
  <tableColumns count="2">
    <tableColumn id="1" name="Key" totalsRowLabel="Итог" totalsRowDxfId="52"/>
    <tableColumn id="2" name="Value" totalsRowFunction="count" totalsRowDxfId="51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7" name="ActionTypes" displayName="ActionTypes" ref="AJ2:AJ4" totalsRowShown="0" tableBorderDxfId="50">
  <autoFilter ref="AJ2:AJ4"/>
  <tableColumns count="1">
    <tableColumn id="1" name="Cod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8" name="CreateModes" displayName="CreateModes" ref="AL2:AL4" totalsRowShown="0">
  <autoFilter ref="AL2:AL4"/>
  <tableColumns count="1">
    <tableColumn id="1" name="Code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20" name="ReportTypes" displayName="ReportTypes" ref="AN2:AN4" totalsRowShown="0">
  <autoFilter ref="AN2:AN4"/>
  <tableColumns count="1">
    <tableColumn id="1" name="Code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15" name="ProgramTypes" displayName="ProgramTypes" ref="AP2:AP4" totalsRowShown="0">
  <autoFilter ref="AP2:AP4"/>
  <tableColumns count="1">
    <tableColumn id="1" name="Code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19" name="ParamPurpose" displayName="ParamPurpose" ref="AR2:AR3" totalsRowShown="0">
  <autoFilter ref="AR2:AR3"/>
  <tableColumns count="1">
    <tableColumn id="1" name="Code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21" name="ReturnTypes" displayName="ReturnTypes" ref="AT2:AT3" totalsRowShown="0">
  <autoFilter ref="AT2:AT3"/>
  <tableColumns count="1">
    <tableColumn id="1" name="Code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23" name="Direction" displayName="Direction" ref="AV2:AV4" totalsRowShown="0">
  <autoFilter ref="AV2:AV4"/>
  <tableColumns count="1">
    <tableColumn id="1" name="Code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22" name="Parameters" displayName="Parameters" ref="AB2:AH13" totalsRowShown="0">
  <autoFilter ref="AB2:AH13">
    <filterColumn colId="5"/>
    <filterColumn colId="6"/>
  </autoFilter>
  <tableColumns count="7">
    <tableColumn id="1" name="Program" dataDxfId="49"/>
    <tableColumn id="2" name="Name"/>
    <tableColumn id="3" name="Direction"/>
    <tableColumn id="4" name="Source"/>
    <tableColumn id="5" name="Required"/>
    <tableColumn id="6" name="Size"/>
    <tableColumn id="7" name="output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24" name="YesNo" displayName="YesNo" ref="AX2:AX4" totalsRowShown="0">
  <autoFilter ref="AX2:AX4"/>
  <tableColumns count="1">
    <tableColumn id="1" name="Code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7" name="AfterAction" displayName="AfterAction" ref="AZ2:AZ3" totalsRowShown="0">
  <autoFilter ref="AZ2:AZ3"/>
  <tableColumns count="1">
    <tableColumn id="1" name="Code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id="16" name="Таблица16" displayName="Таблица16" ref="C3:C5" totalsRowShown="0" headerRowDxfId="48" dataDxfId="47" tableBorderDxfId="46">
  <tableColumns count="1">
    <tableColumn id="1" name="Столбец1" dataDxfId="45"/>
  </tableColumns>
  <tableStyleInfo name="TableStyleMedium2" showFirstColumn="0" showLastColumn="0" showRowStripes="0" showColumnStripes="0"/>
</table>
</file>

<file path=xl/tables/table22.xml><?xml version="1.0" encoding="utf-8"?>
<table xmlns="http://schemas.openxmlformats.org/spreadsheetml/2006/main" id="5" name="Таблица5" displayName="Таблица5" ref="A3:G4" totalsRowShown="0" headerRowDxfId="44" dataDxfId="42" headerRowBorderDxfId="43" tableBorderDxfId="41">
  <autoFilter ref="A3:G4"/>
  <tableColumns count="7">
    <tableColumn id="1" name="010" dataDxfId="40"/>
    <tableColumn id="2" name="020" dataDxfId="39"/>
    <tableColumn id="3" name="025" dataDxfId="38"/>
    <tableColumn id="4" name="030" dataDxfId="37"/>
    <tableColumn id="5" name="040" dataDxfId="36"/>
    <tableColumn id="6" name="045" dataDxfId="35"/>
    <tableColumn id="7" name="050" dataDxfId="34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id="33" name="ndfl6_recalc_prev_year" displayName="ndfl6_recalc_prev_year" ref="D12:E12" headerRowCount="0" totalsRowShown="0">
  <tableColumns count="2">
    <tableColumn id="1" name="Столбец1"/>
    <tableColumn id="2" name="Столбец2" headerRowDxfId="33" dataDxfId="32"/>
  </tableColumns>
  <tableStyleInfo showFirstColumn="0" showLastColumn="0" showRowStripes="0" showColumnStripes="0"/>
</table>
</file>

<file path=xl/tables/table24.xml><?xml version="1.0" encoding="utf-8"?>
<table xmlns="http://schemas.openxmlformats.org/spreadsheetml/2006/main" id="32" name="ndfl6_part1_general_recalc_curr" displayName="ndfl6_part1_general_recalc_curr" ref="D9:E9" headerRowCount="0" totalsRowShown="0">
  <tableColumns count="2">
    <tableColumn id="1" name="Столбец1"/>
    <tableColumn id="2" name="Столбец2" headerRowDxfId="31" dataDxfId="30"/>
  </tableColumns>
  <tableStyleInfo showFirstColumn="0" showLastColumn="0" showRowStripes="0" showColumnStripes="0"/>
</table>
</file>

<file path=xl/tables/table25.xml><?xml version="1.0" encoding="utf-8"?>
<table xmlns="http://schemas.openxmlformats.org/spreadsheetml/2006/main" id="4" name="Таблица4" displayName="Таблица4" ref="B5:E5" headerRowCount="0" totalsRowShown="0" headerRowDxfId="29" tableBorderDxfId="28" totalsRowBorderDxfId="27">
  <tableColumns count="4">
    <tableColumn id="1" name="Столбец1" headerRowDxfId="26" dataDxfId="0" dataCellStyle="Обычный 4"/>
    <tableColumn id="2" name="Столбец2" headerRowDxfId="25" dataDxfId="24" headerRowCellStyle="Обычный 4" dataCellStyle="Обычный 4"/>
    <tableColumn id="3" name="Столбец3" headerRowDxfId="23" dataDxfId="22"/>
    <tableColumn id="4" name="Столбец4" headerRowDxfId="21" dataDxfId="20" headerRowCellStyle="Обычный 4" dataCellStyle="Обычный 4"/>
  </tableColumns>
  <tableStyleInfo name="TableStyleLight1" showFirstColumn="0" showLastColumn="0" showRowStripes="0" showColumnStripes="0"/>
</table>
</file>

<file path=xl/tables/table26.xml><?xml version="1.0" encoding="utf-8"?>
<table xmlns="http://schemas.openxmlformats.org/spreadsheetml/2006/main" id="8" name="Таблица8" displayName="Таблица8" ref="A1:D2" insertRow="1" totalsRowShown="0" headerRowDxfId="19" headerRowBorderDxfId="18" tableBorderDxfId="17" totalsRowBorderDxfId="16">
  <autoFilter ref="A1:D2">
    <filterColumn colId="2"/>
    <filterColumn colId="3"/>
  </autoFilter>
  <tableColumns count="4">
    <tableColumn id="1" name="ФИО" dataDxfId="15"/>
    <tableColumn id="5" name="Дата рождения" dataDxfId="14"/>
    <tableColumn id="2" name="Снилс"/>
    <tableColumn id="3" name="ИНН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id="25" name="Таблица8526" displayName="Таблица8526" ref="A1:I2" totalsRowShown="0" headerRowDxfId="13" headerRowBorderDxfId="12" tableBorderDxfId="11" totalsRowBorderDxfId="10">
  <autoFilter ref="A1:I2">
    <filterColumn colId="0"/>
    <filterColumn colId="1"/>
    <filterColumn colId="2"/>
    <filterColumn colId="4"/>
    <filterColumn colId="5"/>
    <filterColumn colId="6"/>
    <filterColumn colId="7"/>
    <filterColumn colId="8"/>
  </autoFilter>
  <tableColumns count="9">
    <tableColumn id="7" name="Фамилия" dataDxfId="9"/>
    <tableColumn id="6" name="Имя" dataDxfId="8"/>
    <tableColumn id="4" name="Отчество" dataDxfId="7"/>
    <tableColumn id="5" name="Дата рождения" dataDxfId="6"/>
    <tableColumn id="3" name="ИНН" dataDxfId="5"/>
    <tableColumn id="1" name="Участник/Не участник" dataDxfId="4"/>
    <tableColumn id="2" name="Доход" dataDxfId="3"/>
    <tableColumn id="8" name="Пенсионные схемы" dataDxfId="2"/>
    <tableColumn id="9" name="Типы дохода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0.xml"/><Relationship Id="rId13" Type="http://schemas.openxmlformats.org/officeDocument/2006/relationships/table" Target="../tables/table15.xml"/><Relationship Id="rId18" Type="http://schemas.openxmlformats.org/officeDocument/2006/relationships/table" Target="../tables/table20.xml"/><Relationship Id="rId3" Type="http://schemas.openxmlformats.org/officeDocument/2006/relationships/table" Target="../tables/table5.xml"/><Relationship Id="rId7" Type="http://schemas.openxmlformats.org/officeDocument/2006/relationships/table" Target="../tables/table9.xml"/><Relationship Id="rId12" Type="http://schemas.openxmlformats.org/officeDocument/2006/relationships/table" Target="../tables/table14.xml"/><Relationship Id="rId17" Type="http://schemas.openxmlformats.org/officeDocument/2006/relationships/table" Target="../tables/table19.xml"/><Relationship Id="rId2" Type="http://schemas.openxmlformats.org/officeDocument/2006/relationships/vmlDrawing" Target="../drawings/vmlDrawing1.vml"/><Relationship Id="rId16" Type="http://schemas.openxmlformats.org/officeDocument/2006/relationships/table" Target="../tables/table18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8.xml"/><Relationship Id="rId11" Type="http://schemas.openxmlformats.org/officeDocument/2006/relationships/table" Target="../tables/table13.xml"/><Relationship Id="rId5" Type="http://schemas.openxmlformats.org/officeDocument/2006/relationships/table" Target="../tables/table7.xml"/><Relationship Id="rId15" Type="http://schemas.openxmlformats.org/officeDocument/2006/relationships/table" Target="../tables/table17.xml"/><Relationship Id="rId10" Type="http://schemas.openxmlformats.org/officeDocument/2006/relationships/table" Target="../tables/table12.xml"/><Relationship Id="rId19" Type="http://schemas.openxmlformats.org/officeDocument/2006/relationships/comments" Target="../comments1.xml"/><Relationship Id="rId4" Type="http://schemas.openxmlformats.org/officeDocument/2006/relationships/table" Target="../tables/table6.xml"/><Relationship Id="rId9" Type="http://schemas.openxmlformats.org/officeDocument/2006/relationships/table" Target="../tables/table11.xml"/><Relationship Id="rId14" Type="http://schemas.openxmlformats.org/officeDocument/2006/relationships/table" Target="../tables/table1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4.xml"/><Relationship Id="rId2" Type="http://schemas.openxmlformats.org/officeDocument/2006/relationships/table" Target="../tables/table23.xml"/><Relationship Id="rId1" Type="http://schemas.openxmlformats.org/officeDocument/2006/relationships/printerSettings" Target="../printerSettings/printerSettings8.bin"/><Relationship Id="rId4" Type="http://schemas.openxmlformats.org/officeDocument/2006/relationships/table" Target="../tables/table2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7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J4"/>
  <sheetViews>
    <sheetView workbookViewId="0">
      <selection activeCell="A4" sqref="A4"/>
    </sheetView>
  </sheetViews>
  <sheetFormatPr defaultRowHeight="15"/>
  <cols>
    <col min="1" max="1" width="13.5703125" customWidth="1"/>
    <col min="2" max="2" width="12.42578125" customWidth="1"/>
    <col min="3" max="5" width="16.7109375" customWidth="1"/>
    <col min="6" max="7" width="13.5703125" customWidth="1"/>
    <col min="8" max="10" width="16.7109375" customWidth="1"/>
  </cols>
  <sheetData>
    <row r="1" spans="1:10" ht="31.5" customHeight="1">
      <c r="A1" s="79" t="s">
        <v>4</v>
      </c>
      <c r="B1" s="79"/>
      <c r="C1" s="79"/>
      <c r="D1" s="79"/>
      <c r="E1" s="79"/>
      <c r="F1" s="80" t="s">
        <v>23</v>
      </c>
      <c r="G1" s="80"/>
      <c r="H1" s="80"/>
      <c r="I1" s="80"/>
      <c r="J1" s="80"/>
    </row>
    <row r="2" spans="1:10" ht="78" customHeight="1">
      <c r="A2" s="19" t="s">
        <v>0</v>
      </c>
      <c r="B2" s="19" t="s">
        <v>30</v>
      </c>
      <c r="C2" s="20" t="s">
        <v>1</v>
      </c>
      <c r="D2" s="20" t="s">
        <v>2</v>
      </c>
      <c r="E2" s="19" t="s">
        <v>22</v>
      </c>
      <c r="F2" s="21" t="s">
        <v>29</v>
      </c>
      <c r="G2" s="21" t="s">
        <v>33</v>
      </c>
      <c r="H2" s="21" t="s">
        <v>1</v>
      </c>
      <c r="I2" s="21" t="s">
        <v>2</v>
      </c>
      <c r="J2" s="21" t="s">
        <v>22</v>
      </c>
    </row>
    <row r="3" spans="1:10">
      <c r="A3" s="22" t="s">
        <v>7</v>
      </c>
      <c r="B3" s="22" t="s">
        <v>8</v>
      </c>
      <c r="C3" s="22" t="s">
        <v>9</v>
      </c>
      <c r="D3" s="22" t="s">
        <v>10</v>
      </c>
      <c r="E3" s="22" t="s">
        <v>11</v>
      </c>
      <c r="F3" s="23" t="s">
        <v>12</v>
      </c>
      <c r="G3" s="23" t="s">
        <v>13</v>
      </c>
      <c r="H3" s="23" t="s">
        <v>14</v>
      </c>
      <c r="I3" s="23" t="s">
        <v>15</v>
      </c>
      <c r="J3" s="23" t="s">
        <v>16</v>
      </c>
    </row>
    <row r="4" spans="1:10">
      <c r="A4" s="1" t="s">
        <v>28</v>
      </c>
      <c r="B4" s="1"/>
      <c r="C4" s="24"/>
      <c r="D4" s="24"/>
      <c r="E4" s="24"/>
      <c r="F4" s="1"/>
      <c r="G4" s="1"/>
      <c r="H4" s="24"/>
      <c r="I4" s="24"/>
      <c r="J4" s="24"/>
    </row>
  </sheetData>
  <mergeCells count="2">
    <mergeCell ref="A1:E1"/>
    <mergeCell ref="F1:J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P5"/>
  <sheetViews>
    <sheetView workbookViewId="0">
      <selection activeCell="A5" sqref="A5"/>
    </sheetView>
  </sheetViews>
  <sheetFormatPr defaultRowHeight="15"/>
  <cols>
    <col min="1" max="1" width="13.5703125" customWidth="1"/>
    <col min="2" max="2" width="12.42578125" customWidth="1"/>
    <col min="3" max="3" width="20.85546875" customWidth="1"/>
    <col min="4" max="4" width="13.140625" customWidth="1"/>
    <col min="5" max="9" width="16.7109375" customWidth="1"/>
    <col min="10" max="11" width="13.5703125" customWidth="1"/>
    <col min="12" max="16" width="16.7109375" customWidth="1"/>
  </cols>
  <sheetData>
    <row r="1" spans="1:16" ht="31.5" customHeight="1">
      <c r="A1" s="85" t="s">
        <v>4</v>
      </c>
      <c r="B1" s="86"/>
      <c r="C1" s="86"/>
      <c r="D1" s="86"/>
      <c r="E1" s="86"/>
      <c r="F1" s="86"/>
      <c r="G1" s="86"/>
      <c r="H1" s="86"/>
      <c r="I1" s="87"/>
      <c r="J1" s="88" t="s">
        <v>23</v>
      </c>
      <c r="K1" s="89"/>
      <c r="L1" s="89"/>
      <c r="M1" s="89"/>
      <c r="N1" s="89"/>
      <c r="O1" s="89"/>
      <c r="P1" s="90"/>
    </row>
    <row r="2" spans="1:16" ht="24" customHeight="1">
      <c r="A2" s="91" t="s">
        <v>0</v>
      </c>
      <c r="B2" s="93" t="s">
        <v>30</v>
      </c>
      <c r="C2" s="93" t="s">
        <v>3</v>
      </c>
      <c r="D2" s="93" t="s">
        <v>31</v>
      </c>
      <c r="E2" s="95" t="s">
        <v>5</v>
      </c>
      <c r="F2" s="96"/>
      <c r="G2" s="97"/>
      <c r="H2" s="95" t="s">
        <v>6</v>
      </c>
      <c r="I2" s="98"/>
      <c r="J2" s="99" t="s">
        <v>29</v>
      </c>
      <c r="K2" s="99" t="s">
        <v>33</v>
      </c>
      <c r="L2" s="81" t="s">
        <v>5</v>
      </c>
      <c r="M2" s="82"/>
      <c r="N2" s="83"/>
      <c r="O2" s="81" t="s">
        <v>6</v>
      </c>
      <c r="P2" s="84"/>
    </row>
    <row r="3" spans="1:16" ht="38.25" customHeight="1">
      <c r="A3" s="92"/>
      <c r="B3" s="94"/>
      <c r="C3" s="94"/>
      <c r="D3" s="94"/>
      <c r="E3" s="2" t="s">
        <v>1</v>
      </c>
      <c r="F3" s="2" t="s">
        <v>2</v>
      </c>
      <c r="G3" s="18" t="s">
        <v>22</v>
      </c>
      <c r="H3" s="2" t="s">
        <v>1</v>
      </c>
      <c r="I3" s="3" t="s">
        <v>22</v>
      </c>
      <c r="J3" s="100"/>
      <c r="K3" s="100"/>
      <c r="L3" s="4" t="s">
        <v>1</v>
      </c>
      <c r="M3" s="4" t="s">
        <v>2</v>
      </c>
      <c r="N3" s="4" t="s">
        <v>22</v>
      </c>
      <c r="O3" s="4" t="s">
        <v>1</v>
      </c>
      <c r="P3" s="5" t="s">
        <v>22</v>
      </c>
    </row>
    <row r="4" spans="1:16">
      <c r="A4" s="10" t="s">
        <v>7</v>
      </c>
      <c r="B4" s="8" t="s">
        <v>8</v>
      </c>
      <c r="C4" s="8" t="s">
        <v>9</v>
      </c>
      <c r="D4" s="8" t="s">
        <v>10</v>
      </c>
      <c r="E4" s="8" t="s">
        <v>11</v>
      </c>
      <c r="F4" s="8" t="s">
        <v>12</v>
      </c>
      <c r="G4" s="8" t="s">
        <v>13</v>
      </c>
      <c r="H4" s="8" t="s">
        <v>14</v>
      </c>
      <c r="I4" s="8" t="s">
        <v>15</v>
      </c>
      <c r="J4" s="9" t="s">
        <v>16</v>
      </c>
      <c r="K4" s="9" t="s">
        <v>17</v>
      </c>
      <c r="L4" s="9" t="s">
        <v>18</v>
      </c>
      <c r="M4" s="9" t="s">
        <v>19</v>
      </c>
      <c r="N4" s="9" t="s">
        <v>20</v>
      </c>
      <c r="O4" s="9" t="s">
        <v>21</v>
      </c>
      <c r="P4" s="11" t="s">
        <v>24</v>
      </c>
    </row>
    <row r="5" spans="1:16">
      <c r="A5" s="12" t="s">
        <v>34</v>
      </c>
      <c r="B5" s="13"/>
      <c r="C5" s="14"/>
      <c r="D5" s="15"/>
      <c r="E5" s="16"/>
      <c r="F5" s="16"/>
      <c r="G5" s="16"/>
      <c r="H5" s="16"/>
      <c r="I5" s="16"/>
      <c r="J5" s="13"/>
      <c r="K5" s="13"/>
      <c r="L5" s="16"/>
      <c r="M5" s="16"/>
      <c r="N5" s="16"/>
      <c r="O5" s="16"/>
      <c r="P5" s="17"/>
    </row>
  </sheetData>
  <mergeCells count="12">
    <mergeCell ref="L2:N2"/>
    <mergeCell ref="O2:P2"/>
    <mergeCell ref="A1:I1"/>
    <mergeCell ref="J1:P1"/>
    <mergeCell ref="A2:A3"/>
    <mergeCell ref="B2:B3"/>
    <mergeCell ref="C2:C3"/>
    <mergeCell ref="D2:D3"/>
    <mergeCell ref="E2:G2"/>
    <mergeCell ref="H2:I2"/>
    <mergeCell ref="J2:J3"/>
    <mergeCell ref="K2:K3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:I3"/>
  <sheetViews>
    <sheetView workbookViewId="0">
      <selection activeCell="A4" sqref="A4"/>
    </sheetView>
  </sheetViews>
  <sheetFormatPr defaultRowHeight="15"/>
  <cols>
    <col min="1" max="2" width="13.140625" customWidth="1"/>
    <col min="3" max="4" width="15.28515625" customWidth="1"/>
    <col min="5" max="5" width="11.42578125" customWidth="1"/>
    <col min="6" max="6" width="10.5703125" customWidth="1"/>
    <col min="7" max="7" width="20.7109375" customWidth="1"/>
    <col min="8" max="8" width="62" customWidth="1"/>
    <col min="9" max="9" width="99" customWidth="1"/>
  </cols>
  <sheetData>
    <row r="1" spans="1:9" ht="31.5">
      <c r="A1" s="19" t="s">
        <v>36</v>
      </c>
      <c r="B1" s="19" t="s">
        <v>46</v>
      </c>
      <c r="C1" s="19" t="s">
        <v>37</v>
      </c>
      <c r="D1" s="25" t="s">
        <v>38</v>
      </c>
      <c r="E1" s="25" t="s">
        <v>39</v>
      </c>
      <c r="F1" s="19" t="s">
        <v>40</v>
      </c>
      <c r="G1" s="21" t="s">
        <v>41</v>
      </c>
      <c r="H1" s="21" t="s">
        <v>42</v>
      </c>
      <c r="I1" s="21" t="s">
        <v>43</v>
      </c>
    </row>
    <row r="2" spans="1:9">
      <c r="A2" s="22" t="s">
        <v>7</v>
      </c>
      <c r="B2" s="22" t="s">
        <v>8</v>
      </c>
      <c r="C2" s="22" t="s">
        <v>9</v>
      </c>
      <c r="D2" s="22" t="s">
        <v>10</v>
      </c>
      <c r="E2" s="22" t="s">
        <v>11</v>
      </c>
      <c r="F2" s="22" t="s">
        <v>12</v>
      </c>
      <c r="G2" s="23" t="s">
        <v>13</v>
      </c>
      <c r="H2" s="23" t="s">
        <v>14</v>
      </c>
      <c r="I2" s="23" t="s">
        <v>15</v>
      </c>
    </row>
    <row r="3" spans="1:9">
      <c r="A3" s="1" t="s">
        <v>44</v>
      </c>
      <c r="B3" s="27"/>
      <c r="C3" s="27"/>
      <c r="D3" s="28"/>
      <c r="E3" s="27"/>
      <c r="F3" s="27"/>
      <c r="G3" s="24"/>
      <c r="H3" s="29"/>
      <c r="I3" s="29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4"/>
  <dimension ref="A1:R4"/>
  <sheetViews>
    <sheetView workbookViewId="0">
      <selection activeCell="A4" sqref="A4"/>
    </sheetView>
  </sheetViews>
  <sheetFormatPr defaultRowHeight="15"/>
  <cols>
    <col min="1" max="2" width="9.140625" customWidth="1"/>
    <col min="3" max="3" width="13.5703125" customWidth="1"/>
    <col min="4" max="4" width="14.28515625" customWidth="1"/>
    <col min="5" max="6" width="9.140625" customWidth="1"/>
    <col min="7" max="10" width="13.5703125" customWidth="1"/>
    <col min="11" max="11" width="6.7109375" customWidth="1"/>
    <col min="12" max="12" width="13.5703125" customWidth="1"/>
    <col min="13" max="13" width="10.42578125" customWidth="1"/>
    <col min="14" max="14" width="8" customWidth="1"/>
    <col min="15" max="15" width="13.85546875" customWidth="1"/>
    <col min="16" max="18" width="26.42578125" customWidth="1"/>
  </cols>
  <sheetData>
    <row r="1" spans="1:18" ht="31.5" customHeight="1">
      <c r="A1" s="79" t="s">
        <v>60</v>
      </c>
      <c r="B1" s="79"/>
      <c r="C1" s="79"/>
      <c r="D1" s="79"/>
      <c r="E1" s="79" t="s">
        <v>59</v>
      </c>
      <c r="F1" s="79"/>
      <c r="G1" s="79"/>
      <c r="H1" s="79"/>
      <c r="I1" s="79"/>
      <c r="J1" s="79"/>
      <c r="K1" s="101" t="s">
        <v>53</v>
      </c>
      <c r="L1" s="101" t="s">
        <v>54</v>
      </c>
      <c r="M1" s="101" t="s">
        <v>39</v>
      </c>
      <c r="N1" s="101" t="s">
        <v>55</v>
      </c>
      <c r="O1" s="79" t="s">
        <v>61</v>
      </c>
      <c r="P1" s="79"/>
      <c r="Q1" s="79"/>
      <c r="R1" s="79"/>
    </row>
    <row r="2" spans="1:18" ht="31.5">
      <c r="A2" s="19" t="s">
        <v>52</v>
      </c>
      <c r="B2" s="19" t="s">
        <v>58</v>
      </c>
      <c r="C2" s="19" t="s">
        <v>48</v>
      </c>
      <c r="D2" s="19" t="s">
        <v>62</v>
      </c>
      <c r="E2" s="19" t="s">
        <v>51</v>
      </c>
      <c r="F2" s="19" t="s">
        <v>52</v>
      </c>
      <c r="G2" s="19" t="s">
        <v>48</v>
      </c>
      <c r="H2" s="19" t="s">
        <v>62</v>
      </c>
      <c r="I2" s="19" t="s">
        <v>56</v>
      </c>
      <c r="J2" s="19" t="s">
        <v>57</v>
      </c>
      <c r="K2" s="101"/>
      <c r="L2" s="101"/>
      <c r="M2" s="101"/>
      <c r="N2" s="101"/>
      <c r="O2" s="19" t="s">
        <v>63</v>
      </c>
      <c r="P2" s="19" t="s">
        <v>64</v>
      </c>
      <c r="Q2" s="19" t="s">
        <v>65</v>
      </c>
      <c r="R2" s="19" t="s">
        <v>66</v>
      </c>
    </row>
    <row r="3" spans="1:18" ht="15" customHeight="1">
      <c r="A3" s="22" t="s">
        <v>7</v>
      </c>
      <c r="B3" s="22" t="s">
        <v>8</v>
      </c>
      <c r="C3" s="22" t="s">
        <v>9</v>
      </c>
      <c r="D3" s="22" t="s">
        <v>10</v>
      </c>
      <c r="E3" s="22" t="s">
        <v>11</v>
      </c>
      <c r="F3" s="22" t="s">
        <v>12</v>
      </c>
      <c r="G3" s="22" t="s">
        <v>13</v>
      </c>
      <c r="H3" s="22" t="s">
        <v>14</v>
      </c>
      <c r="I3" s="22" t="s">
        <v>15</v>
      </c>
      <c r="J3" s="22" t="s">
        <v>16</v>
      </c>
      <c r="K3" s="22" t="s">
        <v>17</v>
      </c>
      <c r="L3" s="22" t="s">
        <v>18</v>
      </c>
      <c r="M3" s="22" t="s">
        <v>19</v>
      </c>
      <c r="N3" s="22" t="s">
        <v>20</v>
      </c>
      <c r="O3" s="22" t="s">
        <v>21</v>
      </c>
      <c r="P3" s="22" t="s">
        <v>24</v>
      </c>
      <c r="Q3" s="22" t="s">
        <v>49</v>
      </c>
      <c r="R3" s="22" t="s">
        <v>50</v>
      </c>
    </row>
    <row r="4" spans="1:18">
      <c r="A4" s="30" t="s">
        <v>67</v>
      </c>
      <c r="B4" s="30"/>
      <c r="C4" s="1"/>
      <c r="D4" s="27"/>
      <c r="E4" s="30"/>
      <c r="F4" s="30"/>
      <c r="G4" s="1"/>
      <c r="H4" s="27"/>
      <c r="I4" s="24"/>
      <c r="J4" s="24"/>
      <c r="K4" s="30"/>
      <c r="L4" s="30"/>
      <c r="M4" s="30"/>
      <c r="N4" s="30"/>
      <c r="O4" s="30"/>
      <c r="P4" s="29"/>
      <c r="Q4" s="29"/>
      <c r="R4" s="29"/>
    </row>
  </sheetData>
  <mergeCells count="7">
    <mergeCell ref="O1:R1"/>
    <mergeCell ref="A1:D1"/>
    <mergeCell ref="E1:J1"/>
    <mergeCell ref="K1:K2"/>
    <mergeCell ref="L1:L2"/>
    <mergeCell ref="M1:M2"/>
    <mergeCell ref="N1:N2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Settings"/>
  <dimension ref="A1:AZ15"/>
  <sheetViews>
    <sheetView topLeftCell="I1" workbookViewId="0">
      <selection activeCell="L13" sqref="L13"/>
    </sheetView>
  </sheetViews>
  <sheetFormatPr defaultRowHeight="15"/>
  <cols>
    <col min="1" max="2" width="25" customWidth="1"/>
    <col min="3" max="3" width="7.5703125" customWidth="1"/>
    <col min="4" max="4" width="32.42578125" bestFit="1" customWidth="1"/>
    <col min="5" max="5" width="23.85546875" bestFit="1" customWidth="1"/>
    <col min="6" max="6" width="7.5703125" customWidth="1"/>
    <col min="7" max="7" width="21.42578125" customWidth="1"/>
    <col min="8" max="8" width="18.140625" customWidth="1"/>
    <col min="9" max="9" width="23.85546875" bestFit="1" customWidth="1"/>
    <col min="10" max="10" width="23" customWidth="1"/>
    <col min="11" max="11" width="7.5703125" customWidth="1"/>
    <col min="12" max="13" width="30.7109375" bestFit="1" customWidth="1"/>
    <col min="14" max="14" width="32.42578125" bestFit="1" customWidth="1"/>
    <col min="15" max="16" width="16.7109375" customWidth="1"/>
    <col min="17" max="17" width="13.85546875" customWidth="1"/>
    <col min="18" max="18" width="7.5703125" customWidth="1"/>
    <col min="19" max="19" width="23" customWidth="1"/>
    <col min="20" max="20" width="30.7109375" bestFit="1" customWidth="1"/>
    <col min="21" max="21" width="7.5703125" customWidth="1"/>
    <col min="22" max="22" width="19.7109375" bestFit="1" customWidth="1"/>
    <col min="23" max="25" width="17.85546875" customWidth="1"/>
    <col min="26" max="26" width="34" bestFit="1" customWidth="1"/>
    <col min="27" max="27" width="7.5703125" customWidth="1"/>
    <col min="28" max="28" width="19.7109375" bestFit="1" customWidth="1"/>
    <col min="29" max="29" width="14.140625" bestFit="1" customWidth="1"/>
    <col min="30" max="30" width="11.28515625" customWidth="1"/>
    <col min="31" max="31" width="11.85546875" bestFit="1" customWidth="1"/>
    <col min="32" max="34" width="13.7109375" customWidth="1"/>
    <col min="35" max="35" width="7.5703125" customWidth="1"/>
    <col min="36" max="36" width="11.85546875" bestFit="1" customWidth="1"/>
    <col min="37" max="37" width="7.5703125" customWidth="1"/>
    <col min="38" max="38" width="13.140625" bestFit="1" customWidth="1"/>
    <col min="39" max="39" width="7.5703125" customWidth="1"/>
    <col min="40" max="40" width="12.140625" bestFit="1" customWidth="1"/>
    <col min="41" max="41" width="7.5703125" customWidth="1"/>
    <col min="42" max="42" width="13.7109375" bestFit="1" customWidth="1"/>
    <col min="43" max="43" width="7.5703125" customWidth="1"/>
    <col min="44" max="44" width="14" bestFit="1" customWidth="1"/>
    <col min="45" max="45" width="7.5703125" customWidth="1"/>
    <col min="46" max="46" width="12.140625" bestFit="1" customWidth="1"/>
    <col min="47" max="47" width="7.5703125" customWidth="1"/>
    <col min="48" max="48" width="13.5703125" customWidth="1"/>
    <col min="49" max="49" width="7.5703125" customWidth="1"/>
    <col min="52" max="52" width="11.28515625" bestFit="1" customWidth="1"/>
  </cols>
  <sheetData>
    <row r="1" spans="1:52" ht="29.25" customHeight="1">
      <c r="A1" s="103" t="s">
        <v>119</v>
      </c>
      <c r="B1" s="103"/>
      <c r="D1" s="102" t="s">
        <v>120</v>
      </c>
      <c r="E1" s="102"/>
      <c r="G1" s="102" t="s">
        <v>115</v>
      </c>
      <c r="H1" s="102"/>
      <c r="I1" s="102"/>
      <c r="J1" s="102"/>
      <c r="L1" s="102" t="s">
        <v>110</v>
      </c>
      <c r="M1" s="102"/>
      <c r="N1" s="102"/>
      <c r="O1" s="102"/>
      <c r="P1" s="102"/>
      <c r="Q1" s="102"/>
      <c r="S1" s="102" t="s">
        <v>116</v>
      </c>
      <c r="T1" s="102"/>
      <c r="V1" s="102" t="s">
        <v>107</v>
      </c>
      <c r="W1" s="102"/>
      <c r="X1" s="102"/>
      <c r="Y1" s="102"/>
      <c r="Z1" s="102"/>
      <c r="AB1" s="102" t="s">
        <v>148</v>
      </c>
      <c r="AC1" s="102"/>
      <c r="AD1" s="102"/>
      <c r="AE1" s="102"/>
      <c r="AF1" s="102"/>
      <c r="AG1" s="102"/>
      <c r="AH1" s="102"/>
      <c r="AJ1" s="47" t="s">
        <v>133</v>
      </c>
      <c r="AL1" s="47" t="s">
        <v>135</v>
      </c>
      <c r="AN1" s="47" t="s">
        <v>137</v>
      </c>
      <c r="AP1" s="47" t="s">
        <v>147</v>
      </c>
      <c r="AR1" s="47" t="s">
        <v>156</v>
      </c>
      <c r="AT1" s="47" t="s">
        <v>157</v>
      </c>
      <c r="AV1" s="47" t="s">
        <v>149</v>
      </c>
      <c r="AX1" s="47" t="s">
        <v>162</v>
      </c>
      <c r="AZ1" s="47" t="s">
        <v>174</v>
      </c>
    </row>
    <row r="2" spans="1:52">
      <c r="A2" s="6" t="s">
        <v>140</v>
      </c>
      <c r="B2" s="6" t="s">
        <v>118</v>
      </c>
      <c r="D2" t="s">
        <v>111</v>
      </c>
      <c r="E2" t="s">
        <v>125</v>
      </c>
      <c r="G2" t="s">
        <v>111</v>
      </c>
      <c r="H2" t="s">
        <v>127</v>
      </c>
      <c r="I2" t="s">
        <v>114</v>
      </c>
      <c r="J2" t="s">
        <v>174</v>
      </c>
      <c r="L2" t="s">
        <v>111</v>
      </c>
      <c r="M2" t="s">
        <v>32</v>
      </c>
      <c r="N2" t="s">
        <v>99</v>
      </c>
      <c r="O2" t="s">
        <v>134</v>
      </c>
      <c r="P2" t="s">
        <v>129</v>
      </c>
      <c r="Q2" t="s">
        <v>121</v>
      </c>
      <c r="S2" t="s">
        <v>111</v>
      </c>
      <c r="T2" t="s">
        <v>117</v>
      </c>
      <c r="V2" t="s">
        <v>111</v>
      </c>
      <c r="W2" t="s">
        <v>127</v>
      </c>
      <c r="X2" t="s">
        <v>144</v>
      </c>
      <c r="Y2" t="s">
        <v>150</v>
      </c>
      <c r="Z2" t="s">
        <v>131</v>
      </c>
      <c r="AB2" t="s">
        <v>129</v>
      </c>
      <c r="AC2" t="s">
        <v>158</v>
      </c>
      <c r="AD2" t="s">
        <v>149</v>
      </c>
      <c r="AE2" t="s">
        <v>159</v>
      </c>
      <c r="AF2" t="s">
        <v>160</v>
      </c>
      <c r="AG2" t="s">
        <v>165</v>
      </c>
      <c r="AH2" t="s">
        <v>173</v>
      </c>
      <c r="AJ2" t="s">
        <v>111</v>
      </c>
      <c r="AL2" t="s">
        <v>111</v>
      </c>
      <c r="AN2" t="s">
        <v>111</v>
      </c>
      <c r="AP2" t="s">
        <v>111</v>
      </c>
      <c r="AR2" t="s">
        <v>111</v>
      </c>
      <c r="AT2" t="s">
        <v>111</v>
      </c>
      <c r="AV2" t="s">
        <v>111</v>
      </c>
      <c r="AX2" t="s">
        <v>111</v>
      </c>
      <c r="AZ2" t="s">
        <v>111</v>
      </c>
    </row>
    <row r="3" spans="1:52">
      <c r="A3" s="6" t="s">
        <v>190</v>
      </c>
      <c r="B3" s="6" t="s">
        <v>191</v>
      </c>
      <c r="D3" t="s">
        <v>26</v>
      </c>
      <c r="E3" t="s">
        <v>28</v>
      </c>
      <c r="G3" t="s">
        <v>28</v>
      </c>
      <c r="H3" t="s">
        <v>108</v>
      </c>
      <c r="I3" t="s">
        <v>28</v>
      </c>
      <c r="L3" t="s">
        <v>28</v>
      </c>
      <c r="M3" t="s">
        <v>28</v>
      </c>
      <c r="N3" t="s">
        <v>26</v>
      </c>
      <c r="O3" t="s">
        <v>132</v>
      </c>
      <c r="P3" t="s">
        <v>130</v>
      </c>
      <c r="Q3" t="s">
        <v>138</v>
      </c>
      <c r="S3" t="s">
        <v>123</v>
      </c>
      <c r="T3" t="s">
        <v>141</v>
      </c>
      <c r="V3" s="6" t="s">
        <v>181</v>
      </c>
      <c r="W3" t="s">
        <v>128</v>
      </c>
      <c r="X3" t="s">
        <v>146</v>
      </c>
      <c r="Z3" t="s">
        <v>183</v>
      </c>
      <c r="AB3" s="6" t="s">
        <v>130</v>
      </c>
      <c r="AC3" t="s">
        <v>168</v>
      </c>
      <c r="AD3" t="s">
        <v>152</v>
      </c>
      <c r="AG3">
        <v>2000</v>
      </c>
      <c r="AH3" t="s">
        <v>146</v>
      </c>
      <c r="AJ3" s="45" t="s">
        <v>108</v>
      </c>
      <c r="AL3" t="s">
        <v>132</v>
      </c>
      <c r="AN3" t="s">
        <v>138</v>
      </c>
      <c r="AP3" t="s">
        <v>128</v>
      </c>
      <c r="AR3" t="s">
        <v>155</v>
      </c>
      <c r="AT3" t="s">
        <v>151</v>
      </c>
      <c r="AV3" t="s">
        <v>153</v>
      </c>
      <c r="AX3" t="s">
        <v>146</v>
      </c>
      <c r="AZ3" t="s">
        <v>175</v>
      </c>
    </row>
    <row r="4" spans="1:52">
      <c r="A4" s="7" t="s">
        <v>105</v>
      </c>
      <c r="B4" s="7" t="s">
        <v>25</v>
      </c>
      <c r="D4" t="s">
        <v>35</v>
      </c>
      <c r="E4" t="s">
        <v>34</v>
      </c>
      <c r="G4" t="s">
        <v>34</v>
      </c>
      <c r="H4" t="s">
        <v>108</v>
      </c>
      <c r="I4" t="s">
        <v>34</v>
      </c>
      <c r="L4" t="s">
        <v>34</v>
      </c>
      <c r="M4" t="s">
        <v>34</v>
      </c>
      <c r="N4" t="s">
        <v>35</v>
      </c>
      <c r="O4" t="s">
        <v>132</v>
      </c>
      <c r="P4" t="s">
        <v>130</v>
      </c>
      <c r="Q4" t="s">
        <v>138</v>
      </c>
      <c r="S4" t="s">
        <v>123</v>
      </c>
      <c r="T4" s="6" t="s">
        <v>203</v>
      </c>
      <c r="V4" s="6" t="s">
        <v>130</v>
      </c>
      <c r="W4" t="s">
        <v>167</v>
      </c>
      <c r="X4" t="s">
        <v>146</v>
      </c>
      <c r="Y4" t="s">
        <v>151</v>
      </c>
      <c r="Z4" s="6" t="s">
        <v>166</v>
      </c>
      <c r="AA4" s="6"/>
      <c r="AB4" s="55" t="s">
        <v>130</v>
      </c>
      <c r="AC4" s="6" t="s">
        <v>161</v>
      </c>
      <c r="AD4" s="6" t="s">
        <v>153</v>
      </c>
      <c r="AE4" s="6" t="s">
        <v>154</v>
      </c>
      <c r="AF4" s="6" t="s">
        <v>146</v>
      </c>
      <c r="AG4" s="6">
        <v>40</v>
      </c>
      <c r="AH4" s="6" t="s">
        <v>145</v>
      </c>
      <c r="AJ4" s="46" t="s">
        <v>109</v>
      </c>
      <c r="AL4" t="s">
        <v>136</v>
      </c>
      <c r="AN4" t="s">
        <v>122</v>
      </c>
      <c r="AP4" t="s">
        <v>167</v>
      </c>
      <c r="AV4" t="s">
        <v>152</v>
      </c>
      <c r="AX4" t="s">
        <v>145</v>
      </c>
    </row>
    <row r="5" spans="1:52">
      <c r="A5" s="7" t="s">
        <v>106</v>
      </c>
      <c r="B5" s="7" t="s">
        <v>27</v>
      </c>
      <c r="D5" t="s">
        <v>45</v>
      </c>
      <c r="E5" t="s">
        <v>44</v>
      </c>
      <c r="G5" t="s">
        <v>44</v>
      </c>
      <c r="H5" t="s">
        <v>108</v>
      </c>
      <c r="I5" t="s">
        <v>44</v>
      </c>
      <c r="L5" t="s">
        <v>44</v>
      </c>
      <c r="M5" t="s">
        <v>44</v>
      </c>
      <c r="N5" t="s">
        <v>45</v>
      </c>
      <c r="O5" t="s">
        <v>132</v>
      </c>
      <c r="P5" t="s">
        <v>130</v>
      </c>
      <c r="Q5" t="s">
        <v>138</v>
      </c>
      <c r="S5" t="s">
        <v>123</v>
      </c>
      <c r="T5" s="6" t="s">
        <v>204</v>
      </c>
      <c r="V5" s="6" t="s">
        <v>171</v>
      </c>
      <c r="W5" t="s">
        <v>128</v>
      </c>
      <c r="X5" s="6" t="s">
        <v>145</v>
      </c>
      <c r="Y5" s="6"/>
      <c r="Z5" s="6" t="s">
        <v>172</v>
      </c>
      <c r="AB5" s="55" t="s">
        <v>130</v>
      </c>
      <c r="AC5" s="6" t="s">
        <v>169</v>
      </c>
      <c r="AD5" s="6" t="s">
        <v>153</v>
      </c>
      <c r="AE5" s="6" t="s">
        <v>163</v>
      </c>
      <c r="AF5" s="6" t="s">
        <v>146</v>
      </c>
      <c r="AG5" s="6">
        <v>20</v>
      </c>
      <c r="AH5" s="6" t="s">
        <v>145</v>
      </c>
    </row>
    <row r="6" spans="1:52">
      <c r="A6" s="6" t="s">
        <v>126</v>
      </c>
      <c r="B6" s="6" t="str">
        <f>VLOOKUP(ReportSelected,Menu[],2,FALSE)</f>
        <v>ndfl6_part1_general</v>
      </c>
      <c r="D6" t="s">
        <v>68</v>
      </c>
      <c r="E6" t="s">
        <v>67</v>
      </c>
      <c r="G6" t="s">
        <v>67</v>
      </c>
      <c r="H6" t="s">
        <v>108</v>
      </c>
      <c r="I6" t="s">
        <v>67</v>
      </c>
      <c r="L6" t="s">
        <v>67</v>
      </c>
      <c r="M6" t="s">
        <v>67</v>
      </c>
      <c r="N6" t="s">
        <v>68</v>
      </c>
      <c r="O6" t="s">
        <v>132</v>
      </c>
      <c r="P6" t="s">
        <v>130</v>
      </c>
      <c r="Q6" t="s">
        <v>138</v>
      </c>
      <c r="S6" s="6" t="s">
        <v>78</v>
      </c>
      <c r="T6" s="6" t="s">
        <v>143</v>
      </c>
      <c r="V6" s="6" t="s">
        <v>176</v>
      </c>
      <c r="W6" t="s">
        <v>128</v>
      </c>
      <c r="X6" t="s">
        <v>145</v>
      </c>
      <c r="Y6" s="6"/>
      <c r="Z6" t="s">
        <v>177</v>
      </c>
      <c r="AB6" s="55" t="s">
        <v>130</v>
      </c>
      <c r="AC6" s="6" t="s">
        <v>170</v>
      </c>
      <c r="AD6" s="6" t="s">
        <v>153</v>
      </c>
      <c r="AE6" s="6" t="s">
        <v>164</v>
      </c>
      <c r="AF6" s="6" t="s">
        <v>146</v>
      </c>
      <c r="AG6" s="6">
        <v>20</v>
      </c>
      <c r="AH6" s="6" t="s">
        <v>145</v>
      </c>
    </row>
    <row r="7" spans="1:52">
      <c r="A7" s="48" t="s">
        <v>154</v>
      </c>
      <c r="B7" s="6" t="s">
        <v>204</v>
      </c>
      <c r="D7" t="s">
        <v>194</v>
      </c>
      <c r="E7" s="6" t="s">
        <v>192</v>
      </c>
      <c r="G7" t="s">
        <v>123</v>
      </c>
      <c r="H7" t="s">
        <v>108</v>
      </c>
      <c r="I7" t="s">
        <v>123</v>
      </c>
      <c r="L7" t="s">
        <v>123</v>
      </c>
      <c r="M7" t="s">
        <v>123</v>
      </c>
      <c r="N7" t="s">
        <v>77</v>
      </c>
      <c r="O7" t="s">
        <v>132</v>
      </c>
      <c r="Q7" t="s">
        <v>122</v>
      </c>
      <c r="S7" s="6" t="s">
        <v>78</v>
      </c>
      <c r="T7" s="6" t="s">
        <v>142</v>
      </c>
      <c r="V7" s="6" t="s">
        <v>182</v>
      </c>
      <c r="W7" t="s">
        <v>167</v>
      </c>
      <c r="X7" t="s">
        <v>146</v>
      </c>
      <c r="Y7" s="6"/>
      <c r="Z7" s="6" t="s">
        <v>179</v>
      </c>
      <c r="AB7" s="55" t="s">
        <v>171</v>
      </c>
      <c r="AC7" s="6" t="s">
        <v>161</v>
      </c>
      <c r="AD7" s="6" t="s">
        <v>153</v>
      </c>
      <c r="AE7" s="6" t="s">
        <v>154</v>
      </c>
      <c r="AF7" s="6" t="s">
        <v>146</v>
      </c>
      <c r="AG7" s="6">
        <v>40</v>
      </c>
      <c r="AH7" s="6" t="s">
        <v>145</v>
      </c>
    </row>
    <row r="8" spans="1:52">
      <c r="A8" s="6"/>
      <c r="B8" s="6"/>
      <c r="D8" t="s">
        <v>77</v>
      </c>
      <c r="E8" t="s">
        <v>123</v>
      </c>
      <c r="G8" t="s">
        <v>78</v>
      </c>
      <c r="H8" t="s">
        <v>108</v>
      </c>
      <c r="I8" t="s">
        <v>78</v>
      </c>
      <c r="L8" t="s">
        <v>78</v>
      </c>
      <c r="M8" t="s">
        <v>78</v>
      </c>
      <c r="N8" t="s">
        <v>79</v>
      </c>
      <c r="O8" t="s">
        <v>132</v>
      </c>
      <c r="P8" t="s">
        <v>130</v>
      </c>
      <c r="Q8" t="s">
        <v>138</v>
      </c>
      <c r="V8" s="6" t="s">
        <v>192</v>
      </c>
      <c r="W8" t="s">
        <v>167</v>
      </c>
      <c r="X8" t="s">
        <v>146</v>
      </c>
      <c r="Y8" s="6"/>
      <c r="Z8" s="6" t="s">
        <v>193</v>
      </c>
      <c r="AB8" s="56" t="s">
        <v>171</v>
      </c>
      <c r="AC8" s="6" t="s">
        <v>169</v>
      </c>
      <c r="AD8" s="6" t="s">
        <v>153</v>
      </c>
      <c r="AE8" s="6" t="s">
        <v>163</v>
      </c>
      <c r="AF8" s="6" t="s">
        <v>146</v>
      </c>
      <c r="AG8" s="6">
        <v>20</v>
      </c>
      <c r="AH8" s="6" t="s">
        <v>145</v>
      </c>
    </row>
    <row r="9" spans="1:52">
      <c r="A9" s="6"/>
      <c r="B9" s="6"/>
      <c r="D9" t="s">
        <v>79</v>
      </c>
      <c r="E9" t="s">
        <v>78</v>
      </c>
      <c r="G9" t="s">
        <v>112</v>
      </c>
      <c r="H9" t="s">
        <v>108</v>
      </c>
      <c r="I9" t="s">
        <v>188</v>
      </c>
      <c r="J9" t="s">
        <v>175</v>
      </c>
      <c r="L9" t="s">
        <v>189</v>
      </c>
      <c r="M9" t="s">
        <v>187</v>
      </c>
      <c r="N9" t="s">
        <v>100</v>
      </c>
      <c r="O9" t="s">
        <v>132</v>
      </c>
      <c r="P9" t="s">
        <v>130</v>
      </c>
      <c r="Q9" t="s">
        <v>138</v>
      </c>
      <c r="AB9" s="56" t="s">
        <v>171</v>
      </c>
      <c r="AC9" s="6" t="s">
        <v>170</v>
      </c>
      <c r="AD9" s="6" t="s">
        <v>153</v>
      </c>
      <c r="AE9" s="6" t="s">
        <v>164</v>
      </c>
      <c r="AF9" s="6" t="s">
        <v>146</v>
      </c>
      <c r="AG9" s="6">
        <v>20</v>
      </c>
      <c r="AH9" s="6" t="s">
        <v>145</v>
      </c>
    </row>
    <row r="10" spans="1:52">
      <c r="A10" s="6"/>
      <c r="B10" s="6"/>
      <c r="D10" t="s">
        <v>124</v>
      </c>
      <c r="E10" t="s">
        <v>112</v>
      </c>
      <c r="G10" t="s">
        <v>112</v>
      </c>
      <c r="H10" t="s">
        <v>109</v>
      </c>
      <c r="I10" t="s">
        <v>176</v>
      </c>
      <c r="L10" t="s">
        <v>188</v>
      </c>
      <c r="M10" t="s">
        <v>98</v>
      </c>
      <c r="N10" t="s">
        <v>100</v>
      </c>
      <c r="O10" t="s">
        <v>132</v>
      </c>
      <c r="P10" s="6"/>
      <c r="Q10" t="s">
        <v>138</v>
      </c>
      <c r="AB10" s="6" t="s">
        <v>182</v>
      </c>
      <c r="AC10" t="s">
        <v>168</v>
      </c>
      <c r="AD10" t="s">
        <v>152</v>
      </c>
      <c r="AG10">
        <v>2000</v>
      </c>
      <c r="AH10" t="s">
        <v>146</v>
      </c>
    </row>
    <row r="11" spans="1:52">
      <c r="A11" s="6"/>
      <c r="B11" s="6"/>
      <c r="D11" t="s">
        <v>97</v>
      </c>
      <c r="E11" t="s">
        <v>113</v>
      </c>
      <c r="G11" t="s">
        <v>178</v>
      </c>
      <c r="H11" t="s">
        <v>109</v>
      </c>
      <c r="I11" t="s">
        <v>181</v>
      </c>
      <c r="L11" s="6" t="s">
        <v>203</v>
      </c>
      <c r="M11" s="6" t="s">
        <v>205</v>
      </c>
      <c r="N11" s="6" t="s">
        <v>203</v>
      </c>
      <c r="O11" t="s">
        <v>132</v>
      </c>
      <c r="P11" t="s">
        <v>130</v>
      </c>
      <c r="Q11" t="s">
        <v>138</v>
      </c>
      <c r="AB11" s="6" t="s">
        <v>182</v>
      </c>
      <c r="AC11" s="6" t="s">
        <v>180</v>
      </c>
      <c r="AD11" s="6" t="s">
        <v>153</v>
      </c>
      <c r="AE11" s="6" t="s">
        <v>164</v>
      </c>
      <c r="AF11" s="6" t="s">
        <v>146</v>
      </c>
      <c r="AG11" s="6">
        <v>20</v>
      </c>
      <c r="AH11" s="6" t="s">
        <v>145</v>
      </c>
    </row>
    <row r="12" spans="1:52">
      <c r="A12" s="6"/>
      <c r="B12" s="6"/>
      <c r="G12" t="s">
        <v>178</v>
      </c>
      <c r="H12" t="s">
        <v>109</v>
      </c>
      <c r="I12" t="s">
        <v>182</v>
      </c>
      <c r="L12" s="6" t="s">
        <v>204</v>
      </c>
      <c r="M12" s="6" t="s">
        <v>205</v>
      </c>
      <c r="N12" s="6" t="s">
        <v>204</v>
      </c>
      <c r="O12" t="s">
        <v>132</v>
      </c>
      <c r="P12" t="s">
        <v>130</v>
      </c>
      <c r="Q12" t="s">
        <v>138</v>
      </c>
      <c r="AB12" s="56" t="s">
        <v>192</v>
      </c>
      <c r="AC12" t="s">
        <v>168</v>
      </c>
      <c r="AD12" t="s">
        <v>152</v>
      </c>
      <c r="AG12">
        <v>2000</v>
      </c>
      <c r="AH12" t="s">
        <v>146</v>
      </c>
    </row>
    <row r="13" spans="1:52">
      <c r="G13" t="s">
        <v>178</v>
      </c>
      <c r="H13" t="s">
        <v>108</v>
      </c>
      <c r="I13" t="s">
        <v>189</v>
      </c>
      <c r="L13" t="s">
        <v>141</v>
      </c>
      <c r="M13" s="6" t="s">
        <v>205</v>
      </c>
      <c r="N13" t="s">
        <v>141</v>
      </c>
      <c r="O13" t="s">
        <v>132</v>
      </c>
      <c r="P13" t="s">
        <v>130</v>
      </c>
      <c r="Q13" t="s">
        <v>138</v>
      </c>
      <c r="AB13" s="56" t="s">
        <v>192</v>
      </c>
      <c r="AC13" s="6" t="s">
        <v>170</v>
      </c>
      <c r="AD13" s="6" t="s">
        <v>153</v>
      </c>
      <c r="AE13" s="6" t="s">
        <v>164</v>
      </c>
      <c r="AF13" s="6" t="s">
        <v>146</v>
      </c>
      <c r="AG13" s="6">
        <v>20</v>
      </c>
      <c r="AH13" s="6" t="s">
        <v>145</v>
      </c>
    </row>
    <row r="14" spans="1:52">
      <c r="G14" t="s">
        <v>113</v>
      </c>
      <c r="H14" t="s">
        <v>108</v>
      </c>
      <c r="I14" t="s">
        <v>189</v>
      </c>
      <c r="L14" s="6"/>
      <c r="M14" s="6"/>
      <c r="N14" s="6"/>
      <c r="O14" s="6"/>
      <c r="P14" s="6"/>
      <c r="Q14" s="6"/>
    </row>
    <row r="15" spans="1:52">
      <c r="G15" s="6" t="s">
        <v>192</v>
      </c>
      <c r="H15" t="s">
        <v>109</v>
      </c>
      <c r="I15" s="6" t="s">
        <v>192</v>
      </c>
      <c r="J15" s="6"/>
    </row>
  </sheetData>
  <mergeCells count="7">
    <mergeCell ref="AB1:AH1"/>
    <mergeCell ref="V1:Z1"/>
    <mergeCell ref="L1:Q1"/>
    <mergeCell ref="S1:T1"/>
    <mergeCell ref="A1:B1"/>
    <mergeCell ref="D1:E1"/>
    <mergeCell ref="G1:J1"/>
  </mergeCells>
  <dataValidations count="13">
    <dataValidation type="list" allowBlank="1" showInputMessage="1" showErrorMessage="1" sqref="AI3:AI6">
      <formula1>INDIRECT("ParamPurpose[Code]")</formula1>
    </dataValidation>
    <dataValidation type="list" allowBlank="1" showInputMessage="1" showErrorMessage="1" sqref="AD3:AD13">
      <formula1>INDIRECT("Direction[Code]")</formula1>
    </dataValidation>
    <dataValidation type="list" allowBlank="1" showInputMessage="1" showErrorMessage="1" sqref="L14 B7 L11:L12 T4:T7 S3:S7">
      <formula1>INDIRECT("Reports[Code]")</formula1>
    </dataValidation>
    <dataValidation type="list" allowBlank="1" showInputMessage="1" showErrorMessage="1" sqref="W3:W8">
      <formula1>INDIRECT("ProgramTypes[Code]")</formula1>
    </dataValidation>
    <dataValidation type="list" allowBlank="1" showInputMessage="1" showErrorMessage="1" sqref="Y3:Y8">
      <formula1>INDIRECT("ReturnTypes[Code]")</formula1>
    </dataValidation>
    <dataValidation type="list" allowBlank="1" showInputMessage="1" showErrorMessage="1" sqref="AF3:AF13 AH3:AH13">
      <formula1>INDIRECT("YesNo[Code]")</formula1>
    </dataValidation>
    <dataValidation type="whole" allowBlank="1" showInputMessage="1" showErrorMessage="1" sqref="AG3:AG13">
      <formula1>1</formula1>
      <formula2>32767</formula2>
    </dataValidation>
    <dataValidation type="list" allowBlank="1" showInputMessage="1" showErrorMessage="1" sqref="O3:O14">
      <formula1>INDIRECT("CreateModes[Code]")</formula1>
    </dataValidation>
    <dataValidation type="list" allowBlank="1" showInputMessage="1" showErrorMessage="1" sqref="Q3:Q14">
      <formula1>INDIRECT("ReportTypes[Code]")</formula1>
    </dataValidation>
    <dataValidation type="list" allowBlank="1" showInputMessage="1" showErrorMessage="1" sqref="P3:P14">
      <formula1>INDIRECT("Programs[Code]")</formula1>
    </dataValidation>
    <dataValidation type="list" allowBlank="1" showInputMessage="1" showErrorMessage="1" sqref="E11 E3:E6 E8:E9">
      <formula1>INDIRECT("Actions[Code]")</formula1>
    </dataValidation>
    <dataValidation type="list" allowBlank="1" showInputMessage="1" showErrorMessage="1" sqref="H3:H15">
      <formula1>INDIRECT("ActionTypes[Code]")</formula1>
    </dataValidation>
    <dataValidation type="list" allowBlank="1" showInputMessage="1" showErrorMessage="1" sqref="J3:J15">
      <formula1>INDIRECT("AfterAction")</formula1>
    </dataValidation>
  </dataValidations>
  <pageMargins left="0.7" right="0.7" top="0.75" bottom="0.75" header="0.3" footer="0.3"/>
  <pageSetup paperSize="9" orientation="portrait" r:id="rId1"/>
  <legacyDrawing r:id="rId2"/>
  <tableParts count="16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Reports"/>
  <dimension ref="A1:F24"/>
  <sheetViews>
    <sheetView showGridLines="0" showRowColHeaders="0" tabSelected="1" zoomScale="175" zoomScaleNormal="175" workbookViewId="0"/>
  </sheetViews>
  <sheetFormatPr defaultColWidth="0" defaultRowHeight="15" zeroHeight="1"/>
  <cols>
    <col min="1" max="1" width="4.42578125" customWidth="1"/>
    <col min="2" max="2" width="17.7109375" customWidth="1"/>
    <col min="3" max="3" width="32.7109375" customWidth="1"/>
    <col min="4" max="4" width="12.140625" customWidth="1"/>
    <col min="5" max="5" width="4.42578125" customWidth="1"/>
    <col min="6" max="6" width="0" hidden="1" customWidth="1"/>
    <col min="7" max="16384" width="9.140625" hidden="1"/>
  </cols>
  <sheetData>
    <row r="1" spans="1:6">
      <c r="A1" s="32"/>
      <c r="B1" s="32"/>
      <c r="C1" s="32"/>
      <c r="D1" s="32"/>
      <c r="E1" s="32"/>
    </row>
    <row r="2" spans="1:6" ht="30.75" customHeight="1">
      <c r="A2" s="32"/>
      <c r="B2" s="31" t="s">
        <v>94</v>
      </c>
      <c r="C2" s="49" t="s">
        <v>77</v>
      </c>
      <c r="D2" s="32"/>
      <c r="E2" s="32"/>
    </row>
    <row r="3" spans="1:6" ht="28.5" customHeight="1">
      <c r="A3" s="32"/>
      <c r="B3" s="31"/>
      <c r="C3" s="52" t="s">
        <v>139</v>
      </c>
      <c r="D3" s="32"/>
      <c r="E3" s="32"/>
    </row>
    <row r="4" spans="1:6">
      <c r="A4" s="32"/>
      <c r="B4" s="31" t="s">
        <v>95</v>
      </c>
      <c r="C4" s="51">
        <v>42736</v>
      </c>
      <c r="D4" s="32"/>
      <c r="E4" s="32"/>
    </row>
    <row r="5" spans="1:6">
      <c r="A5" s="32"/>
      <c r="B5" s="31" t="s">
        <v>96</v>
      </c>
      <c r="C5" s="50">
        <v>42916</v>
      </c>
      <c r="D5" s="32"/>
      <c r="E5" s="32"/>
    </row>
    <row r="6" spans="1:6">
      <c r="A6" s="32"/>
      <c r="B6" s="32"/>
      <c r="C6" s="32"/>
      <c r="D6" s="32"/>
      <c r="E6" s="32"/>
    </row>
    <row r="7" spans="1:6" ht="1.5" customHeight="1">
      <c r="A7" s="107"/>
      <c r="B7" s="107"/>
      <c r="C7" s="107"/>
      <c r="D7" s="107"/>
      <c r="E7" s="107"/>
    </row>
    <row r="8" spans="1:6" ht="51" customHeight="1">
      <c r="A8" s="54"/>
      <c r="B8" s="108" t="s">
        <v>206</v>
      </c>
      <c r="C8" s="108"/>
      <c r="D8" s="108"/>
      <c r="E8" s="54"/>
    </row>
    <row r="9" spans="1:6" s="53" customFormat="1" ht="14.25" customHeight="1">
      <c r="A9" s="107"/>
      <c r="B9" s="107"/>
      <c r="C9" s="107"/>
      <c r="D9" s="107"/>
      <c r="E9" s="107"/>
    </row>
    <row r="10" spans="1:6" hidden="1">
      <c r="A10" s="104"/>
      <c r="B10" s="105"/>
      <c r="C10" s="105"/>
      <c r="D10" s="105"/>
      <c r="E10" s="106"/>
    </row>
    <row r="11" spans="1:6" hidden="1"/>
    <row r="12" spans="1:6" hidden="1"/>
    <row r="13" spans="1:6" hidden="1"/>
    <row r="14" spans="1:6" hidden="1">
      <c r="F14" s="26" t="s">
        <v>47</v>
      </c>
    </row>
    <row r="15" spans="1:6" hidden="1"/>
    <row r="16" spans="1:6" hidden="1"/>
    <row r="17" spans="5:5" hidden="1"/>
    <row r="18" spans="5:5" hidden="1"/>
    <row r="19" spans="5:5" hidden="1"/>
    <row r="20" spans="5:5" hidden="1"/>
    <row r="21" spans="5:5" hidden="1"/>
    <row r="22" spans="5:5" hidden="1"/>
    <row r="23" spans="5:5" hidden="1"/>
    <row r="24" spans="5:5" hidden="1">
      <c r="E24" s="26" t="s">
        <v>47</v>
      </c>
    </row>
  </sheetData>
  <dataConsolidate/>
  <mergeCells count="4">
    <mergeCell ref="A10:E10"/>
    <mergeCell ref="A7:E7"/>
    <mergeCell ref="A9:E9"/>
    <mergeCell ref="B8:D8"/>
  </mergeCells>
  <dataValidations count="1">
    <dataValidation type="list" allowBlank="1" showInputMessage="1" showErrorMessage="1" sqref="C2">
      <formula1>INDIRECT("Menu[Code]")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Лист9"/>
  <dimension ref="A1:G4"/>
  <sheetViews>
    <sheetView workbookViewId="0">
      <selection activeCell="A4" sqref="A4"/>
    </sheetView>
  </sheetViews>
  <sheetFormatPr defaultRowHeight="15"/>
  <cols>
    <col min="2" max="7" width="26.7109375" customWidth="1"/>
  </cols>
  <sheetData>
    <row r="1" spans="1:7" ht="39" customHeight="1">
      <c r="A1" s="109" t="s">
        <v>80</v>
      </c>
      <c r="B1" s="110"/>
      <c r="C1" s="110"/>
      <c r="D1" s="110"/>
      <c r="E1" s="110"/>
      <c r="F1" s="110"/>
      <c r="G1" s="111"/>
    </row>
    <row r="2" spans="1:7" ht="39" customHeight="1" thickBot="1">
      <c r="A2" s="40" t="s">
        <v>81</v>
      </c>
      <c r="B2" s="40" t="s">
        <v>1</v>
      </c>
      <c r="C2" s="40" t="s">
        <v>82</v>
      </c>
      <c r="D2" s="40" t="s">
        <v>83</v>
      </c>
      <c r="E2" s="40" t="s">
        <v>84</v>
      </c>
      <c r="F2" s="40" t="s">
        <v>85</v>
      </c>
      <c r="G2" s="41" t="s">
        <v>86</v>
      </c>
    </row>
    <row r="3" spans="1:7" ht="15.75" thickBot="1">
      <c r="A3" s="37" t="s">
        <v>87</v>
      </c>
      <c r="B3" s="38" t="s">
        <v>88</v>
      </c>
      <c r="C3" s="38" t="s">
        <v>89</v>
      </c>
      <c r="D3" s="38" t="s">
        <v>90</v>
      </c>
      <c r="E3" s="38" t="s">
        <v>91</v>
      </c>
      <c r="F3" s="38" t="s">
        <v>92</v>
      </c>
      <c r="G3" s="39" t="s">
        <v>93</v>
      </c>
    </row>
    <row r="4" spans="1:7">
      <c r="A4" s="33" t="s">
        <v>78</v>
      </c>
      <c r="B4" s="34"/>
      <c r="C4" s="34"/>
      <c r="D4" s="34"/>
      <c r="E4" s="35"/>
      <c r="F4" s="35"/>
      <c r="G4" s="36"/>
    </row>
  </sheetData>
  <mergeCells count="1">
    <mergeCell ref="A1:G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>
  <sheetPr codeName="Лист8"/>
  <dimension ref="A1:F13"/>
  <sheetViews>
    <sheetView zoomScale="160" zoomScaleNormal="160" workbookViewId="0">
      <selection activeCell="B5" sqref="B5"/>
    </sheetView>
  </sheetViews>
  <sheetFormatPr defaultRowHeight="15"/>
  <cols>
    <col min="1" max="1" width="11.5703125" customWidth="1"/>
    <col min="2" max="2" width="16.7109375" customWidth="1"/>
    <col min="3" max="3" width="18.28515625" customWidth="1"/>
    <col min="4" max="4" width="19.28515625" customWidth="1"/>
    <col min="5" max="5" width="16.5703125" customWidth="1"/>
  </cols>
  <sheetData>
    <row r="1" spans="1:6" ht="28.5" customHeight="1" thickBot="1">
      <c r="A1" s="112" t="s">
        <v>195</v>
      </c>
      <c r="B1" s="112"/>
      <c r="C1" s="112"/>
      <c r="D1" s="112"/>
      <c r="E1" s="112"/>
    </row>
    <row r="2" spans="1:6" ht="19.5" customHeight="1">
      <c r="B2" s="113" t="s">
        <v>196</v>
      </c>
      <c r="C2" s="114"/>
      <c r="D2" s="114"/>
      <c r="E2" s="115"/>
    </row>
    <row r="3" spans="1:6" ht="30.75" thickBot="1">
      <c r="A3" s="63" t="s">
        <v>197</v>
      </c>
      <c r="B3" s="64" t="s">
        <v>69</v>
      </c>
      <c r="C3" s="65" t="s">
        <v>70</v>
      </c>
      <c r="D3" s="65" t="s">
        <v>71</v>
      </c>
      <c r="E3" s="66" t="s">
        <v>72</v>
      </c>
    </row>
    <row r="4" spans="1:6">
      <c r="A4" s="67" t="s">
        <v>198</v>
      </c>
      <c r="B4" s="76" t="s">
        <v>73</v>
      </c>
      <c r="C4" s="77" t="s">
        <v>74</v>
      </c>
      <c r="D4" s="77" t="s">
        <v>75</v>
      </c>
      <c r="E4" s="78" t="s">
        <v>76</v>
      </c>
    </row>
    <row r="5" spans="1:6">
      <c r="B5" s="116" t="s">
        <v>141</v>
      </c>
      <c r="C5" s="73"/>
      <c r="D5" s="74"/>
      <c r="E5" s="75"/>
    </row>
    <row r="6" spans="1:6">
      <c r="D6" t="s">
        <v>207</v>
      </c>
    </row>
    <row r="7" spans="1:6">
      <c r="D7" t="s">
        <v>199</v>
      </c>
    </row>
    <row r="8" spans="1:6">
      <c r="D8" t="s">
        <v>200</v>
      </c>
    </row>
    <row r="9" spans="1:6">
      <c r="C9" s="6"/>
      <c r="D9" s="6" t="s">
        <v>203</v>
      </c>
      <c r="E9" s="70"/>
      <c r="F9" s="6"/>
    </row>
    <row r="10" spans="1:6">
      <c r="C10" s="70"/>
      <c r="D10" s="71" t="s">
        <v>201</v>
      </c>
      <c r="E10" s="72">
        <f>SUBTOTAL(109,ndfl6_part1_general_recalc_curr[[#All],[Столбец2]])</f>
        <v>0</v>
      </c>
      <c r="F10" s="6"/>
    </row>
    <row r="11" spans="1:6">
      <c r="C11" s="68"/>
      <c r="D11" t="s">
        <v>202</v>
      </c>
    </row>
    <row r="12" spans="1:6">
      <c r="D12" s="6" t="s">
        <v>204</v>
      </c>
      <c r="E12" s="68"/>
    </row>
    <row r="13" spans="1:6">
      <c r="D13" s="69" t="s">
        <v>201</v>
      </c>
      <c r="E13" s="72">
        <f>SUBTOTAL(109,ndfl6_recalc_prev_year[[#All],[Столбец2]])</f>
        <v>0</v>
      </c>
    </row>
  </sheetData>
  <mergeCells count="2">
    <mergeCell ref="B2:E2"/>
    <mergeCell ref="A1:E1"/>
  </mergeCells>
  <dataValidations count="1">
    <dataValidation type="list" allowBlank="1" showInputMessage="1" showErrorMessage="1" sqref="D12 D9">
      <formula1>INDIRECT("Reports[Code]")</formula1>
    </dataValidation>
  </dataValidations>
  <pageMargins left="0.7" right="0.7" top="0.75" bottom="0.75" header="0.3" footer="0.3"/>
  <pageSetup paperSize="9" orientation="portrait" r:id="rId1"/>
  <tableParts count="3">
    <tablePart r:id="rId2"/>
    <tablePart r:id="rId3"/>
    <tablePart r:id="rId4"/>
  </tableParts>
</worksheet>
</file>

<file path=xl/worksheets/sheet9.xml><?xml version="1.0" encoding="utf-8"?>
<worksheet xmlns="http://schemas.openxmlformats.org/spreadsheetml/2006/main" xmlns:r="http://schemas.openxmlformats.org/officeDocument/2006/relationships">
  <sheetPr codeName="Лист10"/>
  <dimension ref="A1:D2"/>
  <sheetViews>
    <sheetView showGridLines="0" workbookViewId="0">
      <pane ySplit="1" topLeftCell="A2" activePane="bottomLeft" state="frozen"/>
      <selection pane="bottomLeft" activeCell="A2" sqref="A2"/>
    </sheetView>
  </sheetViews>
  <sheetFormatPr defaultRowHeight="15"/>
  <cols>
    <col min="1" max="1" width="41.42578125" customWidth="1"/>
    <col min="2" max="2" width="21.85546875" customWidth="1"/>
    <col min="3" max="3" width="27.140625" customWidth="1"/>
    <col min="4" max="4" width="28.42578125" customWidth="1"/>
  </cols>
  <sheetData>
    <row r="1" spans="1:4" ht="34.5" customHeight="1">
      <c r="A1" s="42" t="s">
        <v>101</v>
      </c>
      <c r="B1" s="43" t="s">
        <v>102</v>
      </c>
      <c r="C1" s="43" t="s">
        <v>103</v>
      </c>
      <c r="D1" s="43" t="s">
        <v>104</v>
      </c>
    </row>
    <row r="2" spans="1:4">
      <c r="B2" s="44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>
  <sheetPr codeName="Лист12"/>
  <dimension ref="A1:I2"/>
  <sheetViews>
    <sheetView showGridLines="0" workbookViewId="0">
      <pane ySplit="1" topLeftCell="A2" activePane="bottomLeft" state="frozen"/>
      <selection pane="bottomLeft" activeCell="A2" sqref="A2"/>
    </sheetView>
  </sheetViews>
  <sheetFormatPr defaultRowHeight="15"/>
  <cols>
    <col min="1" max="3" width="21.42578125" customWidth="1"/>
    <col min="4" max="4" width="21.85546875" customWidth="1"/>
    <col min="5" max="5" width="28.42578125" customWidth="1"/>
    <col min="6" max="6" width="21.7109375" customWidth="1"/>
    <col min="7" max="7" width="19" customWidth="1"/>
    <col min="8" max="8" width="21.85546875" bestFit="1" customWidth="1"/>
    <col min="9" max="9" width="15.5703125" bestFit="1" customWidth="1"/>
  </cols>
  <sheetData>
    <row r="1" spans="1:9" ht="34.5" customHeight="1">
      <c r="A1" s="42" t="s">
        <v>64</v>
      </c>
      <c r="B1" s="57" t="s">
        <v>65</v>
      </c>
      <c r="C1" s="57" t="s">
        <v>66</v>
      </c>
      <c r="D1" s="57" t="s">
        <v>102</v>
      </c>
      <c r="E1" s="57" t="s">
        <v>104</v>
      </c>
      <c r="F1" s="61" t="s">
        <v>184</v>
      </c>
      <c r="G1" s="61" t="s">
        <v>1</v>
      </c>
      <c r="H1" s="61" t="s">
        <v>185</v>
      </c>
      <c r="I1" s="62" t="s">
        <v>186</v>
      </c>
    </row>
    <row r="2" spans="1:9">
      <c r="A2" t="s">
        <v>189</v>
      </c>
      <c r="B2" s="58"/>
      <c r="C2" s="58"/>
      <c r="D2" s="59"/>
      <c r="E2" s="58"/>
      <c r="F2" s="58"/>
      <c r="G2" s="58"/>
      <c r="H2" s="58"/>
      <c r="I2" s="60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10</vt:i4>
      </vt:variant>
      <vt:variant>
        <vt:lpstr>Именованные диапазоны</vt:lpstr>
      </vt:variant>
      <vt:variant>
        <vt:i4>12</vt:i4>
      </vt:variant>
    </vt:vector>
  </HeadingPairs>
  <TitlesOfParts>
    <vt:vector size="22" baseType="lpstr">
      <vt:lpstr>detail_report</vt:lpstr>
      <vt:lpstr>detail_report_2</vt:lpstr>
      <vt:lpstr>error_report</vt:lpstr>
      <vt:lpstr>correcting_report</vt:lpstr>
      <vt:lpstr>Settings</vt:lpstr>
      <vt:lpstr>Отчеты</vt:lpstr>
      <vt:lpstr>ndfl6_part1_rates</vt:lpstr>
      <vt:lpstr>ndfl6_part1_general</vt:lpstr>
      <vt:lpstr>funds_employees</vt:lpstr>
      <vt:lpstr>funds_employees_report</vt:lpstr>
      <vt:lpstr>data_source_name</vt:lpstr>
      <vt:lpstr>end_date</vt:lpstr>
      <vt:lpstr>EndDate</vt:lpstr>
      <vt:lpstr>menu_item_selected</vt:lpstr>
      <vt:lpstr>oracle_owner</vt:lpstr>
      <vt:lpstr>output</vt:lpstr>
      <vt:lpstr>report_code</vt:lpstr>
      <vt:lpstr>ReportSelected</vt:lpstr>
      <vt:lpstr>start_date</vt:lpstr>
      <vt:lpstr>start_sheet_name</vt:lpstr>
      <vt:lpstr>StartDate</vt:lpstr>
      <vt:lpstr>StartDateRow</vt:lpstr>
    </vt:vector>
  </TitlesOfParts>
  <Company>GAZFOND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Apetrashishin</dc:creator>
  <cp:lastModifiedBy>Zhuravov</cp:lastModifiedBy>
  <cp:lastPrinted>2017-06-23T10:15:42Z</cp:lastPrinted>
  <dcterms:created xsi:type="dcterms:W3CDTF">2017-06-22T11:11:41Z</dcterms:created>
  <dcterms:modified xsi:type="dcterms:W3CDTF">2017-08-02T11:57:31Z</dcterms:modified>
</cp:coreProperties>
</file>