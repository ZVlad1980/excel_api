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firstSheet="3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OptionsOld" sheetId="102" r:id="rId4"/>
    <sheet name="Options" sheetId="5" r:id="rId5"/>
    <sheet name="correcting_report" sheetId="60" state="hidden" r:id="rId6"/>
    <sheet name="Settings" sheetId="103" r:id="rId7"/>
    <sheet name="Отчеты" sheetId="6" r:id="rId8"/>
    <sheet name="ndfl6_part1_rates" sheetId="69" state="hidden" r:id="rId9"/>
    <sheet name="ndfl6_part1" sheetId="71" state="hidden" r:id="rId10"/>
    <sheet name="funds_employees" sheetId="73" state="hidden" r:id="rId11"/>
  </sheets>
  <functionGroups/>
  <definedNames>
    <definedName name="EndDate">Отчеты!$C$5</definedName>
    <definedName name="menu_item_selected">Settings!$B$5</definedName>
    <definedName name="oracle_owner">Settings!$B$3</definedName>
    <definedName name="output">Отчеты!$A$9</definedName>
    <definedName name="ReportSelected">Отчеты!$C$2</definedName>
    <definedName name="start_sheet_name">Settings!$B$4</definedName>
    <definedName name="StartDate">Отчеты!$C$4</definedName>
  </definedNames>
  <calcPr calcId="124519"/>
</workbook>
</file>

<file path=xl/calcChain.xml><?xml version="1.0" encoding="utf-8"?>
<calcChain xmlns="http://schemas.openxmlformats.org/spreadsheetml/2006/main">
  <c r="B5" i="103"/>
  <c r="D3" i="102" l="1"/>
  <c r="B3" s="1"/>
  <c r="D3" i="5"/>
  <c r="B3" s="1"/>
</calcChain>
</file>

<file path=xl/sharedStrings.xml><?xml version="1.0" encoding="utf-8"?>
<sst xmlns="http://schemas.openxmlformats.org/spreadsheetml/2006/main" count="674" uniqueCount="454">
  <si>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</si>
  <si>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</si>
  <si>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</si>
  <si>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</si>
  <si>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</si>
  <si>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</si>
  <si>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</si>
  <si>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</si>
  <si>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</si>
  <si>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</si>
  <si>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</si>
  <si>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</si>
  <si>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</si>
  <si>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</si>
  <si>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</si>
  <si>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</si>
  <si>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</si>
  <si>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</si>
  <si>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</si>
  <si>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</si>
  <si>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</si>
  <si>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</si>
  <si>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</si>
  <si>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</si>
  <si>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</si>
  <si>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ora_owner_scheme:</t>
  </si>
  <si>
    <t>VBZ</t>
  </si>
  <si>
    <t>Расшифровка 6 НДФЛ</t>
  </si>
  <si>
    <t>Start sheet name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</si>
  <si>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</si>
  <si>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</si>
  <si>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</si>
  <si>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</si>
  <si>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</si>
  <si>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</si>
  <si>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</si>
  <si>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</si>
  <si>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</si>
  <si>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</si>
  <si>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</si>
  <si>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</si>
  <si>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</si>
  <si>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</si>
  <si>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</si>
  <si>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</si>
  <si>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</si>
  <si>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</si>
  <si>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</si>
  <si>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</si>
  <si>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</si>
  <si>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</si>
  <si>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</si>
  <si>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</si>
  <si>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</si>
  <si>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</si>
  <si>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</si>
  <si>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</si>
  <si>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</si>
  <si>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</si>
  <si>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</si>
  <si>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</si>
  <si>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</si>
  <si>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</si>
  <si>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</si>
  <si>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</si>
  <si>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</si>
  <si>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</si>
  <si>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</si>
  <si>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</si>
  <si>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</si>
  <si>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</si>
  <si>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</si>
  <si>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</si>
  <si>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</si>
  <si>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</si>
  <si>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</si>
  <si>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</si>
  <si>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</si>
  <si>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</si>
  <si>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ndfl6_part1</t>
  </si>
  <si>
    <t>НДФЛ6 Раздел 1 Общие итоги</t>
  </si>
  <si>
    <t>ndfl6_part1_rates</t>
  </si>
  <si>
    <t>НДФЛ6 Раздел 1 Итоги по ставкам</t>
  </si>
  <si>
    <t>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</si>
  <si>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</si>
  <si>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</si>
  <si>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</si>
  <si>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</si>
  <si>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</si>
  <si>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</si>
  <si>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</si>
  <si>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</si>
  <si>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</si>
  <si>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</si>
  <si>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</si>
  <si>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</si>
  <si>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</si>
  <si>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</si>
  <si>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</si>
  <si>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</si>
  <si>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Report selected:</t>
  </si>
  <si>
    <t>Сотрудники фонда: создать</t>
  </si>
  <si>
    <t>Сотрудники фонда: отчет</t>
  </si>
  <si>
    <t>funds_employees</t>
  </si>
  <si>
    <t>VBA_SUB</t>
  </si>
  <si>
    <t>create_funds_employees</t>
  </si>
  <si>
    <t>Итого за год</t>
  </si>
  <si>
    <t>NewSheetName</t>
  </si>
  <si>
    <t>Сотрудники фонда</t>
  </si>
  <si>
    <t>MenuItemName</t>
  </si>
  <si>
    <t>report_funds_employees</t>
  </si>
  <si>
    <t>funds_employees_1</t>
  </si>
  <si>
    <t>MenuItemCode</t>
  </si>
  <si>
    <t>ФИО</t>
  </si>
  <si>
    <t>Дата рождения</t>
  </si>
  <si>
    <t>22.03.1982</t>
  </si>
  <si>
    <t>10.08.1987</t>
  </si>
  <si>
    <t>11.09.1977</t>
  </si>
  <si>
    <t>04.06.1966</t>
  </si>
  <si>
    <t>07.03.1953</t>
  </si>
  <si>
    <t>01.06.1970</t>
  </si>
  <si>
    <t>03.07.1984</t>
  </si>
  <si>
    <t>15.05.1970</t>
  </si>
  <si>
    <t>21.06.1988</t>
  </si>
  <si>
    <t>30.08.1970</t>
  </si>
  <si>
    <t>03.10.1971</t>
  </si>
  <si>
    <t>26.11.1986</t>
  </si>
  <si>
    <t>20.06.1970</t>
  </si>
  <si>
    <t>24.05.1970</t>
  </si>
  <si>
    <t>02.09.1970</t>
  </si>
  <si>
    <t>15.09.1987</t>
  </si>
  <si>
    <t>02.02.1955</t>
  </si>
  <si>
    <t>27.09.1992</t>
  </si>
  <si>
    <t>31.03.1969</t>
  </si>
  <si>
    <t>22.06.1974</t>
  </si>
  <si>
    <t>28.07.1973</t>
  </si>
  <si>
    <t>29.02.1984</t>
  </si>
  <si>
    <t>18.08.1962</t>
  </si>
  <si>
    <t>07.12.1985</t>
  </si>
  <si>
    <t>19.09.1984</t>
  </si>
  <si>
    <t>17.09.1984</t>
  </si>
  <si>
    <t>03.09.1958</t>
  </si>
  <si>
    <t>31.03.1965</t>
  </si>
  <si>
    <t>13.09.1984</t>
  </si>
  <si>
    <t>10.12.1966</t>
  </si>
  <si>
    <t>19.02.1982</t>
  </si>
  <si>
    <t>04.11.1979</t>
  </si>
  <si>
    <t>09.01.1959</t>
  </si>
  <si>
    <t>06.12.1955</t>
  </si>
  <si>
    <t>19.08.1985</t>
  </si>
  <si>
    <t>10.06.1959</t>
  </si>
  <si>
    <t>27.04.1988</t>
  </si>
  <si>
    <t>17.09.1962</t>
  </si>
  <si>
    <t>07.08.1969</t>
  </si>
  <si>
    <t>19.09.1989</t>
  </si>
  <si>
    <t>26.06.1980</t>
  </si>
  <si>
    <t>28.11.1973</t>
  </si>
  <si>
    <t>12.07.1985</t>
  </si>
  <si>
    <t>10.03.1962</t>
  </si>
  <si>
    <t>30.07.1957</t>
  </si>
  <si>
    <t>03.11.1961</t>
  </si>
  <si>
    <t>03.12.1978</t>
  </si>
  <si>
    <t>10.07.1989</t>
  </si>
  <si>
    <t>19.06.1954</t>
  </si>
  <si>
    <t>21.06.1961</t>
  </si>
  <si>
    <t>16.12.1960</t>
  </si>
  <si>
    <t>04.08.1966</t>
  </si>
  <si>
    <t>11.01.1970</t>
  </si>
  <si>
    <t>04.03.1980</t>
  </si>
  <si>
    <t>07.11.1977</t>
  </si>
  <si>
    <t>06.02.1979</t>
  </si>
  <si>
    <t>28.03.1983</t>
  </si>
  <si>
    <t>22.07.1981</t>
  </si>
  <si>
    <t>03.10.1972</t>
  </si>
  <si>
    <t>10.10.1972</t>
  </si>
  <si>
    <t>07.06.1973</t>
  </si>
  <si>
    <t>27.09.1954</t>
  </si>
  <si>
    <t>09.03.1982</t>
  </si>
  <si>
    <t>25.03.1958</t>
  </si>
  <si>
    <t>22.05.1981</t>
  </si>
  <si>
    <t>25.09.1980</t>
  </si>
  <si>
    <t>16.09.1976</t>
  </si>
  <si>
    <t>28.07.1981</t>
  </si>
  <si>
    <t>03.03.1957</t>
  </si>
  <si>
    <t>10.09.1972</t>
  </si>
  <si>
    <t>01.04.1964</t>
  </si>
  <si>
    <t>05.02.1977</t>
  </si>
  <si>
    <t>11.12.1958</t>
  </si>
  <si>
    <t>13.05.1972</t>
  </si>
  <si>
    <t>16.04.1988</t>
  </si>
  <si>
    <t>23.04.1978</t>
  </si>
  <si>
    <t>18.04.1970</t>
  </si>
  <si>
    <t>29.12.1987</t>
  </si>
  <si>
    <t>16.05.1979</t>
  </si>
  <si>
    <t>02.12.1965</t>
  </si>
  <si>
    <t>02.06.1973</t>
  </si>
  <si>
    <t>26.04.1970</t>
  </si>
  <si>
    <t>13.02.1979</t>
  </si>
  <si>
    <t>17.07.1965</t>
  </si>
  <si>
    <t>29.06.1976</t>
  </si>
  <si>
    <t>08.11.1959</t>
  </si>
  <si>
    <t>04.05.1969</t>
  </si>
  <si>
    <t>12.12.1976</t>
  </si>
  <si>
    <t>06.03.1980</t>
  </si>
  <si>
    <t>16.03.1980</t>
  </si>
  <si>
    <t>29.04.1974</t>
  </si>
  <si>
    <t>16.08.1963</t>
  </si>
  <si>
    <t>24.04.1975</t>
  </si>
  <si>
    <t>12.07.1966</t>
  </si>
  <si>
    <t>02.05.1978</t>
  </si>
  <si>
    <t>28.10.1958</t>
  </si>
  <si>
    <t>19.04.1981</t>
  </si>
  <si>
    <t>23.11.1983</t>
  </si>
  <si>
    <t>28.12.1983</t>
  </si>
  <si>
    <t>09.12.1969</t>
  </si>
  <si>
    <t>17.12.1975</t>
  </si>
  <si>
    <t>26.07.1954</t>
  </si>
  <si>
    <t>12.01.1985</t>
  </si>
  <si>
    <t>29.12.1973</t>
  </si>
  <si>
    <t>10.05.1979</t>
  </si>
  <si>
    <t>09.06.1956</t>
  </si>
  <si>
    <t>23.03.1976</t>
  </si>
  <si>
    <t>25.02.1974</t>
  </si>
  <si>
    <t>23.05.1983</t>
  </si>
  <si>
    <t>08.02.1991</t>
  </si>
  <si>
    <t>22.03.1981</t>
  </si>
  <si>
    <t>14.07.1968</t>
  </si>
  <si>
    <t>17.03.1988</t>
  </si>
  <si>
    <t>19.04.1970</t>
  </si>
  <si>
    <t>28.12.1963</t>
  </si>
  <si>
    <t>21.10.1983</t>
  </si>
  <si>
    <t>28.06.1978</t>
  </si>
  <si>
    <t>20.07.1986</t>
  </si>
  <si>
    <t>15.07.1984</t>
  </si>
  <si>
    <t>19.10.1990</t>
  </si>
  <si>
    <t>10.04.1996</t>
  </si>
  <si>
    <t>01.01.1983</t>
  </si>
  <si>
    <t>29.01.1967</t>
  </si>
  <si>
    <t>25.12.1977</t>
  </si>
  <si>
    <t>24.06.1969</t>
  </si>
  <si>
    <t>25.04.1976</t>
  </si>
  <si>
    <t>12.08.1977</t>
  </si>
  <si>
    <t>10.06.1970</t>
  </si>
  <si>
    <t>14.08.1983</t>
  </si>
  <si>
    <t>20.09.1964</t>
  </si>
  <si>
    <t>03.04.1992</t>
  </si>
  <si>
    <t>23.11.1981</t>
  </si>
  <si>
    <t>28.01.1966</t>
  </si>
  <si>
    <t>24.12.1980</t>
  </si>
  <si>
    <t>07.10.1986</t>
  </si>
  <si>
    <t>17.04.1981</t>
  </si>
  <si>
    <t>20.12.1985</t>
  </si>
  <si>
    <t>07.07.1980</t>
  </si>
  <si>
    <t>Абрамова Ольга Александровна</t>
  </si>
  <si>
    <t>Аверин Александр Васильевич</t>
  </si>
  <si>
    <t>Альпидовская Любовь Викторовна</t>
  </si>
  <si>
    <t>Альпидовская Олеся Олеговна</t>
  </si>
  <si>
    <t>Андриянов Денис Петрович</t>
  </si>
  <si>
    <t>Асадулина Татьяна Борисовна</t>
  </si>
  <si>
    <t>Афанасьева Татьяна Алексеевна</t>
  </si>
  <si>
    <t>Багурова Елена Владимировна</t>
  </si>
  <si>
    <t xml:space="preserve">Баранов Владимир Витальевич </t>
  </si>
  <si>
    <t>Белькевич Игорь Васильевич</t>
  </si>
  <si>
    <t>Беневоленская Юлия Александровна</t>
  </si>
  <si>
    <t>Богини Галина Михайловна</t>
  </si>
  <si>
    <t>Бондарева Татьяна Анатольевна</t>
  </si>
  <si>
    <t>Бордик Денис Георгиевич</t>
  </si>
  <si>
    <t>Брыльков Владислав Викторович</t>
  </si>
  <si>
    <t>Брылькова Анна Валерьевна</t>
  </si>
  <si>
    <t>Бушмакин Сергей Александрович</t>
  </si>
  <si>
    <t>Вавилов Александр Сергеевич</t>
  </si>
  <si>
    <t>Виноградова Галина Анатольевна</t>
  </si>
  <si>
    <t>Вить Лариса Владимировна</t>
  </si>
  <si>
    <t>Власова Анастасия Дмитриевна</t>
  </si>
  <si>
    <t>Волков Алексей Юрьевич</t>
  </si>
  <si>
    <t>Галицкий Михаил Викторович</t>
  </si>
  <si>
    <t>Гасилин Дмитрий Александрович</t>
  </si>
  <si>
    <t>Гладкая Виктория Николаевна</t>
  </si>
  <si>
    <t>Глушкова Ксения Сергеевна</t>
  </si>
  <si>
    <t>Голубчикова Мария Николаевна</t>
  </si>
  <si>
    <t>Гонцов Андрей Станиславович</t>
  </si>
  <si>
    <t>Гончаренко Анна Владимировна</t>
  </si>
  <si>
    <t>Гребенникова Елена Сергеевна</t>
  </si>
  <si>
    <t>Гулюгин Андрей Николаевич</t>
  </si>
  <si>
    <t>Демидов Николай Григорьевич</t>
  </si>
  <si>
    <t>Демин Игорь Леонидович</t>
  </si>
  <si>
    <t>Денисенко Ольга Валерьевна</t>
  </si>
  <si>
    <t>Докучаев Юрий Николаевич</t>
  </si>
  <si>
    <t>Дударенко Евгения Владленовна</t>
  </si>
  <si>
    <t>Душко Александр Павлович</t>
  </si>
  <si>
    <t>Дюженков Дмитрий Сергеевич</t>
  </si>
  <si>
    <t>Жадяева Мария Евгеньевна</t>
  </si>
  <si>
    <t>Жмотов Анатолий Владимирович</t>
  </si>
  <si>
    <t>Заблоцкий Юрий Владимирович</t>
  </si>
  <si>
    <t>Зарубенко Анна Самвеловна</t>
  </si>
  <si>
    <t>Иванов Сергей Сергеевич</t>
  </si>
  <si>
    <t>Иващенко Виталий Иванович</t>
  </si>
  <si>
    <t>Измайлов Вадим Геннадьевич</t>
  </si>
  <si>
    <t>Канунникова Татьяна Александровна</t>
  </si>
  <si>
    <t>Каплунов Александр Анатольевич</t>
  </si>
  <si>
    <t>Карих Яна Андреевна</t>
  </si>
  <si>
    <t>Касьян Елена Борисовна</t>
  </si>
  <si>
    <t>Катушенко Ульяна Владимировна</t>
  </si>
  <si>
    <t>Качалина Ольга Александровна</t>
  </si>
  <si>
    <t>Качина Ирина Геннадьевна</t>
  </si>
  <si>
    <t>Квасова Наталья Александровна</t>
  </si>
  <si>
    <t>Климова Алефтина Павловна</t>
  </si>
  <si>
    <t>Климова Елена Ростиславовна</t>
  </si>
  <si>
    <t>Козичев Владимир Иванович</t>
  </si>
  <si>
    <t>Козлова Наталья Андреевна</t>
  </si>
  <si>
    <t>Колмозева Ирина Александровна</t>
  </si>
  <si>
    <t>Комарова Ирина Анатольевна</t>
  </si>
  <si>
    <t>Котов Сергей Олегович</t>
  </si>
  <si>
    <t>Круглов Николай Иванович</t>
  </si>
  <si>
    <t>Кузнецова Елена Владимировна</t>
  </si>
  <si>
    <t>Кулагин Юрий Анатольевич</t>
  </si>
  <si>
    <t>Курбацкий Владимир Евгеньевич</t>
  </si>
  <si>
    <t>Курочкин Дмитрий Алексеевич</t>
  </si>
  <si>
    <t>Куртина Екатерина Александровна</t>
  </si>
  <si>
    <t>Лебедева Татьяна Анатольевна</t>
  </si>
  <si>
    <t>Левина Татьяна Александровна</t>
  </si>
  <si>
    <t>Ледовских Вероника Павловна</t>
  </si>
  <si>
    <t>Логовинский Евгений Ильич</t>
  </si>
  <si>
    <t>Майструк Ольга Ивановна</t>
  </si>
  <si>
    <t>Макаренко Андрей Иванович</t>
  </si>
  <si>
    <t>Мамонтов Леонид Алексеевич</t>
  </si>
  <si>
    <t>Манаенкова Элеонора Сергеевна</t>
  </si>
  <si>
    <t>Медведев Николай Алексеевич</t>
  </si>
  <si>
    <t>Мельник Владислава Ивановна</t>
  </si>
  <si>
    <t>Мельников Андрей Андреевич</t>
  </si>
  <si>
    <t>Миллер Алексей Борисович</t>
  </si>
  <si>
    <t>Миронова Маргарита Ивановна</t>
  </si>
  <si>
    <t>Михайлова Елена  Владимировна</t>
  </si>
  <si>
    <t>Михайлова Тамара Александровна</t>
  </si>
  <si>
    <t>Мищенко Владимир Яковлевич</t>
  </si>
  <si>
    <t>Молодежникова Елена Юрьевна</t>
  </si>
  <si>
    <t>Морова Татьяна Александровна</t>
  </si>
  <si>
    <t>Мочалов Евгений Владимирович</t>
  </si>
  <si>
    <t>Мудраков Владимир Иванович</t>
  </si>
  <si>
    <t>Мусаликин Юрий Владимирович</t>
  </si>
  <si>
    <t>Мушкатёрова Юлия Васильевна</t>
  </si>
  <si>
    <t>Найденова Ольга Николаевна</t>
  </si>
  <si>
    <t>Никитин Дмитрий Алексеевич</t>
  </si>
  <si>
    <t>Никитина Марина Олеговна</t>
  </si>
  <si>
    <t>Новиков Андрей Борисович</t>
  </si>
  <si>
    <t>Носов Владимир Михайлович</t>
  </si>
  <si>
    <t>Омельчук Василий Васильевич</t>
  </si>
  <si>
    <t>Османов Ринат Гафарович</t>
  </si>
  <si>
    <t>Осыка Олег Степанович</t>
  </si>
  <si>
    <t>Очковский Евгений Сергеевич</t>
  </si>
  <si>
    <t>Палкина Елена Алексеевна</t>
  </si>
  <si>
    <t>Патрикеев Алексей Викторович</t>
  </si>
  <si>
    <t>Патрикеев Константин Владимирович</t>
  </si>
  <si>
    <t>Пашковский Дмитрий Александрович</t>
  </si>
  <si>
    <t>Перепелкин Юрий Моисеевич</t>
  </si>
  <si>
    <t>Перестенко Ярослава Александровна</t>
  </si>
  <si>
    <t>Петрашишин Александр Валерьевич</t>
  </si>
  <si>
    <t>Петров Антон Евгеньевич</t>
  </si>
  <si>
    <t>Погосова Людмила Аванесовна</t>
  </si>
  <si>
    <t>Покладов Игорь Викторович</t>
  </si>
  <si>
    <t>Помазкин Дмитрий Владимирович</t>
  </si>
  <si>
    <t>Понкратова Мария Валерьевна</t>
  </si>
  <si>
    <t>Пономарева Елена Георгиевна</t>
  </si>
  <si>
    <t>Попова Виктория Викторовна</t>
  </si>
  <si>
    <t>Потехина Валентина Васильевна</t>
  </si>
  <si>
    <t>Пьянов Александр Борисович</t>
  </si>
  <si>
    <t>Рагутская Юлия Павловна</t>
  </si>
  <si>
    <t>Родина Елена Анатольевна</t>
  </si>
  <si>
    <t>Румянцева Екатерина Евгеньевна</t>
  </si>
  <si>
    <t>Савченков Эдуард Владимирович</t>
  </si>
  <si>
    <t>Саковский Виктор Николаевич</t>
  </si>
  <si>
    <t>Сапункова Галина Геннадьевна</t>
  </si>
  <si>
    <t>Сахарова Татьяна Владимировна</t>
  </si>
  <si>
    <t>Семенов Михаил Борисович</t>
  </si>
  <si>
    <t>Семин Алексей Николаевич</t>
  </si>
  <si>
    <t>Симонов Константин Александрович</t>
  </si>
  <si>
    <t>Сипайло Антон Сергеевич</t>
  </si>
  <si>
    <t>Скворцова Светлана Николаевна</t>
  </si>
  <si>
    <t>Скурчинский Виталий Валерьевич</t>
  </si>
  <si>
    <t>Соболь Александр Иванович</t>
  </si>
  <si>
    <t>Соловьева Анастасия Игоревна</t>
  </si>
  <si>
    <t>Соломатина Любовь Евгеньевна</t>
  </si>
  <si>
    <t>Сорока Антон Валерьевич</t>
  </si>
  <si>
    <t>Сороковикова Александра Владимировна</t>
  </si>
  <si>
    <t>Спиридонов Андрей Анатольевич</t>
  </si>
  <si>
    <t>Стекачев Евгений Николаевич</t>
  </si>
  <si>
    <t>Степанов Александр Сергеевич</t>
  </si>
  <si>
    <t>Степанов Владимир Владимирович</t>
  </si>
  <si>
    <t>Степанова Татьяна Валентиновна</t>
  </si>
  <si>
    <t>Сусленников Владимир Владимирович</t>
  </si>
  <si>
    <t>Сырова Елена Владимировна</t>
  </si>
  <si>
    <t>Телицына Юлия Васильевна</t>
  </si>
  <si>
    <t>Толстоногов Максим Александрович</t>
  </si>
  <si>
    <t>Тюменцева Жанна Владимировна</t>
  </si>
  <si>
    <t>Филиппенков Сергей Иванович</t>
  </si>
  <si>
    <t>Фоменко Владислава Александровна</t>
  </si>
  <si>
    <t>Хайрулина Юлия Александровна</t>
  </si>
  <si>
    <t>Черепанова Мария Юрьевна</t>
  </si>
  <si>
    <t>Чернощеков Леонид Николаевич</t>
  </si>
  <si>
    <t>Чернышева Мария Владимировна</t>
  </si>
  <si>
    <t>Чиркова Ольга Олеговна</t>
  </si>
  <si>
    <t>Чубуркова Нина Николаевна</t>
  </si>
  <si>
    <t>Чувашев Павел Павлович</t>
  </si>
  <si>
    <t>Шамалов Юрий Николаевич</t>
  </si>
  <si>
    <t>Шведова Олеся Леонидовна</t>
  </si>
  <si>
    <t>Шевелева Елена Игоревна</t>
  </si>
  <si>
    <t>Шелкунова Татьяна Юрьевна</t>
  </si>
  <si>
    <t>Шестак Ирина Петровна</t>
  </si>
  <si>
    <t>Шумилина Татьяна Анатольевна</t>
  </si>
  <si>
    <t>Щегольскова Кристина Андреевна</t>
  </si>
  <si>
    <t>Ядренцева Лидия Васильевна</t>
  </si>
  <si>
    <t>Лаппо Андрей Петрович</t>
  </si>
  <si>
    <t>Мещерякова Дарья Владимировна</t>
  </si>
  <si>
    <t>Удеревский Михаил Геннадьевич</t>
  </si>
  <si>
    <t>Снилс</t>
  </si>
  <si>
    <t>ИНН</t>
  </si>
  <si>
    <t>oracle_owner</t>
  </si>
  <si>
    <t>start_sheet_name</t>
  </si>
  <si>
    <t>Programs</t>
  </si>
  <si>
    <t>Результат выполнения:</t>
  </si>
  <si>
    <t>ActionType</t>
  </si>
  <si>
    <t>report</t>
  </si>
  <si>
    <t>program</t>
  </si>
  <si>
    <t>Name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</si>
  <si>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</si>
  <si>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</si>
  <si>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</si>
  <si>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</si>
  <si>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</si>
  <si>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</si>
  <si>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</si>
  <si>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</si>
  <si>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</si>
  <si>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</si>
  <si>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</si>
  <si>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</si>
  <si>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</si>
  <si>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</si>
  <si>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</si>
  <si>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Items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</si>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</sst>
</file>

<file path=xl/styles.xml><?xml version="1.0" encoding="utf-8"?>
<styleSheet xmlns="http://schemas.openxmlformats.org/spreadsheetml/2006/main">
  <numFmts count="1">
    <numFmt numFmtId="164" formatCode="#,##0.00\ _₽"/>
  </numFmts>
  <fonts count="1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7" fillId="0" borderId="0"/>
  </cellStyleXfs>
  <cellXfs count="1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0" fillId="0" borderId="1" xfId="0" applyBorder="1"/>
    <xf numFmtId="0" fontId="0" fillId="0" borderId="1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6" fillId="3" borderId="19" xfId="0" quotePrefix="1" applyFont="1" applyFill="1" applyBorder="1" applyAlignment="1">
      <alignment horizontal="center"/>
    </xf>
    <xf numFmtId="0" fontId="6" fillId="3" borderId="20" xfId="0" quotePrefix="1" applyFont="1" applyFill="1" applyBorder="1" applyAlignment="1">
      <alignment horizontal="center"/>
    </xf>
    <xf numFmtId="0" fontId="6" fillId="3" borderId="21" xfId="0" quotePrefix="1" applyFont="1" applyFill="1" applyBorder="1" applyAlignment="1">
      <alignment horizontal="center"/>
    </xf>
    <xf numFmtId="0" fontId="3" fillId="0" borderId="2" xfId="0" applyFont="1" applyFill="1" applyBorder="1"/>
    <xf numFmtId="4" fontId="3" fillId="0" borderId="2" xfId="0" applyNumberFormat="1" applyFont="1" applyFill="1" applyBorder="1"/>
    <xf numFmtId="0" fontId="3" fillId="0" borderId="1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14" fontId="0" fillId="0" borderId="1" xfId="0" applyNumberForma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0" borderId="28" xfId="0" applyFont="1" applyFill="1" applyBorder="1"/>
    <xf numFmtId="4" fontId="3" fillId="0" borderId="7" xfId="0" applyNumberFormat="1" applyFont="1" applyFill="1" applyBorder="1"/>
    <xf numFmtId="3" fontId="3" fillId="0" borderId="7" xfId="0" applyNumberFormat="1" applyFont="1" applyFill="1" applyBorder="1"/>
    <xf numFmtId="3" fontId="3" fillId="0" borderId="29" xfId="0" applyNumberFormat="1" applyFont="1" applyFill="1" applyBorder="1"/>
    <xf numFmtId="0" fontId="9" fillId="0" borderId="25" xfId="0" quotePrefix="1" applyFont="1" applyFill="1" applyBorder="1" applyAlignment="1">
      <alignment horizontal="center" vertical="center"/>
    </xf>
    <xf numFmtId="0" fontId="9" fillId="0" borderId="26" xfId="0" quotePrefix="1" applyFont="1" applyFill="1" applyBorder="1" applyAlignment="1">
      <alignment horizontal="center" vertical="center"/>
    </xf>
    <xf numFmtId="0" fontId="9" fillId="0" borderId="27" xfId="0" quotePrefix="1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23" xfId="0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0" fillId="0" borderId="9" xfId="0" applyFill="1" applyBorder="1" applyAlignment="1"/>
    <xf numFmtId="0" fontId="0" fillId="0" borderId="1" xfId="0" applyFill="1" applyBorder="1"/>
    <xf numFmtId="0" fontId="0" fillId="0" borderId="10" xfId="0" applyFill="1" applyBorder="1" applyAlignment="1"/>
    <xf numFmtId="0" fontId="0" fillId="0" borderId="17" xfId="0" applyFill="1" applyBorder="1" applyAlignment="1"/>
    <xf numFmtId="0" fontId="0" fillId="0" borderId="6" xfId="0" applyBorder="1"/>
    <xf numFmtId="0" fontId="0" fillId="0" borderId="18" xfId="0" applyFill="1" applyBorder="1" applyAlignment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0" fillId="0" borderId="30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</cellXfs>
  <cellStyles count="2">
    <cellStyle name="Обычный" xfId="0" builtinId="0"/>
    <cellStyle name="Обычный 4" xfId="1"/>
  </cellStyles>
  <dxfs count="114"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229914</xdr:colOff>
      <xdr:row>1</xdr:row>
      <xdr:rowOff>131379</xdr:rowOff>
    </xdr:from>
    <xdr:to>
      <xdr:col>3</xdr:col>
      <xdr:colOff>906518</xdr:colOff>
      <xdr:row>4</xdr:row>
      <xdr:rowOff>91966</xdr:rowOff>
    </xdr:to>
    <xdr:sp macro="[0]!run_report" textlink="">
      <xdr:nvSpPr>
        <xdr:cNvPr id="7" name="Стрелка вправо 6"/>
        <xdr:cNvSpPr/>
      </xdr:nvSpPr>
      <xdr:spPr>
        <a:xfrm>
          <a:off x="4328948" y="321879"/>
          <a:ext cx="676604" cy="683173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arse_fio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_employees_list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113" dataDxfId="111" headerRowBorderDxfId="112" tableBorderDxfId="110" totalsRowBorderDxfId="109">
  <autoFilter ref="A3:J4"/>
  <tableColumns count="10">
    <tableColumn id="1" name="1" dataDxfId="108"/>
    <tableColumn id="2" name="2" dataDxfId="107"/>
    <tableColumn id="5" name="3" dataDxfId="106"/>
    <tableColumn id="6" name="4" dataDxfId="105"/>
    <tableColumn id="7" name="5" dataDxfId="104"/>
    <tableColumn id="10" name="6" dataDxfId="103"/>
    <tableColumn id="11" name="7" dataDxfId="102"/>
    <tableColumn id="12" name="8" dataDxfId="101"/>
    <tableColumn id="13" name="9" dataDxfId="100"/>
    <tableColumn id="14" name="10" dataDxfId="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98" dataDxfId="96" headerRowBorderDxfId="97" tableBorderDxfId="95" totalsRowBorderDxfId="94">
  <autoFilter ref="A4:P5"/>
  <tableColumns count="16">
    <tableColumn id="1" name="1" dataDxfId="93"/>
    <tableColumn id="2" name="2" dataDxfId="92"/>
    <tableColumn id="3" name="3" dataDxfId="91"/>
    <tableColumn id="4" name="4" dataDxfId="90"/>
    <tableColumn id="5" name="5" dataDxfId="89"/>
    <tableColumn id="6" name="6" dataDxfId="88"/>
    <tableColumn id="7" name="7" dataDxfId="87"/>
    <tableColumn id="8" name="8" dataDxfId="86"/>
    <tableColumn id="9" name="9" dataDxfId="85"/>
    <tableColumn id="10" name="10" dataDxfId="84"/>
    <tableColumn id="11" name="11" dataDxfId="83"/>
    <tableColumn id="12" name="12" dataDxfId="82"/>
    <tableColumn id="13" name="13" dataDxfId="81"/>
    <tableColumn id="14" name="14" dataDxfId="80"/>
    <tableColumn id="15" name="15" dataDxfId="79"/>
    <tableColumn id="16" name="16" dataDxfId="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77" dataDxfId="75" headerRowBorderDxfId="76" tableBorderDxfId="74" totalsRowBorderDxfId="73">
  <autoFilter ref="A2:I3">
    <filterColumn colId="1"/>
  </autoFilter>
  <tableColumns count="9">
    <tableColumn id="1" name="1" dataDxfId="72"/>
    <tableColumn id="3" name="2" dataDxfId="71"/>
    <tableColumn id="2" name="3" dataDxfId="70"/>
    <tableColumn id="5" name="4" dataDxfId="69"/>
    <tableColumn id="6" name="5" dataDxfId="68"/>
    <tableColumn id="7" name="6" dataDxfId="67"/>
    <tableColumn id="10" name="7" dataDxfId="66"/>
    <tableColumn id="11" name="8" dataDxfId="65"/>
    <tableColumn id="12" name="9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Таблица48" displayName="Таблица48" ref="A6:E16" totalsRowShown="0" headerRowDxfId="63" headerRowBorderDxfId="62" tableBorderDxfId="61" totalsRowBorderDxfId="60">
  <autoFilter ref="A6:E16">
    <filterColumn colId="0"/>
    <filterColumn colId="3"/>
    <filterColumn colId="4"/>
  </autoFilter>
  <tableColumns count="5">
    <tableColumn id="4" name="MenuItemName" dataDxfId="59"/>
    <tableColumn id="1" name="MenuItemCode" dataDxfId="58"/>
    <tableColumn id="3" name="TemplateSheetName" dataDxfId="57"/>
    <tableColumn id="2" name="VBA_SUB" dataDxfId="56"/>
    <tableColumn id="5" name="NewSheetName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Таблица4" displayName="Таблица4" ref="A6:E16" totalsRowShown="0" headerRowDxfId="54" headerRowBorderDxfId="53" tableBorderDxfId="52" totalsRowBorderDxfId="51">
  <autoFilter ref="A6:E16">
    <filterColumn colId="0"/>
    <filterColumn colId="3"/>
    <filterColumn colId="4"/>
  </autoFilter>
  <tableColumns count="5">
    <tableColumn id="4" name="MenuItemName" dataDxfId="50"/>
    <tableColumn id="1" name="MenuItemCode" dataDxfId="49"/>
    <tableColumn id="3" name="TemplateSheetName" dataDxfId="48"/>
    <tableColumn id="2" name="VBA_SUB" dataDxfId="47"/>
    <tableColumn id="5" name="NewSheetName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225" displayName="Таблица225" ref="A3:R4" totalsRowShown="0" headerRowDxfId="45" dataDxfId="43" headerRowBorderDxfId="44" tableBorderDxfId="42" totalsRowBorderDxfId="41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0"/>
    <tableColumn id="20" name="2" dataDxfId="39"/>
    <tableColumn id="19" name="3" dataDxfId="38"/>
    <tableColumn id="18" name="4" dataDxfId="37"/>
    <tableColumn id="17" name="5" dataDxfId="36"/>
    <tableColumn id="23" name="6" dataDxfId="35"/>
    <tableColumn id="22" name="7" dataDxfId="34"/>
    <tableColumn id="21" name="8" dataDxfId="33"/>
    <tableColumn id="28" name="9" dataDxfId="32"/>
    <tableColumn id="29" name="10" dataDxfId="31"/>
    <tableColumn id="27" name="11" dataDxfId="30"/>
    <tableColumn id="26" name="12" dataDxfId="29"/>
    <tableColumn id="25" name="13" dataDxfId="28"/>
    <tableColumn id="5" name="14" dataDxfId="27"/>
    <tableColumn id="4" name="15" dataDxfId="26"/>
    <tableColumn id="3" name="16" dataDxfId="25"/>
    <tableColumn id="2" name="17" dataDxfId="24"/>
    <tableColumn id="24" name="18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Menu" displayName="Menu" ref="D2:E10" totalsRowShown="0">
  <autoFilter ref="D2:E10"/>
  <tableColumns count="2">
    <tableColumn id="1" name="Items"/>
    <tableColumn id="2" name="Ac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Actions" displayName="Actions" ref="G2:I11" totalsRowShown="0">
  <autoFilter ref="G2:I11"/>
  <tableColumns count="3">
    <tableColumn id="1" name="Action"/>
    <tableColumn id="2" name="ActionType"/>
    <tableColumn id="3" name="Action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Programs" displayName="Programs" ref="U2:W4" totalsRowShown="0">
  <autoFilter ref="U2:W4">
    <filterColumn colId="1"/>
  </autoFilter>
  <tableColumns count="3">
    <tableColumn id="1" name="Code"/>
    <tableColumn id="3" name="Type"/>
    <tableColumn id="2" name="Routin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Reports" displayName="Reports" ref="K2:P9" totalsRowShown="0">
  <autoFilter ref="K2:P9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SubReports" displayName="SubReports" ref="R2:S3" totalsRowShown="0">
  <autoFilter ref="R2:S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GeneralOptions" displayName="GeneralOptions" ref="A2:B7" headerRowBorderDxfId="2" tableBorderDxfId="3" totalsRowBorderDxfId="1">
  <autoFilter ref="A2:B7"/>
  <tableColumns count="2">
    <tableColumn id="1" name="Name" totalsRowLabel="Итог" totalsRowDxfId="5"/>
    <tableColumn id="2" name="Value" totalsRowFunction="count" totalsRow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ActionTypes" displayName="ActionTypes" ref="Y2:Y4" totalsRowShown="0" tableBorderDxfId="0">
  <autoFilter ref="Y2:Y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8" name="CreateModes" displayName="CreateModes" ref="AA2:AA4" totalsRowShown="0">
  <autoFilter ref="AA2:AA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0" name="ReportTypes" displayName="ReportTypes" ref="AC2:AC4" totalsRowShown="0">
  <autoFilter ref="AC2:AC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5" name="Таблица5" displayName="Таблица5" ref="A3:G4" totalsRowShown="0" headerRowDxfId="22" dataDxfId="20" headerRowBorderDxfId="21" tableBorderDxfId="19">
  <autoFilter ref="A3:G4"/>
  <tableColumns count="7">
    <tableColumn id="1" name="010" dataDxfId="18"/>
    <tableColumn id="2" name="020" dataDxfId="17"/>
    <tableColumn id="3" name="025" dataDxfId="16"/>
    <tableColumn id="4" name="030" dataDxfId="15"/>
    <tableColumn id="5" name="040" dataDxfId="14"/>
    <tableColumn id="6" name="045" dataDxfId="13"/>
    <tableColumn id="7" name="050" dataDxfId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Таблица8" displayName="Таблица8" ref="A1:D162" totalsRowShown="0" headerRowDxfId="11" headerRowBorderDxfId="10" tableBorderDxfId="9" totalsRowBorderDxfId="8">
  <autoFilter ref="A1:D162">
    <filterColumn colId="2"/>
    <filterColumn colId="3"/>
  </autoFilter>
  <tableColumns count="4">
    <tableColumn id="1" name="ФИО" dataDxfId="7"/>
    <tableColumn id="5" name="Дата рождения" dataDxfId="6"/>
    <tableColumn id="2" name="Снилс"/>
    <tableColumn id="3" name="ИНН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C7" sqref="C7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68" t="s">
        <v>4</v>
      </c>
      <c r="B1" s="68"/>
      <c r="C1" s="68"/>
      <c r="D1" s="68"/>
      <c r="E1" s="68"/>
      <c r="F1" s="69" t="s">
        <v>23</v>
      </c>
      <c r="G1" s="69"/>
      <c r="H1" s="69"/>
      <c r="I1" s="69"/>
      <c r="J1" s="69"/>
    </row>
    <row r="2" spans="1:10" ht="78" customHeight="1">
      <c r="A2" s="21" t="s">
        <v>0</v>
      </c>
      <c r="B2" s="21" t="s">
        <v>32</v>
      </c>
      <c r="C2" s="22" t="s">
        <v>1</v>
      </c>
      <c r="D2" s="22" t="s">
        <v>2</v>
      </c>
      <c r="E2" s="21" t="s">
        <v>22</v>
      </c>
      <c r="F2" s="23" t="s">
        <v>31</v>
      </c>
      <c r="G2" s="23" t="s">
        <v>35</v>
      </c>
      <c r="H2" s="23" t="s">
        <v>1</v>
      </c>
      <c r="I2" s="23" t="s">
        <v>2</v>
      </c>
      <c r="J2" s="23" t="s">
        <v>22</v>
      </c>
    </row>
    <row r="3" spans="1:10">
      <c r="A3" s="24" t="s">
        <v>7</v>
      </c>
      <c r="B3" s="24" t="s">
        <v>8</v>
      </c>
      <c r="C3" s="24" t="s">
        <v>9</v>
      </c>
      <c r="D3" s="24" t="s">
        <v>10</v>
      </c>
      <c r="E3" s="24" t="s">
        <v>11</v>
      </c>
      <c r="F3" s="25" t="s">
        <v>12</v>
      </c>
      <c r="G3" s="25" t="s">
        <v>13</v>
      </c>
      <c r="H3" s="25" t="s">
        <v>14</v>
      </c>
      <c r="I3" s="25" t="s">
        <v>15</v>
      </c>
      <c r="J3" s="25" t="s">
        <v>16</v>
      </c>
    </row>
    <row r="4" spans="1:10">
      <c r="A4" s="1"/>
      <c r="B4" s="1"/>
      <c r="C4" s="26"/>
      <c r="D4" s="26"/>
      <c r="E4" s="26"/>
      <c r="F4" s="1"/>
      <c r="G4" s="1"/>
      <c r="H4" s="26"/>
      <c r="I4" s="26"/>
      <c r="J4" s="26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74" t="s">
        <v>4</v>
      </c>
      <c r="B1" s="75"/>
      <c r="C1" s="75"/>
      <c r="D1" s="75"/>
      <c r="E1" s="75"/>
      <c r="F1" s="75"/>
      <c r="G1" s="75"/>
      <c r="H1" s="75"/>
      <c r="I1" s="76"/>
      <c r="J1" s="77" t="s">
        <v>23</v>
      </c>
      <c r="K1" s="78"/>
      <c r="L1" s="78"/>
      <c r="M1" s="78"/>
      <c r="N1" s="78"/>
      <c r="O1" s="78"/>
      <c r="P1" s="79"/>
    </row>
    <row r="2" spans="1:16" ht="24" customHeight="1">
      <c r="A2" s="80" t="s">
        <v>0</v>
      </c>
      <c r="B2" s="82" t="s">
        <v>32</v>
      </c>
      <c r="C2" s="82" t="s">
        <v>3</v>
      </c>
      <c r="D2" s="82" t="s">
        <v>33</v>
      </c>
      <c r="E2" s="84" t="s">
        <v>5</v>
      </c>
      <c r="F2" s="85"/>
      <c r="G2" s="86"/>
      <c r="H2" s="84" t="s">
        <v>6</v>
      </c>
      <c r="I2" s="87"/>
      <c r="J2" s="88" t="s">
        <v>31</v>
      </c>
      <c r="K2" s="88" t="s">
        <v>35</v>
      </c>
      <c r="L2" s="70" t="s">
        <v>5</v>
      </c>
      <c r="M2" s="71"/>
      <c r="N2" s="72"/>
      <c r="O2" s="70" t="s">
        <v>6</v>
      </c>
      <c r="P2" s="73"/>
    </row>
    <row r="3" spans="1:16" ht="38.25" customHeight="1">
      <c r="A3" s="81"/>
      <c r="B3" s="83"/>
      <c r="C3" s="83"/>
      <c r="D3" s="83"/>
      <c r="E3" s="2" t="s">
        <v>1</v>
      </c>
      <c r="F3" s="2" t="s">
        <v>2</v>
      </c>
      <c r="G3" s="20" t="s">
        <v>22</v>
      </c>
      <c r="H3" s="2" t="s">
        <v>1</v>
      </c>
      <c r="I3" s="3" t="s">
        <v>22</v>
      </c>
      <c r="J3" s="89"/>
      <c r="K3" s="89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2" t="s">
        <v>7</v>
      </c>
      <c r="B4" s="10" t="s">
        <v>8</v>
      </c>
      <c r="C4" s="10" t="s">
        <v>9</v>
      </c>
      <c r="D4" s="10" t="s">
        <v>10</v>
      </c>
      <c r="E4" s="10" t="s">
        <v>11</v>
      </c>
      <c r="F4" s="10" t="s">
        <v>12</v>
      </c>
      <c r="G4" s="10" t="s">
        <v>13</v>
      </c>
      <c r="H4" s="10" t="s">
        <v>14</v>
      </c>
      <c r="I4" s="10" t="s">
        <v>15</v>
      </c>
      <c r="J4" s="11" t="s">
        <v>16</v>
      </c>
      <c r="K4" s="11" t="s">
        <v>17</v>
      </c>
      <c r="L4" s="11" t="s">
        <v>18</v>
      </c>
      <c r="M4" s="11" t="s">
        <v>19</v>
      </c>
      <c r="N4" s="11" t="s">
        <v>20</v>
      </c>
      <c r="O4" s="11" t="s">
        <v>21</v>
      </c>
      <c r="P4" s="13" t="s">
        <v>24</v>
      </c>
    </row>
    <row r="5" spans="1:16">
      <c r="A5" s="14"/>
      <c r="B5" s="15"/>
      <c r="C5" s="16"/>
      <c r="D5" s="17"/>
      <c r="E5" s="18"/>
      <c r="F5" s="18"/>
      <c r="G5" s="18"/>
      <c r="H5" s="18"/>
      <c r="I5" s="18"/>
      <c r="J5" s="15"/>
      <c r="K5" s="15"/>
      <c r="L5" s="18"/>
      <c r="M5" s="18"/>
      <c r="N5" s="18"/>
      <c r="O5" s="18"/>
      <c r="P5" s="19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G3" sqref="G3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21" t="s">
        <v>38</v>
      </c>
      <c r="B1" s="21" t="s">
        <v>48</v>
      </c>
      <c r="C1" s="21" t="s">
        <v>39</v>
      </c>
      <c r="D1" s="27" t="s">
        <v>40</v>
      </c>
      <c r="E1" s="27" t="s">
        <v>41</v>
      </c>
      <c r="F1" s="21" t="s">
        <v>42</v>
      </c>
      <c r="G1" s="23" t="s">
        <v>43</v>
      </c>
      <c r="H1" s="23" t="s">
        <v>44</v>
      </c>
      <c r="I1" s="23" t="s">
        <v>45</v>
      </c>
    </row>
    <row r="2" spans="1:9">
      <c r="A2" s="24" t="s">
        <v>7</v>
      </c>
      <c r="B2" s="24" t="s">
        <v>8</v>
      </c>
      <c r="C2" s="24" t="s">
        <v>9</v>
      </c>
      <c r="D2" s="24" t="s">
        <v>10</v>
      </c>
      <c r="E2" s="24" t="s">
        <v>11</v>
      </c>
      <c r="F2" s="24" t="s">
        <v>12</v>
      </c>
      <c r="G2" s="25" t="s">
        <v>13</v>
      </c>
      <c r="H2" s="25" t="s">
        <v>14</v>
      </c>
      <c r="I2" s="25" t="s">
        <v>15</v>
      </c>
    </row>
    <row r="3" spans="1:9">
      <c r="A3" s="1"/>
      <c r="B3" s="29"/>
      <c r="C3" s="29"/>
      <c r="D3" s="30"/>
      <c r="E3" s="29"/>
      <c r="F3" s="29"/>
      <c r="G3" s="26"/>
      <c r="H3" s="31"/>
      <c r="I3" s="3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/>
  <dimension ref="A1:E16"/>
  <sheetViews>
    <sheetView workbookViewId="0">
      <selection activeCell="B14" sqref="B14"/>
    </sheetView>
  </sheetViews>
  <sheetFormatPr defaultRowHeight="15"/>
  <cols>
    <col min="1" max="1" width="32.42578125" bestFit="1" customWidth="1"/>
    <col min="2" max="2" width="28.140625" customWidth="1"/>
    <col min="3" max="3" width="22" customWidth="1"/>
    <col min="4" max="4" width="23.85546875" bestFit="1" customWidth="1"/>
    <col min="5" max="5" width="32.42578125" bestFit="1" customWidth="1"/>
    <col min="6" max="6" width="7" bestFit="1" customWidth="1"/>
    <col min="7" max="7" width="6.85546875" bestFit="1" customWidth="1"/>
    <col min="8" max="8" width="7" bestFit="1" customWidth="1"/>
    <col min="9" max="9" width="6.85546875" bestFit="1" customWidth="1"/>
    <col min="10" max="10" width="11.42578125" bestFit="1" customWidth="1"/>
    <col min="11" max="11" width="10.5703125" bestFit="1" customWidth="1"/>
    <col min="12" max="13" width="7" bestFit="1" customWidth="1"/>
    <col min="14" max="14" width="6.85546875" bestFit="1" customWidth="1"/>
    <col min="15" max="15" width="7" bestFit="1" customWidth="1"/>
    <col min="16" max="16" width="6.85546875" customWidth="1"/>
  </cols>
  <sheetData>
    <row r="1" spans="1:5">
      <c r="A1" s="9" t="s">
        <v>25</v>
      </c>
      <c r="B1" s="9" t="s">
        <v>26</v>
      </c>
      <c r="D1" s="7"/>
      <c r="E1" s="7"/>
    </row>
    <row r="2" spans="1:5">
      <c r="A2" s="9" t="s">
        <v>28</v>
      </c>
      <c r="B2" s="9" t="s">
        <v>29</v>
      </c>
      <c r="D2" s="7"/>
      <c r="E2" s="7"/>
    </row>
    <row r="3" spans="1:5">
      <c r="A3" s="8" t="s">
        <v>100</v>
      </c>
      <c r="B3" s="8" t="e">
        <f>IF(D3=0,"",D3)</f>
        <v>#N/A</v>
      </c>
      <c r="D3" t="e">
        <f>VLOOKUP(Отчеты!C2,Таблица48[#All],2,FALSE)</f>
        <v>#N/A</v>
      </c>
    </row>
    <row r="4" spans="1:5">
      <c r="A4" s="6"/>
      <c r="B4" s="6"/>
    </row>
    <row r="6" spans="1:5" ht="33.75" customHeight="1">
      <c r="A6" s="38" t="s">
        <v>109</v>
      </c>
      <c r="B6" s="39" t="s">
        <v>112</v>
      </c>
      <c r="C6" s="39" t="s">
        <v>34</v>
      </c>
      <c r="D6" s="39" t="s">
        <v>104</v>
      </c>
      <c r="E6" s="55" t="s">
        <v>107</v>
      </c>
    </row>
    <row r="7" spans="1:5">
      <c r="A7" s="56" t="s">
        <v>27</v>
      </c>
      <c r="B7" s="8" t="s">
        <v>30</v>
      </c>
      <c r="C7" s="8" t="s">
        <v>30</v>
      </c>
      <c r="D7" s="8"/>
      <c r="E7" s="57" t="s">
        <v>27</v>
      </c>
    </row>
    <row r="8" spans="1:5">
      <c r="A8" s="56" t="s">
        <v>37</v>
      </c>
      <c r="B8" s="8" t="s">
        <v>36</v>
      </c>
      <c r="C8" s="8" t="s">
        <v>36</v>
      </c>
      <c r="D8" s="9"/>
      <c r="E8" s="57" t="s">
        <v>37</v>
      </c>
    </row>
    <row r="9" spans="1:5">
      <c r="A9" s="58" t="s">
        <v>47</v>
      </c>
      <c r="B9" s="59" t="s">
        <v>46</v>
      </c>
      <c r="C9" s="59" t="s">
        <v>46</v>
      </c>
      <c r="D9" s="8"/>
      <c r="E9" s="60" t="s">
        <v>47</v>
      </c>
    </row>
    <row r="10" spans="1:5" ht="15.75" customHeight="1">
      <c r="A10" s="58" t="s">
        <v>70</v>
      </c>
      <c r="B10" s="8" t="s">
        <v>69</v>
      </c>
      <c r="C10" s="8" t="s">
        <v>69</v>
      </c>
      <c r="D10" s="8"/>
      <c r="E10" s="60" t="s">
        <v>70</v>
      </c>
    </row>
    <row r="11" spans="1:5">
      <c r="A11" s="58" t="s">
        <v>80</v>
      </c>
      <c r="B11" s="8" t="s">
        <v>79</v>
      </c>
      <c r="C11" s="8" t="s">
        <v>79</v>
      </c>
      <c r="D11" s="8"/>
      <c r="E11" s="60" t="s">
        <v>80</v>
      </c>
    </row>
    <row r="12" spans="1:5">
      <c r="A12" s="58" t="s">
        <v>82</v>
      </c>
      <c r="B12" s="8" t="s">
        <v>81</v>
      </c>
      <c r="C12" s="8" t="s">
        <v>81</v>
      </c>
      <c r="D12" s="8"/>
      <c r="E12" s="60" t="s">
        <v>82</v>
      </c>
    </row>
    <row r="13" spans="1:5">
      <c r="A13" s="58" t="s">
        <v>101</v>
      </c>
      <c r="B13" s="8" t="s">
        <v>105</v>
      </c>
      <c r="C13" s="8" t="s">
        <v>103</v>
      </c>
      <c r="D13" s="8" t="s">
        <v>105</v>
      </c>
      <c r="E13" s="60" t="s">
        <v>108</v>
      </c>
    </row>
    <row r="14" spans="1:5">
      <c r="A14" s="58" t="s">
        <v>102</v>
      </c>
      <c r="B14" s="8" t="s">
        <v>103</v>
      </c>
      <c r="C14" s="8" t="s">
        <v>103</v>
      </c>
      <c r="D14" s="8" t="s">
        <v>110</v>
      </c>
      <c r="E14" s="60" t="s">
        <v>108</v>
      </c>
    </row>
    <row r="15" spans="1:5">
      <c r="A15" s="58"/>
      <c r="B15" s="8" t="s">
        <v>111</v>
      </c>
      <c r="C15" s="8"/>
      <c r="D15" s="8"/>
      <c r="E15" s="60"/>
    </row>
    <row r="16" spans="1:5">
      <c r="A16" s="61"/>
      <c r="B16" s="62" t="s">
        <v>111</v>
      </c>
      <c r="C16" s="62"/>
      <c r="D16" s="62"/>
      <c r="E16" s="6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E16"/>
  <sheetViews>
    <sheetView workbookViewId="0">
      <selection activeCell="E7" sqref="E7:E14"/>
    </sheetView>
  </sheetViews>
  <sheetFormatPr defaultRowHeight="15"/>
  <cols>
    <col min="1" max="1" width="32.42578125" bestFit="1" customWidth="1"/>
    <col min="2" max="2" width="28.140625" customWidth="1"/>
    <col min="3" max="3" width="22" customWidth="1"/>
    <col min="4" max="4" width="23.85546875" bestFit="1" customWidth="1"/>
    <col min="5" max="5" width="32.42578125" bestFit="1" customWidth="1"/>
    <col min="6" max="6" width="7" bestFit="1" customWidth="1"/>
    <col min="7" max="7" width="6.85546875" bestFit="1" customWidth="1"/>
    <col min="8" max="8" width="7" bestFit="1" customWidth="1"/>
    <col min="9" max="9" width="6.85546875" bestFit="1" customWidth="1"/>
    <col min="10" max="10" width="11.42578125" bestFit="1" customWidth="1"/>
    <col min="11" max="11" width="10.5703125" bestFit="1" customWidth="1"/>
    <col min="12" max="13" width="7" bestFit="1" customWidth="1"/>
    <col min="14" max="14" width="6.85546875" bestFit="1" customWidth="1"/>
    <col min="15" max="15" width="7" bestFit="1" customWidth="1"/>
    <col min="16" max="16" width="6.85546875" customWidth="1"/>
  </cols>
  <sheetData>
    <row r="1" spans="1:5">
      <c r="A1" s="9" t="s">
        <v>25</v>
      </c>
      <c r="B1" s="9" t="s">
        <v>26</v>
      </c>
      <c r="D1" s="7"/>
      <c r="E1" s="7"/>
    </row>
    <row r="2" spans="1:5">
      <c r="A2" s="9" t="s">
        <v>28</v>
      </c>
      <c r="B2" s="9" t="s">
        <v>29</v>
      </c>
      <c r="D2" s="7"/>
      <c r="E2" s="7"/>
    </row>
    <row r="3" spans="1:5">
      <c r="A3" s="8" t="s">
        <v>100</v>
      </c>
      <c r="B3" s="8" t="e">
        <f>IF(D3=0,"",D3)</f>
        <v>#N/A</v>
      </c>
      <c r="D3" t="e">
        <f>VLOOKUP(Отчеты!C2,Таблица4[#All],2,FALSE)</f>
        <v>#N/A</v>
      </c>
    </row>
    <row r="4" spans="1:5">
      <c r="A4" s="6"/>
      <c r="B4" s="6"/>
    </row>
    <row r="6" spans="1:5" ht="33.75" customHeight="1">
      <c r="A6" s="38" t="s">
        <v>109</v>
      </c>
      <c r="B6" s="39" t="s">
        <v>112</v>
      </c>
      <c r="C6" s="39" t="s">
        <v>34</v>
      </c>
      <c r="D6" s="39" t="s">
        <v>104</v>
      </c>
      <c r="E6" s="55" t="s">
        <v>107</v>
      </c>
    </row>
    <row r="7" spans="1:5">
      <c r="A7" s="56" t="s">
        <v>27</v>
      </c>
      <c r="B7" s="8" t="s">
        <v>30</v>
      </c>
      <c r="C7" s="8" t="s">
        <v>30</v>
      </c>
      <c r="D7" s="8"/>
      <c r="E7" s="57" t="s">
        <v>27</v>
      </c>
    </row>
    <row r="8" spans="1:5">
      <c r="A8" s="56" t="s">
        <v>37</v>
      </c>
      <c r="B8" s="8" t="s">
        <v>36</v>
      </c>
      <c r="C8" s="8" t="s">
        <v>36</v>
      </c>
      <c r="D8" s="9"/>
      <c r="E8" s="57" t="s">
        <v>37</v>
      </c>
    </row>
    <row r="9" spans="1:5">
      <c r="A9" s="58" t="s">
        <v>47</v>
      </c>
      <c r="B9" s="59" t="s">
        <v>46</v>
      </c>
      <c r="C9" s="59" t="s">
        <v>46</v>
      </c>
      <c r="D9" s="8"/>
      <c r="E9" s="60" t="s">
        <v>47</v>
      </c>
    </row>
    <row r="10" spans="1:5" ht="15.75" customHeight="1">
      <c r="A10" s="58" t="s">
        <v>70</v>
      </c>
      <c r="B10" s="8" t="s">
        <v>69</v>
      </c>
      <c r="C10" s="8" t="s">
        <v>69</v>
      </c>
      <c r="D10" s="8"/>
      <c r="E10" s="60" t="s">
        <v>70</v>
      </c>
    </row>
    <row r="11" spans="1:5">
      <c r="A11" s="58" t="s">
        <v>80</v>
      </c>
      <c r="B11" s="8" t="s">
        <v>79</v>
      </c>
      <c r="C11" s="8" t="s">
        <v>79</v>
      </c>
      <c r="D11" s="8"/>
      <c r="E11" s="60" t="s">
        <v>80</v>
      </c>
    </row>
    <row r="12" spans="1:5">
      <c r="A12" s="58" t="s">
        <v>82</v>
      </c>
      <c r="B12" s="8" t="s">
        <v>81</v>
      </c>
      <c r="C12" s="8" t="s">
        <v>81</v>
      </c>
      <c r="D12" s="8"/>
      <c r="E12" s="60" t="s">
        <v>82</v>
      </c>
    </row>
    <row r="13" spans="1:5">
      <c r="A13" s="58" t="s">
        <v>101</v>
      </c>
      <c r="B13" s="8" t="s">
        <v>105</v>
      </c>
      <c r="C13" s="8" t="s">
        <v>103</v>
      </c>
      <c r="D13" s="8" t="s">
        <v>105</v>
      </c>
      <c r="E13" s="60" t="s">
        <v>108</v>
      </c>
    </row>
    <row r="14" spans="1:5">
      <c r="A14" s="58" t="s">
        <v>102</v>
      </c>
      <c r="B14" s="8" t="s">
        <v>103</v>
      </c>
      <c r="C14" s="8" t="s">
        <v>103</v>
      </c>
      <c r="D14" s="8" t="s">
        <v>110</v>
      </c>
      <c r="E14" s="60" t="s">
        <v>108</v>
      </c>
    </row>
    <row r="15" spans="1:5">
      <c r="A15" s="58"/>
      <c r="B15" s="8" t="s">
        <v>111</v>
      </c>
      <c r="C15" s="8"/>
      <c r="D15" s="8"/>
      <c r="E15" s="60"/>
    </row>
    <row r="16" spans="1:5">
      <c r="A16" s="61"/>
      <c r="B16" s="62" t="s">
        <v>111</v>
      </c>
      <c r="C16" s="62"/>
      <c r="D16" s="62"/>
      <c r="E16" s="6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M1" sqref="M1:M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68" t="s">
        <v>62</v>
      </c>
      <c r="B1" s="68"/>
      <c r="C1" s="68"/>
      <c r="D1" s="68"/>
      <c r="E1" s="68" t="s">
        <v>61</v>
      </c>
      <c r="F1" s="68"/>
      <c r="G1" s="68"/>
      <c r="H1" s="68"/>
      <c r="I1" s="68"/>
      <c r="J1" s="68"/>
      <c r="K1" s="90" t="s">
        <v>55</v>
      </c>
      <c r="L1" s="90" t="s">
        <v>56</v>
      </c>
      <c r="M1" s="90" t="s">
        <v>41</v>
      </c>
      <c r="N1" s="90" t="s">
        <v>57</v>
      </c>
      <c r="O1" s="68" t="s">
        <v>63</v>
      </c>
      <c r="P1" s="68"/>
      <c r="Q1" s="68"/>
      <c r="R1" s="68"/>
    </row>
    <row r="2" spans="1:18" ht="31.5">
      <c r="A2" s="21" t="s">
        <v>54</v>
      </c>
      <c r="B2" s="21" t="s">
        <v>60</v>
      </c>
      <c r="C2" s="21" t="s">
        <v>50</v>
      </c>
      <c r="D2" s="21" t="s">
        <v>64</v>
      </c>
      <c r="E2" s="21" t="s">
        <v>53</v>
      </c>
      <c r="F2" s="21" t="s">
        <v>54</v>
      </c>
      <c r="G2" s="21" t="s">
        <v>50</v>
      </c>
      <c r="H2" s="21" t="s">
        <v>64</v>
      </c>
      <c r="I2" s="21" t="s">
        <v>58</v>
      </c>
      <c r="J2" s="21" t="s">
        <v>59</v>
      </c>
      <c r="K2" s="90"/>
      <c r="L2" s="90"/>
      <c r="M2" s="90"/>
      <c r="N2" s="90"/>
      <c r="O2" s="21" t="s">
        <v>65</v>
      </c>
      <c r="P2" s="21" t="s">
        <v>66</v>
      </c>
      <c r="Q2" s="21" t="s">
        <v>67</v>
      </c>
      <c r="R2" s="21" t="s">
        <v>68</v>
      </c>
    </row>
    <row r="3" spans="1:18" ht="15" customHeight="1">
      <c r="A3" s="24" t="s">
        <v>7</v>
      </c>
      <c r="B3" s="24" t="s">
        <v>8</v>
      </c>
      <c r="C3" s="24" t="s">
        <v>9</v>
      </c>
      <c r="D3" s="24" t="s">
        <v>10</v>
      </c>
      <c r="E3" s="24" t="s">
        <v>11</v>
      </c>
      <c r="F3" s="24" t="s">
        <v>12</v>
      </c>
      <c r="G3" s="24" t="s">
        <v>13</v>
      </c>
      <c r="H3" s="24" t="s">
        <v>14</v>
      </c>
      <c r="I3" s="24" t="s">
        <v>15</v>
      </c>
      <c r="J3" s="24" t="s">
        <v>16</v>
      </c>
      <c r="K3" s="24" t="s">
        <v>17</v>
      </c>
      <c r="L3" s="24" t="s">
        <v>18</v>
      </c>
      <c r="M3" s="24" t="s">
        <v>19</v>
      </c>
      <c r="N3" s="24" t="s">
        <v>20</v>
      </c>
      <c r="O3" s="24" t="s">
        <v>21</v>
      </c>
      <c r="P3" s="24" t="s">
        <v>24</v>
      </c>
      <c r="Q3" s="24" t="s">
        <v>51</v>
      </c>
      <c r="R3" s="24" t="s">
        <v>52</v>
      </c>
    </row>
    <row r="4" spans="1:18">
      <c r="A4" s="32"/>
      <c r="B4" s="32"/>
      <c r="C4" s="1"/>
      <c r="D4" s="29"/>
      <c r="E4" s="32"/>
      <c r="F4" s="32"/>
      <c r="G4" s="1"/>
      <c r="H4" s="29"/>
      <c r="I4" s="26"/>
      <c r="J4" s="26"/>
      <c r="K4" s="32"/>
      <c r="L4" s="32"/>
      <c r="M4" s="32"/>
      <c r="N4" s="32"/>
      <c r="O4" s="32"/>
      <c r="P4" s="31"/>
      <c r="Q4" s="31"/>
      <c r="R4" s="31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AC11"/>
  <sheetViews>
    <sheetView tabSelected="1" workbookViewId="0">
      <selection activeCell="B5" sqref="B5"/>
    </sheetView>
  </sheetViews>
  <sheetFormatPr defaultRowHeight="15"/>
  <cols>
    <col min="1" max="2" width="25" customWidth="1"/>
    <col min="4" max="4" width="32.42578125" bestFit="1" customWidth="1"/>
    <col min="5" max="5" width="23.85546875" bestFit="1" customWidth="1"/>
    <col min="7" max="7" width="21.42578125" customWidth="1"/>
    <col min="8" max="8" width="18.140625" customWidth="1"/>
    <col min="9" max="9" width="23" customWidth="1"/>
    <col min="11" max="11" width="19.140625" bestFit="1" customWidth="1"/>
    <col min="12" max="12" width="22" customWidth="1"/>
    <col min="13" max="13" width="32.42578125" bestFit="1" customWidth="1"/>
    <col min="14" max="15" width="16.7109375" customWidth="1"/>
    <col min="16" max="16" width="13.85546875" customWidth="1"/>
    <col min="18" max="18" width="23" customWidth="1"/>
    <col min="19" max="19" width="24.42578125" customWidth="1"/>
    <col min="21" max="22" width="17.85546875" customWidth="1"/>
    <col min="23" max="23" width="25.28515625" bestFit="1" customWidth="1"/>
    <col min="25" max="25" width="11.85546875" bestFit="1" customWidth="1"/>
    <col min="27" max="27" width="13.140625" bestFit="1" customWidth="1"/>
    <col min="29" max="29" width="12.140625" bestFit="1" customWidth="1"/>
  </cols>
  <sheetData>
    <row r="1" spans="1:29" ht="29.25" customHeight="1">
      <c r="A1" s="92" t="s">
        <v>433</v>
      </c>
      <c r="B1" s="92"/>
      <c r="D1" s="91" t="s">
        <v>434</v>
      </c>
      <c r="E1" s="91"/>
      <c r="G1" s="91" t="s">
        <v>429</v>
      </c>
      <c r="H1" s="91"/>
      <c r="I1" s="91"/>
      <c r="K1" s="91" t="s">
        <v>424</v>
      </c>
      <c r="L1" s="91"/>
      <c r="M1" s="91"/>
      <c r="N1" s="91"/>
      <c r="O1" s="91"/>
      <c r="P1" s="91"/>
      <c r="R1" s="91" t="s">
        <v>430</v>
      </c>
      <c r="S1" s="91"/>
      <c r="U1" s="91" t="s">
        <v>418</v>
      </c>
      <c r="V1" s="91"/>
      <c r="W1" s="91"/>
      <c r="Y1" s="100" t="s">
        <v>448</v>
      </c>
      <c r="AA1" s="100" t="s">
        <v>450</v>
      </c>
      <c r="AC1" s="100" t="s">
        <v>452</v>
      </c>
    </row>
    <row r="2" spans="1:29">
      <c r="A2" s="6" t="s">
        <v>423</v>
      </c>
      <c r="B2" s="6" t="s">
        <v>432</v>
      </c>
      <c r="D2" t="s">
        <v>439</v>
      </c>
      <c r="E2" t="s">
        <v>440</v>
      </c>
      <c r="G2" t="s">
        <v>440</v>
      </c>
      <c r="H2" t="s">
        <v>420</v>
      </c>
      <c r="I2" t="s">
        <v>428</v>
      </c>
      <c r="K2" t="s">
        <v>425</v>
      </c>
      <c r="L2" t="s">
        <v>34</v>
      </c>
      <c r="M2" t="s">
        <v>107</v>
      </c>
      <c r="N2" t="s">
        <v>449</v>
      </c>
      <c r="O2" t="s">
        <v>444</v>
      </c>
      <c r="P2" t="s">
        <v>435</v>
      </c>
      <c r="R2" t="s">
        <v>425</v>
      </c>
      <c r="S2" t="s">
        <v>431</v>
      </c>
      <c r="U2" t="s">
        <v>425</v>
      </c>
      <c r="V2" t="s">
        <v>442</v>
      </c>
      <c r="W2" t="s">
        <v>446</v>
      </c>
      <c r="Y2" t="s">
        <v>425</v>
      </c>
      <c r="AA2" t="s">
        <v>425</v>
      </c>
      <c r="AC2" t="s">
        <v>425</v>
      </c>
    </row>
    <row r="3" spans="1:29">
      <c r="A3" s="7" t="s">
        <v>416</v>
      </c>
      <c r="B3" s="7" t="s">
        <v>26</v>
      </c>
      <c r="D3" t="s">
        <v>27</v>
      </c>
      <c r="E3" t="s">
        <v>30</v>
      </c>
      <c r="G3" t="s">
        <v>30</v>
      </c>
      <c r="H3" t="s">
        <v>421</v>
      </c>
      <c r="I3" t="s">
        <v>30</v>
      </c>
      <c r="K3" t="s">
        <v>30</v>
      </c>
      <c r="L3" t="s">
        <v>30</v>
      </c>
      <c r="M3" t="s">
        <v>27</v>
      </c>
      <c r="N3" t="s">
        <v>447</v>
      </c>
      <c r="O3" t="s">
        <v>445</v>
      </c>
      <c r="P3" t="s">
        <v>453</v>
      </c>
      <c r="R3" t="s">
        <v>437</v>
      </c>
      <c r="U3" t="s">
        <v>426</v>
      </c>
      <c r="V3" t="s">
        <v>443</v>
      </c>
      <c r="Y3" s="98" t="s">
        <v>421</v>
      </c>
      <c r="AA3" t="s">
        <v>447</v>
      </c>
      <c r="AC3" t="s">
        <v>453</v>
      </c>
    </row>
    <row r="4" spans="1:29">
      <c r="A4" s="7" t="s">
        <v>417</v>
      </c>
      <c r="B4" s="7" t="s">
        <v>29</v>
      </c>
      <c r="D4" t="s">
        <v>37</v>
      </c>
      <c r="E4" t="s">
        <v>36</v>
      </c>
      <c r="G4" t="s">
        <v>36</v>
      </c>
      <c r="H4" t="s">
        <v>421</v>
      </c>
      <c r="I4" t="s">
        <v>36</v>
      </c>
      <c r="K4" t="s">
        <v>36</v>
      </c>
      <c r="L4" t="s">
        <v>36</v>
      </c>
      <c r="M4" t="s">
        <v>37</v>
      </c>
      <c r="N4" t="s">
        <v>447</v>
      </c>
      <c r="O4" t="s">
        <v>445</v>
      </c>
      <c r="P4" t="s">
        <v>453</v>
      </c>
      <c r="U4" s="6" t="s">
        <v>445</v>
      </c>
      <c r="V4" t="s">
        <v>443</v>
      </c>
      <c r="W4" s="6"/>
      <c r="Y4" s="99" t="s">
        <v>422</v>
      </c>
      <c r="AA4" t="s">
        <v>451</v>
      </c>
      <c r="AC4" t="s">
        <v>436</v>
      </c>
    </row>
    <row r="5" spans="1:29">
      <c r="A5" s="6" t="s">
        <v>441</v>
      </c>
      <c r="B5" s="6" t="str">
        <f>VLOOKUP(ReportSelected,Menu[],2,FALSE)</f>
        <v>employees_load</v>
      </c>
      <c r="D5" t="s">
        <v>47</v>
      </c>
      <c r="E5" t="s">
        <v>46</v>
      </c>
      <c r="G5" t="s">
        <v>46</v>
      </c>
      <c r="H5" t="s">
        <v>421</v>
      </c>
      <c r="I5" t="s">
        <v>46</v>
      </c>
      <c r="K5" t="s">
        <v>46</v>
      </c>
      <c r="L5" t="s">
        <v>46</v>
      </c>
      <c r="M5" t="s">
        <v>47</v>
      </c>
      <c r="N5" t="s">
        <v>447</v>
      </c>
      <c r="O5" t="s">
        <v>445</v>
      </c>
      <c r="P5" t="s">
        <v>453</v>
      </c>
    </row>
    <row r="6" spans="1:29">
      <c r="A6" s="101"/>
      <c r="B6" s="6"/>
      <c r="D6" t="s">
        <v>70</v>
      </c>
      <c r="E6" t="s">
        <v>69</v>
      </c>
      <c r="G6" t="s">
        <v>69</v>
      </c>
      <c r="H6" t="s">
        <v>421</v>
      </c>
      <c r="I6" t="s">
        <v>69</v>
      </c>
      <c r="K6" t="s">
        <v>69</v>
      </c>
      <c r="L6" t="s">
        <v>69</v>
      </c>
      <c r="M6" t="s">
        <v>70</v>
      </c>
      <c r="N6" t="s">
        <v>447</v>
      </c>
      <c r="O6" t="s">
        <v>445</v>
      </c>
      <c r="P6" t="s">
        <v>453</v>
      </c>
    </row>
    <row r="7" spans="1:29">
      <c r="A7" s="6"/>
      <c r="B7" s="6"/>
      <c r="D7" t="s">
        <v>80</v>
      </c>
      <c r="E7" t="s">
        <v>437</v>
      </c>
      <c r="G7" t="s">
        <v>437</v>
      </c>
      <c r="H7" t="s">
        <v>421</v>
      </c>
      <c r="I7" t="s">
        <v>437</v>
      </c>
      <c r="K7" t="s">
        <v>437</v>
      </c>
      <c r="L7" t="s">
        <v>79</v>
      </c>
      <c r="M7" t="s">
        <v>80</v>
      </c>
      <c r="N7" t="s">
        <v>447</v>
      </c>
      <c r="O7" t="s">
        <v>445</v>
      </c>
      <c r="P7" t="s">
        <v>436</v>
      </c>
    </row>
    <row r="8" spans="1:29">
      <c r="A8" s="6"/>
      <c r="B8" s="6"/>
      <c r="D8" t="s">
        <v>82</v>
      </c>
      <c r="E8" t="s">
        <v>81</v>
      </c>
      <c r="G8" t="s">
        <v>81</v>
      </c>
      <c r="H8" t="s">
        <v>421</v>
      </c>
      <c r="I8" t="s">
        <v>81</v>
      </c>
      <c r="K8" t="s">
        <v>81</v>
      </c>
      <c r="L8" t="s">
        <v>81</v>
      </c>
      <c r="M8" t="s">
        <v>82</v>
      </c>
      <c r="N8" t="s">
        <v>447</v>
      </c>
      <c r="O8" t="s">
        <v>445</v>
      </c>
      <c r="P8" t="s">
        <v>436</v>
      </c>
    </row>
    <row r="9" spans="1:29">
      <c r="A9" s="6"/>
      <c r="B9" s="6"/>
      <c r="D9" t="s">
        <v>438</v>
      </c>
      <c r="E9" t="s">
        <v>426</v>
      </c>
      <c r="G9" t="s">
        <v>426</v>
      </c>
      <c r="H9" t="s">
        <v>422</v>
      </c>
      <c r="I9" t="s">
        <v>426</v>
      </c>
      <c r="K9" t="s">
        <v>427</v>
      </c>
      <c r="L9" t="s">
        <v>103</v>
      </c>
      <c r="M9" t="s">
        <v>108</v>
      </c>
      <c r="N9" t="s">
        <v>447</v>
      </c>
      <c r="O9" t="s">
        <v>445</v>
      </c>
      <c r="P9" t="s">
        <v>453</v>
      </c>
    </row>
    <row r="10" spans="1:29">
      <c r="A10" s="6"/>
      <c r="B10" s="6"/>
      <c r="D10" t="s">
        <v>102</v>
      </c>
      <c r="E10" t="s">
        <v>427</v>
      </c>
      <c r="G10" t="s">
        <v>426</v>
      </c>
      <c r="H10" t="s">
        <v>421</v>
      </c>
      <c r="I10" t="s">
        <v>427</v>
      </c>
    </row>
    <row r="11" spans="1:29">
      <c r="A11" s="6"/>
      <c r="B11" s="6"/>
      <c r="G11" t="s">
        <v>427</v>
      </c>
      <c r="H11" t="s">
        <v>421</v>
      </c>
      <c r="I11" t="s">
        <v>427</v>
      </c>
    </row>
  </sheetData>
  <mergeCells count="6">
    <mergeCell ref="K1:P1"/>
    <mergeCell ref="R1:S1"/>
    <mergeCell ref="A1:B1"/>
    <mergeCell ref="D1:E1"/>
    <mergeCell ref="G1:I1"/>
    <mergeCell ref="U1:W1"/>
  </mergeCells>
  <dataValidations count="6">
    <dataValidation type="list" allowBlank="1" showInputMessage="1" showErrorMessage="1" sqref="R3:S3">
      <formula1>INDIRECT("Reports[Code]")</formula1>
    </dataValidation>
    <dataValidation type="list" allowBlank="1" showInputMessage="1" showErrorMessage="1" sqref="E3:E10">
      <formula1>INDIRECT("Actions[Action]")</formula1>
    </dataValidation>
    <dataValidation type="list" allowBlank="1" showInputMessage="1" showErrorMessage="1" sqref="H3:H11">
      <formula1>INDIRECT("ActionTypes[Code]")</formula1>
    </dataValidation>
    <dataValidation type="list" allowBlank="1" showInputMessage="1" showErrorMessage="1" sqref="N3:N9">
      <formula1>INDIRECT("CreateModes[Code]")</formula1>
    </dataValidation>
    <dataValidation type="list" allowBlank="1" showInputMessage="1" showErrorMessage="1" sqref="P3:P9">
      <formula1>INDIRECT("ReportTypes[Code]")</formula1>
    </dataValidation>
    <dataValidation type="list" allowBlank="1" showInputMessage="1" showErrorMessage="1" sqref="O3:O9">
      <formula1>INDIRECT("Programs[Code]")</formula1>
    </dataValidation>
  </dataValidations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E23"/>
  <sheetViews>
    <sheetView showGridLines="0" zoomScale="145" zoomScaleNormal="145" workbookViewId="0">
      <selection activeCell="C4" sqref="C4"/>
    </sheetView>
  </sheetViews>
  <sheetFormatPr defaultRowHeight="15"/>
  <cols>
    <col min="2" max="2" width="19.5703125" customWidth="1"/>
    <col min="3" max="3" width="32.7109375" customWidth="1"/>
    <col min="4" max="4" width="19.28515625" customWidth="1"/>
  </cols>
  <sheetData>
    <row r="1" spans="1:5">
      <c r="A1" s="41"/>
      <c r="B1" s="41"/>
      <c r="C1" s="41"/>
      <c r="D1" s="41"/>
    </row>
    <row r="2" spans="1:5" ht="30.75" customHeight="1">
      <c r="A2" s="41"/>
      <c r="B2" s="40" t="s">
        <v>97</v>
      </c>
      <c r="C2" s="67" t="s">
        <v>438</v>
      </c>
      <c r="D2" s="41"/>
    </row>
    <row r="3" spans="1:5" ht="11.25" customHeight="1">
      <c r="A3" s="41"/>
      <c r="B3" s="40"/>
      <c r="C3" s="41"/>
      <c r="D3" s="41"/>
    </row>
    <row r="4" spans="1:5">
      <c r="A4" s="41"/>
      <c r="B4" s="40" t="s">
        <v>98</v>
      </c>
      <c r="C4" s="42">
        <v>42736</v>
      </c>
      <c r="D4" s="41"/>
    </row>
    <row r="5" spans="1:5">
      <c r="A5" s="41"/>
      <c r="B5" s="40" t="s">
        <v>99</v>
      </c>
      <c r="C5" s="42">
        <v>42916</v>
      </c>
      <c r="D5" s="41"/>
    </row>
    <row r="6" spans="1:5">
      <c r="A6" s="41"/>
      <c r="B6" s="41"/>
      <c r="C6" s="41"/>
      <c r="D6" s="41"/>
    </row>
    <row r="8" spans="1:5">
      <c r="A8" s="93" t="s">
        <v>419</v>
      </c>
      <c r="B8" s="93"/>
      <c r="C8" s="93"/>
      <c r="D8" s="93"/>
    </row>
    <row r="9" spans="1:5" ht="84" customHeight="1">
      <c r="A9" s="94"/>
      <c r="B9" s="94"/>
      <c r="C9" s="94"/>
      <c r="D9" s="94"/>
    </row>
    <row r="14" spans="1:5">
      <c r="E14" s="28" t="s">
        <v>49</v>
      </c>
    </row>
    <row r="23" spans="4:4">
      <c r="D23" s="28" t="s">
        <v>49</v>
      </c>
    </row>
  </sheetData>
  <dataConsolidate/>
  <mergeCells count="2">
    <mergeCell ref="A8:D8"/>
    <mergeCell ref="A9:D9"/>
  </mergeCells>
  <dataValidations count="1">
    <dataValidation type="list" allowBlank="1" showInputMessage="1" showErrorMessage="1" sqref="C2">
      <formula1>INDIRECT("Menu[Items]")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G4"/>
  <sheetViews>
    <sheetView workbookViewId="0">
      <selection activeCell="A4" sqref="A4"/>
    </sheetView>
  </sheetViews>
  <sheetFormatPr defaultRowHeight="15"/>
  <cols>
    <col min="2" max="7" width="26.7109375" customWidth="1"/>
  </cols>
  <sheetData>
    <row r="1" spans="1:7" ht="39" customHeight="1">
      <c r="A1" s="95" t="s">
        <v>83</v>
      </c>
      <c r="B1" s="96"/>
      <c r="C1" s="96"/>
      <c r="D1" s="96"/>
      <c r="E1" s="96"/>
      <c r="F1" s="96"/>
      <c r="G1" s="97"/>
    </row>
    <row r="2" spans="1:7" ht="39" customHeight="1" thickBot="1">
      <c r="A2" s="53" t="s">
        <v>84</v>
      </c>
      <c r="B2" s="53" t="s">
        <v>1</v>
      </c>
      <c r="C2" s="53" t="s">
        <v>85</v>
      </c>
      <c r="D2" s="53" t="s">
        <v>86</v>
      </c>
      <c r="E2" s="53" t="s">
        <v>87</v>
      </c>
      <c r="F2" s="53" t="s">
        <v>88</v>
      </c>
      <c r="G2" s="54" t="s">
        <v>89</v>
      </c>
    </row>
    <row r="3" spans="1:7" ht="15.75" thickBot="1">
      <c r="A3" s="50" t="s">
        <v>90</v>
      </c>
      <c r="B3" s="51" t="s">
        <v>91</v>
      </c>
      <c r="C3" s="51" t="s">
        <v>92</v>
      </c>
      <c r="D3" s="51" t="s">
        <v>93</v>
      </c>
      <c r="E3" s="51" t="s">
        <v>94</v>
      </c>
      <c r="F3" s="51" t="s">
        <v>95</v>
      </c>
      <c r="G3" s="52" t="s">
        <v>96</v>
      </c>
    </row>
    <row r="4" spans="1:7">
      <c r="A4" s="46"/>
      <c r="B4" s="47"/>
      <c r="C4" s="47"/>
      <c r="D4" s="47"/>
      <c r="E4" s="48"/>
      <c r="F4" s="48"/>
      <c r="G4" s="49"/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D4"/>
  <sheetViews>
    <sheetView workbookViewId="0">
      <selection activeCell="A2" sqref="A2"/>
    </sheetView>
  </sheetViews>
  <sheetFormatPr defaultRowHeight="15"/>
  <cols>
    <col min="1" max="4" width="23.28515625" customWidth="1"/>
  </cols>
  <sheetData>
    <row r="1" spans="1:4" ht="45" customHeight="1">
      <c r="A1" s="95" t="s">
        <v>106</v>
      </c>
      <c r="B1" s="96"/>
      <c r="C1" s="96"/>
      <c r="D1" s="96"/>
    </row>
    <row r="2" spans="1:4" ht="33.75" customHeight="1" thickBot="1">
      <c r="A2" s="43" t="s">
        <v>71</v>
      </c>
      <c r="B2" s="44" t="s">
        <v>72</v>
      </c>
      <c r="C2" s="44" t="s">
        <v>73</v>
      </c>
      <c r="D2" s="45" t="s">
        <v>74</v>
      </c>
    </row>
    <row r="3" spans="1:4" ht="15.75" thickBot="1">
      <c r="A3" s="33" t="s">
        <v>75</v>
      </c>
      <c r="B3" s="34" t="s">
        <v>76</v>
      </c>
      <c r="C3" s="34" t="s">
        <v>77</v>
      </c>
      <c r="D3" s="35" t="s">
        <v>78</v>
      </c>
    </row>
    <row r="4" spans="1:4">
      <c r="A4" s="36"/>
      <c r="B4" s="37"/>
      <c r="C4" s="37"/>
      <c r="D4" s="37"/>
    </row>
  </sheetData>
  <mergeCells count="1">
    <mergeCell ref="A1:D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162"/>
  <sheetViews>
    <sheetView showGridLines="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64" t="s">
        <v>113</v>
      </c>
      <c r="B1" s="65" t="s">
        <v>114</v>
      </c>
      <c r="C1" s="65" t="s">
        <v>414</v>
      </c>
      <c r="D1" s="65" t="s">
        <v>415</v>
      </c>
    </row>
    <row r="2" spans="1:4">
      <c r="A2" t="s">
        <v>253</v>
      </c>
      <c r="B2" s="66" t="s">
        <v>115</v>
      </c>
    </row>
    <row r="3" spans="1:4">
      <c r="A3" t="s">
        <v>254</v>
      </c>
      <c r="B3" s="66" t="s">
        <v>116</v>
      </c>
    </row>
    <row r="4" spans="1:4">
      <c r="A4" t="s">
        <v>255</v>
      </c>
      <c r="B4" s="66">
        <v>28612</v>
      </c>
    </row>
    <row r="5" spans="1:4">
      <c r="A5" t="s">
        <v>256</v>
      </c>
      <c r="B5" s="66">
        <v>30860</v>
      </c>
    </row>
    <row r="6" spans="1:4">
      <c r="A6" t="s">
        <v>257</v>
      </c>
      <c r="B6" s="66" t="s">
        <v>117</v>
      </c>
    </row>
    <row r="7" spans="1:4">
      <c r="A7" t="s">
        <v>258</v>
      </c>
      <c r="B7" s="66" t="s">
        <v>118</v>
      </c>
    </row>
    <row r="8" spans="1:4">
      <c r="A8" t="s">
        <v>259</v>
      </c>
      <c r="B8" s="66" t="s">
        <v>119</v>
      </c>
    </row>
    <row r="9" spans="1:4">
      <c r="A9" t="s">
        <v>260</v>
      </c>
      <c r="B9" s="66" t="s">
        <v>120</v>
      </c>
    </row>
    <row r="10" spans="1:4">
      <c r="A10" t="s">
        <v>261</v>
      </c>
      <c r="B10" s="66" t="s">
        <v>121</v>
      </c>
    </row>
    <row r="11" spans="1:4">
      <c r="A11" t="s">
        <v>262</v>
      </c>
      <c r="B11" s="66" t="s">
        <v>122</v>
      </c>
    </row>
    <row r="12" spans="1:4">
      <c r="A12" t="s">
        <v>263</v>
      </c>
      <c r="B12" s="66" t="s">
        <v>123</v>
      </c>
    </row>
    <row r="13" spans="1:4">
      <c r="A13" t="s">
        <v>264</v>
      </c>
      <c r="B13" s="66" t="s">
        <v>124</v>
      </c>
    </row>
    <row r="14" spans="1:4">
      <c r="A14" t="s">
        <v>265</v>
      </c>
      <c r="B14" s="66" t="s">
        <v>125</v>
      </c>
    </row>
    <row r="15" spans="1:4">
      <c r="A15" t="s">
        <v>266</v>
      </c>
      <c r="B15" s="66" t="s">
        <v>126</v>
      </c>
    </row>
    <row r="16" spans="1:4">
      <c r="A16" t="s">
        <v>267</v>
      </c>
      <c r="B16" s="66" t="s">
        <v>127</v>
      </c>
    </row>
    <row r="17" spans="1:2">
      <c r="A17" t="s">
        <v>268</v>
      </c>
      <c r="B17" s="66" t="s">
        <v>128</v>
      </c>
    </row>
    <row r="18" spans="1:2">
      <c r="A18" t="s">
        <v>269</v>
      </c>
      <c r="B18" s="66" t="s">
        <v>129</v>
      </c>
    </row>
    <row r="19" spans="1:2">
      <c r="A19" t="s">
        <v>270</v>
      </c>
      <c r="B19" s="66" t="s">
        <v>130</v>
      </c>
    </row>
    <row r="20" spans="1:2">
      <c r="A20" t="s">
        <v>271</v>
      </c>
      <c r="B20" s="66" t="s">
        <v>131</v>
      </c>
    </row>
    <row r="21" spans="1:2">
      <c r="A21" t="s">
        <v>272</v>
      </c>
      <c r="B21" s="66">
        <v>22487</v>
      </c>
    </row>
    <row r="22" spans="1:2">
      <c r="A22" t="s">
        <v>273</v>
      </c>
      <c r="B22" s="66" t="s">
        <v>132</v>
      </c>
    </row>
    <row r="23" spans="1:2">
      <c r="A23" t="s">
        <v>274</v>
      </c>
      <c r="B23" s="66" t="s">
        <v>133</v>
      </c>
    </row>
    <row r="24" spans="1:2">
      <c r="A24" t="s">
        <v>275</v>
      </c>
      <c r="B24" s="66" t="s">
        <v>134</v>
      </c>
    </row>
    <row r="25" spans="1:2">
      <c r="A25" t="s">
        <v>276</v>
      </c>
      <c r="B25" s="66">
        <v>29275</v>
      </c>
    </row>
    <row r="26" spans="1:2">
      <c r="A26" t="s">
        <v>277</v>
      </c>
      <c r="B26" s="66" t="s">
        <v>135</v>
      </c>
    </row>
    <row r="27" spans="1:2">
      <c r="A27" t="s">
        <v>278</v>
      </c>
      <c r="B27" s="66" t="s">
        <v>136</v>
      </c>
    </row>
    <row r="28" spans="1:2">
      <c r="A28" t="s">
        <v>279</v>
      </c>
      <c r="B28" s="66">
        <v>30512</v>
      </c>
    </row>
    <row r="29" spans="1:2">
      <c r="A29" t="s">
        <v>280</v>
      </c>
      <c r="B29" s="66" t="s">
        <v>137</v>
      </c>
    </row>
    <row r="30" spans="1:2">
      <c r="A30" t="s">
        <v>281</v>
      </c>
      <c r="B30" s="66" t="s">
        <v>138</v>
      </c>
    </row>
    <row r="31" spans="1:2">
      <c r="A31" t="s">
        <v>282</v>
      </c>
      <c r="B31" s="66" t="s">
        <v>139</v>
      </c>
    </row>
    <row r="32" spans="1:2">
      <c r="A32" t="s">
        <v>283</v>
      </c>
      <c r="B32" s="66" t="s">
        <v>140</v>
      </c>
    </row>
    <row r="33" spans="1:2">
      <c r="A33" t="s">
        <v>284</v>
      </c>
      <c r="B33" s="66" t="s">
        <v>141</v>
      </c>
    </row>
    <row r="34" spans="1:2">
      <c r="A34" t="s">
        <v>285</v>
      </c>
      <c r="B34" s="66" t="s">
        <v>142</v>
      </c>
    </row>
    <row r="35" spans="1:2">
      <c r="A35" t="s">
        <v>286</v>
      </c>
      <c r="B35" s="66" t="s">
        <v>143</v>
      </c>
    </row>
    <row r="36" spans="1:2">
      <c r="A36" t="s">
        <v>287</v>
      </c>
      <c r="B36" s="66" t="s">
        <v>144</v>
      </c>
    </row>
    <row r="37" spans="1:2">
      <c r="A37" t="s">
        <v>288</v>
      </c>
      <c r="B37" s="66" t="s">
        <v>145</v>
      </c>
    </row>
    <row r="38" spans="1:2">
      <c r="A38" t="s">
        <v>289</v>
      </c>
      <c r="B38" s="66">
        <v>23550</v>
      </c>
    </row>
    <row r="39" spans="1:2">
      <c r="A39" t="s">
        <v>290</v>
      </c>
      <c r="B39" s="66" t="s">
        <v>146</v>
      </c>
    </row>
    <row r="40" spans="1:2">
      <c r="A40" t="s">
        <v>291</v>
      </c>
      <c r="B40" s="66">
        <v>34598</v>
      </c>
    </row>
    <row r="41" spans="1:2">
      <c r="A41" t="s">
        <v>292</v>
      </c>
      <c r="B41" s="66" t="s">
        <v>147</v>
      </c>
    </row>
    <row r="42" spans="1:2">
      <c r="A42" t="s">
        <v>293</v>
      </c>
      <c r="B42" s="66" t="s">
        <v>148</v>
      </c>
    </row>
    <row r="43" spans="1:2">
      <c r="A43" t="s">
        <v>294</v>
      </c>
      <c r="B43" s="66" t="s">
        <v>149</v>
      </c>
    </row>
    <row r="44" spans="1:2">
      <c r="A44" t="s">
        <v>295</v>
      </c>
      <c r="B44" s="66">
        <v>29517</v>
      </c>
    </row>
    <row r="45" spans="1:2">
      <c r="A45" t="s">
        <v>296</v>
      </c>
      <c r="B45" s="66" t="s">
        <v>150</v>
      </c>
    </row>
    <row r="46" spans="1:2">
      <c r="A46" t="s">
        <v>297</v>
      </c>
      <c r="B46" s="66" t="s">
        <v>151</v>
      </c>
    </row>
    <row r="47" spans="1:2">
      <c r="A47" t="s">
        <v>298</v>
      </c>
      <c r="B47" s="66" t="s">
        <v>152</v>
      </c>
    </row>
    <row r="48" spans="1:2">
      <c r="A48" t="s">
        <v>299</v>
      </c>
      <c r="B48" s="66" t="s">
        <v>153</v>
      </c>
    </row>
    <row r="49" spans="1:2">
      <c r="A49" t="s">
        <v>300</v>
      </c>
      <c r="B49" s="66" t="s">
        <v>154</v>
      </c>
    </row>
    <row r="50" spans="1:2">
      <c r="A50" t="s">
        <v>301</v>
      </c>
      <c r="B50" s="66">
        <v>22404</v>
      </c>
    </row>
    <row r="51" spans="1:2">
      <c r="A51" t="s">
        <v>302</v>
      </c>
      <c r="B51" s="66" t="s">
        <v>155</v>
      </c>
    </row>
    <row r="52" spans="1:2">
      <c r="A52" t="s">
        <v>303</v>
      </c>
      <c r="B52" s="66" t="s">
        <v>156</v>
      </c>
    </row>
    <row r="53" spans="1:2">
      <c r="A53" t="s">
        <v>304</v>
      </c>
      <c r="B53" s="66">
        <v>23219</v>
      </c>
    </row>
    <row r="54" spans="1:2">
      <c r="A54" t="s">
        <v>305</v>
      </c>
      <c r="B54" s="66" t="s">
        <v>157</v>
      </c>
    </row>
    <row r="55" spans="1:2">
      <c r="A55" t="s">
        <v>306</v>
      </c>
      <c r="B55" s="66" t="s">
        <v>158</v>
      </c>
    </row>
    <row r="56" spans="1:2">
      <c r="A56" t="s">
        <v>307</v>
      </c>
      <c r="B56" s="66" t="s">
        <v>159</v>
      </c>
    </row>
    <row r="57" spans="1:2">
      <c r="A57" t="s">
        <v>308</v>
      </c>
      <c r="B57" s="66" t="s">
        <v>160</v>
      </c>
    </row>
    <row r="58" spans="1:2">
      <c r="A58" t="s">
        <v>309</v>
      </c>
      <c r="B58" s="66" t="s">
        <v>161</v>
      </c>
    </row>
    <row r="59" spans="1:2">
      <c r="A59" t="s">
        <v>310</v>
      </c>
      <c r="B59" s="66" t="s">
        <v>162</v>
      </c>
    </row>
    <row r="60" spans="1:2">
      <c r="A60" t="s">
        <v>311</v>
      </c>
      <c r="B60" s="66" t="s">
        <v>163</v>
      </c>
    </row>
    <row r="61" spans="1:2">
      <c r="A61" t="s">
        <v>312</v>
      </c>
      <c r="B61" s="66" t="s">
        <v>164</v>
      </c>
    </row>
    <row r="62" spans="1:2">
      <c r="A62" t="s">
        <v>313</v>
      </c>
      <c r="B62" s="66" t="s">
        <v>165</v>
      </c>
    </row>
    <row r="63" spans="1:2">
      <c r="A63" t="s">
        <v>314</v>
      </c>
      <c r="B63" s="66" t="s">
        <v>166</v>
      </c>
    </row>
    <row r="64" spans="1:2">
      <c r="A64" t="s">
        <v>315</v>
      </c>
      <c r="B64" s="66" t="s">
        <v>167</v>
      </c>
    </row>
    <row r="65" spans="1:2">
      <c r="A65" t="s">
        <v>316</v>
      </c>
      <c r="B65" s="66" t="s">
        <v>168</v>
      </c>
    </row>
    <row r="66" spans="1:2">
      <c r="A66" t="s">
        <v>317</v>
      </c>
      <c r="B66" s="66" t="s">
        <v>169</v>
      </c>
    </row>
    <row r="67" spans="1:2">
      <c r="A67" t="s">
        <v>318</v>
      </c>
      <c r="B67" s="66" t="s">
        <v>170</v>
      </c>
    </row>
    <row r="68" spans="1:2">
      <c r="A68" t="s">
        <v>319</v>
      </c>
      <c r="B68" s="66" t="s">
        <v>171</v>
      </c>
    </row>
    <row r="69" spans="1:2">
      <c r="A69" t="s">
        <v>320</v>
      </c>
      <c r="B69" s="66" t="s">
        <v>172</v>
      </c>
    </row>
    <row r="70" spans="1:2">
      <c r="A70" t="s">
        <v>321</v>
      </c>
      <c r="B70" s="66" t="s">
        <v>173</v>
      </c>
    </row>
    <row r="71" spans="1:2">
      <c r="A71" t="s">
        <v>322</v>
      </c>
      <c r="B71" s="66" t="s">
        <v>174</v>
      </c>
    </row>
    <row r="72" spans="1:2">
      <c r="A72" t="s">
        <v>323</v>
      </c>
      <c r="B72" s="66" t="s">
        <v>175</v>
      </c>
    </row>
    <row r="73" spans="1:2">
      <c r="A73" t="s">
        <v>324</v>
      </c>
      <c r="B73" s="66" t="s">
        <v>176</v>
      </c>
    </row>
    <row r="74" spans="1:2">
      <c r="A74" t="s">
        <v>325</v>
      </c>
      <c r="B74" s="66" t="s">
        <v>177</v>
      </c>
    </row>
    <row r="75" spans="1:2">
      <c r="A75" t="s">
        <v>326</v>
      </c>
      <c r="B75" s="66" t="s">
        <v>178</v>
      </c>
    </row>
    <row r="76" spans="1:2">
      <c r="A76" t="s">
        <v>327</v>
      </c>
      <c r="B76" s="66" t="s">
        <v>179</v>
      </c>
    </row>
    <row r="77" spans="1:2">
      <c r="A77" t="s">
        <v>328</v>
      </c>
      <c r="B77" s="66" t="s">
        <v>180</v>
      </c>
    </row>
    <row r="78" spans="1:2">
      <c r="A78" t="s">
        <v>329</v>
      </c>
      <c r="B78" s="66" t="s">
        <v>181</v>
      </c>
    </row>
    <row r="79" spans="1:2">
      <c r="A79" t="s">
        <v>330</v>
      </c>
      <c r="B79" s="66">
        <v>22677</v>
      </c>
    </row>
    <row r="80" spans="1:2">
      <c r="A80" t="s">
        <v>331</v>
      </c>
      <c r="B80" s="66">
        <v>23459</v>
      </c>
    </row>
    <row r="81" spans="1:2">
      <c r="A81" t="s">
        <v>332</v>
      </c>
      <c r="B81" s="66">
        <v>28243</v>
      </c>
    </row>
    <row r="82" spans="1:2">
      <c r="A82" t="s">
        <v>333</v>
      </c>
      <c r="B82" s="66" t="s">
        <v>182</v>
      </c>
    </row>
    <row r="83" spans="1:2">
      <c r="A83" t="s">
        <v>334</v>
      </c>
      <c r="B83" s="66" t="s">
        <v>183</v>
      </c>
    </row>
    <row r="84" spans="1:2">
      <c r="A84" t="s">
        <v>335</v>
      </c>
      <c r="B84" s="66" t="s">
        <v>184</v>
      </c>
    </row>
    <row r="85" spans="1:2">
      <c r="A85" t="s">
        <v>336</v>
      </c>
      <c r="B85" s="66" t="s">
        <v>185</v>
      </c>
    </row>
    <row r="86" spans="1:2">
      <c r="A86" t="s">
        <v>337</v>
      </c>
      <c r="B86" s="66" t="s">
        <v>186</v>
      </c>
    </row>
    <row r="87" spans="1:2">
      <c r="A87" t="s">
        <v>338</v>
      </c>
      <c r="B87" s="66" t="s">
        <v>187</v>
      </c>
    </row>
    <row r="88" spans="1:2">
      <c r="A88" t="s">
        <v>339</v>
      </c>
      <c r="B88" s="66" t="s">
        <v>188</v>
      </c>
    </row>
    <row r="89" spans="1:2">
      <c r="A89" t="s">
        <v>340</v>
      </c>
      <c r="B89" s="66" t="s">
        <v>189</v>
      </c>
    </row>
    <row r="90" spans="1:2">
      <c r="A90" t="s">
        <v>341</v>
      </c>
      <c r="B90" s="66" t="s">
        <v>190</v>
      </c>
    </row>
    <row r="91" spans="1:2">
      <c r="A91" t="s">
        <v>342</v>
      </c>
      <c r="B91" s="66" t="s">
        <v>191</v>
      </c>
    </row>
    <row r="92" spans="1:2">
      <c r="A92" t="s">
        <v>343</v>
      </c>
      <c r="B92" s="66" t="s">
        <v>192</v>
      </c>
    </row>
    <row r="93" spans="1:2">
      <c r="A93" t="s">
        <v>344</v>
      </c>
      <c r="B93" s="66" t="s">
        <v>193</v>
      </c>
    </row>
    <row r="94" spans="1:2">
      <c r="A94" t="s">
        <v>345</v>
      </c>
      <c r="B94" s="66">
        <v>25939</v>
      </c>
    </row>
    <row r="95" spans="1:2">
      <c r="A95" t="s">
        <v>346</v>
      </c>
      <c r="B95" s="66" t="s">
        <v>194</v>
      </c>
    </row>
    <row r="96" spans="1:2">
      <c r="A96" t="s">
        <v>347</v>
      </c>
      <c r="B96" s="66" t="s">
        <v>195</v>
      </c>
    </row>
    <row r="97" spans="1:2">
      <c r="A97" t="s">
        <v>348</v>
      </c>
      <c r="B97" s="66" t="s">
        <v>196</v>
      </c>
    </row>
    <row r="98" spans="1:2">
      <c r="A98" t="s">
        <v>349</v>
      </c>
      <c r="B98" s="66" t="s">
        <v>197</v>
      </c>
    </row>
    <row r="99" spans="1:2">
      <c r="A99" t="s">
        <v>350</v>
      </c>
      <c r="B99" s="66">
        <v>23428</v>
      </c>
    </row>
    <row r="100" spans="1:2">
      <c r="A100" t="s">
        <v>351</v>
      </c>
      <c r="B100" s="66" t="s">
        <v>198</v>
      </c>
    </row>
    <row r="101" spans="1:2">
      <c r="A101" t="s">
        <v>352</v>
      </c>
      <c r="B101" s="66" t="s">
        <v>199</v>
      </c>
    </row>
    <row r="102" spans="1:2">
      <c r="A102" t="s">
        <v>353</v>
      </c>
      <c r="B102" s="66">
        <v>26135</v>
      </c>
    </row>
    <row r="103" spans="1:2">
      <c r="A103" t="s">
        <v>354</v>
      </c>
      <c r="B103" s="66" t="s">
        <v>200</v>
      </c>
    </row>
    <row r="104" spans="1:2">
      <c r="A104" t="s">
        <v>355</v>
      </c>
      <c r="B104" s="66" t="s">
        <v>201</v>
      </c>
    </row>
    <row r="105" spans="1:2">
      <c r="A105" t="s">
        <v>356</v>
      </c>
      <c r="B105" s="66" t="s">
        <v>202</v>
      </c>
    </row>
    <row r="106" spans="1:2">
      <c r="A106" t="s">
        <v>357</v>
      </c>
      <c r="B106" s="66" t="s">
        <v>203</v>
      </c>
    </row>
    <row r="107" spans="1:2">
      <c r="A107" t="s">
        <v>358</v>
      </c>
      <c r="B107" s="66" t="s">
        <v>204</v>
      </c>
    </row>
    <row r="108" spans="1:2">
      <c r="A108" t="s">
        <v>359</v>
      </c>
      <c r="B108" s="66" t="s">
        <v>205</v>
      </c>
    </row>
    <row r="109" spans="1:2">
      <c r="A109" t="s">
        <v>360</v>
      </c>
      <c r="B109" s="66" t="s">
        <v>206</v>
      </c>
    </row>
    <row r="110" spans="1:2">
      <c r="A110" t="s">
        <v>361</v>
      </c>
      <c r="B110" s="66" t="s">
        <v>207</v>
      </c>
    </row>
    <row r="111" spans="1:2">
      <c r="A111" t="s">
        <v>362</v>
      </c>
      <c r="B111" s="66" t="s">
        <v>208</v>
      </c>
    </row>
    <row r="112" spans="1:2">
      <c r="A112" t="s">
        <v>363</v>
      </c>
      <c r="B112" s="66" t="s">
        <v>209</v>
      </c>
    </row>
    <row r="113" spans="1:2">
      <c r="A113" t="s">
        <v>364</v>
      </c>
      <c r="B113" s="66" t="s">
        <v>210</v>
      </c>
    </row>
    <row r="114" spans="1:2">
      <c r="A114" t="s">
        <v>365</v>
      </c>
      <c r="B114" s="66" t="s">
        <v>211</v>
      </c>
    </row>
    <row r="115" spans="1:2">
      <c r="A115" t="s">
        <v>366</v>
      </c>
      <c r="B115" s="66" t="s">
        <v>212</v>
      </c>
    </row>
    <row r="116" spans="1:2">
      <c r="A116" t="s">
        <v>367</v>
      </c>
      <c r="B116" s="66" t="s">
        <v>213</v>
      </c>
    </row>
    <row r="117" spans="1:2">
      <c r="A117" t="s">
        <v>368</v>
      </c>
      <c r="B117" s="66" t="s">
        <v>214</v>
      </c>
    </row>
    <row r="118" spans="1:2">
      <c r="A118" t="s">
        <v>369</v>
      </c>
      <c r="B118" s="66" t="s">
        <v>215</v>
      </c>
    </row>
    <row r="119" spans="1:2">
      <c r="A119" t="s">
        <v>370</v>
      </c>
      <c r="B119" s="66" t="s">
        <v>216</v>
      </c>
    </row>
    <row r="120" spans="1:2">
      <c r="A120" t="s">
        <v>371</v>
      </c>
      <c r="B120" s="66" t="s">
        <v>217</v>
      </c>
    </row>
    <row r="121" spans="1:2">
      <c r="A121" t="s">
        <v>372</v>
      </c>
      <c r="B121" s="66" t="s">
        <v>218</v>
      </c>
    </row>
    <row r="122" spans="1:2">
      <c r="A122" t="s">
        <v>373</v>
      </c>
      <c r="B122" s="66">
        <v>22117</v>
      </c>
    </row>
    <row r="123" spans="1:2">
      <c r="A123" t="s">
        <v>374</v>
      </c>
      <c r="B123" s="66" t="s">
        <v>219</v>
      </c>
    </row>
    <row r="124" spans="1:2">
      <c r="A124" t="s">
        <v>375</v>
      </c>
      <c r="B124" s="66" t="s">
        <v>220</v>
      </c>
    </row>
    <row r="125" spans="1:2">
      <c r="A125" t="s">
        <v>376</v>
      </c>
      <c r="B125" s="66" t="s">
        <v>221</v>
      </c>
    </row>
    <row r="126" spans="1:2">
      <c r="A126" t="s">
        <v>377</v>
      </c>
      <c r="B126" s="66">
        <v>25555</v>
      </c>
    </row>
    <row r="127" spans="1:2">
      <c r="A127" t="s">
        <v>378</v>
      </c>
      <c r="B127" s="66" t="s">
        <v>222</v>
      </c>
    </row>
    <row r="128" spans="1:2">
      <c r="A128" t="s">
        <v>379</v>
      </c>
      <c r="B128" s="66">
        <v>25406</v>
      </c>
    </row>
    <row r="129" spans="1:2">
      <c r="A129" t="s">
        <v>380</v>
      </c>
      <c r="B129" s="66" t="s">
        <v>223</v>
      </c>
    </row>
    <row r="130" spans="1:2">
      <c r="A130" t="s">
        <v>381</v>
      </c>
      <c r="B130" s="66">
        <v>21782</v>
      </c>
    </row>
    <row r="131" spans="1:2">
      <c r="A131" t="s">
        <v>382</v>
      </c>
      <c r="B131" s="66" t="s">
        <v>224</v>
      </c>
    </row>
    <row r="132" spans="1:2">
      <c r="A132" t="s">
        <v>383</v>
      </c>
      <c r="B132" s="66" t="s">
        <v>225</v>
      </c>
    </row>
    <row r="133" spans="1:2">
      <c r="A133" t="s">
        <v>384</v>
      </c>
      <c r="B133" s="66">
        <v>19982</v>
      </c>
    </row>
    <row r="134" spans="1:2">
      <c r="A134" t="s">
        <v>385</v>
      </c>
      <c r="B134" s="66" t="s">
        <v>226</v>
      </c>
    </row>
    <row r="135" spans="1:2">
      <c r="A135" t="s">
        <v>386</v>
      </c>
      <c r="B135" s="66" t="s">
        <v>227</v>
      </c>
    </row>
    <row r="136" spans="1:2">
      <c r="A136" t="s">
        <v>387</v>
      </c>
      <c r="B136" s="66" t="s">
        <v>228</v>
      </c>
    </row>
    <row r="137" spans="1:2">
      <c r="A137" t="s">
        <v>388</v>
      </c>
      <c r="B137" s="66" t="s">
        <v>229</v>
      </c>
    </row>
    <row r="138" spans="1:2">
      <c r="A138" t="s">
        <v>389</v>
      </c>
      <c r="B138" s="66" t="s">
        <v>230</v>
      </c>
    </row>
    <row r="139" spans="1:2">
      <c r="A139" t="s">
        <v>390</v>
      </c>
      <c r="B139" s="66" t="s">
        <v>231</v>
      </c>
    </row>
    <row r="140" spans="1:2">
      <c r="A140" t="s">
        <v>391</v>
      </c>
      <c r="B140" s="66" t="s">
        <v>232</v>
      </c>
    </row>
    <row r="141" spans="1:2">
      <c r="A141" t="s">
        <v>392</v>
      </c>
      <c r="B141" s="66" t="s">
        <v>233</v>
      </c>
    </row>
    <row r="142" spans="1:2">
      <c r="A142" t="s">
        <v>393</v>
      </c>
      <c r="B142" s="66" t="s">
        <v>234</v>
      </c>
    </row>
    <row r="143" spans="1:2">
      <c r="A143" t="s">
        <v>394</v>
      </c>
      <c r="B143" s="66">
        <v>22712</v>
      </c>
    </row>
    <row r="144" spans="1:2">
      <c r="A144" t="s">
        <v>395</v>
      </c>
      <c r="B144" s="66" t="s">
        <v>235</v>
      </c>
    </row>
    <row r="145" spans="1:2">
      <c r="A145" t="s">
        <v>396</v>
      </c>
      <c r="B145" s="66" t="s">
        <v>236</v>
      </c>
    </row>
    <row r="146" spans="1:2">
      <c r="A146" t="s">
        <v>397</v>
      </c>
      <c r="B146" s="66" t="s">
        <v>237</v>
      </c>
    </row>
    <row r="147" spans="1:2">
      <c r="A147" t="s">
        <v>398</v>
      </c>
      <c r="B147" s="66">
        <v>18582</v>
      </c>
    </row>
    <row r="148" spans="1:2">
      <c r="A148" t="s">
        <v>399</v>
      </c>
      <c r="B148" s="66" t="s">
        <v>238</v>
      </c>
    </row>
    <row r="149" spans="1:2">
      <c r="A149" t="s">
        <v>400</v>
      </c>
      <c r="B149" s="66" t="s">
        <v>239</v>
      </c>
    </row>
    <row r="150" spans="1:2">
      <c r="A150" t="s">
        <v>401</v>
      </c>
      <c r="B150" s="66" t="s">
        <v>240</v>
      </c>
    </row>
    <row r="151" spans="1:2">
      <c r="A151" t="s">
        <v>402</v>
      </c>
      <c r="B151" s="66" t="s">
        <v>241</v>
      </c>
    </row>
    <row r="152" spans="1:2">
      <c r="A152" t="s">
        <v>403</v>
      </c>
      <c r="B152" s="66" t="s">
        <v>242</v>
      </c>
    </row>
    <row r="153" spans="1:2">
      <c r="A153" t="s">
        <v>404</v>
      </c>
      <c r="B153" s="66" t="s">
        <v>243</v>
      </c>
    </row>
    <row r="154" spans="1:2">
      <c r="A154" t="s">
        <v>405</v>
      </c>
      <c r="B154" s="66" t="s">
        <v>244</v>
      </c>
    </row>
    <row r="155" spans="1:2">
      <c r="A155" t="s">
        <v>406</v>
      </c>
      <c r="B155" s="66" t="s">
        <v>245</v>
      </c>
    </row>
    <row r="156" spans="1:2">
      <c r="A156" t="s">
        <v>407</v>
      </c>
      <c r="B156" s="66" t="s">
        <v>246</v>
      </c>
    </row>
    <row r="157" spans="1:2">
      <c r="A157" t="s">
        <v>408</v>
      </c>
      <c r="B157" s="66" t="s">
        <v>247</v>
      </c>
    </row>
    <row r="158" spans="1:2">
      <c r="A158" t="s">
        <v>409</v>
      </c>
      <c r="B158" s="66" t="s">
        <v>248</v>
      </c>
    </row>
    <row r="159" spans="1:2">
      <c r="A159" t="s">
        <v>410</v>
      </c>
      <c r="B159" s="66" t="s">
        <v>249</v>
      </c>
    </row>
    <row r="160" spans="1:2">
      <c r="A160" t="s">
        <v>411</v>
      </c>
      <c r="B160" s="66" t="s">
        <v>250</v>
      </c>
    </row>
    <row r="161" spans="1:2">
      <c r="A161" t="s">
        <v>412</v>
      </c>
      <c r="B161" s="66" t="s">
        <v>251</v>
      </c>
    </row>
    <row r="162" spans="1:2">
      <c r="A162" t="s">
        <v>413</v>
      </c>
      <c r="B162" s="66" t="s">
        <v>252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7</vt:i4>
      </vt:variant>
    </vt:vector>
  </HeadingPairs>
  <TitlesOfParts>
    <vt:vector size="18" baseType="lpstr">
      <vt:lpstr>detail_report</vt:lpstr>
      <vt:lpstr>detail_report_2</vt:lpstr>
      <vt:lpstr>error_report</vt:lpstr>
      <vt:lpstr>OptionsOld</vt:lpstr>
      <vt:lpstr>Options</vt:lpstr>
      <vt:lpstr>correcting_report</vt:lpstr>
      <vt:lpstr>Settings</vt:lpstr>
      <vt:lpstr>Отчеты</vt:lpstr>
      <vt:lpstr>ndfl6_part1_rates</vt:lpstr>
      <vt:lpstr>ndfl6_part1</vt:lpstr>
      <vt:lpstr>funds_employees</vt:lpstr>
      <vt:lpstr>EndDate</vt:lpstr>
      <vt:lpstr>menu_item_selected</vt:lpstr>
      <vt:lpstr>oracle_owner</vt:lpstr>
      <vt:lpstr>output</vt:lpstr>
      <vt:lpstr>ReportSelected</vt:lpstr>
      <vt:lpstr>start_sheet_name</vt:lpstr>
      <vt:lpstr>StartDate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2017-07-27T08:19:04Z</dcterms:modified>
</cp:coreProperties>
</file>