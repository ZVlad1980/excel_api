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ndfl6_part1_rates" sheetId="69" state="hidden" r:id="rId7"/>
    <sheet name="ndfl6_part1" sheetId="71" state="hidden" r:id="rId8"/>
    <sheet name="funds_employees" sheetId="73" state="hidden" r:id="rId9"/>
    <sheet name="funds_employees_report" sheetId="123" state="hidden" r:id="rId10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</definedNames>
  <calcPr calcId="124519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<sst xmlns="http://schemas.openxmlformats.org/spreadsheetml/2006/main" count="457" uniqueCount="199">
  <si>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</si>
  <si>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</si>
  <si>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</si>
  <si>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</si>
  <si>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</si>
  <si>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</si>
  <si>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</si>
  <si>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</si>
  <si>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</si>
  <si>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</si>
  <si>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</si>
  <si>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</si>
  <si>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</si>
  <si>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</si>
  <si>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</si>
  <si>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</si>
  <si>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</si>
  <si>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</si>
  <si>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</si>
  <si>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</si>
  <si>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</si>
  <si>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</si>
  <si>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</si>
  <si>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</si>
  <si>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</si>
  <si>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</si>
  <si>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</si>
  <si>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</si>
  <si>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</si>
  <si>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</si>
  <si>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</si>
  <si>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</si>
  <si>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</si>
  <si>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</si>
  <si>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</si>
  <si>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</si>
  <si>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</si>
  <si>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</si>
  <si>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</si>
  <si>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</si>
  <si>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</si>
  <si>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</si>
  <si>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</si>
  <si>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</si>
  <si>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</si>
  <si>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</si>
  <si>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</si>
  <si>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</si>
  <si>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</si>
  <si>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</si>
  <si>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</si>
  <si>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</si>
  <si>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</si>
  <si>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</si>
  <si>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</si>
  <si>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</si>
  <si>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</si>
  <si>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</si>
  <si>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</si>
  <si>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</si>
  <si>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</si>
  <si>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</si>
  <si>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</si>
  <si>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</si>
  <si>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</si>
  <si>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</si>
  <si>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</si>
  <si>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</si>
  <si>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</si>
  <si>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</si>
  <si>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</si>
  <si>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</si>
  <si>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</si>
  <si>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</si>
  <si>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</si>
  <si>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</si>
  <si>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</si>
  <si>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ndfl6_part1</t>
  </si>
  <si>
    <t>НДФЛ6 Раздел 1 Общие итоги</t>
  </si>
  <si>
    <t>ndfl6_part1_rates</t>
  </si>
  <si>
    <t>НДФЛ6 Раздел 1 Итоги по ставкам</t>
  </si>
  <si>
    <t>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</si>
  <si>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</si>
  <si>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</si>
  <si>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</si>
  <si>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</si>
  <si>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</si>
  <si>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</si>
  <si>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</si>
  <si>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</si>
  <si>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</si>
  <si>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</si>
  <si>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</si>
  <si>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</si>
  <si>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</si>
  <si>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</si>
  <si>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</si>
  <si>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</si>
  <si>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</si>
  <si>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</si>
  <si>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Итого за год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</si>
  <si>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</si>
  <si>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</si>
  <si>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</si>
  <si>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</si>
  <si>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</si>
  <si>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</si>
  <si>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</si>
  <si>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</si>
  <si>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</si>
  <si>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</si>
  <si>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</si>
  <si>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</si>
  <si>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</si>
  <si>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</si>
  <si>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</si>
  <si>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</si>
  <si>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</si>
  <si>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</si>
  <si>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</si>
  <si>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</si>
  <si>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</si>
  <si>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</si>
  <si>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</si>
  <si>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</si>
  <si>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</si>
  <si>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</si>
  <si>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</si>
  <si>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</si>
  <si>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</si>
  <si>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</si>
  <si>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</si>
  <si>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</si>
  <si>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</si>
  <si>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</si>
  <si>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</si>
  <si>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</si>
  <si>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</si>
  <si>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</si>
  <si>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</si>
  <si>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</si>
  <si>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</si>
  <si>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</si>
  <si>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ndfl6_part1_return</t>
  </si>
  <si>
    <t>ndfl6_part1_general_data</t>
  </si>
  <si>
    <t>ndfl6_part1_rates_data</t>
  </si>
  <si>
    <t>ndfl6_part1_rates_reg1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</si>
  <si>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</si>
  <si>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</si>
  <si>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</si>
  <si>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</si>
  <si>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</si>
  <si>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</si>
  <si>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</si>
  <si>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</si>
  <si>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</si>
  <si>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</si>
  <si>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</si>
  <si>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</si>
  <si>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</si>
  <si>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</si>
  <si>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</si>
  <si>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</si>
  <si>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</si>
  <si>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</si>
  <si>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</si>
  <si>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</si>
  <si>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</si>
  <si>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</si>
  <si>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</si>
  <si>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</si>
  <si>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</si>
  <si>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</si>
  <si>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</si>
  <si>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</si>
  <si>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</si>
  <si>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НДФЛ6 Раздел 1 Возвраты</t>
  </si>
  <si>
    <t>output</t>
  </si>
  <si>
    <t>AfterAction</t>
  </si>
  <si>
    <t>Break</t>
  </si>
  <si>
    <t>parse_fio</t>
  </si>
  <si>
    <t>EmployeesApi.parse_fio</t>
  </si>
  <si>
    <t>employees_send</t>
  </si>
  <si>
    <t>ndfl_report_api.load_employees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</si>
  <si>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</si>
  <si>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</si>
  <si>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</si>
  <si>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</si>
  <si>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</si>
  <si>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</si>
  <si>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</si>
  <si>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</si>
  <si>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</si>
  <si>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</si>
  <si>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</si>
  <si>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</si>
  <si>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</si>
  <si>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ndfl_report_api.ndfl_prepare_data</t>
  </si>
  <si>
    <t>НДФЛ6: подготовка данных</t>
  </si>
</sst>
</file>

<file path=xl/styles.xml><?xml version="1.0" encoding="utf-8"?>
<styleSheet xmlns="http://schemas.openxmlformats.org/spreadsheetml/2006/main">
  <numFmts count="1">
    <numFmt numFmtId="164" formatCode="#,##0.00\ _₽"/>
  </numFmts>
  <fonts count="1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10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6" fillId="3" borderId="19" xfId="0" quotePrefix="1" applyFont="1" applyFill="1" applyBorder="1" applyAlignment="1">
      <alignment horizontal="center"/>
    </xf>
    <xf numFmtId="0" fontId="6" fillId="3" borderId="20" xfId="0" quotePrefix="1" applyFont="1" applyFill="1" applyBorder="1" applyAlignment="1">
      <alignment horizontal="center"/>
    </xf>
    <xf numFmtId="0" fontId="6" fillId="3" borderId="21" xfId="0" quotePrefix="1" applyFont="1" applyFill="1" applyBorder="1" applyAlignment="1">
      <alignment horizontal="center"/>
    </xf>
    <xf numFmtId="0" fontId="3" fillId="0" borderId="2" xfId="0" applyFont="1" applyFill="1" applyBorder="1"/>
    <xf numFmtId="4" fontId="3" fillId="0" borderId="2" xfId="0" applyNumberFormat="1" applyFont="1" applyFill="1" applyBorder="1"/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3" fillId="3" borderId="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0" borderId="28" xfId="0" applyFont="1" applyFill="1" applyBorder="1"/>
    <xf numFmtId="4" fontId="3" fillId="0" borderId="7" xfId="0" applyNumberFormat="1" applyFont="1" applyFill="1" applyBorder="1"/>
    <xf numFmtId="3" fontId="3" fillId="0" borderId="7" xfId="0" applyNumberFormat="1" applyFont="1" applyFill="1" applyBorder="1"/>
    <xf numFmtId="3" fontId="3" fillId="0" borderId="29" xfId="0" applyNumberFormat="1" applyFont="1" applyFill="1" applyBorder="1"/>
    <xf numFmtId="0" fontId="9" fillId="0" borderId="25" xfId="0" quotePrefix="1" applyFont="1" applyFill="1" applyBorder="1" applyAlignment="1">
      <alignment horizontal="center" vertical="center"/>
    </xf>
    <xf numFmtId="0" fontId="9" fillId="0" borderId="26" xfId="0" quotePrefix="1" applyFont="1" applyFill="1" applyBorder="1" applyAlignment="1">
      <alignment horizontal="center" vertical="center"/>
    </xf>
    <xf numFmtId="0" fontId="9" fillId="0" borderId="27" xfId="0" quotePrefix="1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23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30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10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3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31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</cellXfs>
  <cellStyles count="2">
    <cellStyle name="Обычный" xfId="0" builtinId="0"/>
    <cellStyle name="Обычный 4" xfId="1"/>
  </cellStyles>
  <dxfs count="114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113" dataDxfId="111" headerRowBorderDxfId="112" tableBorderDxfId="110" totalsRowBorderDxfId="109">
  <autoFilter ref="A3:J4"/>
  <tableColumns count="10">
    <tableColumn id="1" name="1" dataDxfId="108"/>
    <tableColumn id="2" name="2" dataDxfId="107"/>
    <tableColumn id="5" name="3" dataDxfId="106"/>
    <tableColumn id="6" name="4" dataDxfId="105"/>
    <tableColumn id="7" name="5" dataDxfId="104"/>
    <tableColumn id="10" name="6" dataDxfId="103"/>
    <tableColumn id="11" name="7" dataDxfId="102"/>
    <tableColumn id="12" name="8" dataDxfId="101"/>
    <tableColumn id="13" name="9" dataDxfId="100"/>
    <tableColumn id="14" name="10" dataDxfId="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98" dataDxfId="96" headerRowBorderDxfId="97" tableBorderDxfId="95" totalsRowBorderDxfId="94">
  <autoFilter ref="A4:P5"/>
  <tableColumns count="16">
    <tableColumn id="1" name="1" dataDxfId="93"/>
    <tableColumn id="2" name="2" dataDxfId="92"/>
    <tableColumn id="3" name="3" dataDxfId="91"/>
    <tableColumn id="4" name="4" dataDxfId="90"/>
    <tableColumn id="5" name="5" dataDxfId="89"/>
    <tableColumn id="6" name="6" dataDxfId="88"/>
    <tableColumn id="7" name="7" dataDxfId="87"/>
    <tableColumn id="8" name="8" dataDxfId="86"/>
    <tableColumn id="9" name="9" dataDxfId="85"/>
    <tableColumn id="10" name="10" dataDxfId="84"/>
    <tableColumn id="11" name="11" dataDxfId="83"/>
    <tableColumn id="12" name="12" dataDxfId="82"/>
    <tableColumn id="13" name="13" dataDxfId="81"/>
    <tableColumn id="14" name="14" dataDxfId="80"/>
    <tableColumn id="15" name="15" dataDxfId="79"/>
    <tableColumn id="16" name="16" dataDxfId="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77" dataDxfId="75" headerRowBorderDxfId="76" tableBorderDxfId="74" totalsRowBorderDxfId="73">
  <autoFilter ref="A2:I3">
    <filterColumn colId="1"/>
  </autoFilter>
  <tableColumns count="9">
    <tableColumn id="1" name="1" dataDxfId="72"/>
    <tableColumn id="3" name="2" dataDxfId="71"/>
    <tableColumn id="2" name="3" dataDxfId="70"/>
    <tableColumn id="5" name="4" dataDxfId="69"/>
    <tableColumn id="6" name="5" dataDxfId="68"/>
    <tableColumn id="7" name="6" dataDxfId="67"/>
    <tableColumn id="10" name="7" dataDxfId="66"/>
    <tableColumn id="11" name="8" dataDxfId="65"/>
    <tableColumn id="12" name="9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63" dataDxfId="61" headerRowBorderDxfId="62" tableBorderDxfId="60" totalsRowBorderDxfId="59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8"/>
    <tableColumn id="20" name="2" dataDxfId="57"/>
    <tableColumn id="19" name="3" dataDxfId="56"/>
    <tableColumn id="18" name="4" dataDxfId="55"/>
    <tableColumn id="17" name="5" dataDxfId="54"/>
    <tableColumn id="23" name="6" dataDxfId="53"/>
    <tableColumn id="22" name="7" dataDxfId="52"/>
    <tableColumn id="21" name="8" dataDxfId="51"/>
    <tableColumn id="28" name="9" dataDxfId="50"/>
    <tableColumn id="29" name="10" dataDxfId="49"/>
    <tableColumn id="27" name="11" dataDxfId="48"/>
    <tableColumn id="26" name="12" dataDxfId="47"/>
    <tableColumn id="25" name="13" dataDxfId="46"/>
    <tableColumn id="5" name="14" dataDxfId="45"/>
    <tableColumn id="4" name="15" dataDxfId="44"/>
    <tableColumn id="3" name="16" dataDxfId="43"/>
    <tableColumn id="2" name="17" dataDxfId="42"/>
    <tableColumn id="24" name="18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1" totalsRowShown="0">
  <autoFilter ref="D2:E11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15" totalsRowShown="0">
  <autoFilter ref="G2:J15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14" totalsRowShown="0">
  <autoFilter ref="L2:Q1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6" totalsRowShown="0">
  <autoFilter ref="S2:T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40" tableBorderDxfId="39" totalsRowBorderDxfId="38">
  <autoFilter ref="A2:B8"/>
  <tableColumns count="2">
    <tableColumn id="1" name="Key" totalsRowLabel="Итог" totalsRowDxfId="37"/>
    <tableColumn id="2" name="Value" totalsRowFunction="count" totalsRowDxfId="3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35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34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33" dataDxfId="32" tableBorderDxfId="31">
  <tableColumns count="1">
    <tableColumn id="1" name="Столбец1" dataDxfId="30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5" name="Таблица5" displayName="Таблица5" ref="A3:G4" totalsRowShown="0" headerRowDxfId="29" dataDxfId="27" headerRowBorderDxfId="28" tableBorderDxfId="26">
  <autoFilter ref="A3:G4"/>
  <tableColumns count="7">
    <tableColumn id="1" name="010" dataDxfId="25"/>
    <tableColumn id="2" name="020" dataDxfId="24"/>
    <tableColumn id="3" name="025" dataDxfId="23"/>
    <tableColumn id="4" name="030" dataDxfId="22"/>
    <tableColumn id="5" name="040" dataDxfId="21"/>
    <tableColumn id="6" name="045" dataDxfId="20"/>
    <tableColumn id="7" name="050" dataDxfId="1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8" name="Таблица8" displayName="Таблица8" ref="A1:D2" insertRow="1" totalsRowShown="0" headerRowDxfId="18" headerRowBorderDxfId="17" tableBorderDxfId="16" totalsRowBorderDxfId="15">
  <autoFilter ref="A1:D2">
    <filterColumn colId="2"/>
    <filterColumn colId="3"/>
  </autoFilter>
  <tableColumns count="4">
    <tableColumn id="1" name="ФИО" dataDxfId="14"/>
    <tableColumn id="5" name="Дата рождения" dataDxfId="13"/>
    <tableColumn id="2" name="Снилс"/>
    <tableColumn id="3" name="ИНН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5" name="Таблица8526" displayName="Таблица8526" ref="A1:I2" totalsRowShown="0" headerRowDxfId="12" headerRowBorderDxfId="11" tableBorderDxfId="10" totalsRowBorderDxfId="9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8"/>
    <tableColumn id="6" name="Имя" dataDxfId="7"/>
    <tableColumn id="4" name="Отчество" dataDxfId="6"/>
    <tableColumn id="5" name="Дата рождения" dataDxfId="5"/>
    <tableColumn id="3" name="ИНН" dataDxfId="4"/>
    <tableColumn id="1" name="Участник/Не участник" dataDxfId="3"/>
    <tableColumn id="2" name="Доход" dataDxfId="2"/>
    <tableColumn id="8" name="Пенсионные схемы" dataDxfId="1"/>
    <tableColumn id="9" name="Типы доход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71" t="s">
        <v>4</v>
      </c>
      <c r="B1" s="71"/>
      <c r="C1" s="71"/>
      <c r="D1" s="71"/>
      <c r="E1" s="71"/>
      <c r="F1" s="72" t="s">
        <v>23</v>
      </c>
      <c r="G1" s="72"/>
      <c r="H1" s="72"/>
      <c r="I1" s="72"/>
      <c r="J1" s="72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77" t="s">
        <v>4</v>
      </c>
      <c r="B1" s="78"/>
      <c r="C1" s="78"/>
      <c r="D1" s="78"/>
      <c r="E1" s="78"/>
      <c r="F1" s="78"/>
      <c r="G1" s="78"/>
      <c r="H1" s="78"/>
      <c r="I1" s="79"/>
      <c r="J1" s="80" t="s">
        <v>23</v>
      </c>
      <c r="K1" s="81"/>
      <c r="L1" s="81"/>
      <c r="M1" s="81"/>
      <c r="N1" s="81"/>
      <c r="O1" s="81"/>
      <c r="P1" s="82"/>
    </row>
    <row r="2" spans="1:16" ht="24" customHeight="1">
      <c r="A2" s="83" t="s">
        <v>0</v>
      </c>
      <c r="B2" s="85" t="s">
        <v>30</v>
      </c>
      <c r="C2" s="85" t="s">
        <v>3</v>
      </c>
      <c r="D2" s="85" t="s">
        <v>31</v>
      </c>
      <c r="E2" s="87" t="s">
        <v>5</v>
      </c>
      <c r="F2" s="88"/>
      <c r="G2" s="89"/>
      <c r="H2" s="87" t="s">
        <v>6</v>
      </c>
      <c r="I2" s="90"/>
      <c r="J2" s="91" t="s">
        <v>29</v>
      </c>
      <c r="K2" s="91" t="s">
        <v>33</v>
      </c>
      <c r="L2" s="73" t="s">
        <v>5</v>
      </c>
      <c r="M2" s="74"/>
      <c r="N2" s="75"/>
      <c r="O2" s="73" t="s">
        <v>6</v>
      </c>
      <c r="P2" s="76"/>
    </row>
    <row r="3" spans="1:16" ht="38.25" customHeight="1">
      <c r="A3" s="84"/>
      <c r="B3" s="86"/>
      <c r="C3" s="86"/>
      <c r="D3" s="86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92"/>
      <c r="K3" s="92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71" t="s">
        <v>60</v>
      </c>
      <c r="B1" s="71"/>
      <c r="C1" s="71"/>
      <c r="D1" s="71"/>
      <c r="E1" s="71" t="s">
        <v>59</v>
      </c>
      <c r="F1" s="71"/>
      <c r="G1" s="71"/>
      <c r="H1" s="71"/>
      <c r="I1" s="71"/>
      <c r="J1" s="71"/>
      <c r="K1" s="93" t="s">
        <v>53</v>
      </c>
      <c r="L1" s="93" t="s">
        <v>54</v>
      </c>
      <c r="M1" s="93" t="s">
        <v>39</v>
      </c>
      <c r="N1" s="93" t="s">
        <v>55</v>
      </c>
      <c r="O1" s="71" t="s">
        <v>61</v>
      </c>
      <c r="P1" s="71"/>
      <c r="Q1" s="71"/>
      <c r="R1" s="71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93"/>
      <c r="L2" s="93"/>
      <c r="M2" s="93"/>
      <c r="N2" s="93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15"/>
  <sheetViews>
    <sheetView workbookViewId="0">
      <selection activeCell="G8" sqref="G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2" width="24.140625" bestFit="1" customWidth="1"/>
    <col min="13" max="13" width="22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24.42578125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95" t="s">
        <v>121</v>
      </c>
      <c r="B1" s="95"/>
      <c r="D1" s="94" t="s">
        <v>122</v>
      </c>
      <c r="E1" s="94"/>
      <c r="G1" s="94" t="s">
        <v>117</v>
      </c>
      <c r="H1" s="94"/>
      <c r="I1" s="94"/>
      <c r="J1" s="94"/>
      <c r="L1" s="94" t="s">
        <v>112</v>
      </c>
      <c r="M1" s="94"/>
      <c r="N1" s="94"/>
      <c r="O1" s="94"/>
      <c r="P1" s="94"/>
      <c r="Q1" s="94"/>
      <c r="S1" s="94" t="s">
        <v>118</v>
      </c>
      <c r="T1" s="94"/>
      <c r="V1" s="94" t="s">
        <v>109</v>
      </c>
      <c r="W1" s="94"/>
      <c r="X1" s="94"/>
      <c r="Y1" s="94"/>
      <c r="Z1" s="94"/>
      <c r="AB1" s="94" t="s">
        <v>151</v>
      </c>
      <c r="AC1" s="94"/>
      <c r="AD1" s="94"/>
      <c r="AE1" s="94"/>
      <c r="AF1" s="94"/>
      <c r="AG1" s="94"/>
      <c r="AH1" s="94"/>
      <c r="AJ1" s="55" t="s">
        <v>135</v>
      </c>
      <c r="AL1" s="55" t="s">
        <v>137</v>
      </c>
      <c r="AN1" s="55" t="s">
        <v>139</v>
      </c>
      <c r="AP1" s="55" t="s">
        <v>150</v>
      </c>
      <c r="AR1" s="55" t="s">
        <v>159</v>
      </c>
      <c r="AT1" s="55" t="s">
        <v>160</v>
      </c>
      <c r="AV1" s="55" t="s">
        <v>152</v>
      </c>
      <c r="AX1" s="55" t="s">
        <v>165</v>
      </c>
      <c r="AZ1" s="55" t="s">
        <v>178</v>
      </c>
    </row>
    <row r="2" spans="1:52">
      <c r="A2" s="6" t="s">
        <v>142</v>
      </c>
      <c r="B2" s="6" t="s">
        <v>120</v>
      </c>
      <c r="D2" t="s">
        <v>113</v>
      </c>
      <c r="E2" t="s">
        <v>127</v>
      </c>
      <c r="G2" t="s">
        <v>113</v>
      </c>
      <c r="H2" t="s">
        <v>129</v>
      </c>
      <c r="I2" t="s">
        <v>116</v>
      </c>
      <c r="J2" t="s">
        <v>178</v>
      </c>
      <c r="L2" t="s">
        <v>113</v>
      </c>
      <c r="M2" t="s">
        <v>32</v>
      </c>
      <c r="N2" t="s">
        <v>101</v>
      </c>
      <c r="O2" t="s">
        <v>136</v>
      </c>
      <c r="P2" t="s">
        <v>131</v>
      </c>
      <c r="Q2" t="s">
        <v>123</v>
      </c>
      <c r="S2" t="s">
        <v>113</v>
      </c>
      <c r="T2" t="s">
        <v>119</v>
      </c>
      <c r="V2" t="s">
        <v>113</v>
      </c>
      <c r="W2" t="s">
        <v>129</v>
      </c>
      <c r="X2" t="s">
        <v>147</v>
      </c>
      <c r="Y2" t="s">
        <v>153</v>
      </c>
      <c r="Z2" t="s">
        <v>133</v>
      </c>
      <c r="AB2" t="s">
        <v>131</v>
      </c>
      <c r="AC2" t="s">
        <v>161</v>
      </c>
      <c r="AD2" t="s">
        <v>152</v>
      </c>
      <c r="AE2" t="s">
        <v>162</v>
      </c>
      <c r="AF2" t="s">
        <v>163</v>
      </c>
      <c r="AG2" t="s">
        <v>168</v>
      </c>
      <c r="AH2" t="s">
        <v>177</v>
      </c>
      <c r="AJ2" t="s">
        <v>113</v>
      </c>
      <c r="AL2" t="s">
        <v>113</v>
      </c>
      <c r="AN2" t="s">
        <v>113</v>
      </c>
      <c r="AP2" t="s">
        <v>113</v>
      </c>
      <c r="AR2" t="s">
        <v>113</v>
      </c>
      <c r="AT2" t="s">
        <v>113</v>
      </c>
      <c r="AV2" t="s">
        <v>113</v>
      </c>
      <c r="AX2" t="s">
        <v>113</v>
      </c>
      <c r="AZ2" t="s">
        <v>113</v>
      </c>
    </row>
    <row r="3" spans="1:52">
      <c r="A3" s="6" t="s">
        <v>194</v>
      </c>
      <c r="B3" s="6" t="s">
        <v>195</v>
      </c>
      <c r="D3" t="s">
        <v>26</v>
      </c>
      <c r="E3" t="s">
        <v>28</v>
      </c>
      <c r="G3" t="s">
        <v>28</v>
      </c>
      <c r="H3" t="s">
        <v>110</v>
      </c>
      <c r="I3" t="s">
        <v>28</v>
      </c>
      <c r="L3" t="s">
        <v>28</v>
      </c>
      <c r="M3" t="s">
        <v>28</v>
      </c>
      <c r="N3" t="s">
        <v>26</v>
      </c>
      <c r="O3" t="s">
        <v>134</v>
      </c>
      <c r="P3" t="s">
        <v>132</v>
      </c>
      <c r="Q3" t="s">
        <v>140</v>
      </c>
      <c r="S3" t="s">
        <v>125</v>
      </c>
      <c r="T3" s="6" t="s">
        <v>143</v>
      </c>
      <c r="V3" s="6" t="s">
        <v>185</v>
      </c>
      <c r="W3" t="s">
        <v>130</v>
      </c>
      <c r="X3" t="s">
        <v>149</v>
      </c>
      <c r="Z3" t="s">
        <v>187</v>
      </c>
      <c r="AB3" s="6" t="s">
        <v>132</v>
      </c>
      <c r="AC3" t="s">
        <v>171</v>
      </c>
      <c r="AD3" t="s">
        <v>155</v>
      </c>
      <c r="AG3">
        <v>2000</v>
      </c>
      <c r="AH3" t="s">
        <v>149</v>
      </c>
      <c r="AJ3" s="53" t="s">
        <v>110</v>
      </c>
      <c r="AL3" t="s">
        <v>134</v>
      </c>
      <c r="AN3" t="s">
        <v>140</v>
      </c>
      <c r="AP3" t="s">
        <v>130</v>
      </c>
      <c r="AR3" t="s">
        <v>158</v>
      </c>
      <c r="AT3" t="s">
        <v>154</v>
      </c>
      <c r="AV3" t="s">
        <v>156</v>
      </c>
      <c r="AX3" t="s">
        <v>149</v>
      </c>
      <c r="AZ3" t="s">
        <v>179</v>
      </c>
    </row>
    <row r="4" spans="1:52">
      <c r="A4" s="7" t="s">
        <v>107</v>
      </c>
      <c r="B4" s="7" t="s">
        <v>25</v>
      </c>
      <c r="D4" t="s">
        <v>35</v>
      </c>
      <c r="E4" t="s">
        <v>34</v>
      </c>
      <c r="G4" t="s">
        <v>34</v>
      </c>
      <c r="H4" t="s">
        <v>110</v>
      </c>
      <c r="I4" t="s">
        <v>34</v>
      </c>
      <c r="L4" t="s">
        <v>34</v>
      </c>
      <c r="M4" t="s">
        <v>34</v>
      </c>
      <c r="N4" t="s">
        <v>35</v>
      </c>
      <c r="O4" t="s">
        <v>134</v>
      </c>
      <c r="P4" t="s">
        <v>132</v>
      </c>
      <c r="Q4" t="s">
        <v>140</v>
      </c>
      <c r="S4" s="6" t="s">
        <v>125</v>
      </c>
      <c r="T4" s="6" t="s">
        <v>144</v>
      </c>
      <c r="V4" s="6" t="s">
        <v>132</v>
      </c>
      <c r="W4" t="s">
        <v>170</v>
      </c>
      <c r="X4" t="s">
        <v>149</v>
      </c>
      <c r="Y4" t="s">
        <v>154</v>
      </c>
      <c r="Z4" s="6" t="s">
        <v>169</v>
      </c>
      <c r="AA4" s="6"/>
      <c r="AB4" s="63" t="s">
        <v>132</v>
      </c>
      <c r="AC4" s="6" t="s">
        <v>164</v>
      </c>
      <c r="AD4" s="6" t="s">
        <v>156</v>
      </c>
      <c r="AE4" s="6" t="s">
        <v>157</v>
      </c>
      <c r="AF4" s="6" t="s">
        <v>149</v>
      </c>
      <c r="AG4" s="6">
        <v>40</v>
      </c>
      <c r="AH4" s="6" t="s">
        <v>148</v>
      </c>
      <c r="AJ4" s="54" t="s">
        <v>111</v>
      </c>
      <c r="AL4" t="s">
        <v>138</v>
      </c>
      <c r="AN4" t="s">
        <v>124</v>
      </c>
      <c r="AP4" t="s">
        <v>170</v>
      </c>
      <c r="AV4" t="s">
        <v>155</v>
      </c>
      <c r="AX4" t="s">
        <v>148</v>
      </c>
    </row>
    <row r="5" spans="1:52">
      <c r="A5" s="7" t="s">
        <v>108</v>
      </c>
      <c r="B5" s="7" t="s">
        <v>27</v>
      </c>
      <c r="D5" t="s">
        <v>45</v>
      </c>
      <c r="E5" t="s">
        <v>44</v>
      </c>
      <c r="G5" t="s">
        <v>44</v>
      </c>
      <c r="H5" t="s">
        <v>110</v>
      </c>
      <c r="I5" t="s">
        <v>44</v>
      </c>
      <c r="L5" t="s">
        <v>44</v>
      </c>
      <c r="M5" t="s">
        <v>44</v>
      </c>
      <c r="N5" t="s">
        <v>45</v>
      </c>
      <c r="O5" t="s">
        <v>134</v>
      </c>
      <c r="P5" t="s">
        <v>132</v>
      </c>
      <c r="Q5" t="s">
        <v>140</v>
      </c>
      <c r="S5" s="6" t="s">
        <v>79</v>
      </c>
      <c r="T5" s="6" t="s">
        <v>146</v>
      </c>
      <c r="V5" s="6" t="s">
        <v>174</v>
      </c>
      <c r="W5" t="s">
        <v>130</v>
      </c>
      <c r="X5" s="6" t="s">
        <v>148</v>
      </c>
      <c r="Y5" s="6"/>
      <c r="Z5" s="6" t="s">
        <v>175</v>
      </c>
      <c r="AB5" s="63" t="s">
        <v>132</v>
      </c>
      <c r="AC5" s="6" t="s">
        <v>172</v>
      </c>
      <c r="AD5" s="6" t="s">
        <v>156</v>
      </c>
      <c r="AE5" s="6" t="s">
        <v>166</v>
      </c>
      <c r="AF5" s="6" t="s">
        <v>149</v>
      </c>
      <c r="AG5" s="6">
        <v>20</v>
      </c>
      <c r="AH5" s="6" t="s">
        <v>148</v>
      </c>
    </row>
    <row r="6" spans="1:52">
      <c r="A6" s="6" t="s">
        <v>128</v>
      </c>
      <c r="B6" s="6" t="str">
        <f>VLOOKUP(ReportSelected,Menu[],2,FALSE)</f>
        <v>employees_load</v>
      </c>
      <c r="D6" t="s">
        <v>68</v>
      </c>
      <c r="E6" t="s">
        <v>67</v>
      </c>
      <c r="G6" t="s">
        <v>67</v>
      </c>
      <c r="H6" t="s">
        <v>110</v>
      </c>
      <c r="I6" t="s">
        <v>67</v>
      </c>
      <c r="L6" t="s">
        <v>67</v>
      </c>
      <c r="M6" t="s">
        <v>67</v>
      </c>
      <c r="N6" t="s">
        <v>68</v>
      </c>
      <c r="O6" t="s">
        <v>134</v>
      </c>
      <c r="P6" t="s">
        <v>132</v>
      </c>
      <c r="Q6" t="s">
        <v>140</v>
      </c>
      <c r="S6" s="6" t="s">
        <v>79</v>
      </c>
      <c r="T6" s="6" t="s">
        <v>145</v>
      </c>
      <c r="V6" s="6" t="s">
        <v>180</v>
      </c>
      <c r="W6" t="s">
        <v>130</v>
      </c>
      <c r="X6" t="s">
        <v>148</v>
      </c>
      <c r="Y6" s="6"/>
      <c r="Z6" t="s">
        <v>181</v>
      </c>
      <c r="AB6" s="63" t="s">
        <v>132</v>
      </c>
      <c r="AC6" s="6" t="s">
        <v>173</v>
      </c>
      <c r="AD6" s="6" t="s">
        <v>156</v>
      </c>
      <c r="AE6" s="6" t="s">
        <v>167</v>
      </c>
      <c r="AF6" s="6" t="s">
        <v>149</v>
      </c>
      <c r="AG6" s="6">
        <v>20</v>
      </c>
      <c r="AH6" s="6" t="s">
        <v>148</v>
      </c>
    </row>
    <row r="7" spans="1:52">
      <c r="A7" s="56" t="s">
        <v>157</v>
      </c>
      <c r="B7" s="6" t="s">
        <v>193</v>
      </c>
      <c r="D7" t="s">
        <v>198</v>
      </c>
      <c r="E7" s="6" t="s">
        <v>196</v>
      </c>
      <c r="G7" t="s">
        <v>125</v>
      </c>
      <c r="H7" t="s">
        <v>110</v>
      </c>
      <c r="I7" t="s">
        <v>125</v>
      </c>
      <c r="L7" t="s">
        <v>125</v>
      </c>
      <c r="M7" t="s">
        <v>77</v>
      </c>
      <c r="N7" t="s">
        <v>78</v>
      </c>
      <c r="O7" t="s">
        <v>134</v>
      </c>
      <c r="P7" t="s">
        <v>132</v>
      </c>
      <c r="Q7" t="s">
        <v>140</v>
      </c>
      <c r="V7" s="6" t="s">
        <v>186</v>
      </c>
      <c r="W7" t="s">
        <v>170</v>
      </c>
      <c r="X7" t="s">
        <v>149</v>
      </c>
      <c r="Y7" s="6"/>
      <c r="Z7" s="6" t="s">
        <v>183</v>
      </c>
      <c r="AB7" s="63" t="s">
        <v>174</v>
      </c>
      <c r="AC7" s="6" t="s">
        <v>164</v>
      </c>
      <c r="AD7" s="6" t="s">
        <v>156</v>
      </c>
      <c r="AE7" s="6" t="s">
        <v>157</v>
      </c>
      <c r="AF7" s="6" t="s">
        <v>149</v>
      </c>
      <c r="AG7" s="6">
        <v>40</v>
      </c>
      <c r="AH7" s="6" t="s">
        <v>148</v>
      </c>
    </row>
    <row r="8" spans="1:52">
      <c r="A8" s="6"/>
      <c r="B8" s="6"/>
      <c r="D8" t="s">
        <v>78</v>
      </c>
      <c r="E8" t="s">
        <v>125</v>
      </c>
      <c r="G8" t="s">
        <v>79</v>
      </c>
      <c r="H8" t="s">
        <v>110</v>
      </c>
      <c r="I8" t="s">
        <v>79</v>
      </c>
      <c r="L8" t="s">
        <v>79</v>
      </c>
      <c r="M8" t="s">
        <v>79</v>
      </c>
      <c r="N8" t="s">
        <v>80</v>
      </c>
      <c r="O8" t="s">
        <v>134</v>
      </c>
      <c r="P8" t="s">
        <v>132</v>
      </c>
      <c r="Q8" t="s">
        <v>140</v>
      </c>
      <c r="V8" s="6" t="s">
        <v>196</v>
      </c>
      <c r="W8" t="s">
        <v>170</v>
      </c>
      <c r="X8" t="s">
        <v>149</v>
      </c>
      <c r="Y8" s="6"/>
      <c r="Z8" s="6" t="s">
        <v>197</v>
      </c>
      <c r="AB8" s="64" t="s">
        <v>174</v>
      </c>
      <c r="AC8" s="6" t="s">
        <v>172</v>
      </c>
      <c r="AD8" s="6" t="s">
        <v>156</v>
      </c>
      <c r="AE8" s="6" t="s">
        <v>166</v>
      </c>
      <c r="AF8" s="6" t="s">
        <v>149</v>
      </c>
      <c r="AG8" s="6">
        <v>20</v>
      </c>
      <c r="AH8" s="6" t="s">
        <v>148</v>
      </c>
    </row>
    <row r="9" spans="1:52">
      <c r="A9" s="6"/>
      <c r="B9" s="6"/>
      <c r="D9" t="s">
        <v>80</v>
      </c>
      <c r="E9" t="s">
        <v>79</v>
      </c>
      <c r="G9" t="s">
        <v>114</v>
      </c>
      <c r="H9" t="s">
        <v>110</v>
      </c>
      <c r="I9" t="s">
        <v>192</v>
      </c>
      <c r="J9" t="s">
        <v>179</v>
      </c>
      <c r="L9" t="s">
        <v>193</v>
      </c>
      <c r="M9" t="s">
        <v>191</v>
      </c>
      <c r="N9" t="s">
        <v>102</v>
      </c>
      <c r="O9" t="s">
        <v>134</v>
      </c>
      <c r="P9" t="s">
        <v>132</v>
      </c>
      <c r="Q9" t="s">
        <v>140</v>
      </c>
      <c r="AB9" s="64" t="s">
        <v>174</v>
      </c>
      <c r="AC9" s="6" t="s">
        <v>173</v>
      </c>
      <c r="AD9" s="6" t="s">
        <v>156</v>
      </c>
      <c r="AE9" s="6" t="s">
        <v>167</v>
      </c>
      <c r="AF9" s="6" t="s">
        <v>149</v>
      </c>
      <c r="AG9" s="6">
        <v>20</v>
      </c>
      <c r="AH9" s="6" t="s">
        <v>148</v>
      </c>
    </row>
    <row r="10" spans="1:52">
      <c r="A10" s="6"/>
      <c r="B10" s="6"/>
      <c r="D10" t="s">
        <v>126</v>
      </c>
      <c r="E10" t="s">
        <v>114</v>
      </c>
      <c r="G10" t="s">
        <v>114</v>
      </c>
      <c r="H10" t="s">
        <v>111</v>
      </c>
      <c r="I10" t="s">
        <v>180</v>
      </c>
      <c r="L10" t="s">
        <v>192</v>
      </c>
      <c r="M10" t="s">
        <v>99</v>
      </c>
      <c r="N10" t="s">
        <v>102</v>
      </c>
      <c r="O10" t="s">
        <v>134</v>
      </c>
      <c r="P10" s="6"/>
      <c r="Q10" t="s">
        <v>140</v>
      </c>
      <c r="AB10" s="6" t="s">
        <v>186</v>
      </c>
      <c r="AC10" t="s">
        <v>171</v>
      </c>
      <c r="AD10" t="s">
        <v>155</v>
      </c>
      <c r="AG10">
        <v>2000</v>
      </c>
      <c r="AH10" t="s">
        <v>149</v>
      </c>
    </row>
    <row r="11" spans="1:52">
      <c r="A11" s="6"/>
      <c r="B11" s="6"/>
      <c r="D11" t="s">
        <v>98</v>
      </c>
      <c r="E11" t="s">
        <v>115</v>
      </c>
      <c r="G11" t="s">
        <v>182</v>
      </c>
      <c r="H11" t="s">
        <v>111</v>
      </c>
      <c r="I11" t="s">
        <v>185</v>
      </c>
      <c r="L11" s="6" t="s">
        <v>143</v>
      </c>
      <c r="M11" t="s">
        <v>143</v>
      </c>
      <c r="N11" t="s">
        <v>176</v>
      </c>
      <c r="O11" t="s">
        <v>134</v>
      </c>
      <c r="P11" t="s">
        <v>132</v>
      </c>
      <c r="Q11" t="s">
        <v>140</v>
      </c>
      <c r="AB11" s="6" t="s">
        <v>186</v>
      </c>
      <c r="AC11" s="6" t="s">
        <v>184</v>
      </c>
      <c r="AD11" s="6" t="s">
        <v>156</v>
      </c>
      <c r="AE11" s="6" t="s">
        <v>167</v>
      </c>
      <c r="AF11" s="6" t="s">
        <v>149</v>
      </c>
      <c r="AG11" s="6">
        <v>20</v>
      </c>
      <c r="AH11" s="6" t="s">
        <v>148</v>
      </c>
    </row>
    <row r="12" spans="1:52">
      <c r="A12" s="6"/>
      <c r="B12" s="6"/>
      <c r="G12" t="s">
        <v>182</v>
      </c>
      <c r="H12" t="s">
        <v>111</v>
      </c>
      <c r="I12" t="s">
        <v>186</v>
      </c>
      <c r="L12" s="6" t="s">
        <v>144</v>
      </c>
      <c r="M12" s="6" t="s">
        <v>144</v>
      </c>
      <c r="N12" t="s">
        <v>78</v>
      </c>
      <c r="O12" t="s">
        <v>134</v>
      </c>
      <c r="P12" t="s">
        <v>132</v>
      </c>
      <c r="Q12" t="s">
        <v>140</v>
      </c>
      <c r="AB12" s="64" t="s">
        <v>196</v>
      </c>
      <c r="AC12" t="s">
        <v>171</v>
      </c>
      <c r="AD12" t="s">
        <v>155</v>
      </c>
      <c r="AG12">
        <v>2000</v>
      </c>
      <c r="AH12" t="s">
        <v>149</v>
      </c>
    </row>
    <row r="13" spans="1:52">
      <c r="G13" t="s">
        <v>182</v>
      </c>
      <c r="H13" t="s">
        <v>110</v>
      </c>
      <c r="I13" t="s">
        <v>193</v>
      </c>
      <c r="L13" s="6" t="s">
        <v>145</v>
      </c>
      <c r="M13" s="6"/>
      <c r="N13" s="6"/>
      <c r="O13" s="6"/>
      <c r="P13" s="6"/>
      <c r="Q13" s="6"/>
      <c r="AB13" s="64" t="s">
        <v>196</v>
      </c>
      <c r="AC13" s="6" t="s">
        <v>173</v>
      </c>
      <c r="AD13" s="6" t="s">
        <v>156</v>
      </c>
      <c r="AE13" s="6" t="s">
        <v>167</v>
      </c>
      <c r="AF13" s="6" t="s">
        <v>149</v>
      </c>
      <c r="AG13" s="6">
        <v>20</v>
      </c>
      <c r="AH13" s="6" t="s">
        <v>148</v>
      </c>
    </row>
    <row r="14" spans="1:52">
      <c r="G14" t="s">
        <v>115</v>
      </c>
      <c r="H14" t="s">
        <v>110</v>
      </c>
      <c r="I14" t="s">
        <v>193</v>
      </c>
      <c r="L14" s="6" t="s">
        <v>146</v>
      </c>
      <c r="M14" s="6"/>
      <c r="N14" s="6"/>
      <c r="O14" s="6"/>
      <c r="P14" s="6"/>
      <c r="Q14" s="6"/>
    </row>
    <row r="15" spans="1:52">
      <c r="G15" s="6" t="s">
        <v>196</v>
      </c>
      <c r="H15" t="s">
        <v>111</v>
      </c>
      <c r="I15" s="6" t="s">
        <v>196</v>
      </c>
      <c r="J15" s="6"/>
    </row>
  </sheetData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L11 B7 T5:T6 L13:L14 T3 S3:S6">
      <formula1>INDIRECT("Reports[Code]")</formula1>
    </dataValidation>
    <dataValidation type="list" allowBlank="1" showInputMessage="1" showErrorMessage="1" sqref="E11 E3:E6 E8:E9">
      <formula1>INDIRECT("Actions[Code]")</formula1>
    </dataValidation>
    <dataValidation type="list" allowBlank="1" showInputMessage="1" showErrorMessage="1" sqref="O3:O14">
      <formula1>INDIRECT("CreateModes[Code]")</formula1>
    </dataValidation>
    <dataValidation type="list" allowBlank="1" showInputMessage="1" showErrorMessage="1" sqref="Q3:Q14">
      <formula1>INDIRECT("ReportTypes[Code]")</formula1>
    </dataValidation>
    <dataValidation type="list" allowBlank="1" showInputMessage="1" showErrorMessage="1" sqref="P3:P14">
      <formula1>INDIRECT("Programs[Code]")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H3:H15">
      <formula1>INDIRECT("ActionTypes[Code]")</formula1>
    </dataValidation>
    <dataValidation type="list" allowBlank="1" showInputMessage="1" showErrorMessage="1" sqref="J3:J15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B8" sqref="B8:D8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7"/>
      <c r="B1" s="37"/>
      <c r="C1" s="37"/>
      <c r="D1" s="37"/>
      <c r="E1" s="37"/>
    </row>
    <row r="2" spans="1:6" ht="30.75" customHeight="1">
      <c r="A2" s="37"/>
      <c r="B2" s="36" t="s">
        <v>95</v>
      </c>
      <c r="C2" s="57" t="s">
        <v>126</v>
      </c>
      <c r="D2" s="37"/>
      <c r="E2" s="37"/>
    </row>
    <row r="3" spans="1:6" ht="28.5" customHeight="1">
      <c r="A3" s="37"/>
      <c r="B3" s="36"/>
      <c r="C3" s="60" t="s">
        <v>141</v>
      </c>
      <c r="D3" s="37"/>
      <c r="E3" s="37"/>
    </row>
    <row r="4" spans="1:6">
      <c r="A4" s="37"/>
      <c r="B4" s="36" t="s">
        <v>96</v>
      </c>
      <c r="C4" s="59">
        <v>42736</v>
      </c>
      <c r="D4" s="37"/>
      <c r="E4" s="37"/>
    </row>
    <row r="5" spans="1:6">
      <c r="A5" s="37"/>
      <c r="B5" s="36" t="s">
        <v>97</v>
      </c>
      <c r="C5" s="58">
        <v>42916</v>
      </c>
      <c r="D5" s="37"/>
      <c r="E5" s="37"/>
    </row>
    <row r="6" spans="1:6">
      <c r="A6" s="37"/>
      <c r="B6" s="37"/>
      <c r="C6" s="37"/>
      <c r="D6" s="37"/>
      <c r="E6" s="37"/>
    </row>
    <row r="7" spans="1:6" ht="1.5" customHeight="1">
      <c r="A7" s="99"/>
      <c r="B7" s="99"/>
      <c r="C7" s="99"/>
      <c r="D7" s="99"/>
      <c r="E7" s="99"/>
    </row>
    <row r="8" spans="1:6" ht="51" customHeight="1">
      <c r="A8" s="62"/>
      <c r="B8" s="100"/>
      <c r="C8" s="100"/>
      <c r="D8" s="100"/>
      <c r="E8" s="62"/>
    </row>
    <row r="9" spans="1:6" s="61" customFormat="1" ht="14.25" customHeight="1">
      <c r="A9" s="99"/>
      <c r="B9" s="99"/>
      <c r="C9" s="99"/>
      <c r="D9" s="99"/>
      <c r="E9" s="99"/>
    </row>
    <row r="10" spans="1:6" hidden="1">
      <c r="A10" s="96"/>
      <c r="B10" s="97"/>
      <c r="C10" s="97"/>
      <c r="D10" s="97"/>
      <c r="E10" s="98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G4"/>
  <sheetViews>
    <sheetView workbookViewId="0">
      <selection activeCell="A4" sqref="A4"/>
    </sheetView>
  </sheetViews>
  <sheetFormatPr defaultRowHeight="15"/>
  <cols>
    <col min="2" max="7" width="26.7109375" customWidth="1"/>
  </cols>
  <sheetData>
    <row r="1" spans="1:7" ht="39" customHeight="1">
      <c r="A1" s="101" t="s">
        <v>81</v>
      </c>
      <c r="B1" s="102"/>
      <c r="C1" s="102"/>
      <c r="D1" s="102"/>
      <c r="E1" s="102"/>
      <c r="F1" s="102"/>
      <c r="G1" s="103"/>
    </row>
    <row r="2" spans="1:7" ht="39" customHeight="1" thickBot="1">
      <c r="A2" s="48" t="s">
        <v>82</v>
      </c>
      <c r="B2" s="48" t="s">
        <v>1</v>
      </c>
      <c r="C2" s="48" t="s">
        <v>83</v>
      </c>
      <c r="D2" s="48" t="s">
        <v>84</v>
      </c>
      <c r="E2" s="48" t="s">
        <v>85</v>
      </c>
      <c r="F2" s="48" t="s">
        <v>86</v>
      </c>
      <c r="G2" s="49" t="s">
        <v>87</v>
      </c>
    </row>
    <row r="3" spans="1:7" ht="15.75" thickBot="1">
      <c r="A3" s="45" t="s">
        <v>88</v>
      </c>
      <c r="B3" s="46" t="s">
        <v>89</v>
      </c>
      <c r="C3" s="46" t="s">
        <v>90</v>
      </c>
      <c r="D3" s="46" t="s">
        <v>91</v>
      </c>
      <c r="E3" s="46" t="s">
        <v>92</v>
      </c>
      <c r="F3" s="46" t="s">
        <v>93</v>
      </c>
      <c r="G3" s="47" t="s">
        <v>94</v>
      </c>
    </row>
    <row r="4" spans="1:7">
      <c r="A4" s="41" t="s">
        <v>79</v>
      </c>
      <c r="B4" s="42"/>
      <c r="C4" s="42"/>
      <c r="D4" s="42"/>
      <c r="E4" s="43"/>
      <c r="F4" s="43"/>
      <c r="G4" s="44"/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D4"/>
  <sheetViews>
    <sheetView workbookViewId="0">
      <selection activeCell="A4" sqref="A4"/>
    </sheetView>
  </sheetViews>
  <sheetFormatPr defaultRowHeight="15"/>
  <cols>
    <col min="1" max="4" width="23.28515625" customWidth="1"/>
  </cols>
  <sheetData>
    <row r="1" spans="1:4" ht="45" customHeight="1">
      <c r="A1" s="101" t="s">
        <v>100</v>
      </c>
      <c r="B1" s="102"/>
      <c r="C1" s="102"/>
      <c r="D1" s="102"/>
    </row>
    <row r="2" spans="1:4" ht="33.75" customHeight="1" thickBot="1">
      <c r="A2" s="38" t="s">
        <v>69</v>
      </c>
      <c r="B2" s="39" t="s">
        <v>70</v>
      </c>
      <c r="C2" s="39" t="s">
        <v>71</v>
      </c>
      <c r="D2" s="40" t="s">
        <v>72</v>
      </c>
    </row>
    <row r="3" spans="1:4" ht="15.75" thickBot="1">
      <c r="A3" s="31" t="s">
        <v>73</v>
      </c>
      <c r="B3" s="32" t="s">
        <v>74</v>
      </c>
      <c r="C3" s="32" t="s">
        <v>75</v>
      </c>
      <c r="D3" s="33" t="s">
        <v>76</v>
      </c>
    </row>
    <row r="4" spans="1:4">
      <c r="A4" s="34" t="s">
        <v>125</v>
      </c>
      <c r="B4" s="35"/>
      <c r="C4" s="35"/>
      <c r="D4" s="35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50" t="s">
        <v>103</v>
      </c>
      <c r="B1" s="51" t="s">
        <v>104</v>
      </c>
      <c r="C1" s="51" t="s">
        <v>105</v>
      </c>
      <c r="D1" s="51" t="s">
        <v>106</v>
      </c>
    </row>
    <row r="2" spans="1:4">
      <c r="B2" s="52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50" t="s">
        <v>64</v>
      </c>
      <c r="B1" s="65" t="s">
        <v>65</v>
      </c>
      <c r="C1" s="65" t="s">
        <v>66</v>
      </c>
      <c r="D1" s="65" t="s">
        <v>104</v>
      </c>
      <c r="E1" s="65" t="s">
        <v>106</v>
      </c>
      <c r="F1" s="69" t="s">
        <v>188</v>
      </c>
      <c r="G1" s="69" t="s">
        <v>1</v>
      </c>
      <c r="H1" s="69" t="s">
        <v>189</v>
      </c>
      <c r="I1" s="70" t="s">
        <v>190</v>
      </c>
    </row>
    <row r="2" spans="1:9">
      <c r="A2" t="s">
        <v>193</v>
      </c>
      <c r="B2" s="66"/>
      <c r="C2" s="66"/>
      <c r="D2" s="67"/>
      <c r="E2" s="66"/>
      <c r="F2" s="66"/>
      <c r="G2" s="66"/>
      <c r="H2" s="66"/>
      <c r="I2" s="6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ndfl6_part1_rates</vt:lpstr>
      <vt:lpstr>ndfl6_part1</vt:lpstr>
      <vt:lpstr>funds_employees</vt:lpstr>
      <vt:lpstr>funds_employees_report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2017-08-01T08:55:28Z</dcterms:modified>
</cp:coreProperties>
</file>