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<sst xmlns="http://schemas.openxmlformats.org/spreadsheetml/2006/main" count="808" uniqueCount="338">
  <si>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</si>
  <si>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</si>
  <si>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</si>
  <si>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</si>
  <si>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</si>
  <si>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</si>
  <si>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</si>
  <si>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</si>
  <si>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</si>
  <si>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</si>
  <si>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</si>
  <si>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</si>
  <si>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</si>
  <si>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</si>
  <si>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</si>
  <si>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</si>
  <si>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</si>
  <si>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</si>
  <si>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</si>
  <si>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</si>
  <si>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</si>
  <si>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</si>
  <si>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</si>
  <si>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</si>
  <si>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</si>
  <si>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</si>
  <si>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</si>
  <si>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</si>
  <si>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</si>
  <si>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</si>
  <si>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</si>
  <si>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</si>
  <si>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</si>
  <si>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</si>
  <si>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</si>
  <si>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</si>
  <si>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</si>
  <si>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</si>
  <si>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</si>
  <si>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</si>
  <si>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</si>
  <si>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</si>
  <si>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</si>
  <si>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</si>
  <si>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</si>
  <si>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</si>
  <si>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</si>
  <si>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</si>
  <si>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</si>
  <si>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</si>
  <si>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</si>
  <si>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</si>
  <si>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</si>
  <si>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</si>
  <si>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</si>
  <si>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</si>
  <si>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</si>
  <si>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</si>
  <si>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</si>
  <si>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</si>
  <si>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</si>
  <si>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</si>
  <si>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</si>
  <si>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</si>
  <si>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</si>
  <si>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</si>
  <si>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</si>
  <si>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</si>
  <si>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</si>
  <si>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</si>
  <si>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</si>
  <si>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</si>
  <si>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</si>
  <si>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</si>
  <si>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</si>
  <si>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</si>
  <si>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</si>
  <si>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</si>
  <si>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</si>
  <si>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</si>
  <si>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</si>
  <si>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</si>
  <si>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</si>
  <si>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</si>
  <si>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</si>
  <si>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</si>
  <si>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</si>
  <si>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</si>
  <si>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</si>
  <si>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</si>
  <si>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</si>
  <si>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</si>
  <si>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</si>
  <si>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</si>
  <si>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</si>
  <si>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</si>
  <si>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</si>
  <si>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</si>
  <si>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</si>
  <si>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</si>
  <si>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</si>
  <si>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</si>
  <si>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</si>
  <si>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</si>
  <si>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</si>
  <si>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</si>
  <si>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</si>
  <si>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</si>
  <si>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</si>
  <si>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</si>
  <si>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</si>
  <si>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</si>
  <si>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</si>
  <si>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</si>
  <si>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</si>
  <si>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</si>
  <si>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</si>
  <si>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</si>
  <si>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</si>
  <si>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</si>
  <si>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</si>
  <si>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</si>
  <si>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</si>
  <si>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</si>
  <si>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</si>
  <si>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</si>
  <si>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</si>
  <si>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</si>
  <si>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</si>
  <si>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</si>
  <si>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</si>
  <si>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</si>
  <si>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</si>
  <si>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</si>
  <si>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</si>
  <si>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</si>
  <si>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</si>
  <si>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</si>
  <si>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</si>
  <si>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</si>
  <si>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</si>
  <si>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</si>
  <si>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</si>
  <si>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</si>
  <si>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</si>
  <si>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</si>
  <si>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</si>
  <si>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</si>
  <si>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</si>
  <si>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</si>
  <si>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</si>
  <si>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</si>
  <si>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</si>
  <si>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</si>
  <si>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</si>
  <si>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</si>
  <si>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</si>
  <si>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</si>
  <si>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</si>
  <si>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</si>
  <si>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</si>
  <si>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</si>
  <si>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</si>
  <si>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</si>
  <si>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</si>
  <si>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</si>
  <si>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</si>
  <si>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</si>
  <si>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</si>
  <si>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</si>
  <si>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</si>
  <si>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</si>
  <si>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</si>
  <si>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</si>
  <si>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</si>
  <si>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</si>
  <si>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</si>
  <si>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</si>
  <si>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</si>
  <si>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</si>
  <si>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</si>
  <si>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</si>
  <si>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</si>
  <si>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</si>
  <si>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</si>
  <si>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</si>
  <si>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</si>
  <si>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</si>
  <si>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</si>
  <si>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</si>
  <si>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</si>
  <si>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</si>
  <si>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</si>
  <si>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</si>
  <si>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</si>
  <si>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</si>
  <si>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</si>
  <si>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</si>
  <si>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</si>
  <si>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</si>
  <si>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</si>
  <si>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</si>
  <si>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</si>
  <si>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</si>
  <si>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</si>
  <si>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</si>
  <si>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</si>
  <si>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</si>
  <si>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</si>
  <si>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</si>
  <si>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</si>
  <si>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</si>
  <si>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</si>
  <si>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</si>
  <si>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</si>
  <si>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</si>
  <si>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</si>
  <si>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</si>
  <si>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</si>
  <si>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</si>
  <si>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</si>
  <si>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</si>
  <si>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</si>
  <si>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</si>
  <si>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</si>
  <si>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</si>
  <si>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</si>
  <si>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</si>
  <si>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</si>
  <si>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</si>
  <si>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</si>
  <si>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</si>
  <si>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</si>
  <si>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</si>
  <si>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</si>
  <si>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</si>
  <si>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</si>
  <si>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</si>
  <si>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</si>
  <si>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</si>
  <si>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</si>
  <si>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</si>
  <si>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</si>
  <si>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</si>
  <si>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</si>
  <si>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</si>
  <si>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</si>
  <si>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</si>
  <si>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</si>
  <si>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</si>
  <si>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</si>
  <si>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</si>
  <si>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</si>
  <si>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</si>
  <si>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</si>
  <si>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</si>
  <si>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</si>
  <si>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</si>
  <si>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</si>
  <si>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</si>
  <si>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</si>
  <si>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</si>
  <si>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</si>
  <si>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</si>
  <si>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</si>
  <si>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</si>
  <si>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</si>
  <si>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</si>
  <si>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</si>
  <si>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</si>
  <si>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</si>
  <si>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</si>
  <si>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</si>
  <si>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</si>
  <si>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</si>
  <si>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</si>
  <si>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</si>
  <si>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</si>
  <si>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</si>
  <si>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</si>
  <si>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</si>
  <si>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</si>
  <si>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</si>
  <si>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</si>
  <si>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</si>
  <si>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</si>
  <si>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</si>
  <si>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</si>
  <si>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</si>
  <si>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</si>
  <si>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</si>
  <si>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</si>
  <si>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</si>
  <si>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</si>
  <si>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</si>
  <si>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</si>
  <si>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</si>
  <si>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</si>
  <si>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</si>
  <si>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</si>
  <si>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</si>
  <si>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</si>
  <si>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</si>
  <si>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</si>
  <si>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</si>
  <si>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</si>
  <si>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</si>
  <si>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</si>
  <si>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</si>
  <si>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</si>
  <si>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</si>
  <si>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</si>
  <si>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</si>
  <si>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</si>
  <si>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</si>
  <si>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</si>
  <si>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</si>
  <si>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</si>
  <si>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</si>
  <si>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</si>
  <si>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</si>
  <si>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</si>
  <si>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</si>
  <si>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tax_diff_det_report 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</si>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</sst>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4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0" totalsRowShown="0">
  <autoFilter ref="D2:E20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5" totalsRowShown="0">
  <autoFilter ref="G2:J35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6" totalsRowShown="0">
  <autoFilter ref="L2:Q26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96" tableBorderDxfId="195" totalsRowBorderDxfId="194">
  <autoFilter ref="A2:B8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6" dataDxfId="12" headerRowBorderDxfId="14" tableBorderDxfId="15" totalsRowBorderDxfId="13">
  <autoFilter ref="A4:L5">
    <filterColumn colId="1"/>
    <filterColumn colId="8"/>
    <filterColumn colId="9"/>
    <filterColumn colId="10"/>
    <filterColumn colId="11"/>
  </autoFilter>
  <tableColumns count="12">
    <tableColumn id="5" name="1" dataDxfId="11"/>
    <tableColumn id="3" name="2" dataDxfId="10"/>
    <tableColumn id="2" name="3" dataDxfId="9"/>
    <tableColumn id="6" name="4" dataDxfId="8"/>
    <tableColumn id="7" name="5" dataDxfId="7"/>
    <tableColumn id="10" name="6" dataDxfId="6"/>
    <tableColumn id="11" name="7" dataDxfId="5"/>
    <tableColumn id="12" name="8" dataDxfId="4"/>
    <tableColumn id="1" name="9" dataDxfId="3"/>
    <tableColumn id="4" name="10" dataDxfId="2"/>
    <tableColumn id="9" name="12" dataDxfId="1"/>
    <tableColumn id="8" name="11" dataDxfId="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84" totalsRowDxfId="183">
  <tableColumns count="3">
    <tableColumn id="1" name="ВИД ВЫПЛАТЫ" totalsRowLabel="Итого" dataDxfId="182" totalsRowDxfId="181" dataCellStyle="Обычный 5"/>
    <tableColumn id="2" name="13%" totalsRowFunction="sum" dataDxfId="180" totalsRowDxfId="179" dataCellStyle="Обычный 5"/>
    <tableColumn id="3" name="30%" totalsRowFunction="sum" dataDxfId="178" totalsRowDxfId="177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76" dataDxfId="174" headerRowBorderDxfId="175" headerRowCellStyle="Обычный 5" dataCellStyle="Обычный 5">
  <tableColumns count="4">
    <tableColumn id="1" name="Сумма по ставкам" totalsRowFunction="sum" dataDxfId="173" totalsRowDxfId="172" dataCellStyle="Обычный 5"/>
    <tableColumn id="2" name="13%" dataDxfId="171" totalsRowDxfId="170" dataCellStyle="Обычный 5">
      <calculatedColumnFormula>B31+#REF!-Таблица42[[#This Row],[13%]]</calculatedColumnFormula>
    </tableColumn>
    <tableColumn id="3" name="30%" dataDxfId="169" totalsRowDxfId="168" dataCellStyle="Обычный 5"/>
    <tableColumn id="4" name="Расхождение по ставкам" dataDxfId="167" totalsRowDxfId="16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65" totalsRowDxfId="163" headerRowBorderDxfId="164" headerRowCellStyle="Обычный 5">
  <tableColumns count="8">
    <tableColumn id="1" name="ВИД ВЫПЛАТЫ" totalsRowLabel="Итого по ставке" dataDxfId="162" totalsRowDxfId="161" dataCellStyle="Обычный 5"/>
    <tableColumn id="2" name="13%" totalsRowFunction="sum" dataDxfId="160" totalsRowDxfId="159" dataCellStyle="Обычный 5"/>
    <tableColumn id="3" name="30%" totalsRowFunction="sum" dataDxfId="158" totalsRowDxfId="157" dataCellStyle="Обычный 5"/>
    <tableColumn id="4" name="Столбец1" totalsRowDxfId="156" dataCellStyle="Обычный 5"/>
    <tableColumn id="5" name="без исправлений" dataDxfId="155" totalsRowDxfId="154" dataCellStyle="Обычный 5"/>
    <tableColumn id="6" name="с корректоровкой" dataDxfId="153" totalsRowDxfId="152" dataCellStyle="Обычный 5"/>
    <tableColumn id="7" name="без исправлений2" dataDxfId="151" totalsRowDxfId="150" dataCellStyle="Обычный 5"/>
    <tableColumn id="8" name="с корректоровкой3" dataDxfId="149" totalsRowDxfId="148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47" headerRowBorderDxfId="146" tableBorderDxfId="145" headerRowCellStyle="Обычный 4">
  <autoFilter ref="B6:D7"/>
  <tableColumns count="3">
    <tableColumn id="1" name="100" dataDxfId="144" dataCellStyle="Обычный 4"/>
    <tableColumn id="2" name="130" dataDxfId="143" dataCellStyle="Обычный 4"/>
    <tableColumn id="3" name="140" dataDxfId="142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41" dataDxfId="140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39" dataDxfId="138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37" dataDxfId="136" tableBorderDxfId="135" totalsRowBorderDxfId="134">
  <tableColumns count="4">
    <tableColumn id="1" name="Столбец1" headerRowDxfId="133" dataDxfId="132" dataCellStyle="Обычный 4"/>
    <tableColumn id="2" name="Столбец2" headerRowDxfId="131" dataDxfId="130" headerRowCellStyle="Обычный 4" dataCellStyle="Обычный 4"/>
    <tableColumn id="3" name="Столбец3" headerRowDxfId="129" dataDxfId="128"/>
    <tableColumn id="4" name="Столбец4" headerRowDxfId="127" dataDxfId="126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25" dataDxfId="124">
  <tableColumns count="8">
    <tableColumn id="1" name="Столбец1" totalsRowLabel="Итого:" headerRowDxfId="123" dataDxfId="122" totalsRowDxfId="121"/>
    <tableColumn id="2" name="Столбец2" headerRowDxfId="120" dataDxfId="119" totalsRowDxfId="118"/>
    <tableColumn id="3" name="Столбец3" totalsRowFunction="sum" headerRowDxfId="117" dataDxfId="116" totalsRowDxfId="115"/>
    <tableColumn id="4" name="Столбец4" totalsRowFunction="sum" headerRowDxfId="114" dataDxfId="113" totalsRowDxfId="112"/>
    <tableColumn id="5" name="Столбец5" totalsRowFunction="sum" headerRowDxfId="111" dataDxfId="110" totalsRowDxfId="109"/>
    <tableColumn id="6" name="Столбец6" totalsRowFunction="sum" headerRowDxfId="108" dataDxfId="107" totalsRowDxfId="106"/>
    <tableColumn id="7" name="Столбец7" totalsRowFunction="sum" headerRowDxfId="105" dataDxfId="104" totalsRowDxfId="103"/>
    <tableColumn id="8" name="Столбец8" totalsRowFunction="sum" headerRowDxfId="102" dataDxfId="101" totalsRowDxfId="100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99" totalsRowDxfId="98"/>
    <tableColumn id="4" name="Столбец2" dataDxfId="97"/>
    <tableColumn id="5" name="итог" dataDxfId="9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95"/>
    <tableColumn id="2" name="Столбец2"/>
    <tableColumn id="3" name="Столбец3" totalsRowFunction="sum" headerRowDxfId="94" dataDxfId="93" totalsRowDxfId="9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9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90"/>
    <tableColumn id="5" name="Налог удержанный" totalsRowFunction="sum" dataDxfId="89"/>
    <tableColumn id="6" name="Разница" totalsRowFunction="sum" dataDxfId="8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87" headerRowBorderDxfId="86" tableBorderDxfId="85" totalsRowBorderDxfId="84">
  <autoFilter ref="A1:D2">
    <filterColumn colId="2"/>
    <filterColumn colId="3"/>
  </autoFilter>
  <tableColumns count="4">
    <tableColumn id="1" name="ФИО" dataDxfId="83"/>
    <tableColumn id="5" name="Дата рождения" dataDxfId="82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81" headerRowBorderDxfId="80" tableBorderDxfId="79" totalsRowBorderDxfId="7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77"/>
    <tableColumn id="6" name="Имя" dataDxfId="76"/>
    <tableColumn id="4" name="Отчество" dataDxfId="75"/>
    <tableColumn id="5" name="Дата рождения" dataDxfId="74"/>
    <tableColumn id="3" name="ИНН" dataDxfId="73"/>
    <tableColumn id="1" name="Участник/Не участник" dataDxfId="72"/>
    <tableColumn id="2" name="Доход" dataDxfId="71"/>
    <tableColumn id="8" name="Пенсионные схемы" dataDxfId="70"/>
    <tableColumn id="9" name="Типы дохода" dataDxfId="69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68">
  <autoFilter ref="A5:I6">
    <filterColumn colId="5"/>
  </autoFilter>
  <tableColumns count="9">
    <tableColumn id="1" name="Контрагент ID" totalsRowLabel="Итог" dataDxfId="67" totalsRowDxfId="66"/>
    <tableColumn id="2" name="Фамилия" dataDxfId="65" totalsRowDxfId="64"/>
    <tableColumn id="3" name="Имя" dataDxfId="63" totalsRowDxfId="62"/>
    <tableColumn id="4" name="Отчество" dataDxfId="61" totalsRowDxfId="60"/>
    <tableColumn id="5" name="Ставка" dataDxfId="59" totalsRowDxfId="58"/>
    <tableColumn id="9" name="Количество счетов" dataDxfId="57" totalsRowDxfId="56"/>
    <tableColumn id="6" name="Исчисленный налог" dataDxfId="55" totalsRowDxfId="54"/>
    <tableColumn id="7" name="Удержанный налог" dataDxfId="53" totalsRowDxfId="52"/>
    <tableColumn id="8" name="Недоплата" totalsRowFunction="sum" dataDxfId="51" totalsRowDxfId="5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49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48" totalsRowDxfId="47"/>
    <tableColumn id="2" name="Фамилия" dataDxfId="46" totalsRowDxfId="45"/>
    <tableColumn id="3" name="Имя" dataDxfId="44" totalsRowDxfId="43"/>
    <tableColumn id="4" name="Отчество" dataDxfId="42" totalsRowDxfId="41"/>
    <tableColumn id="9" name="SSYLKA" dataDxfId="40" totalsRowDxfId="39"/>
    <tableColumn id="10" name="Вкладчик" dataDxfId="38" totalsRowDxfId="37"/>
    <tableColumn id="11" name="ИПС" dataDxfId="36" totalsRowDxfId="35"/>
    <tableColumn id="12" name="Пенс.схема" dataDxfId="34" totalsRowDxfId="33"/>
    <tableColumn id="14" name="Счет дохода" dataDxfId="32" totalsRowDxfId="31"/>
    <tableColumn id="5" name="Счет налога" dataDxfId="30" totalsRowDxfId="29"/>
    <tableColumn id="16" name="Доход" dataDxfId="28" totalsRowDxfId="27"/>
    <tableColumn id="15" name="Вычет" dataDxfId="26" totalsRowDxfId="25"/>
    <tableColumn id="13" name="Налог" dataDxfId="24" totalsRowDxfId="23"/>
    <tableColumn id="18" name="Удержано налога" dataDxfId="22" totalsRowDxfId="21"/>
    <tableColumn id="17" name="Исчислено налога" dataDxfId="20" totalsRowDxfId="19"/>
    <tableColumn id="8" name="Недоплата2" totalsRowFunction="sum" dataDxfId="18" totalsRow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75" t="s">
        <v>252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10" ht="31.5" customHeight="1">
      <c r="A2" s="173" t="s">
        <v>4</v>
      </c>
      <c r="B2" s="173"/>
      <c r="C2" s="173"/>
      <c r="D2" s="173"/>
      <c r="E2" s="173"/>
      <c r="F2" s="174" t="s">
        <v>23</v>
      </c>
      <c r="G2" s="174"/>
      <c r="H2" s="174"/>
      <c r="I2" s="174"/>
      <c r="J2" s="174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77" t="s">
        <v>252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</row>
    <row r="2" spans="1:16" ht="31.5" customHeight="1">
      <c r="A2" s="182" t="s">
        <v>4</v>
      </c>
      <c r="B2" s="183"/>
      <c r="C2" s="183"/>
      <c r="D2" s="183"/>
      <c r="E2" s="183"/>
      <c r="F2" s="183"/>
      <c r="G2" s="183"/>
      <c r="H2" s="183"/>
      <c r="I2" s="184"/>
      <c r="J2" s="185" t="s">
        <v>23</v>
      </c>
      <c r="K2" s="186"/>
      <c r="L2" s="186"/>
      <c r="M2" s="186"/>
      <c r="N2" s="186"/>
      <c r="O2" s="186"/>
      <c r="P2" s="187"/>
    </row>
    <row r="3" spans="1:16" ht="24" customHeight="1">
      <c r="A3" s="188" t="s">
        <v>0</v>
      </c>
      <c r="B3" s="190" t="s">
        <v>29</v>
      </c>
      <c r="C3" s="190" t="s">
        <v>3</v>
      </c>
      <c r="D3" s="190" t="s">
        <v>30</v>
      </c>
      <c r="E3" s="192" t="s">
        <v>5</v>
      </c>
      <c r="F3" s="193"/>
      <c r="G3" s="194"/>
      <c r="H3" s="192" t="s">
        <v>6</v>
      </c>
      <c r="I3" s="195"/>
      <c r="J3" s="196" t="s">
        <v>28</v>
      </c>
      <c r="K3" s="196" t="s">
        <v>32</v>
      </c>
      <c r="L3" s="178" t="s">
        <v>5</v>
      </c>
      <c r="M3" s="179"/>
      <c r="N3" s="180"/>
      <c r="O3" s="178" t="s">
        <v>6</v>
      </c>
      <c r="P3" s="181"/>
    </row>
    <row r="4" spans="1:16" ht="38.25" customHeight="1">
      <c r="A4" s="189"/>
      <c r="B4" s="191"/>
      <c r="C4" s="191"/>
      <c r="D4" s="191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97"/>
      <c r="K4" s="197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77" t="s">
        <v>253</v>
      </c>
      <c r="B1" s="177"/>
      <c r="C1" s="177"/>
      <c r="D1" s="177"/>
      <c r="E1" s="177"/>
      <c r="F1" s="177"/>
      <c r="G1" s="177"/>
      <c r="H1" s="177"/>
      <c r="I1" s="177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98" t="s">
        <v>254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</row>
    <row r="2" spans="1:18" ht="31.5" customHeight="1">
      <c r="A2" s="173" t="s">
        <v>59</v>
      </c>
      <c r="B2" s="173"/>
      <c r="C2" s="173"/>
      <c r="D2" s="173"/>
      <c r="E2" s="173" t="s">
        <v>58</v>
      </c>
      <c r="F2" s="173"/>
      <c r="G2" s="173"/>
      <c r="H2" s="173"/>
      <c r="I2" s="173"/>
      <c r="J2" s="173"/>
      <c r="K2" s="199" t="s">
        <v>52</v>
      </c>
      <c r="L2" s="199" t="s">
        <v>53</v>
      </c>
      <c r="M2" s="199" t="s">
        <v>38</v>
      </c>
      <c r="N2" s="199" t="s">
        <v>54</v>
      </c>
      <c r="O2" s="173" t="s">
        <v>60</v>
      </c>
      <c r="P2" s="173"/>
      <c r="Q2" s="173"/>
      <c r="R2" s="173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9"/>
      <c r="L3" s="199"/>
      <c r="M3" s="199"/>
      <c r="N3" s="199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8"/>
  <sheetViews>
    <sheetView topLeftCell="F1" workbookViewId="0">
      <selection activeCell="I19" sqref="I19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0" t="s">
        <v>117</v>
      </c>
      <c r="B1" s="200"/>
      <c r="D1" s="201" t="s">
        <v>118</v>
      </c>
      <c r="E1" s="201"/>
      <c r="G1" s="201" t="s">
        <v>113</v>
      </c>
      <c r="H1" s="201"/>
      <c r="I1" s="201"/>
      <c r="J1" s="201"/>
      <c r="L1" s="201" t="s">
        <v>108</v>
      </c>
      <c r="M1" s="201"/>
      <c r="N1" s="201"/>
      <c r="O1" s="201"/>
      <c r="P1" s="201"/>
      <c r="Q1" s="201"/>
      <c r="S1" s="201" t="s">
        <v>114</v>
      </c>
      <c r="T1" s="201"/>
      <c r="V1" s="201" t="s">
        <v>105</v>
      </c>
      <c r="W1" s="201"/>
      <c r="X1" s="201"/>
      <c r="Y1" s="201"/>
      <c r="Z1" s="201"/>
      <c r="AB1" s="201" t="s">
        <v>145</v>
      </c>
      <c r="AC1" s="201"/>
      <c r="AD1" s="201"/>
      <c r="AE1" s="201"/>
      <c r="AF1" s="201"/>
      <c r="AG1" s="201"/>
      <c r="AH1" s="201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202" t="s">
        <v>249</v>
      </c>
      <c r="BC1" s="202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329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250</v>
      </c>
      <c r="BC3" t="s">
        <v>160</v>
      </c>
    </row>
    <row r="4" spans="1:57">
      <c r="A4" s="7" t="s">
        <v>103</v>
      </c>
      <c r="B4" s="7" t="s">
        <v>310</v>
      </c>
      <c r="D4" t="s">
        <v>268</v>
      </c>
      <c r="E4" s="6" t="s">
        <v>184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192</v>
      </c>
      <c r="V4" s="6" t="s">
        <v>128</v>
      </c>
      <c r="W4" t="s">
        <v>163</v>
      </c>
      <c r="X4" t="s">
        <v>143</v>
      </c>
      <c r="Y4" t="s">
        <v>148</v>
      </c>
      <c r="Z4" s="6" t="s">
        <v>246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251</v>
      </c>
      <c r="BC4" t="s">
        <v>161</v>
      </c>
    </row>
    <row r="5" spans="1:57">
      <c r="A5" s="7" t="s">
        <v>104</v>
      </c>
      <c r="B5" s="7" t="s">
        <v>26</v>
      </c>
      <c r="D5" t="s">
        <v>311</v>
      </c>
      <c r="E5" s="6" t="s">
        <v>312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193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309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247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331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213</v>
      </c>
      <c r="V7" s="6" t="s">
        <v>184</v>
      </c>
      <c r="W7" t="s">
        <v>163</v>
      </c>
      <c r="X7" t="s">
        <v>143</v>
      </c>
      <c r="Y7" s="6"/>
      <c r="Z7" s="6" t="s">
        <v>248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214</v>
      </c>
      <c r="V8" s="6" t="s">
        <v>305</v>
      </c>
      <c r="W8" s="6" t="s">
        <v>126</v>
      </c>
      <c r="X8" s="6" t="s">
        <v>143</v>
      </c>
      <c r="Y8" s="6"/>
      <c r="Z8" s="6" t="s">
        <v>306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260</v>
      </c>
      <c r="E9" s="6" t="s">
        <v>261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218</v>
      </c>
      <c r="AB9" s="47" t="s">
        <v>184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269</v>
      </c>
      <c r="E10" s="6" t="s">
        <v>305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220</v>
      </c>
      <c r="AB10" s="47" t="s">
        <v>184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244</v>
      </c>
      <c r="E11" s="6" t="s">
        <v>245</v>
      </c>
      <c r="G11" t="s">
        <v>172</v>
      </c>
      <c r="H11" t="s">
        <v>107</v>
      </c>
      <c r="I11" t="s">
        <v>174</v>
      </c>
      <c r="L11" s="6" t="s">
        <v>192</v>
      </c>
      <c r="M11" s="6" t="s">
        <v>194</v>
      </c>
      <c r="N11" s="6" t="s">
        <v>192</v>
      </c>
      <c r="O11" t="s">
        <v>130</v>
      </c>
      <c r="P11" t="s">
        <v>128</v>
      </c>
      <c r="Q11" t="s">
        <v>136</v>
      </c>
      <c r="S11" s="6" t="s">
        <v>242</v>
      </c>
      <c r="T11" s="6" t="s">
        <v>240</v>
      </c>
      <c r="AB11" s="146" t="s">
        <v>305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228</v>
      </c>
      <c r="E12" t="s">
        <v>229</v>
      </c>
      <c r="G12" t="s">
        <v>172</v>
      </c>
      <c r="H12" t="s">
        <v>107</v>
      </c>
      <c r="I12" t="s">
        <v>175</v>
      </c>
      <c r="L12" s="6" t="s">
        <v>193</v>
      </c>
      <c r="M12" s="6" t="s">
        <v>194</v>
      </c>
      <c r="N12" s="6" t="s">
        <v>193</v>
      </c>
      <c r="O12" t="s">
        <v>130</v>
      </c>
      <c r="P12" t="s">
        <v>128</v>
      </c>
      <c r="Q12" t="s">
        <v>136</v>
      </c>
      <c r="S12" s="6" t="s">
        <v>270</v>
      </c>
      <c r="T12" s="6" t="s">
        <v>307</v>
      </c>
      <c r="AB12" s="146" t="s">
        <v>305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194</v>
      </c>
      <c r="N13" t="s">
        <v>139</v>
      </c>
      <c r="O13" t="s">
        <v>130</v>
      </c>
      <c r="P13" t="s">
        <v>128</v>
      </c>
      <c r="Q13" t="s">
        <v>136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194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241</v>
      </c>
      <c r="E15" s="6" t="s">
        <v>242</v>
      </c>
      <c r="G15" s="6" t="s">
        <v>184</v>
      </c>
      <c r="H15" t="s">
        <v>107</v>
      </c>
      <c r="I15" s="6" t="s">
        <v>184</v>
      </c>
      <c r="J15" s="6"/>
      <c r="L15" s="6" t="s">
        <v>213</v>
      </c>
      <c r="M15" s="6" t="s">
        <v>194</v>
      </c>
      <c r="N15" s="6" t="s">
        <v>213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184</v>
      </c>
      <c r="H16" s="6" t="s">
        <v>106</v>
      </c>
      <c r="I16" s="6" t="s">
        <v>331</v>
      </c>
      <c r="J16" s="6"/>
      <c r="L16" s="6" t="s">
        <v>214</v>
      </c>
      <c r="M16" s="6" t="s">
        <v>194</v>
      </c>
      <c r="N16" s="6" t="s">
        <v>214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229</v>
      </c>
      <c r="H17" t="s">
        <v>106</v>
      </c>
      <c r="I17" t="s">
        <v>77</v>
      </c>
      <c r="J17" s="6"/>
      <c r="L17" s="6" t="s">
        <v>218</v>
      </c>
      <c r="M17" s="6" t="s">
        <v>194</v>
      </c>
      <c r="N17" s="6" t="s">
        <v>218</v>
      </c>
      <c r="O17" t="s">
        <v>130</v>
      </c>
      <c r="P17" t="s">
        <v>128</v>
      </c>
      <c r="Q17" t="s">
        <v>136</v>
      </c>
    </row>
    <row r="18" spans="4:17">
      <c r="D18" s="6" t="s">
        <v>321</v>
      </c>
      <c r="E18" s="6" t="s">
        <v>318</v>
      </c>
      <c r="G18" s="6" t="s">
        <v>229</v>
      </c>
      <c r="H18" t="s">
        <v>106</v>
      </c>
      <c r="I18" s="6" t="s">
        <v>121</v>
      </c>
      <c r="J18" s="6"/>
      <c r="L18" s="6" t="s">
        <v>220</v>
      </c>
      <c r="M18" s="6" t="s">
        <v>194</v>
      </c>
      <c r="N18" s="6" t="s">
        <v>220</v>
      </c>
      <c r="O18" t="s">
        <v>130</v>
      </c>
      <c r="P18" t="s">
        <v>128</v>
      </c>
      <c r="Q18" t="s">
        <v>136</v>
      </c>
    </row>
    <row r="19" spans="4:17">
      <c r="D19" s="6" t="s">
        <v>319</v>
      </c>
      <c r="E19" s="6" t="s">
        <v>322</v>
      </c>
      <c r="G19" s="6" t="s">
        <v>242</v>
      </c>
      <c r="H19" t="s">
        <v>106</v>
      </c>
      <c r="I19" s="6" t="s">
        <v>242</v>
      </c>
      <c r="J19" s="6"/>
      <c r="L19" s="6" t="s">
        <v>242</v>
      </c>
      <c r="M19" s="6" t="s">
        <v>242</v>
      </c>
      <c r="N19" s="6" t="s">
        <v>243</v>
      </c>
      <c r="O19" t="s">
        <v>130</v>
      </c>
      <c r="Q19" t="s">
        <v>120</v>
      </c>
    </row>
    <row r="20" spans="4:17">
      <c r="D20" s="6" t="s">
        <v>330</v>
      </c>
      <c r="E20" s="6" t="s">
        <v>331</v>
      </c>
      <c r="G20" s="6" t="s">
        <v>245</v>
      </c>
      <c r="H20" s="6" t="s">
        <v>106</v>
      </c>
      <c r="I20" s="6" t="s">
        <v>242</v>
      </c>
      <c r="J20" s="6"/>
      <c r="L20" s="6" t="s">
        <v>240</v>
      </c>
      <c r="M20" s="6" t="s">
        <v>194</v>
      </c>
      <c r="N20" s="6" t="s">
        <v>240</v>
      </c>
      <c r="O20" t="s">
        <v>130</v>
      </c>
      <c r="P20" t="s">
        <v>128</v>
      </c>
      <c r="Q20" t="s">
        <v>136</v>
      </c>
    </row>
    <row r="21" spans="4:17">
      <c r="G21" s="6" t="s">
        <v>245</v>
      </c>
      <c r="H21" s="6" t="s">
        <v>106</v>
      </c>
      <c r="I21" t="s">
        <v>77</v>
      </c>
      <c r="J21" s="6"/>
      <c r="L21" s="6" t="s">
        <v>261</v>
      </c>
      <c r="M21" t="s">
        <v>261</v>
      </c>
      <c r="N21" s="6" t="s">
        <v>259</v>
      </c>
      <c r="O21" t="s">
        <v>130</v>
      </c>
      <c r="P21" t="s">
        <v>128</v>
      </c>
      <c r="Q21" t="s">
        <v>136</v>
      </c>
    </row>
    <row r="22" spans="4:17">
      <c r="G22" s="6" t="s">
        <v>245</v>
      </c>
      <c r="H22" s="6" t="s">
        <v>106</v>
      </c>
      <c r="I22" s="6" t="s">
        <v>121</v>
      </c>
      <c r="J22" s="6"/>
      <c r="L22" s="6" t="s">
        <v>270</v>
      </c>
      <c r="M22" s="6" t="s">
        <v>270</v>
      </c>
      <c r="N22" s="6" t="s">
        <v>269</v>
      </c>
      <c r="O22" t="s">
        <v>130</v>
      </c>
      <c r="P22" t="s">
        <v>128</v>
      </c>
      <c r="Q22" t="s">
        <v>120</v>
      </c>
    </row>
    <row r="23" spans="4:17">
      <c r="G23" s="6" t="s">
        <v>261</v>
      </c>
      <c r="H23" s="6" t="s">
        <v>106</v>
      </c>
      <c r="I23" s="6" t="s">
        <v>261</v>
      </c>
      <c r="J23" s="6"/>
      <c r="L23" s="6" t="s">
        <v>307</v>
      </c>
      <c r="M23" s="6"/>
      <c r="N23" s="6"/>
      <c r="P23" t="s">
        <v>128</v>
      </c>
      <c r="Q23" s="6" t="s">
        <v>309</v>
      </c>
    </row>
    <row r="24" spans="4:17">
      <c r="G24" s="6" t="s">
        <v>305</v>
      </c>
      <c r="H24" s="6" t="s">
        <v>106</v>
      </c>
      <c r="I24" s="6" t="s">
        <v>270</v>
      </c>
      <c r="L24" s="6" t="s">
        <v>318</v>
      </c>
      <c r="M24" t="s">
        <v>318</v>
      </c>
      <c r="N24" s="6" t="s">
        <v>320</v>
      </c>
      <c r="O24" t="s">
        <v>130</v>
      </c>
      <c r="P24" t="s">
        <v>128</v>
      </c>
      <c r="Q24" t="s">
        <v>136</v>
      </c>
    </row>
    <row r="25" spans="4:17">
      <c r="G25" s="6" t="s">
        <v>312</v>
      </c>
      <c r="H25" t="s">
        <v>106</v>
      </c>
      <c r="I25" t="s">
        <v>33</v>
      </c>
      <c r="J25" s="6"/>
      <c r="L25" s="6" t="s">
        <v>322</v>
      </c>
      <c r="M25" s="6" t="s">
        <v>318</v>
      </c>
      <c r="N25" s="6" t="s">
        <v>320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312</v>
      </c>
      <c r="H26" t="s">
        <v>106</v>
      </c>
      <c r="I26" t="s">
        <v>27</v>
      </c>
      <c r="L26" s="6" t="s">
        <v>331</v>
      </c>
      <c r="M26" s="6" t="s">
        <v>331</v>
      </c>
      <c r="N26" s="6" t="s">
        <v>330</v>
      </c>
      <c r="O26" s="6" t="s">
        <v>130</v>
      </c>
      <c r="P26" s="6" t="s">
        <v>128</v>
      </c>
      <c r="Q26" s="6" t="s">
        <v>136</v>
      </c>
    </row>
    <row r="27" spans="4:17">
      <c r="G27" s="6" t="s">
        <v>312</v>
      </c>
      <c r="H27" t="s">
        <v>106</v>
      </c>
      <c r="I27" t="s">
        <v>66</v>
      </c>
    </row>
    <row r="28" spans="4:17">
      <c r="G28" s="6" t="s">
        <v>312</v>
      </c>
      <c r="H28" s="6" t="s">
        <v>106</v>
      </c>
      <c r="I28" s="6" t="s">
        <v>261</v>
      </c>
    </row>
    <row r="29" spans="4:17">
      <c r="G29" s="6" t="s">
        <v>312</v>
      </c>
      <c r="H29" s="6" t="s">
        <v>106</v>
      </c>
      <c r="I29" s="6" t="s">
        <v>270</v>
      </c>
    </row>
    <row r="30" spans="4:17">
      <c r="G30" s="6" t="s">
        <v>312</v>
      </c>
      <c r="H30" s="6" t="s">
        <v>106</v>
      </c>
      <c r="I30" s="6" t="s">
        <v>242</v>
      </c>
    </row>
    <row r="31" spans="4:17">
      <c r="G31" s="6" t="s">
        <v>312</v>
      </c>
      <c r="H31" s="6" t="s">
        <v>106</v>
      </c>
      <c r="I31" t="s">
        <v>77</v>
      </c>
    </row>
    <row r="32" spans="4:17">
      <c r="G32" s="6" t="s">
        <v>312</v>
      </c>
      <c r="H32" s="6" t="s">
        <v>106</v>
      </c>
      <c r="I32" s="6" t="s">
        <v>121</v>
      </c>
    </row>
    <row r="33" spans="7:10">
      <c r="G33" s="6" t="s">
        <v>318</v>
      </c>
      <c r="H33" s="6" t="s">
        <v>106</v>
      </c>
      <c r="I33" t="s">
        <v>318</v>
      </c>
    </row>
    <row r="34" spans="7:10">
      <c r="G34" s="6" t="s">
        <v>322</v>
      </c>
      <c r="H34" s="6" t="s">
        <v>106</v>
      </c>
      <c r="I34" s="6" t="s">
        <v>322</v>
      </c>
      <c r="J34" s="6"/>
    </row>
    <row r="35" spans="7:10">
      <c r="G35" s="6" t="s">
        <v>331</v>
      </c>
      <c r="H35" s="6" t="s">
        <v>106</v>
      </c>
      <c r="I35" s="6" t="s">
        <v>331</v>
      </c>
      <c r="J35" s="6"/>
    </row>
    <row r="36" spans="7:10">
      <c r="G36" s="6"/>
    </row>
    <row r="37" spans="7:10">
      <c r="G37" s="6"/>
    </row>
    <row r="38" spans="7:10">
      <c r="G38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6">
      <formula1>INDIRECT("CreateModes[Code]")</formula1>
    </dataValidation>
    <dataValidation type="list" allowBlank="1" showInputMessage="1" showErrorMessage="1" sqref="Q3:Q26">
      <formula1>INDIRECT("ReportTypes[Code]")</formula1>
    </dataValidation>
    <dataValidation type="list" allowBlank="1" showInputMessage="1" showErrorMessage="1" sqref="P3:P26">
      <formula1>INDIRECT("Programs[Code]")</formula1>
    </dataValidation>
    <dataValidation type="list" allowBlank="1" showInputMessage="1" showErrorMessage="1" sqref="H3:H35">
      <formula1>INDIRECT("ActionTypes[Code]")</formula1>
    </dataValidation>
    <dataValidation type="list" allowBlank="1" showInputMessage="1" showErrorMessage="1" sqref="J3:J35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195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308</v>
      </c>
      <c r="D4" s="32"/>
      <c r="E4" s="32"/>
    </row>
    <row r="5" spans="1:6">
      <c r="A5" s="32"/>
      <c r="B5" s="31" t="s">
        <v>94</v>
      </c>
      <c r="C5" s="41">
        <v>43039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06"/>
      <c r="B7" s="206"/>
      <c r="C7" s="206"/>
      <c r="D7" s="206"/>
      <c r="E7" s="206"/>
    </row>
    <row r="8" spans="1:6" ht="51" customHeight="1">
      <c r="A8" s="45"/>
      <c r="B8" s="207" t="s">
        <v>313</v>
      </c>
      <c r="C8" s="208"/>
      <c r="D8" s="208"/>
      <c r="E8" s="45"/>
    </row>
    <row r="9" spans="1:6" s="44" customFormat="1" ht="14.25" customHeight="1">
      <c r="A9" s="206"/>
      <c r="B9" s="206"/>
      <c r="C9" s="206"/>
      <c r="D9" s="206"/>
      <c r="E9" s="206"/>
    </row>
    <row r="10" spans="1:6" hidden="1">
      <c r="A10" s="203"/>
      <c r="B10" s="204"/>
      <c r="C10" s="204"/>
      <c r="D10" s="204"/>
      <c r="E10" s="205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198" t="s">
        <v>253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</row>
    <row r="2" spans="1:12" ht="44.25" customHeight="1">
      <c r="A2" s="241" t="s">
        <v>334</v>
      </c>
      <c r="B2" s="241"/>
      <c r="C2" s="241"/>
      <c r="D2" s="241" t="s">
        <v>58</v>
      </c>
      <c r="E2" s="241"/>
      <c r="F2" s="241" t="s">
        <v>62</v>
      </c>
      <c r="G2" s="241" t="s">
        <v>52</v>
      </c>
      <c r="H2" s="241" t="s">
        <v>335</v>
      </c>
      <c r="I2" s="241" t="s">
        <v>336</v>
      </c>
      <c r="J2" s="241" t="s">
        <v>3</v>
      </c>
      <c r="K2" s="241" t="s">
        <v>332</v>
      </c>
      <c r="L2" s="241" t="s">
        <v>337</v>
      </c>
    </row>
    <row r="3" spans="1:12" ht="31.5">
      <c r="A3" s="171" t="s">
        <v>333</v>
      </c>
      <c r="B3" s="172" t="s">
        <v>47</v>
      </c>
      <c r="C3" s="172" t="s">
        <v>61</v>
      </c>
      <c r="D3" s="172" t="s">
        <v>47</v>
      </c>
      <c r="E3" s="172" t="s">
        <v>61</v>
      </c>
      <c r="F3" s="241"/>
      <c r="G3" s="241" t="s">
        <v>41</v>
      </c>
      <c r="H3" s="241" t="s">
        <v>332</v>
      </c>
      <c r="I3" s="241"/>
      <c r="J3" s="241"/>
      <c r="K3" s="241"/>
      <c r="L3" s="241"/>
    </row>
    <row r="4" spans="1:12">
      <c r="A4" s="243" t="s">
        <v>7</v>
      </c>
      <c r="B4" s="243" t="s">
        <v>8</v>
      </c>
      <c r="C4" s="243" t="s">
        <v>9</v>
      </c>
      <c r="D4" s="243" t="s">
        <v>10</v>
      </c>
      <c r="E4" s="243" t="s">
        <v>11</v>
      </c>
      <c r="F4" s="244" t="s">
        <v>12</v>
      </c>
      <c r="G4" s="244" t="s">
        <v>13</v>
      </c>
      <c r="H4" s="243" t="s">
        <v>14</v>
      </c>
      <c r="I4" s="245" t="s">
        <v>15</v>
      </c>
      <c r="J4" s="245" t="s">
        <v>16</v>
      </c>
      <c r="K4" s="245" t="s">
        <v>18</v>
      </c>
      <c r="L4" s="245" t="s">
        <v>17</v>
      </c>
    </row>
    <row r="5" spans="1:12">
      <c r="A5" s="29" t="s">
        <v>331</v>
      </c>
      <c r="B5" s="29"/>
      <c r="C5" s="28"/>
      <c r="D5" s="242"/>
      <c r="E5" s="28"/>
      <c r="F5" s="29"/>
      <c r="G5" s="242"/>
      <c r="H5" s="242"/>
      <c r="I5" s="29"/>
      <c r="J5" s="29"/>
      <c r="K5" s="29"/>
      <c r="L5" s="28"/>
    </row>
  </sheetData>
  <mergeCells count="10">
    <mergeCell ref="J2:J3"/>
    <mergeCell ref="L2:L3"/>
    <mergeCell ref="K2:K3"/>
    <mergeCell ref="A2:C2"/>
    <mergeCell ref="D2:E2"/>
    <mergeCell ref="F2:F3"/>
    <mergeCell ref="G2:G3"/>
    <mergeCell ref="H2:H3"/>
    <mergeCell ref="I2:I3"/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1" t="s">
        <v>296</v>
      </c>
      <c r="B1" s="212"/>
      <c r="C1" s="212"/>
      <c r="D1" s="212"/>
      <c r="E1" s="212"/>
      <c r="F1" s="212"/>
      <c r="G1" s="212"/>
      <c r="H1" s="212"/>
    </row>
    <row r="2" spans="1:8" ht="15.75" customHeight="1">
      <c r="A2" s="216"/>
      <c r="B2" s="216"/>
      <c r="C2" s="216"/>
      <c r="D2" s="216"/>
      <c r="E2" s="216"/>
      <c r="F2" s="216"/>
      <c r="G2" s="216"/>
      <c r="H2" s="216"/>
    </row>
    <row r="3" spans="1:8" ht="27" customHeight="1">
      <c r="A3" s="213" t="s">
        <v>271</v>
      </c>
      <c r="B3" s="213"/>
      <c r="C3" s="213"/>
      <c r="D3" s="118"/>
      <c r="E3" s="213" t="s">
        <v>272</v>
      </c>
      <c r="F3" s="213"/>
      <c r="G3" s="213"/>
      <c r="H3" s="213"/>
    </row>
    <row r="4" spans="1:8">
      <c r="A4" s="156" t="s">
        <v>289</v>
      </c>
      <c r="B4" s="157" t="s">
        <v>273</v>
      </c>
      <c r="C4" s="157" t="s">
        <v>274</v>
      </c>
      <c r="D4" s="118"/>
      <c r="E4" s="125" t="s">
        <v>275</v>
      </c>
      <c r="F4" s="125" t="s">
        <v>273</v>
      </c>
      <c r="G4" s="125" t="s">
        <v>274</v>
      </c>
      <c r="H4" s="125" t="s">
        <v>301</v>
      </c>
    </row>
    <row r="5" spans="1:8" ht="18">
      <c r="A5" s="158" t="s">
        <v>276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277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278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279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280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281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282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283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284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297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286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14" t="s">
        <v>287</v>
      </c>
      <c r="B18" s="214"/>
      <c r="C18" s="214"/>
      <c r="D18" s="120"/>
      <c r="E18" s="214" t="s">
        <v>288</v>
      </c>
      <c r="F18" s="214"/>
      <c r="G18" s="214"/>
      <c r="H18" s="214"/>
    </row>
    <row r="19" spans="1:8" ht="14.25" customHeight="1">
      <c r="A19" s="214"/>
      <c r="B19" s="214"/>
      <c r="C19" s="214"/>
      <c r="D19" s="119"/>
      <c r="E19" s="215" t="s">
        <v>273</v>
      </c>
      <c r="F19" s="215"/>
      <c r="G19" s="215" t="s">
        <v>274</v>
      </c>
      <c r="H19" s="215"/>
    </row>
    <row r="20" spans="1:8">
      <c r="A20" s="126" t="s">
        <v>289</v>
      </c>
      <c r="B20" s="149" t="s">
        <v>273</v>
      </c>
      <c r="C20" s="126" t="s">
        <v>274</v>
      </c>
      <c r="D20" s="151" t="s">
        <v>137</v>
      </c>
      <c r="E20" s="152" t="s">
        <v>290</v>
      </c>
      <c r="F20" s="150" t="s">
        <v>291</v>
      </c>
      <c r="G20" s="148" t="s">
        <v>299</v>
      </c>
      <c r="H20" s="148" t="s">
        <v>300</v>
      </c>
    </row>
    <row r="21" spans="1:8" ht="18">
      <c r="A21" s="127" t="s">
        <v>270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285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298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292</v>
      </c>
      <c r="B36" s="141"/>
      <c r="C36" s="118"/>
      <c r="D36" s="118"/>
      <c r="F36" s="118"/>
      <c r="G36" s="118"/>
      <c r="H36" s="118"/>
    </row>
    <row r="37" spans="1:8" ht="18">
      <c r="A37" s="127" t="s">
        <v>293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302</v>
      </c>
      <c r="B38" s="142"/>
      <c r="C38" s="136"/>
      <c r="D38" s="118"/>
      <c r="F38" s="118"/>
      <c r="G38" s="118"/>
      <c r="H38" s="118"/>
    </row>
    <row r="39" spans="1:8" ht="18">
      <c r="A39" s="127" t="s">
        <v>294</v>
      </c>
      <c r="B39" s="124">
        <f>B37-B38</f>
        <v>0</v>
      </c>
      <c r="C39" s="118"/>
      <c r="D39" s="118"/>
    </row>
    <row r="40" spans="1:8">
      <c r="D40" s="118"/>
    </row>
    <row r="41" spans="1:8">
      <c r="A41" s="209" t="s">
        <v>303</v>
      </c>
      <c r="B41" s="210"/>
      <c r="D41" s="118"/>
    </row>
    <row r="42" spans="1:8">
      <c r="A42" s="209"/>
      <c r="B42" s="210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295</v>
      </c>
      <c r="B44" s="142"/>
      <c r="C44" s="118"/>
      <c r="D44" s="118"/>
    </row>
    <row r="45" spans="1:8">
      <c r="D45" s="118"/>
    </row>
    <row r="46" spans="1:8" ht="51.75" customHeight="1">
      <c r="A46" s="162" t="s">
        <v>304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8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75" t="s">
        <v>255</v>
      </c>
      <c r="B1" s="175"/>
      <c r="C1" s="175"/>
      <c r="D1" s="175"/>
      <c r="E1" s="112"/>
      <c r="F1" s="112"/>
      <c r="G1" s="112"/>
      <c r="H1" s="112"/>
      <c r="I1" s="112"/>
      <c r="J1" s="112"/>
    </row>
    <row r="2" spans="1:10">
      <c r="B2" s="96"/>
      <c r="C2" s="65" t="s">
        <v>230</v>
      </c>
      <c r="D2" s="65" t="s">
        <v>231</v>
      </c>
      <c r="E2" s="6"/>
      <c r="F2" s="6"/>
      <c r="G2" s="6"/>
      <c r="H2" s="6"/>
      <c r="I2" s="6"/>
      <c r="J2" s="6"/>
    </row>
    <row r="3" spans="1:10">
      <c r="B3" s="97" t="s">
        <v>232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186</v>
      </c>
      <c r="B5" s="99" t="s">
        <v>233</v>
      </c>
      <c r="C5" s="100" t="s">
        <v>234</v>
      </c>
      <c r="D5" s="101" t="s">
        <v>234</v>
      </c>
    </row>
    <row r="6" spans="1:10" s="103" customFormat="1" ht="12" thickBot="1">
      <c r="A6" s="102" t="s">
        <v>187</v>
      </c>
      <c r="B6" s="106" t="s">
        <v>239</v>
      </c>
      <c r="C6" s="107" t="s">
        <v>235</v>
      </c>
      <c r="D6" s="108" t="s">
        <v>236</v>
      </c>
    </row>
    <row r="7" spans="1:10">
      <c r="A7" s="52"/>
      <c r="B7" s="104" t="s">
        <v>240</v>
      </c>
      <c r="C7" s="105"/>
      <c r="D7" s="105"/>
    </row>
    <row r="9" spans="1:10">
      <c r="B9" t="s">
        <v>237</v>
      </c>
    </row>
    <row r="10" spans="1:10">
      <c r="B10" t="s">
        <v>238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17" t="s">
        <v>256</v>
      </c>
      <c r="B1" s="218"/>
      <c r="C1" s="218"/>
      <c r="D1" s="218"/>
      <c r="E1" s="218"/>
    </row>
    <row r="2" spans="1:6" ht="19.5" customHeight="1">
      <c r="A2" s="219" t="s">
        <v>185</v>
      </c>
      <c r="B2" s="220"/>
      <c r="C2" s="220"/>
      <c r="D2" s="220"/>
      <c r="E2" s="221"/>
    </row>
    <row r="3" spans="1:6" ht="30">
      <c r="A3" s="78" t="s">
        <v>186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187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195</v>
      </c>
    </row>
    <row r="7" spans="1:6">
      <c r="D7" t="s">
        <v>188</v>
      </c>
    </row>
    <row r="8" spans="1:6" ht="20.25" customHeight="1">
      <c r="D8" s="201" t="s">
        <v>189</v>
      </c>
      <c r="E8" s="201"/>
    </row>
    <row r="9" spans="1:6">
      <c r="C9" s="6"/>
      <c r="D9" s="6" t="s">
        <v>192</v>
      </c>
      <c r="E9" s="56"/>
      <c r="F9" s="6"/>
    </row>
    <row r="10" spans="1:6">
      <c r="C10" s="56"/>
      <c r="D10" s="57" t="s">
        <v>190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201" t="s">
        <v>191</v>
      </c>
      <c r="E11" s="201"/>
    </row>
    <row r="12" spans="1:6">
      <c r="D12" s="6" t="s">
        <v>193</v>
      </c>
      <c r="E12" s="54"/>
    </row>
    <row r="13" spans="1:6">
      <c r="D13" s="55" t="s">
        <v>190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2" t="s">
        <v>257</v>
      </c>
      <c r="B1" s="223"/>
      <c r="C1" s="223"/>
      <c r="D1" s="223"/>
      <c r="E1" s="223"/>
      <c r="F1" s="223"/>
      <c r="G1" s="223"/>
      <c r="H1" s="223"/>
    </row>
    <row r="2" spans="1:8" ht="30.75" thickBot="1">
      <c r="A2" s="75" t="s">
        <v>186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187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219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196</v>
      </c>
    </row>
    <row r="7" spans="1:8">
      <c r="A7" s="61" t="s">
        <v>197</v>
      </c>
      <c r="C7" s="54"/>
      <c r="D7" s="54"/>
      <c r="E7" s="229" t="s">
        <v>198</v>
      </c>
      <c r="F7" s="229"/>
      <c r="G7" s="229"/>
      <c r="H7" s="229"/>
    </row>
    <row r="8" spans="1:8">
      <c r="A8" s="85" t="s">
        <v>199</v>
      </c>
      <c r="B8" s="85" t="s">
        <v>200</v>
      </c>
      <c r="C8" s="85" t="s">
        <v>225</v>
      </c>
      <c r="D8" s="85" t="s">
        <v>201</v>
      </c>
      <c r="E8" s="85" t="s">
        <v>202</v>
      </c>
      <c r="F8" s="85" t="s">
        <v>203</v>
      </c>
      <c r="G8" s="85" t="s">
        <v>215</v>
      </c>
      <c r="H8" s="85" t="s">
        <v>216</v>
      </c>
    </row>
    <row r="9" spans="1:8">
      <c r="A9" s="6" t="s">
        <v>213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30" t="s">
        <v>204</v>
      </c>
      <c r="F11" s="230"/>
      <c r="G11" s="230"/>
      <c r="H11" s="230"/>
    </row>
    <row r="12" spans="1:8">
      <c r="C12" s="54"/>
      <c r="D12" s="86"/>
      <c r="E12" s="226" t="s">
        <v>205</v>
      </c>
      <c r="F12" s="227"/>
      <c r="G12" s="228"/>
      <c r="H12" s="224" t="s">
        <v>217</v>
      </c>
    </row>
    <row r="13" spans="1:8" ht="15.75" thickBot="1">
      <c r="C13" s="90" t="s">
        <v>225</v>
      </c>
      <c r="D13" s="86" t="s">
        <v>206</v>
      </c>
      <c r="E13" s="87" t="s">
        <v>207</v>
      </c>
      <c r="F13" s="88" t="s">
        <v>208</v>
      </c>
      <c r="G13" s="89" t="s">
        <v>209</v>
      </c>
      <c r="H13" s="224"/>
    </row>
    <row r="14" spans="1:8">
      <c r="A14" s="6" t="s">
        <v>214</v>
      </c>
      <c r="C14" s="54"/>
    </row>
    <row r="15" spans="1:8">
      <c r="C15" s="62">
        <f>SUM(Таблица30[Столбец1])+SUM(Таблица31[Столбец3])</f>
        <v>0</v>
      </c>
      <c r="D15" t="s">
        <v>210</v>
      </c>
      <c r="E15" s="54"/>
    </row>
    <row r="16" spans="1:8">
      <c r="A16" s="61" t="s">
        <v>211</v>
      </c>
      <c r="E16" s="54"/>
    </row>
    <row r="17" spans="1:8" ht="37.5" customHeight="1">
      <c r="A17" s="90" t="s">
        <v>199</v>
      </c>
      <c r="B17" s="90" t="s">
        <v>200</v>
      </c>
      <c r="C17" s="90" t="s">
        <v>225</v>
      </c>
      <c r="D17" s="90" t="s">
        <v>226</v>
      </c>
      <c r="E17" s="91" t="s">
        <v>227</v>
      </c>
    </row>
    <row r="18" spans="1:8">
      <c r="A18" t="s">
        <v>218</v>
      </c>
      <c r="F18" s="63"/>
    </row>
    <row r="19" spans="1:8" ht="15.75" thickBot="1">
      <c r="C19" s="64">
        <f>SUM(C18:C18)</f>
        <v>0</v>
      </c>
      <c r="D19" t="s">
        <v>212</v>
      </c>
      <c r="F19" s="63"/>
    </row>
    <row r="20" spans="1:8" ht="15.75" thickTop="1">
      <c r="C20" s="65">
        <f>tax_13+tax_30</f>
        <v>0</v>
      </c>
      <c r="D20" t="s">
        <v>224</v>
      </c>
    </row>
    <row r="21" spans="1:8">
      <c r="C21" s="66"/>
      <c r="H21" s="67"/>
    </row>
    <row r="22" spans="1:8">
      <c r="A22" s="225" t="s">
        <v>223</v>
      </c>
      <c r="B22" s="225"/>
      <c r="C22" s="225"/>
      <c r="D22" s="225"/>
      <c r="E22" s="225"/>
      <c r="F22" s="225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221</v>
      </c>
      <c r="G23" s="67"/>
    </row>
    <row r="24" spans="1:8">
      <c r="A24" t="s">
        <v>220</v>
      </c>
      <c r="D24" s="54"/>
      <c r="E24" s="54"/>
      <c r="F24" s="54"/>
    </row>
    <row r="25" spans="1:8">
      <c r="A25" t="s">
        <v>222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31" t="s">
        <v>258</v>
      </c>
      <c r="B1" s="231"/>
      <c r="C1" s="231"/>
      <c r="D1" s="231"/>
      <c r="E1" s="231"/>
      <c r="F1" s="231"/>
      <c r="G1" s="231"/>
      <c r="H1" s="231"/>
      <c r="I1" s="231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33" t="s">
        <v>267</v>
      </c>
      <c r="B1" s="234"/>
      <c r="C1" s="234"/>
      <c r="D1" s="234"/>
      <c r="E1" s="234"/>
      <c r="F1" s="234"/>
      <c r="G1" s="234"/>
      <c r="H1" s="234"/>
      <c r="I1" s="234"/>
    </row>
    <row r="2" spans="1:9" ht="15.75">
      <c r="A2" s="113"/>
    </row>
    <row r="3" spans="1:9" ht="31.5" customHeight="1">
      <c r="A3" s="232" t="s">
        <v>266</v>
      </c>
      <c r="B3" s="232"/>
      <c r="C3" s="232"/>
      <c r="D3" s="232"/>
      <c r="E3" s="232"/>
      <c r="F3" s="232"/>
      <c r="G3" s="232"/>
      <c r="H3" s="232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265</v>
      </c>
      <c r="G5" s="114" t="s">
        <v>263</v>
      </c>
      <c r="H5" s="114" t="s">
        <v>231</v>
      </c>
      <c r="I5" s="114" t="s">
        <v>264</v>
      </c>
    </row>
    <row r="6" spans="1:9">
      <c r="A6" s="115" t="s">
        <v>261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A6" sqref="A6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33" t="s">
        <v>267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</row>
    <row r="2" spans="1:16" ht="15.75">
      <c r="A2" s="113"/>
      <c r="F2" s="113"/>
      <c r="G2" s="113"/>
      <c r="H2" s="113"/>
      <c r="I2" s="113"/>
    </row>
    <row r="3" spans="1:16" ht="31.5" customHeight="1">
      <c r="A3" s="235" t="s">
        <v>266</v>
      </c>
      <c r="B3" s="235"/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6"/>
      <c r="P3" s="165">
        <f>SUBTOTAL(109,Таблица5229[Недоплата2])</f>
        <v>0</v>
      </c>
    </row>
    <row r="4" spans="1:16" ht="37.5" customHeight="1">
      <c r="A4" s="168"/>
      <c r="B4" s="169"/>
      <c r="C4" s="169"/>
      <c r="D4" s="169"/>
      <c r="E4" s="169"/>
      <c r="F4" s="169"/>
      <c r="G4" s="169"/>
      <c r="H4" s="169"/>
      <c r="I4" s="169"/>
      <c r="J4" s="170"/>
      <c r="K4" s="237" t="s">
        <v>316</v>
      </c>
      <c r="L4" s="237"/>
      <c r="M4" s="237"/>
      <c r="N4" s="238" t="s">
        <v>317</v>
      </c>
      <c r="O4" s="239"/>
      <c r="P4" s="240"/>
    </row>
    <row r="5" spans="1:16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314</v>
      </c>
      <c r="I5" s="114" t="s">
        <v>324</v>
      </c>
      <c r="J5" s="114" t="s">
        <v>325</v>
      </c>
      <c r="K5" s="114" t="s">
        <v>1</v>
      </c>
      <c r="L5" s="114" t="s">
        <v>2</v>
      </c>
      <c r="M5" s="114" t="s">
        <v>315</v>
      </c>
      <c r="N5" s="114" t="s">
        <v>326</v>
      </c>
      <c r="O5" s="114" t="s">
        <v>327</v>
      </c>
      <c r="P5" s="114" t="s">
        <v>328</v>
      </c>
    </row>
    <row r="6" spans="1:16">
      <c r="A6" s="115" t="s">
        <v>323</v>
      </c>
      <c r="B6" s="115"/>
      <c r="C6" s="115"/>
      <c r="D6" s="115"/>
      <c r="E6" s="115"/>
      <c r="F6" s="164"/>
      <c r="G6" s="164"/>
      <c r="H6" s="166"/>
      <c r="I6" s="166"/>
      <c r="J6" s="166"/>
      <c r="K6" s="167"/>
      <c r="L6" s="167"/>
      <c r="M6" s="167"/>
      <c r="N6" s="167"/>
      <c r="O6" s="167"/>
      <c r="P6" s="167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19</vt:i4>
      </vt:variant>
    </vt:vector>
  </HeadingPairs>
  <TitlesOfParts>
    <vt:vector size="35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2017-11-23T08:51:35Z</dcterms:modified>
</cp:coreProperties>
</file>