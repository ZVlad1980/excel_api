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tax_retained_report" sheetId="281" state="hidden" r:id="rId7"/>
    <sheet name="ndfl6_part2" sheetId="249" state="hidden" r:id="rId8"/>
    <sheet name="ndfl6_part1_general" sheetId="71" state="hidden" r:id="rId9"/>
    <sheet name="ndfl6_part1_rates" sheetId="69" state="hidden" r:id="rId10"/>
    <sheet name="funds_employees" sheetId="73" state="hidden" r:id="rId11"/>
    <sheet name="funds_employees_report" sheetId="123" state="hidden" r:id="rId12"/>
    <sheet name="ndfl6_part1" sheetId="248" state="hidden" r:id="rId13"/>
    <sheet name="tax_diff_report" sheetId="271" state="hidden" r:id="rId14"/>
  </sheets>
  <functionGroups/>
  <externalReferences>
    <externalReference r:id="rId15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6">tax_retained_report!$B$44</definedName>
    <definedName name="TAX_RETAINED_DATE" localSheetId="6">tax_retained_report!$B$38</definedName>
    <definedName name="TAX_RETURN" localSheetId="6">tax_retained_report!$B$41</definedName>
    <definedName name="TAX_RETURN_83" localSheetId="6">tax_retained_report!$B$46</definedName>
  </definedNames>
  <calcPr calcId="125725" calcOnSave="0"/>
</workbook>
</file>

<file path=xl/calcChain.xml><?xml version="1.0" encoding="utf-8"?>
<calcChain xmlns="http://schemas.openxmlformats.org/spreadsheetml/2006/main"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<sst xmlns="http://schemas.openxmlformats.org/spreadsheetml/2006/main" count="729" uniqueCount="316">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</sst>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7" fillId="0" borderId="0" xfId="4" applyNumberFormat="1" applyAlignment="1">
      <alignment horizontal="center" vertic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20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19" dataDxfId="217" headerRowBorderDxfId="218" tableBorderDxfId="216" totalsRowBorderDxfId="215">
  <autoFilter ref="A4:J5"/>
  <tableColumns count="10">
    <tableColumn id="1" name="1" dataDxfId="214"/>
    <tableColumn id="2" name="2" dataDxfId="213"/>
    <tableColumn id="5" name="3" dataDxfId="212"/>
    <tableColumn id="6" name="4" dataDxfId="211"/>
    <tableColumn id="7" name="5" dataDxfId="210"/>
    <tableColumn id="10" name="6" dataDxfId="209"/>
    <tableColumn id="11" name="7" dataDxfId="208"/>
    <tableColumn id="12" name="8" dataDxfId="207"/>
    <tableColumn id="13" name="9" dataDxfId="206"/>
    <tableColumn id="14" name="10" dataDxfId="20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04" dataDxfId="202" headerRowBorderDxfId="203" tableBorderDxfId="201" totalsRowBorderDxfId="200">
  <autoFilter ref="A5:P6"/>
  <tableColumns count="16">
    <tableColumn id="1" name="1" dataDxfId="199"/>
    <tableColumn id="2" name="2" dataDxfId="198"/>
    <tableColumn id="3" name="3" dataDxfId="197"/>
    <tableColumn id="4" name="4" dataDxfId="196"/>
    <tableColumn id="5" name="5" dataDxfId="195"/>
    <tableColumn id="6" name="6" dataDxfId="194"/>
    <tableColumn id="7" name="7" dataDxfId="193"/>
    <tableColumn id="8" name="8" dataDxfId="192"/>
    <tableColumn id="9" name="9" dataDxfId="191"/>
    <tableColumn id="10" name="10" dataDxfId="190"/>
    <tableColumn id="11" name="11" dataDxfId="189"/>
    <tableColumn id="12" name="12" dataDxfId="188"/>
    <tableColumn id="13" name="13" dataDxfId="187"/>
    <tableColumn id="14" name="14" dataDxfId="186"/>
    <tableColumn id="15" name="15" dataDxfId="185"/>
    <tableColumn id="16" name="16" dataDxfId="1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183" dataDxfId="181" headerRowBorderDxfId="182" tableBorderDxfId="180" totalsRowBorderDxfId="179">
  <autoFilter ref="A3:I4">
    <filterColumn colId="1"/>
  </autoFilter>
  <tableColumns count="9">
    <tableColumn id="1" name="1" dataDxfId="178"/>
    <tableColumn id="3" name="2" dataDxfId="177"/>
    <tableColumn id="2" name="3" dataDxfId="176"/>
    <tableColumn id="5" name="4" dataDxfId="175"/>
    <tableColumn id="6" name="5" dataDxfId="174"/>
    <tableColumn id="7" name="6" dataDxfId="173"/>
    <tableColumn id="10" name="7" dataDxfId="172"/>
    <tableColumn id="11" name="8" dataDxfId="171"/>
    <tableColumn id="12" name="9" dataDxfId="1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169" dataDxfId="167" headerRowBorderDxfId="168" tableBorderDxfId="166" totalsRowBorderDxfId="16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164"/>
    <tableColumn id="20" name="2" dataDxfId="163"/>
    <tableColumn id="19" name="3" dataDxfId="162"/>
    <tableColumn id="18" name="4" dataDxfId="161"/>
    <tableColumn id="17" name="5" dataDxfId="160"/>
    <tableColumn id="23" name="6" dataDxfId="159"/>
    <tableColumn id="22" name="7" dataDxfId="158"/>
    <tableColumn id="21" name="8" dataDxfId="157"/>
    <tableColumn id="28" name="9" dataDxfId="156"/>
    <tableColumn id="29" name="10" dataDxfId="155"/>
    <tableColumn id="27" name="11" dataDxfId="154"/>
    <tableColumn id="26" name="12" dataDxfId="153"/>
    <tableColumn id="25" name="13" dataDxfId="152"/>
    <tableColumn id="5" name="14" dataDxfId="151"/>
    <tableColumn id="4" name="15" dataDxfId="150"/>
    <tableColumn id="3" name="16" dataDxfId="149"/>
    <tableColumn id="2" name="17" dataDxfId="148"/>
    <tableColumn id="24" name="18" dataDxfId="1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7" totalsRowShown="0">
  <autoFilter ref="D2:E1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7" totalsRowShown="0">
  <autoFilter ref="G2:J37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4" totalsRowShown="0">
  <autoFilter ref="L2:Q2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3" totalsRowShown="0">
  <autoFilter ref="S2:T1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46" tableBorderDxfId="145" totalsRowBorderDxfId="144">
  <autoFilter ref="A2:B8"/>
  <tableColumns count="2">
    <tableColumn id="1" name="Key" totalsRowLabel="Итог" totalsRowDxfId="143"/>
    <tableColumn id="2" name="Value" totalsRowFunction="count" totalsRowDxfId="1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4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4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39" dataDxfId="138" tableBorderDxfId="137">
  <tableColumns count="1">
    <tableColumn id="1" name="Столбец1" dataDxfId="13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42" name="Таблица42" displayName="Таблица42" ref="A4:C14" totalsRowCount="1" headerRowDxfId="134" totalsRowDxfId="133">
  <tableColumns count="3">
    <tableColumn id="1" name="ВИД ВЫПЛАТЫ" totalsRowLabel="Итого" dataDxfId="132" totalsRowDxfId="131" dataCellStyle="Обычный 5"/>
    <tableColumn id="2" name="13%" totalsRowFunction="sum" dataDxfId="130" totalsRowDxfId="129" dataCellStyle="Обычный 5"/>
    <tableColumn id="3" name="30%" totalsRowFunction="sum" dataDxfId="128" totalsRowDxfId="127" dataCellStyle="Обычный 5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id="43" name="Таблица43" displayName="Таблица43" ref="E4:H14" totalsRowCount="1" headerRowDxfId="126" dataDxfId="124" headerRowBorderDxfId="125" headerRowCellStyle="Обычный 5" dataCellStyle="Обычный 5">
  <tableColumns count="4">
    <tableColumn id="1" name="Сумма по ставкам" totalsRowFunction="sum" dataDxfId="123" totalsRowDxfId="122" dataCellStyle="Обычный 5"/>
    <tableColumn id="2" name="13%" dataDxfId="121" totalsRowDxfId="120" dataCellStyle="Обычный 5">
      <calculatedColumnFormula>B31+#REF!-Таблица42[[#This Row],[13%]]</calculatedColumnFormula>
    </tableColumn>
    <tableColumn id="3" name="30%" dataDxfId="119" totalsRowDxfId="118" dataCellStyle="Обычный 5"/>
    <tableColumn id="4" name="Расхождение по ставкам" dataDxfId="117" totalsRowDxfId="11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4" name="Таблица44" displayName="Таблица44" ref="A20:H32" totalsRowCount="1" headerRowDxfId="115" totalsRowDxfId="113" headerRowBorderDxfId="114" headerRowCellStyle="Обычный 5">
  <tableColumns count="8">
    <tableColumn id="1" name="ВИД ВЫПЛАТЫ" totalsRowLabel="Итого по ставке" dataDxfId="112" totalsRowDxfId="111" dataCellStyle="Обычный 5"/>
    <tableColumn id="2" name="13%" totalsRowFunction="sum" dataDxfId="110" totalsRowDxfId="109" dataCellStyle="Обычный 5"/>
    <tableColumn id="3" name="30%" totalsRowFunction="sum" dataDxfId="108" totalsRowDxfId="107" dataCellStyle="Обычный 5"/>
    <tableColumn id="4" name="Столбец1" totalsRowDxfId="106" dataCellStyle="Обычный 5"/>
    <tableColumn id="5" name="без исправлений" dataDxfId="105" totalsRowDxfId="104" dataCellStyle="Обычный 5"/>
    <tableColumn id="6" name="с корректоровкой" dataDxfId="103" totalsRowDxfId="102" dataCellStyle="Обычный 5"/>
    <tableColumn id="7" name="без исправлений2" dataDxfId="101" totalsRowDxfId="100" dataCellStyle="Обычный 5"/>
    <tableColumn id="8" name="с корректоровкой3" dataDxfId="99" totalsRowDxfId="98" dataCellStyle="Обычный 5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27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28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66" t="s">
        <v>253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ht="31.5" customHeight="1">
      <c r="A2" s="164" t="s">
        <v>4</v>
      </c>
      <c r="B2" s="164"/>
      <c r="C2" s="164"/>
      <c r="D2" s="164"/>
      <c r="E2" s="164"/>
      <c r="F2" s="165" t="s">
        <v>23</v>
      </c>
      <c r="G2" s="165"/>
      <c r="H2" s="165"/>
      <c r="I2" s="165"/>
      <c r="J2" s="16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68" t="s">
        <v>253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</row>
    <row r="2" spans="1:16" ht="31.5" customHeight="1">
      <c r="A2" s="173" t="s">
        <v>4</v>
      </c>
      <c r="B2" s="174"/>
      <c r="C2" s="174"/>
      <c r="D2" s="174"/>
      <c r="E2" s="174"/>
      <c r="F2" s="174"/>
      <c r="G2" s="174"/>
      <c r="H2" s="174"/>
      <c r="I2" s="175"/>
      <c r="J2" s="176" t="s">
        <v>23</v>
      </c>
      <c r="K2" s="177"/>
      <c r="L2" s="177"/>
      <c r="M2" s="177"/>
      <c r="N2" s="177"/>
      <c r="O2" s="177"/>
      <c r="P2" s="178"/>
    </row>
    <row r="3" spans="1:16" ht="24" customHeight="1">
      <c r="A3" s="179" t="s">
        <v>0</v>
      </c>
      <c r="B3" s="181" t="s">
        <v>29</v>
      </c>
      <c r="C3" s="181" t="s">
        <v>3</v>
      </c>
      <c r="D3" s="181" t="s">
        <v>30</v>
      </c>
      <c r="E3" s="183" t="s">
        <v>5</v>
      </c>
      <c r="F3" s="184"/>
      <c r="G3" s="185"/>
      <c r="H3" s="183" t="s">
        <v>6</v>
      </c>
      <c r="I3" s="186"/>
      <c r="J3" s="187" t="s">
        <v>28</v>
      </c>
      <c r="K3" s="187" t="s">
        <v>32</v>
      </c>
      <c r="L3" s="169" t="s">
        <v>5</v>
      </c>
      <c r="M3" s="170"/>
      <c r="N3" s="171"/>
      <c r="O3" s="169" t="s">
        <v>6</v>
      </c>
      <c r="P3" s="172"/>
    </row>
    <row r="4" spans="1:16" ht="38.25" customHeight="1">
      <c r="A4" s="180"/>
      <c r="B4" s="182"/>
      <c r="C4" s="182"/>
      <c r="D4" s="18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188"/>
      <c r="K4" s="18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68" t="s">
        <v>254</v>
      </c>
      <c r="B1" s="168"/>
      <c r="C1" s="168"/>
      <c r="D1" s="168"/>
      <c r="E1" s="168"/>
      <c r="F1" s="168"/>
      <c r="G1" s="168"/>
      <c r="H1" s="168"/>
      <c r="I1" s="168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189" t="s">
        <v>255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</row>
    <row r="2" spans="1:18" ht="31.5" customHeight="1">
      <c r="A2" s="164" t="s">
        <v>59</v>
      </c>
      <c r="B2" s="164"/>
      <c r="C2" s="164"/>
      <c r="D2" s="164"/>
      <c r="E2" s="164" t="s">
        <v>58</v>
      </c>
      <c r="F2" s="164"/>
      <c r="G2" s="164"/>
      <c r="H2" s="164"/>
      <c r="I2" s="164"/>
      <c r="J2" s="164"/>
      <c r="K2" s="190" t="s">
        <v>52</v>
      </c>
      <c r="L2" s="190" t="s">
        <v>53</v>
      </c>
      <c r="M2" s="190" t="s">
        <v>38</v>
      </c>
      <c r="N2" s="190" t="s">
        <v>54</v>
      </c>
      <c r="O2" s="164" t="s">
        <v>60</v>
      </c>
      <c r="P2" s="164"/>
      <c r="Q2" s="164"/>
      <c r="R2" s="16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190"/>
      <c r="L3" s="190"/>
      <c r="M3" s="190"/>
      <c r="N3" s="190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7"/>
  <sheetViews>
    <sheetView workbookViewId="0">
      <selection activeCell="I10" sqref="I10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191" t="s">
        <v>117</v>
      </c>
      <c r="B1" s="191"/>
      <c r="D1" s="192" t="s">
        <v>118</v>
      </c>
      <c r="E1" s="192"/>
      <c r="G1" s="192" t="s">
        <v>113</v>
      </c>
      <c r="H1" s="192"/>
      <c r="I1" s="192"/>
      <c r="J1" s="192"/>
      <c r="L1" s="192" t="s">
        <v>108</v>
      </c>
      <c r="M1" s="192"/>
      <c r="N1" s="192"/>
      <c r="O1" s="192"/>
      <c r="P1" s="192"/>
      <c r="Q1" s="192"/>
      <c r="S1" s="192" t="s">
        <v>114</v>
      </c>
      <c r="T1" s="192"/>
      <c r="V1" s="192" t="s">
        <v>105</v>
      </c>
      <c r="W1" s="192"/>
      <c r="X1" s="192"/>
      <c r="Y1" s="192"/>
      <c r="Z1" s="192"/>
      <c r="AB1" s="192" t="s">
        <v>145</v>
      </c>
      <c r="AC1" s="192"/>
      <c r="AD1" s="192"/>
      <c r="AE1" s="192"/>
      <c r="AF1" s="192"/>
      <c r="AG1" s="192"/>
      <c r="AH1" s="192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193" t="s">
        <v>250</v>
      </c>
      <c r="BC1" s="193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184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251</v>
      </c>
      <c r="BC3" t="s">
        <v>160</v>
      </c>
    </row>
    <row r="4" spans="1:57">
      <c r="A4" s="7" t="s">
        <v>103</v>
      </c>
      <c r="B4" s="7" t="s">
        <v>312</v>
      </c>
      <c r="D4" t="s">
        <v>270</v>
      </c>
      <c r="E4" s="6" t="s">
        <v>185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193</v>
      </c>
      <c r="V4" s="6" t="s">
        <v>128</v>
      </c>
      <c r="W4" t="s">
        <v>163</v>
      </c>
      <c r="X4" t="s">
        <v>143</v>
      </c>
      <c r="Y4" t="s">
        <v>148</v>
      </c>
      <c r="Z4" s="6" t="s">
        <v>247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252</v>
      </c>
      <c r="BC4" t="s">
        <v>161</v>
      </c>
    </row>
    <row r="5" spans="1:57">
      <c r="A5" s="7" t="s">
        <v>104</v>
      </c>
      <c r="B5" s="7" t="s">
        <v>26</v>
      </c>
      <c r="D5" t="s">
        <v>313</v>
      </c>
      <c r="E5" s="6" t="s">
        <v>314</v>
      </c>
      <c r="G5" t="s">
        <v>43</v>
      </c>
      <c r="H5" t="s">
        <v>106</v>
      </c>
      <c r="I5" t="s">
        <v>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194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311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66</v>
      </c>
      <c r="H6" t="s">
        <v>106</v>
      </c>
      <c r="I6" t="s">
        <v>66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248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194</v>
      </c>
      <c r="D7" t="s">
        <v>34</v>
      </c>
      <c r="E7" t="s">
        <v>33</v>
      </c>
      <c r="G7" t="s">
        <v>121</v>
      </c>
      <c r="H7" t="s">
        <v>106</v>
      </c>
      <c r="I7" t="s">
        <v>121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214</v>
      </c>
      <c r="V7" s="6" t="s">
        <v>185</v>
      </c>
      <c r="W7" t="s">
        <v>163</v>
      </c>
      <c r="X7" t="s">
        <v>143</v>
      </c>
      <c r="Y7" s="6"/>
      <c r="Z7" s="6" t="s">
        <v>249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77</v>
      </c>
      <c r="H8" t="s">
        <v>106</v>
      </c>
      <c r="I8" t="s">
        <v>77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215</v>
      </c>
      <c r="V8" s="6" t="s">
        <v>307</v>
      </c>
      <c r="W8" s="6" t="s">
        <v>126</v>
      </c>
      <c r="X8" s="6" t="s">
        <v>143</v>
      </c>
      <c r="Y8" s="6"/>
      <c r="Z8" s="6" t="s">
        <v>308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261</v>
      </c>
      <c r="E9" s="6" t="s">
        <v>262</v>
      </c>
      <c r="G9" t="s">
        <v>110</v>
      </c>
      <c r="H9" t="s">
        <v>106</v>
      </c>
      <c r="I9" t="s">
        <v>181</v>
      </c>
      <c r="J9" t="s">
        <v>169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219</v>
      </c>
      <c r="AB9" s="47" t="s">
        <v>185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271</v>
      </c>
      <c r="E10" s="6" t="s">
        <v>307</v>
      </c>
      <c r="G10" t="s">
        <v>110</v>
      </c>
      <c r="H10" t="s">
        <v>107</v>
      </c>
      <c r="I10" t="s">
        <v>170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221</v>
      </c>
      <c r="AB10" s="47" t="s">
        <v>185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245</v>
      </c>
      <c r="E11" s="6" t="s">
        <v>246</v>
      </c>
      <c r="G11" t="s">
        <v>172</v>
      </c>
      <c r="H11" t="s">
        <v>107</v>
      </c>
      <c r="I11" t="s">
        <v>174</v>
      </c>
      <c r="L11" s="6" t="s">
        <v>193</v>
      </c>
      <c r="M11" s="6" t="s">
        <v>195</v>
      </c>
      <c r="N11" s="6" t="s">
        <v>193</v>
      </c>
      <c r="O11" t="s">
        <v>130</v>
      </c>
      <c r="P11" t="s">
        <v>128</v>
      </c>
      <c r="Q11" t="s">
        <v>136</v>
      </c>
      <c r="S11" s="6" t="s">
        <v>243</v>
      </c>
      <c r="T11" s="6" t="s">
        <v>241</v>
      </c>
      <c r="AB11" s="146" t="s">
        <v>307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229</v>
      </c>
      <c r="E12" t="s">
        <v>230</v>
      </c>
      <c r="G12" t="s">
        <v>172</v>
      </c>
      <c r="H12" t="s">
        <v>107</v>
      </c>
      <c r="I12" t="s">
        <v>175</v>
      </c>
      <c r="L12" s="6" t="s">
        <v>194</v>
      </c>
      <c r="M12" s="6" t="s">
        <v>195</v>
      </c>
      <c r="N12" s="6" t="s">
        <v>194</v>
      </c>
      <c r="O12" t="s">
        <v>130</v>
      </c>
      <c r="P12" t="s">
        <v>128</v>
      </c>
      <c r="Q12" t="s">
        <v>136</v>
      </c>
      <c r="S12" s="6" t="s">
        <v>262</v>
      </c>
      <c r="T12" t="s">
        <v>267</v>
      </c>
      <c r="AB12" s="146" t="s">
        <v>307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106</v>
      </c>
      <c r="I13" t="s">
        <v>182</v>
      </c>
      <c r="L13" t="s">
        <v>139</v>
      </c>
      <c r="M13" s="6" t="s">
        <v>195</v>
      </c>
      <c r="N13" t="s">
        <v>139</v>
      </c>
      <c r="O13" t="s">
        <v>130</v>
      </c>
      <c r="P13" t="s">
        <v>128</v>
      </c>
      <c r="Q13" t="s">
        <v>136</v>
      </c>
      <c r="S13" s="6" t="s">
        <v>272</v>
      </c>
      <c r="T13" s="6" t="s">
        <v>309</v>
      </c>
    </row>
    <row r="14" spans="1:57">
      <c r="D14" t="s">
        <v>78</v>
      </c>
      <c r="E14" t="s">
        <v>77</v>
      </c>
      <c r="G14" t="s">
        <v>111</v>
      </c>
      <c r="H14" t="s">
        <v>106</v>
      </c>
      <c r="I14" t="s">
        <v>182</v>
      </c>
      <c r="L14" t="s">
        <v>140</v>
      </c>
      <c r="M14" s="6" t="s">
        <v>195</v>
      </c>
      <c r="N14" s="6" t="s">
        <v>140</v>
      </c>
      <c r="O14" t="s">
        <v>130</v>
      </c>
      <c r="P14" t="s">
        <v>128</v>
      </c>
      <c r="Q14" t="s">
        <v>136</v>
      </c>
    </row>
    <row r="15" spans="1:57">
      <c r="D15" s="6" t="s">
        <v>242</v>
      </c>
      <c r="E15" s="6" t="s">
        <v>243</v>
      </c>
      <c r="G15" s="6" t="s">
        <v>185</v>
      </c>
      <c r="H15" t="s">
        <v>107</v>
      </c>
      <c r="I15" s="6" t="s">
        <v>185</v>
      </c>
      <c r="J15" s="6"/>
      <c r="L15" s="6" t="s">
        <v>214</v>
      </c>
      <c r="M15" s="6" t="s">
        <v>195</v>
      </c>
      <c r="N15" s="6" t="s">
        <v>214</v>
      </c>
      <c r="O15" t="s">
        <v>130</v>
      </c>
      <c r="P15" t="s">
        <v>128</v>
      </c>
      <c r="Q15" t="s">
        <v>136</v>
      </c>
    </row>
    <row r="16" spans="1:57">
      <c r="D16" t="s">
        <v>122</v>
      </c>
      <c r="E16" t="s">
        <v>110</v>
      </c>
      <c r="G16" s="6" t="s">
        <v>230</v>
      </c>
      <c r="H16" t="s">
        <v>106</v>
      </c>
      <c r="I16" t="s">
        <v>77</v>
      </c>
      <c r="J16" s="6"/>
      <c r="L16" s="6" t="s">
        <v>215</v>
      </c>
      <c r="M16" s="6" t="s">
        <v>195</v>
      </c>
      <c r="N16" s="6" t="s">
        <v>215</v>
      </c>
      <c r="O16" t="s">
        <v>130</v>
      </c>
      <c r="P16" t="s">
        <v>128</v>
      </c>
      <c r="Q16" t="s">
        <v>136</v>
      </c>
    </row>
    <row r="17" spans="4:17">
      <c r="D17" t="s">
        <v>95</v>
      </c>
      <c r="E17" t="s">
        <v>111</v>
      </c>
      <c r="G17" s="6" t="s">
        <v>230</v>
      </c>
      <c r="H17" t="s">
        <v>106</v>
      </c>
      <c r="I17" s="6" t="s">
        <v>121</v>
      </c>
      <c r="J17" s="6"/>
      <c r="L17" s="6" t="s">
        <v>219</v>
      </c>
      <c r="M17" s="6" t="s">
        <v>195</v>
      </c>
      <c r="N17" s="6" t="s">
        <v>219</v>
      </c>
      <c r="O17" t="s">
        <v>130</v>
      </c>
      <c r="P17" t="s">
        <v>128</v>
      </c>
      <c r="Q17" t="s">
        <v>136</v>
      </c>
    </row>
    <row r="18" spans="4:17">
      <c r="D18" s="6"/>
      <c r="G18" s="6" t="s">
        <v>243</v>
      </c>
      <c r="H18" t="s">
        <v>106</v>
      </c>
      <c r="I18" s="6" t="s">
        <v>243</v>
      </c>
      <c r="J18" s="6"/>
      <c r="L18" s="6" t="s">
        <v>221</v>
      </c>
      <c r="M18" s="6" t="s">
        <v>195</v>
      </c>
      <c r="N18" s="6" t="s">
        <v>221</v>
      </c>
      <c r="O18" t="s">
        <v>130</v>
      </c>
      <c r="P18" t="s">
        <v>128</v>
      </c>
      <c r="Q18" t="s">
        <v>136</v>
      </c>
    </row>
    <row r="19" spans="4:17">
      <c r="G19" s="6" t="s">
        <v>246</v>
      </c>
      <c r="H19" s="6" t="s">
        <v>106</v>
      </c>
      <c r="I19" s="6" t="s">
        <v>243</v>
      </c>
      <c r="J19" s="6"/>
      <c r="L19" s="6" t="s">
        <v>243</v>
      </c>
      <c r="M19" s="6" t="s">
        <v>243</v>
      </c>
      <c r="N19" s="6" t="s">
        <v>244</v>
      </c>
      <c r="O19" t="s">
        <v>130</v>
      </c>
      <c r="Q19" t="s">
        <v>120</v>
      </c>
    </row>
    <row r="20" spans="4:17">
      <c r="G20" s="6" t="s">
        <v>246</v>
      </c>
      <c r="H20" s="6" t="s">
        <v>106</v>
      </c>
      <c r="I20" t="s">
        <v>77</v>
      </c>
      <c r="J20" s="6"/>
      <c r="L20" s="6" t="s">
        <v>241</v>
      </c>
      <c r="M20" s="6" t="s">
        <v>195</v>
      </c>
      <c r="N20" s="6" t="s">
        <v>241</v>
      </c>
      <c r="O20" t="s">
        <v>130</v>
      </c>
      <c r="P20" t="s">
        <v>128</v>
      </c>
      <c r="Q20" t="s">
        <v>136</v>
      </c>
    </row>
    <row r="21" spans="4:17">
      <c r="G21" s="6" t="s">
        <v>246</v>
      </c>
      <c r="H21" s="6" t="s">
        <v>106</v>
      </c>
      <c r="I21" s="6" t="s">
        <v>121</v>
      </c>
      <c r="J21" s="6"/>
      <c r="L21" s="6" t="s">
        <v>262</v>
      </c>
      <c r="M21" t="s">
        <v>262</v>
      </c>
      <c r="N21" s="6" t="s">
        <v>260</v>
      </c>
      <c r="O21" t="s">
        <v>130</v>
      </c>
      <c r="P21" t="s">
        <v>128</v>
      </c>
      <c r="Q21" t="s">
        <v>136</v>
      </c>
    </row>
    <row r="22" spans="4:17">
      <c r="G22" s="6" t="s">
        <v>262</v>
      </c>
      <c r="H22" s="6" t="s">
        <v>106</v>
      </c>
      <c r="I22" s="6" t="s">
        <v>262</v>
      </c>
      <c r="J22" s="6"/>
      <c r="L22" s="6" t="s">
        <v>267</v>
      </c>
      <c r="M22" s="6" t="s">
        <v>195</v>
      </c>
      <c r="N22" s="6" t="s">
        <v>267</v>
      </c>
      <c r="O22" t="s">
        <v>130</v>
      </c>
      <c r="P22" t="s">
        <v>128</v>
      </c>
      <c r="Q22" t="s">
        <v>136</v>
      </c>
    </row>
    <row r="23" spans="4:17">
      <c r="G23" s="6" t="s">
        <v>307</v>
      </c>
      <c r="H23" s="6" t="s">
        <v>106</v>
      </c>
      <c r="I23" s="6" t="s">
        <v>272</v>
      </c>
      <c r="L23" s="6" t="s">
        <v>272</v>
      </c>
      <c r="M23" s="6" t="s">
        <v>272</v>
      </c>
      <c r="N23" s="6" t="s">
        <v>271</v>
      </c>
      <c r="O23" t="s">
        <v>130</v>
      </c>
      <c r="P23" t="s">
        <v>128</v>
      </c>
      <c r="Q23" t="s">
        <v>120</v>
      </c>
    </row>
    <row r="24" spans="4:17">
      <c r="G24" s="6" t="s">
        <v>314</v>
      </c>
      <c r="H24" t="s">
        <v>106</v>
      </c>
      <c r="I24" t="s">
        <v>33</v>
      </c>
      <c r="J24" s="6"/>
      <c r="L24" s="6" t="s">
        <v>309</v>
      </c>
      <c r="M24" s="6"/>
      <c r="N24" s="6"/>
      <c r="P24" t="s">
        <v>128</v>
      </c>
      <c r="Q24" s="6" t="s">
        <v>311</v>
      </c>
    </row>
    <row r="25" spans="4:17">
      <c r="G25" s="6" t="s">
        <v>314</v>
      </c>
      <c r="H25" t="s">
        <v>106</v>
      </c>
      <c r="I25" t="s">
        <v>27</v>
      </c>
    </row>
    <row r="26" spans="4:17">
      <c r="G26" s="6" t="s">
        <v>314</v>
      </c>
      <c r="H26" t="s">
        <v>106</v>
      </c>
      <c r="I26" t="s">
        <v>66</v>
      </c>
    </row>
    <row r="27" spans="4:17">
      <c r="G27" s="6" t="s">
        <v>314</v>
      </c>
      <c r="H27" s="6" t="s">
        <v>106</v>
      </c>
      <c r="I27" s="6" t="s">
        <v>262</v>
      </c>
    </row>
    <row r="28" spans="4:17">
      <c r="G28" s="6" t="s">
        <v>314</v>
      </c>
      <c r="H28" s="6" t="s">
        <v>106</v>
      </c>
      <c r="I28" s="6" t="s">
        <v>272</v>
      </c>
    </row>
    <row r="29" spans="4:17">
      <c r="G29" s="6" t="s">
        <v>314</v>
      </c>
      <c r="H29" s="6" t="s">
        <v>106</v>
      </c>
      <c r="I29" s="6" t="s">
        <v>243</v>
      </c>
    </row>
    <row r="30" spans="4:17">
      <c r="G30" s="6" t="s">
        <v>314</v>
      </c>
      <c r="H30" s="6" t="s">
        <v>106</v>
      </c>
      <c r="I30" t="s">
        <v>77</v>
      </c>
    </row>
    <row r="31" spans="4:17">
      <c r="G31" s="6" t="s">
        <v>314</v>
      </c>
      <c r="H31" s="6" t="s">
        <v>106</v>
      </c>
      <c r="I31" s="6" t="s">
        <v>121</v>
      </c>
    </row>
    <row r="32" spans="4:17">
      <c r="G32" s="6"/>
    </row>
    <row r="33" spans="7:7">
      <c r="G33" s="6"/>
    </row>
    <row r="34" spans="7:7">
      <c r="G34" s="6"/>
    </row>
    <row r="35" spans="7:7">
      <c r="G35" s="6"/>
    </row>
    <row r="36" spans="7:7">
      <c r="G36" s="6"/>
    </row>
    <row r="37" spans="7:7">
      <c r="G37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7:E18 E12:E14 E3 E6:E8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S3:S13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4">
      <formula1>INDIRECT("CreateModes[Code]")</formula1>
    </dataValidation>
    <dataValidation type="list" allowBlank="1" showInputMessage="1" showErrorMessage="1" sqref="Q3:Q24">
      <formula1>INDIRECT("ReportTypes[Code]")</formula1>
    </dataValidation>
    <dataValidation type="list" allowBlank="1" showInputMessage="1" showErrorMessage="1" sqref="P3:P24">
      <formula1>INDIRECT("Programs[Code]")</formula1>
    </dataValidation>
    <dataValidation type="list" allowBlank="1" showInputMessage="1" showErrorMessage="1" sqref="H3:H37">
      <formula1>INDIRECT("ActionTypes[Code]")</formula1>
    </dataValidation>
    <dataValidation type="list" allowBlank="1" showInputMessage="1" showErrorMessage="1" sqref="J3:J37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5" sqref="C5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196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310</v>
      </c>
      <c r="D4" s="32"/>
      <c r="E4" s="32"/>
    </row>
    <row r="5" spans="1:6">
      <c r="A5" s="32"/>
      <c r="B5" s="31" t="s">
        <v>94</v>
      </c>
      <c r="C5" s="41">
        <v>43008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197"/>
      <c r="B7" s="197"/>
      <c r="C7" s="197"/>
      <c r="D7" s="197"/>
      <c r="E7" s="197"/>
    </row>
    <row r="8" spans="1:6" ht="51" customHeight="1">
      <c r="A8" s="45"/>
      <c r="B8" s="198" t="s">
        <v>315</v>
      </c>
      <c r="C8" s="199"/>
      <c r="D8" s="199"/>
      <c r="E8" s="45"/>
    </row>
    <row r="9" spans="1:6" s="44" customFormat="1" ht="14.25" customHeight="1">
      <c r="A9" s="197"/>
      <c r="B9" s="197"/>
      <c r="C9" s="197"/>
      <c r="D9" s="197"/>
      <c r="E9" s="197"/>
    </row>
    <row r="10" spans="1:6" hidden="1">
      <c r="A10" s="194"/>
      <c r="B10" s="195"/>
      <c r="C10" s="195"/>
      <c r="D10" s="195"/>
      <c r="E10" s="196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6" t="s">
        <v>298</v>
      </c>
      <c r="B1" s="217"/>
      <c r="C1" s="217"/>
      <c r="D1" s="217"/>
      <c r="E1" s="217"/>
      <c r="F1" s="217"/>
      <c r="G1" s="217"/>
      <c r="H1" s="217"/>
    </row>
    <row r="2" spans="1:8" ht="15.75" customHeight="1">
      <c r="A2" s="218"/>
      <c r="B2" s="218"/>
      <c r="C2" s="218"/>
      <c r="D2" s="218"/>
      <c r="E2" s="218"/>
      <c r="F2" s="218"/>
      <c r="G2" s="218"/>
      <c r="H2" s="218"/>
    </row>
    <row r="3" spans="1:8" ht="27" customHeight="1">
      <c r="A3" s="219" t="s">
        <v>273</v>
      </c>
      <c r="B3" s="219"/>
      <c r="C3" s="219"/>
      <c r="D3" s="118"/>
      <c r="E3" s="219" t="s">
        <v>274</v>
      </c>
      <c r="F3" s="219"/>
      <c r="G3" s="219"/>
      <c r="H3" s="219"/>
    </row>
    <row r="4" spans="1:8">
      <c r="A4" s="156" t="s">
        <v>291</v>
      </c>
      <c r="B4" s="157" t="s">
        <v>275</v>
      </c>
      <c r="C4" s="157" t="s">
        <v>276</v>
      </c>
      <c r="D4" s="118"/>
      <c r="E4" s="125" t="s">
        <v>277</v>
      </c>
      <c r="F4" s="125" t="s">
        <v>275</v>
      </c>
      <c r="G4" s="125" t="s">
        <v>276</v>
      </c>
      <c r="H4" s="125" t="s">
        <v>303</v>
      </c>
    </row>
    <row r="5" spans="1:8" ht="18">
      <c r="A5" s="158" t="s">
        <v>278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279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280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281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282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283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284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285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286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299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288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20" t="s">
        <v>289</v>
      </c>
      <c r="B18" s="220"/>
      <c r="C18" s="220"/>
      <c r="D18" s="120"/>
      <c r="E18" s="220" t="s">
        <v>290</v>
      </c>
      <c r="F18" s="220"/>
      <c r="G18" s="220"/>
      <c r="H18" s="220"/>
    </row>
    <row r="19" spans="1:8" ht="14.25" customHeight="1">
      <c r="A19" s="220"/>
      <c r="B19" s="220"/>
      <c r="C19" s="220"/>
      <c r="D19" s="119"/>
      <c r="E19" s="221" t="s">
        <v>275</v>
      </c>
      <c r="F19" s="221"/>
      <c r="G19" s="221" t="s">
        <v>276</v>
      </c>
      <c r="H19" s="221"/>
    </row>
    <row r="20" spans="1:8">
      <c r="A20" s="126" t="s">
        <v>291</v>
      </c>
      <c r="B20" s="149" t="s">
        <v>275</v>
      </c>
      <c r="C20" s="126" t="s">
        <v>276</v>
      </c>
      <c r="D20" s="151" t="s">
        <v>137</v>
      </c>
      <c r="E20" s="152" t="s">
        <v>292</v>
      </c>
      <c r="F20" s="150" t="s">
        <v>293</v>
      </c>
      <c r="G20" s="148" t="s">
        <v>301</v>
      </c>
      <c r="H20" s="148" t="s">
        <v>302</v>
      </c>
    </row>
    <row r="21" spans="1:8" ht="18">
      <c r="A21" s="127" t="s">
        <v>272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287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300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294</v>
      </c>
      <c r="B36" s="141"/>
      <c r="C36" s="118"/>
      <c r="D36" s="118"/>
      <c r="F36" s="118"/>
      <c r="G36" s="118"/>
      <c r="H36" s="118"/>
    </row>
    <row r="37" spans="1:8" ht="18">
      <c r="A37" s="127" t="s">
        <v>295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304</v>
      </c>
      <c r="B38" s="142"/>
      <c r="C38" s="136"/>
      <c r="D38" s="118"/>
      <c r="F38" s="118"/>
      <c r="G38" s="118"/>
      <c r="H38" s="118"/>
    </row>
    <row r="39" spans="1:8" ht="18">
      <c r="A39" s="127" t="s">
        <v>296</v>
      </c>
      <c r="B39" s="124">
        <f>B37-B38</f>
        <v>0</v>
      </c>
      <c r="C39" s="118"/>
      <c r="D39" s="118"/>
    </row>
    <row r="40" spans="1:8">
      <c r="D40" s="118"/>
    </row>
    <row r="41" spans="1:8">
      <c r="A41" s="214" t="s">
        <v>305</v>
      </c>
      <c r="B41" s="215"/>
      <c r="D41" s="118"/>
    </row>
    <row r="42" spans="1:8">
      <c r="A42" s="214"/>
      <c r="B42" s="21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297</v>
      </c>
      <c r="B44" s="142"/>
      <c r="C44" s="118"/>
      <c r="D44" s="118"/>
    </row>
    <row r="45" spans="1:8">
      <c r="D45" s="118"/>
    </row>
    <row r="46" spans="1:8" ht="51.75" customHeight="1">
      <c r="A46" s="162" t="s">
        <v>306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3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66" t="s">
        <v>256</v>
      </c>
      <c r="B1" s="166"/>
      <c r="C1" s="166"/>
      <c r="D1" s="166"/>
      <c r="E1" s="112"/>
      <c r="F1" s="112"/>
      <c r="G1" s="112"/>
      <c r="H1" s="112"/>
      <c r="I1" s="112"/>
      <c r="J1" s="112"/>
    </row>
    <row r="2" spans="1:10">
      <c r="B2" s="96"/>
      <c r="C2" s="65" t="s">
        <v>231</v>
      </c>
      <c r="D2" s="65" t="s">
        <v>232</v>
      </c>
      <c r="E2" s="6"/>
      <c r="F2" s="6"/>
      <c r="G2" s="6"/>
      <c r="H2" s="6"/>
      <c r="I2" s="6"/>
      <c r="J2" s="6"/>
    </row>
    <row r="3" spans="1:10">
      <c r="B3" s="97" t="s">
        <v>233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187</v>
      </c>
      <c r="B5" s="99" t="s">
        <v>234</v>
      </c>
      <c r="C5" s="100" t="s">
        <v>235</v>
      </c>
      <c r="D5" s="101" t="s">
        <v>235</v>
      </c>
    </row>
    <row r="6" spans="1:10" s="103" customFormat="1" ht="12" thickBot="1">
      <c r="A6" s="102" t="s">
        <v>188</v>
      </c>
      <c r="B6" s="106" t="s">
        <v>240</v>
      </c>
      <c r="C6" s="107" t="s">
        <v>236</v>
      </c>
      <c r="D6" s="108" t="s">
        <v>237</v>
      </c>
    </row>
    <row r="7" spans="1:10">
      <c r="A7" s="52"/>
      <c r="B7" s="104" t="s">
        <v>241</v>
      </c>
      <c r="C7" s="105"/>
      <c r="D7" s="105"/>
    </row>
    <row r="9" spans="1:10">
      <c r="B9" t="s">
        <v>238</v>
      </c>
    </row>
    <row r="10" spans="1:10">
      <c r="B10" t="s">
        <v>239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00" t="s">
        <v>257</v>
      </c>
      <c r="B1" s="201"/>
      <c r="C1" s="201"/>
      <c r="D1" s="201"/>
      <c r="E1" s="201"/>
    </row>
    <row r="2" spans="1:6" ht="19.5" customHeight="1">
      <c r="A2" s="202" t="s">
        <v>186</v>
      </c>
      <c r="B2" s="203"/>
      <c r="C2" s="203"/>
      <c r="D2" s="203"/>
      <c r="E2" s="204"/>
    </row>
    <row r="3" spans="1:6" ht="30">
      <c r="A3" s="78" t="s">
        <v>187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188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196</v>
      </c>
    </row>
    <row r="7" spans="1:6">
      <c r="D7" t="s">
        <v>189</v>
      </c>
    </row>
    <row r="8" spans="1:6" ht="20.25" customHeight="1">
      <c r="D8" s="192" t="s">
        <v>190</v>
      </c>
      <c r="E8" s="192"/>
    </row>
    <row r="9" spans="1:6">
      <c r="C9" s="6"/>
      <c r="D9" s="6" t="s">
        <v>193</v>
      </c>
      <c r="E9" s="56"/>
      <c r="F9" s="6"/>
    </row>
    <row r="10" spans="1:6">
      <c r="C10" s="56"/>
      <c r="D10" s="57" t="s">
        <v>191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192" t="s">
        <v>192</v>
      </c>
      <c r="E11" s="192"/>
    </row>
    <row r="12" spans="1:6">
      <c r="D12" s="6" t="s">
        <v>194</v>
      </c>
      <c r="E12" s="54"/>
    </row>
    <row r="13" spans="1:6">
      <c r="D13" s="55" t="s">
        <v>191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05" t="s">
        <v>258</v>
      </c>
      <c r="B1" s="206"/>
      <c r="C1" s="206"/>
      <c r="D1" s="206"/>
      <c r="E1" s="206"/>
      <c r="F1" s="206"/>
      <c r="G1" s="206"/>
      <c r="H1" s="206"/>
    </row>
    <row r="2" spans="1:8" ht="30.75" thickBot="1">
      <c r="A2" s="75" t="s">
        <v>187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188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220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197</v>
      </c>
    </row>
    <row r="7" spans="1:8">
      <c r="A7" s="61" t="s">
        <v>198</v>
      </c>
      <c r="C7" s="54"/>
      <c r="D7" s="54"/>
      <c r="E7" s="207" t="s">
        <v>199</v>
      </c>
      <c r="F7" s="207"/>
      <c r="G7" s="207"/>
      <c r="H7" s="207"/>
    </row>
    <row r="8" spans="1:8">
      <c r="A8" s="85" t="s">
        <v>200</v>
      </c>
      <c r="B8" s="85" t="s">
        <v>201</v>
      </c>
      <c r="C8" s="85" t="s">
        <v>226</v>
      </c>
      <c r="D8" s="85" t="s">
        <v>202</v>
      </c>
      <c r="E8" s="85" t="s">
        <v>203</v>
      </c>
      <c r="F8" s="85" t="s">
        <v>204</v>
      </c>
      <c r="G8" s="85" t="s">
        <v>216</v>
      </c>
      <c r="H8" s="85" t="s">
        <v>217</v>
      </c>
    </row>
    <row r="9" spans="1:8">
      <c r="A9" s="6" t="s">
        <v>214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08" t="s">
        <v>205</v>
      </c>
      <c r="F11" s="208"/>
      <c r="G11" s="208"/>
      <c r="H11" s="208"/>
    </row>
    <row r="12" spans="1:8">
      <c r="C12" s="54"/>
      <c r="D12" s="86"/>
      <c r="E12" s="209" t="s">
        <v>206</v>
      </c>
      <c r="F12" s="210"/>
      <c r="G12" s="211"/>
      <c r="H12" s="212" t="s">
        <v>218</v>
      </c>
    </row>
    <row r="13" spans="1:8" ht="15.75" thickBot="1">
      <c r="C13" s="90" t="s">
        <v>226</v>
      </c>
      <c r="D13" s="86" t="s">
        <v>207</v>
      </c>
      <c r="E13" s="87" t="s">
        <v>208</v>
      </c>
      <c r="F13" s="88" t="s">
        <v>209</v>
      </c>
      <c r="G13" s="89" t="s">
        <v>210</v>
      </c>
      <c r="H13" s="212"/>
    </row>
    <row r="14" spans="1:8">
      <c r="A14" s="6" t="s">
        <v>215</v>
      </c>
      <c r="C14" s="54"/>
    </row>
    <row r="15" spans="1:8">
      <c r="C15" s="62">
        <f>SUM(Таблица30[Столбец1])+SUM(Таблица31[Столбец3])</f>
        <v>0</v>
      </c>
      <c r="D15" t="s">
        <v>211</v>
      </c>
      <c r="E15" s="54"/>
    </row>
    <row r="16" spans="1:8">
      <c r="A16" s="61" t="s">
        <v>212</v>
      </c>
      <c r="E16" s="54"/>
    </row>
    <row r="17" spans="1:8" ht="37.5" customHeight="1">
      <c r="A17" s="90" t="s">
        <v>200</v>
      </c>
      <c r="B17" s="90" t="s">
        <v>201</v>
      </c>
      <c r="C17" s="90" t="s">
        <v>226</v>
      </c>
      <c r="D17" s="90" t="s">
        <v>227</v>
      </c>
      <c r="E17" s="91" t="s">
        <v>228</v>
      </c>
    </row>
    <row r="18" spans="1:8">
      <c r="A18" t="s">
        <v>219</v>
      </c>
      <c r="F18" s="63"/>
    </row>
    <row r="19" spans="1:8" ht="15.75" thickBot="1">
      <c r="C19" s="64">
        <f>SUM(C18:C18)</f>
        <v>0</v>
      </c>
      <c r="D19" t="s">
        <v>213</v>
      </c>
      <c r="F19" s="63"/>
    </row>
    <row r="20" spans="1:8" ht="15.75" thickTop="1">
      <c r="C20" s="65">
        <f>tax_13+tax_30</f>
        <v>0</v>
      </c>
      <c r="D20" t="s">
        <v>225</v>
      </c>
    </row>
    <row r="21" spans="1:8">
      <c r="C21" s="66"/>
      <c r="H21" s="67"/>
    </row>
    <row r="22" spans="1:8">
      <c r="A22" s="213" t="s">
        <v>224</v>
      </c>
      <c r="B22" s="213"/>
      <c r="C22" s="213"/>
      <c r="D22" s="213"/>
      <c r="E22" s="213"/>
      <c r="F22" s="213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222</v>
      </c>
      <c r="G23" s="67"/>
    </row>
    <row r="24" spans="1:8">
      <c r="A24" t="s">
        <v>221</v>
      </c>
      <c r="D24" s="54"/>
      <c r="E24" s="54"/>
      <c r="F24" s="54"/>
    </row>
    <row r="25" spans="1:8">
      <c r="A25" t="s">
        <v>223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25" t="s">
        <v>259</v>
      </c>
      <c r="B1" s="225"/>
      <c r="C1" s="225"/>
      <c r="D1" s="225"/>
      <c r="E1" s="225"/>
      <c r="F1" s="225"/>
      <c r="G1" s="225"/>
      <c r="H1" s="225"/>
      <c r="I1" s="225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22" t="s">
        <v>269</v>
      </c>
      <c r="B1" s="223"/>
      <c r="C1" s="223"/>
      <c r="D1" s="223"/>
      <c r="E1" s="223"/>
      <c r="F1" s="223"/>
      <c r="G1" s="223"/>
      <c r="H1" s="223"/>
      <c r="I1" s="223"/>
    </row>
    <row r="2" spans="1:9" ht="15.75">
      <c r="A2" s="113"/>
    </row>
    <row r="3" spans="1:9" ht="31.5" customHeight="1">
      <c r="A3" s="224" t="s">
        <v>268</v>
      </c>
      <c r="B3" s="224"/>
      <c r="C3" s="224"/>
      <c r="D3" s="224"/>
      <c r="E3" s="224"/>
      <c r="F3" s="224"/>
      <c r="G3" s="224"/>
      <c r="H3" s="224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263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266</v>
      </c>
      <c r="G5" s="114" t="s">
        <v>264</v>
      </c>
      <c r="H5" s="114" t="s">
        <v>232</v>
      </c>
      <c r="I5" s="114" t="s">
        <v>265</v>
      </c>
    </row>
    <row r="6" spans="1:9">
      <c r="A6" s="115" t="s">
        <v>262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19</vt:i4>
      </vt:variant>
    </vt:vector>
  </HeadingPairs>
  <TitlesOfParts>
    <vt:vector size="33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2017-10-24T05:50:11Z</dcterms:modified>
</cp:coreProperties>
</file>