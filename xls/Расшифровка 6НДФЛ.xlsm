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2" sheetId="249" state="hidden" r:id="rId7"/>
    <sheet name="ndfl6_part1_general" sheetId="71" state="hidden" r:id="rId8"/>
    <sheet name="ndfl6_part1_rates" sheetId="69" state="hidden" r:id="rId9"/>
    <sheet name="funds_employees" sheetId="73" state="hidden" r:id="rId10"/>
    <sheet name="funds_employees_report" sheetId="123" state="hidden" r:id="rId11"/>
    <sheet name="ndfl6_part1" sheetId="248" state="hidden" r:id="rId12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D2" i="249"/>
  <c r="C2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<sst xmlns="http://schemas.openxmlformats.org/spreadsheetml/2006/main" count="605" uniqueCount="257">
  <si>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</si>
  <si>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</si>
  <si>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</si>
  <si>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</si>
  <si>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</si>
  <si>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</si>
  <si>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</si>
  <si>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</si>
  <si>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</si>
  <si>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</si>
  <si>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</si>
  <si>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</si>
  <si>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</si>
  <si>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</si>
  <si>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</si>
  <si>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</si>
  <si>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</si>
  <si>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</si>
  <si>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</si>
  <si>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</si>
  <si>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</si>
  <si>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</si>
  <si>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</si>
  <si>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</si>
  <si>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</si>
  <si>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</si>
  <si>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</si>
  <si>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</si>
  <si>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</si>
  <si>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</si>
  <si>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</si>
  <si>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</si>
  <si>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</si>
  <si>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</si>
  <si>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</si>
  <si>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</si>
  <si>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</si>
  <si>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</si>
  <si>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</si>
  <si>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</si>
  <si>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</si>
  <si>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</si>
  <si>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</si>
  <si>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</si>
  <si>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</si>
  <si>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</si>
  <si>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</si>
  <si>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</si>
  <si>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</si>
  <si>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</si>
  <si>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</si>
  <si>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</si>
  <si>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</si>
  <si>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</si>
  <si>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</si>
  <si>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</si>
  <si>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</si>
  <si>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</si>
  <si>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</si>
  <si>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</si>
  <si>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</si>
  <si>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</si>
  <si>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</si>
  <si>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</si>
  <si>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</si>
  <si>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</si>
  <si>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</si>
  <si>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</si>
  <si>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</si>
  <si>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</si>
  <si>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</si>
  <si>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</si>
  <si>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</si>
  <si>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</si>
  <si>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</si>
  <si>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</si>
  <si>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</si>
  <si>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</si>
  <si>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</si>
  <si>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</si>
  <si>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</si>
  <si>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</si>
  <si>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</si>
  <si>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</si>
  <si>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</si>
  <si>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</si>
  <si>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</si>
  <si>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</si>
  <si>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</si>
  <si>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</si>
  <si>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</si>
  <si>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</si>
  <si>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</si>
  <si>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</si>
  <si>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</si>
  <si>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</si>
  <si>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</si>
  <si>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</si>
  <si>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</si>
  <si>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</si>
  <si>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</si>
  <si>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</si>
  <si>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</si>
  <si>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</si>
  <si>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</si>
  <si>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</si>
  <si>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</si>
  <si>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</si>
  <si>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</si>
  <si>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</si>
  <si>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</si>
  <si>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</si>
  <si>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</si>
  <si>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</si>
  <si>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</si>
  <si>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</si>
  <si>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</si>
  <si>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</si>
  <si>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</si>
  <si>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</si>
  <si>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</si>
  <si>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</si>
  <si>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</si>
  <si>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</si>
  <si>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</si>
  <si>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</si>
  <si>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</si>
  <si>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</si>
  <si>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</si>
  <si>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</si>
  <si>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</si>
  <si>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</si>
  <si>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</si>
  <si>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</si>
  <si>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</si>
  <si>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</si>
  <si>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</si>
  <si>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</si>
  <si>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</si>
  <si>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</si>
  <si>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</si>
  <si>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</si>
  <si>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</si>
  <si>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</si>
  <si>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</si>
  <si>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</si>
  <si>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</si>
  <si>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</si>
  <si>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</si>
  <si>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</si>
  <si>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</si>
  <si>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</si>
  <si>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</si>
  <si>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</si>
  <si>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</si>
  <si>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</si>
  <si>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</si>
  <si>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</si>
  <si>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</si>
  <si>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</si>
  <si>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</si>
  <si>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</si>
  <si>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</si>
  <si>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</si>
  <si>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</si>
  <si>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</si>
  <si>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</si>
  <si>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</si>
  <si>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</si>
  <si>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</si>
  <si>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</si>
  <si>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</si>
  <si>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</si>
  <si>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</si>
  <si>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</si>
  <si>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</si>
  <si>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</si>
  <si>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</si>
  <si>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</si>
  <si>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</si>
  <si>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</si>
  <si>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</si>
  <si>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</si>
  <si>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</si>
  <si>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</si>
  <si>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</si>
  <si>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</si>
  <si>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</si>
  <si>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</si>
  <si>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</si>
  <si>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</si>
  <si>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</si>
  <si>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</si>
  <si>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</si>
  <si>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</si>
  <si>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</si>
  <si>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</si>
  <si>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</si>
  <si>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</si>
  <si>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</si>
  <si>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</si>
  <si>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</si>
  <si>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</si>
  <si>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</si>
  <si>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</si>
  <si>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</si>
  <si>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</si>
  <si>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</si>
  <si>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</si>
  <si>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</si>
  <si>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</si>
  <si>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</si>
  <si>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</si>
  <si>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</si>
  <si>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</si>
  <si>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</si>
  <si>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</si>
  <si>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</si>
  <si>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</si>
  <si>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</si>
  <si>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</si>
  <si>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</si>
  <si>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</si>
  <si>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</si>
  <si>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</si>
  <si>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</si>
  <si>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</si>
  <si>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</si>
  <si>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</si>
  <si>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</si>
  <si>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</si>
  <si>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</si>
  <si>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</si>
  <si>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</si>
  <si>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</si>
  <si>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</si>
  <si>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</si>
  <si>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</si>
  <si>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</si>
  <si>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</si>
  <si>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</si>
  <si>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</si>
  <si>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</si>
  <si>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</si>
  <si>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</si>
  <si>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</si>
  <si>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</si>
  <si>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</si>
  <si>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</si>
  <si>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</si>
  <si>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</si>
  <si>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</si>
  <si>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</si>
  <si>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</si>
  <si>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</si>
  <si>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</si>
  <si>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Ok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</si>
</sst>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8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16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62" dataDxfId="160" headerRowBorderDxfId="161" tableBorderDxfId="159" totalsRowBorderDxfId="158">
  <autoFilter ref="A3:J4"/>
  <tableColumns count="10">
    <tableColumn id="1" name="1" dataDxfId="157"/>
    <tableColumn id="2" name="2" dataDxfId="156"/>
    <tableColumn id="5" name="3" dataDxfId="155"/>
    <tableColumn id="6" name="4" dataDxfId="154"/>
    <tableColumn id="7" name="5" dataDxfId="153"/>
    <tableColumn id="10" name="6" dataDxfId="152"/>
    <tableColumn id="11" name="7" dataDxfId="151"/>
    <tableColumn id="12" name="8" dataDxfId="150"/>
    <tableColumn id="13" name="9" dataDxfId="149"/>
    <tableColumn id="14" name="10" dataDxfId="1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147" dataDxfId="145" headerRowBorderDxfId="146" tableBorderDxfId="144" totalsRowBorderDxfId="143">
  <autoFilter ref="A4:P5"/>
  <tableColumns count="16">
    <tableColumn id="1" name="1" dataDxfId="142"/>
    <tableColumn id="2" name="2" dataDxfId="141"/>
    <tableColumn id="3" name="3" dataDxfId="140"/>
    <tableColumn id="4" name="4" dataDxfId="139"/>
    <tableColumn id="5" name="5" dataDxfId="138"/>
    <tableColumn id="6" name="6" dataDxfId="137"/>
    <tableColumn id="7" name="7" dataDxfId="136"/>
    <tableColumn id="8" name="8" dataDxfId="135"/>
    <tableColumn id="9" name="9" dataDxfId="134"/>
    <tableColumn id="10" name="10" dataDxfId="133"/>
    <tableColumn id="11" name="11" dataDxfId="132"/>
    <tableColumn id="12" name="12" dataDxfId="131"/>
    <tableColumn id="13" name="13" dataDxfId="130"/>
    <tableColumn id="14" name="14" dataDxfId="129"/>
    <tableColumn id="15" name="15" dataDxfId="128"/>
    <tableColumn id="16" name="16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126" dataDxfId="124" headerRowBorderDxfId="125" tableBorderDxfId="123" totalsRowBorderDxfId="122">
  <autoFilter ref="A2:I3">
    <filterColumn colId="1"/>
  </autoFilter>
  <tableColumns count="9">
    <tableColumn id="1" name="1" dataDxfId="121"/>
    <tableColumn id="3" name="2" dataDxfId="120"/>
    <tableColumn id="2" name="3" dataDxfId="119"/>
    <tableColumn id="5" name="4" dataDxfId="118"/>
    <tableColumn id="6" name="5" dataDxfId="117"/>
    <tableColumn id="7" name="6" dataDxfId="116"/>
    <tableColumn id="10" name="7" dataDxfId="115"/>
    <tableColumn id="11" name="8" dataDxfId="114"/>
    <tableColumn id="12" name="9" dataDxfId="1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112" dataDxfId="110" headerRowBorderDxfId="111" tableBorderDxfId="109" totalsRowBorderDxfId="108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07"/>
    <tableColumn id="20" name="2" dataDxfId="106"/>
    <tableColumn id="19" name="3" dataDxfId="105"/>
    <tableColumn id="18" name="4" dataDxfId="104"/>
    <tableColumn id="17" name="5" dataDxfId="103"/>
    <tableColumn id="23" name="6" dataDxfId="102"/>
    <tableColumn id="22" name="7" dataDxfId="101"/>
    <tableColumn id="21" name="8" dataDxfId="100"/>
    <tableColumn id="28" name="9" dataDxfId="99"/>
    <tableColumn id="29" name="10" dataDxfId="98"/>
    <tableColumn id="27" name="11" dataDxfId="97"/>
    <tableColumn id="26" name="12" dataDxfId="96"/>
    <tableColumn id="25" name="13" dataDxfId="95"/>
    <tableColumn id="5" name="14" dataDxfId="94"/>
    <tableColumn id="4" name="15" dataDxfId="93"/>
    <tableColumn id="3" name="16" dataDxfId="92"/>
    <tableColumn id="2" name="17" dataDxfId="91"/>
    <tableColumn id="24" name="18" dataDxfId="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89" tableBorderDxfId="88" totalsRowBorderDxfId="87">
  <autoFilter ref="A2:B8"/>
  <tableColumns count="2">
    <tableColumn id="1" name="Key" totalsRowLabel="Итог" totalsRowDxfId="86"/>
    <tableColumn id="2" name="Value" totalsRowFunction="count" totalsRow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84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8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82" dataDxfId="81" tableBorderDxfId="80">
  <tableColumns count="1">
    <tableColumn id="1" name="Столбец1" dataDxfId="79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26" name="Таблица26" displayName="Таблица26" ref="B5:D6" totalsRowShown="0" headerRowDxfId="78" headerRowBorderDxfId="77" tableBorderDxfId="76" headerRowCellStyle="Обычный 4">
  <autoFilter ref="B5:D6"/>
  <tableColumns count="3">
    <tableColumn id="1" name="100" dataDxfId="75" dataCellStyle="Обычный 4"/>
    <tableColumn id="2" name="130" dataDxfId="74" dataCellStyle="Обычный 4"/>
    <tableColumn id="3" name="140" dataDxfId="73" dataCellStyle="Обычный 4"/>
  </tableColumns>
  <tableStyleInfo name="TableStyleLight1" showFirstColumn="0" showLastColumn="0" showRowStripes="0" showColumnStripes="0"/>
</table>
</file>

<file path=xl/tables/table2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72" dataDxfId="71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70" dataDxfId="69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4" name="Таблица4" displayName="Таблица4" ref="B5:E5" headerRowCount="0" totalsRowShown="0" headerRowDxfId="68" dataDxfId="67" tableBorderDxfId="66" totalsRowBorderDxfId="65">
  <tableColumns count="4">
    <tableColumn id="1" name="Столбец1" headerRowDxfId="64" dataDxfId="63" dataCellStyle="Обычный 4"/>
    <tableColumn id="2" name="Столбец2" headerRowDxfId="62" dataDxfId="61" headerRowCellStyle="Обычный 4" dataCellStyle="Обычный 4"/>
    <tableColumn id="3" name="Столбец3" headerRowDxfId="60" dataDxfId="59"/>
    <tableColumn id="4" name="Столбец4" headerRowDxfId="58" dataDxfId="57" headerRowCellStyle="Обычный 4" dataCellStyle="Обычный 4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29" name="Таблица29" displayName="Таблица29" ref="A4:H5" headerRowCount="0" totalsRowCount="1" headerRowDxfId="56" dataDxfId="55">
  <tableColumns count="8">
    <tableColumn id="1" name="Столбец1" totalsRowLabel="Итого:" headerRowDxfId="54" dataDxfId="53" totalsRowDxfId="52"/>
    <tableColumn id="2" name="Столбец2" headerRowDxfId="51" dataDxfId="50" totalsRowDxfId="49"/>
    <tableColumn id="3" name="Столбец3" totalsRowFunction="sum" headerRowDxfId="48" dataDxfId="47" totalsRowDxfId="46"/>
    <tableColumn id="4" name="Столбец4" totalsRowFunction="sum" headerRowDxfId="45" dataDxfId="44" totalsRowDxfId="43"/>
    <tableColumn id="5" name="Столбец5" totalsRowFunction="sum" headerRowDxfId="42" dataDxfId="41" totalsRowDxfId="40"/>
    <tableColumn id="6" name="Столбец6" totalsRowFunction="sum" headerRowDxfId="39" dataDxfId="38" totalsRowDxfId="37"/>
    <tableColumn id="7" name="Столбец7" totalsRowFunction="sum" headerRowDxfId="36" dataDxfId="35" totalsRowDxfId="34"/>
    <tableColumn id="8" name="Столбец8" totalsRowFunction="sum" headerRowDxfId="33" dataDxfId="32" totalsRowDxfId="31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30" totalsRowDxfId="29"/>
    <tableColumn id="4" name="Столбец2" dataDxfId="28"/>
    <tableColumn id="5" name="итог" dataDxfId="2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6"/>
    <tableColumn id="2" name="Столбец2"/>
    <tableColumn id="3" name="Столбец3" totalsRowFunction="sum" headerRowDxfId="25" dataDxfId="24" totalsRowDxfId="2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47" name="Таблица47" displayName="Таблица47" ref="A23:F25" totalsRowCount="1" headerRowDxfId="2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1"/>
    <tableColumn id="5" name="Налог удержанный" totalsRowFunction="sum" dataDxfId="20"/>
    <tableColumn id="6" name="Разница" totalsRowFunction="sum" dataDxfId="1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8" name="Таблица8" displayName="Таблица8" ref="A1:D2" insertRow="1" totalsRowShown="0" headerRowDxfId="18" headerRowBorderDxfId="17" tableBorderDxfId="16" totalsRowBorderDxfId="15">
  <autoFilter ref="A1:D2">
    <filterColumn colId="2"/>
    <filterColumn colId="3"/>
  </autoFilter>
  <tableColumns count="4">
    <tableColumn id="1" name="ФИО" dataDxfId="14"/>
    <tableColumn id="5" name="Дата рождения" dataDxfId="13"/>
    <tableColumn id="2" name="Снилс"/>
    <tableColumn id="3" name="ИНН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25" name="Таблица8526" displayName="Таблица8526" ref="A1:I2" totalsRowShown="0" headerRowDxfId="12" headerRowBorderDxfId="11" tableBorderDxfId="10" totalsRowBorderDxfId="9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"/>
    <tableColumn id="6" name="Имя" dataDxfId="7"/>
    <tableColumn id="4" name="Отчество" dataDxfId="6"/>
    <tableColumn id="5" name="Дата рождения" dataDxfId="5"/>
    <tableColumn id="3" name="ИНН" dataDxfId="4"/>
    <tableColumn id="1" name="Участник/Не участник" dataDxfId="3"/>
    <tableColumn id="2" name="Доход" dataDxfId="2"/>
    <tableColumn id="8" name="Пенсионные схемы" dataDxfId="1"/>
    <tableColumn id="9" name="Типы доход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09" t="s">
        <v>4</v>
      </c>
      <c r="B1" s="109"/>
      <c r="C1" s="109"/>
      <c r="D1" s="109"/>
      <c r="E1" s="109"/>
      <c r="F1" s="110" t="s">
        <v>23</v>
      </c>
      <c r="G1" s="110"/>
      <c r="H1" s="110"/>
      <c r="I1" s="110"/>
      <c r="J1" s="110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15" t="s">
        <v>4</v>
      </c>
      <c r="B1" s="116"/>
      <c r="C1" s="116"/>
      <c r="D1" s="116"/>
      <c r="E1" s="116"/>
      <c r="F1" s="116"/>
      <c r="G1" s="116"/>
      <c r="H1" s="116"/>
      <c r="I1" s="117"/>
      <c r="J1" s="118" t="s">
        <v>23</v>
      </c>
      <c r="K1" s="119"/>
      <c r="L1" s="119"/>
      <c r="M1" s="119"/>
      <c r="N1" s="119"/>
      <c r="O1" s="119"/>
      <c r="P1" s="120"/>
    </row>
    <row r="2" spans="1:16" ht="24" customHeight="1">
      <c r="A2" s="121" t="s">
        <v>0</v>
      </c>
      <c r="B2" s="123" t="s">
        <v>30</v>
      </c>
      <c r="C2" s="123" t="s">
        <v>3</v>
      </c>
      <c r="D2" s="123" t="s">
        <v>31</v>
      </c>
      <c r="E2" s="125" t="s">
        <v>5</v>
      </c>
      <c r="F2" s="126"/>
      <c r="G2" s="127"/>
      <c r="H2" s="125" t="s">
        <v>6</v>
      </c>
      <c r="I2" s="128"/>
      <c r="J2" s="129" t="s">
        <v>29</v>
      </c>
      <c r="K2" s="129" t="s">
        <v>33</v>
      </c>
      <c r="L2" s="111" t="s">
        <v>5</v>
      </c>
      <c r="M2" s="112"/>
      <c r="N2" s="113"/>
      <c r="O2" s="111" t="s">
        <v>6</v>
      </c>
      <c r="P2" s="114"/>
    </row>
    <row r="3" spans="1:16" ht="38.25" customHeight="1">
      <c r="A3" s="122"/>
      <c r="B3" s="124"/>
      <c r="C3" s="124"/>
      <c r="D3" s="124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30"/>
      <c r="K3" s="130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09" t="s">
        <v>60</v>
      </c>
      <c r="B1" s="109"/>
      <c r="C1" s="109"/>
      <c r="D1" s="109"/>
      <c r="E1" s="109" t="s">
        <v>59</v>
      </c>
      <c r="F1" s="109"/>
      <c r="G1" s="109"/>
      <c r="H1" s="109"/>
      <c r="I1" s="109"/>
      <c r="J1" s="109"/>
      <c r="K1" s="131" t="s">
        <v>53</v>
      </c>
      <c r="L1" s="131" t="s">
        <v>54</v>
      </c>
      <c r="M1" s="131" t="s">
        <v>39</v>
      </c>
      <c r="N1" s="131" t="s">
        <v>55</v>
      </c>
      <c r="O1" s="109" t="s">
        <v>61</v>
      </c>
      <c r="P1" s="109"/>
      <c r="Q1" s="109"/>
      <c r="R1" s="109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31"/>
      <c r="L2" s="131"/>
      <c r="M2" s="131"/>
      <c r="N2" s="131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topLeftCell="I1" workbookViewId="0">
      <selection activeCell="N18" sqref="N1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33" t="s">
        <v>118</v>
      </c>
      <c r="B1" s="133"/>
      <c r="D1" s="132" t="s">
        <v>119</v>
      </c>
      <c r="E1" s="132"/>
      <c r="G1" s="132" t="s">
        <v>114</v>
      </c>
      <c r="H1" s="132"/>
      <c r="I1" s="132"/>
      <c r="J1" s="132"/>
      <c r="L1" s="132" t="s">
        <v>109</v>
      </c>
      <c r="M1" s="132"/>
      <c r="N1" s="132"/>
      <c r="O1" s="132"/>
      <c r="P1" s="132"/>
      <c r="Q1" s="132"/>
      <c r="S1" s="132" t="s">
        <v>115</v>
      </c>
      <c r="T1" s="132"/>
      <c r="V1" s="132" t="s">
        <v>106</v>
      </c>
      <c r="W1" s="132"/>
      <c r="X1" s="132"/>
      <c r="Y1" s="132"/>
      <c r="Z1" s="132"/>
      <c r="AB1" s="132" t="s">
        <v>146</v>
      </c>
      <c r="AC1" s="132"/>
      <c r="AD1" s="132"/>
      <c r="AE1" s="132"/>
      <c r="AF1" s="132"/>
      <c r="AG1" s="132"/>
      <c r="AH1" s="132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172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172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171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188</v>
      </c>
      <c r="B3" s="6" t="s">
        <v>189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179</v>
      </c>
      <c r="W3" t="s">
        <v>127</v>
      </c>
      <c r="X3" t="s">
        <v>144</v>
      </c>
      <c r="Z3" t="s">
        <v>181</v>
      </c>
      <c r="AB3" s="6" t="s">
        <v>129</v>
      </c>
      <c r="AC3" t="s">
        <v>166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173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201</v>
      </c>
      <c r="V4" s="6" t="s">
        <v>129</v>
      </c>
      <c r="W4" t="s">
        <v>165</v>
      </c>
      <c r="X4" t="s">
        <v>144</v>
      </c>
      <c r="Y4" t="s">
        <v>149</v>
      </c>
      <c r="Z4" s="6" t="s">
        <v>164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165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202</v>
      </c>
      <c r="V5" s="6" t="s">
        <v>169</v>
      </c>
      <c r="W5" t="s">
        <v>127</v>
      </c>
      <c r="X5" s="6" t="s">
        <v>143</v>
      </c>
      <c r="Y5" s="6"/>
      <c r="Z5" s="6" t="s">
        <v>170</v>
      </c>
      <c r="AB5" s="46" t="s">
        <v>129</v>
      </c>
      <c r="AC5" s="6" t="s">
        <v>167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correcting_report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174</v>
      </c>
      <c r="W6" t="s">
        <v>127</v>
      </c>
      <c r="X6" t="s">
        <v>143</v>
      </c>
      <c r="Y6" s="6"/>
      <c r="Z6" t="s">
        <v>175</v>
      </c>
      <c r="AB6" s="46" t="s">
        <v>129</v>
      </c>
      <c r="AC6" s="6" t="s">
        <v>168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67</v>
      </c>
      <c r="D7" t="s">
        <v>192</v>
      </c>
      <c r="E7" s="6" t="s">
        <v>190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223</v>
      </c>
      <c r="V7" s="6" t="s">
        <v>180</v>
      </c>
      <c r="W7" t="s">
        <v>165</v>
      </c>
      <c r="X7" t="s">
        <v>144</v>
      </c>
      <c r="Y7" s="6"/>
      <c r="Z7" s="6" t="s">
        <v>177</v>
      </c>
      <c r="AB7" s="46" t="s">
        <v>169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254</v>
      </c>
      <c r="E8" s="6" t="s">
        <v>255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224</v>
      </c>
      <c r="V8" s="6" t="s">
        <v>190</v>
      </c>
      <c r="W8" t="s">
        <v>165</v>
      </c>
      <c r="X8" t="s">
        <v>144</v>
      </c>
      <c r="Y8" s="6"/>
      <c r="Z8" s="6" t="s">
        <v>191</v>
      </c>
      <c r="AB8" s="47" t="s">
        <v>169</v>
      </c>
      <c r="AC8" s="6" t="s">
        <v>167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238</v>
      </c>
      <c r="E9" t="s">
        <v>239</v>
      </c>
      <c r="G9" t="s">
        <v>111</v>
      </c>
      <c r="H9" t="s">
        <v>107</v>
      </c>
      <c r="I9" t="s">
        <v>186</v>
      </c>
      <c r="J9" t="s">
        <v>173</v>
      </c>
      <c r="L9" t="s">
        <v>187</v>
      </c>
      <c r="M9" t="s">
        <v>185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228</v>
      </c>
      <c r="AB9" s="47" t="s">
        <v>169</v>
      </c>
      <c r="AC9" s="6" t="s">
        <v>168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174</v>
      </c>
      <c r="L10" t="s">
        <v>186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230</v>
      </c>
      <c r="AB10" s="6" t="s">
        <v>180</v>
      </c>
      <c r="AC10" t="s">
        <v>166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176</v>
      </c>
      <c r="H11" t="s">
        <v>108</v>
      </c>
      <c r="I11" t="s">
        <v>179</v>
      </c>
      <c r="L11" s="6" t="s">
        <v>201</v>
      </c>
      <c r="M11" s="6" t="s">
        <v>203</v>
      </c>
      <c r="N11" s="6" t="s">
        <v>201</v>
      </c>
      <c r="O11" t="s">
        <v>131</v>
      </c>
      <c r="P11" t="s">
        <v>129</v>
      </c>
      <c r="Q11" t="s">
        <v>137</v>
      </c>
      <c r="S11" s="6" t="s">
        <v>252</v>
      </c>
      <c r="T11" s="6" t="s">
        <v>250</v>
      </c>
      <c r="AB11" s="6" t="s">
        <v>180</v>
      </c>
      <c r="AC11" s="6" t="s">
        <v>178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251</v>
      </c>
      <c r="E12" s="6" t="s">
        <v>252</v>
      </c>
      <c r="G12" t="s">
        <v>176</v>
      </c>
      <c r="H12" t="s">
        <v>108</v>
      </c>
      <c r="I12" t="s">
        <v>180</v>
      </c>
      <c r="L12" s="6" t="s">
        <v>202</v>
      </c>
      <c r="M12" s="6" t="s">
        <v>203</v>
      </c>
      <c r="N12" s="6" t="s">
        <v>202</v>
      </c>
      <c r="O12" t="s">
        <v>131</v>
      </c>
      <c r="P12" t="s">
        <v>129</v>
      </c>
      <c r="Q12" t="s">
        <v>137</v>
      </c>
      <c r="S12" s="6"/>
      <c r="AB12" s="47" t="s">
        <v>190</v>
      </c>
      <c r="AC12" t="s">
        <v>166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176</v>
      </c>
      <c r="H13" t="s">
        <v>107</v>
      </c>
      <c r="I13" t="s">
        <v>187</v>
      </c>
      <c r="L13" t="s">
        <v>140</v>
      </c>
      <c r="M13" s="6" t="s">
        <v>203</v>
      </c>
      <c r="N13" t="s">
        <v>140</v>
      </c>
      <c r="O13" t="s">
        <v>131</v>
      </c>
      <c r="P13" t="s">
        <v>129</v>
      </c>
      <c r="Q13" t="s">
        <v>137</v>
      </c>
      <c r="AB13" s="47" t="s">
        <v>190</v>
      </c>
      <c r="AC13" s="6" t="s">
        <v>168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187</v>
      </c>
      <c r="L14" t="s">
        <v>141</v>
      </c>
      <c r="M14" s="6" t="s">
        <v>203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190</v>
      </c>
      <c r="H15" t="s">
        <v>108</v>
      </c>
      <c r="I15" s="6" t="s">
        <v>190</v>
      </c>
      <c r="J15" s="6"/>
      <c r="L15" s="6" t="s">
        <v>223</v>
      </c>
      <c r="M15" s="6" t="s">
        <v>203</v>
      </c>
      <c r="N15" s="6" t="s">
        <v>223</v>
      </c>
      <c r="O15" t="s">
        <v>131</v>
      </c>
      <c r="P15" t="s">
        <v>129</v>
      </c>
      <c r="Q15" t="s">
        <v>137</v>
      </c>
    </row>
    <row r="16" spans="1:52">
      <c r="G16" s="6" t="s">
        <v>239</v>
      </c>
      <c r="H16" t="s">
        <v>107</v>
      </c>
      <c r="I16" t="s">
        <v>78</v>
      </c>
      <c r="J16" s="6"/>
      <c r="L16" s="6" t="s">
        <v>224</v>
      </c>
      <c r="M16" s="6" t="s">
        <v>203</v>
      </c>
      <c r="N16" s="6" t="s">
        <v>224</v>
      </c>
      <c r="O16" t="s">
        <v>131</v>
      </c>
      <c r="P16" t="s">
        <v>129</v>
      </c>
      <c r="Q16" t="s">
        <v>137</v>
      </c>
    </row>
    <row r="17" spans="7:17">
      <c r="G17" s="6" t="s">
        <v>239</v>
      </c>
      <c r="H17" t="s">
        <v>107</v>
      </c>
      <c r="I17" s="6" t="s">
        <v>122</v>
      </c>
      <c r="J17" s="6"/>
      <c r="L17" s="6" t="s">
        <v>228</v>
      </c>
      <c r="M17" s="6" t="s">
        <v>203</v>
      </c>
      <c r="N17" s="6" t="s">
        <v>228</v>
      </c>
      <c r="O17" t="s">
        <v>131</v>
      </c>
      <c r="P17" t="s">
        <v>129</v>
      </c>
      <c r="Q17" t="s">
        <v>137</v>
      </c>
    </row>
    <row r="18" spans="7:17">
      <c r="G18" s="6" t="s">
        <v>252</v>
      </c>
      <c r="H18" t="s">
        <v>107</v>
      </c>
      <c r="I18" s="6" t="s">
        <v>252</v>
      </c>
      <c r="J18" s="6"/>
      <c r="L18" s="6" t="s">
        <v>230</v>
      </c>
      <c r="M18" s="6" t="s">
        <v>203</v>
      </c>
      <c r="N18" s="6" t="s">
        <v>230</v>
      </c>
      <c r="O18" t="s">
        <v>131</v>
      </c>
      <c r="P18" t="s">
        <v>129</v>
      </c>
      <c r="Q18" t="s">
        <v>137</v>
      </c>
    </row>
    <row r="19" spans="7:17">
      <c r="G19" s="6" t="s">
        <v>255</v>
      </c>
      <c r="H19" s="6" t="s">
        <v>107</v>
      </c>
      <c r="I19" s="6" t="s">
        <v>252</v>
      </c>
      <c r="J19" s="6"/>
      <c r="L19" s="6" t="s">
        <v>252</v>
      </c>
      <c r="M19" s="6" t="s">
        <v>252</v>
      </c>
      <c r="N19" s="6" t="s">
        <v>253</v>
      </c>
      <c r="O19" t="s">
        <v>131</v>
      </c>
      <c r="Q19" t="s">
        <v>121</v>
      </c>
    </row>
    <row r="20" spans="7:17">
      <c r="G20" s="6" t="s">
        <v>255</v>
      </c>
      <c r="H20" s="6" t="s">
        <v>107</v>
      </c>
      <c r="I20" t="s">
        <v>78</v>
      </c>
      <c r="J20" s="6"/>
      <c r="L20" s="6" t="s">
        <v>250</v>
      </c>
      <c r="M20" s="6" t="s">
        <v>203</v>
      </c>
      <c r="N20" s="6" t="s">
        <v>250</v>
      </c>
      <c r="O20" t="s">
        <v>131</v>
      </c>
      <c r="P20" t="s">
        <v>129</v>
      </c>
      <c r="Q20" t="s">
        <v>137</v>
      </c>
    </row>
    <row r="21" spans="7:17">
      <c r="G21" s="6" t="s">
        <v>255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68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42947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37"/>
      <c r="B7" s="137"/>
      <c r="C7" s="137"/>
      <c r="D7" s="137"/>
      <c r="E7" s="137"/>
    </row>
    <row r="8" spans="1:6" ht="51" customHeight="1">
      <c r="A8" s="45"/>
      <c r="B8" s="138" t="s">
        <v>256</v>
      </c>
      <c r="C8" s="138"/>
      <c r="D8" s="138"/>
      <c r="E8" s="45"/>
    </row>
    <row r="9" spans="1:6" s="44" customFormat="1" ht="14.25" customHeight="1">
      <c r="A9" s="137"/>
      <c r="B9" s="137"/>
      <c r="C9" s="137"/>
      <c r="D9" s="137"/>
      <c r="E9" s="137"/>
    </row>
    <row r="10" spans="1:6" hidden="1">
      <c r="A10" s="134"/>
      <c r="B10" s="135"/>
      <c r="C10" s="135"/>
      <c r="D10" s="135"/>
      <c r="E10" s="136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7"/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240</v>
      </c>
      <c r="D1" s="65" t="s">
        <v>241</v>
      </c>
    </row>
    <row r="2" spans="1:4">
      <c r="B2" s="97" t="s">
        <v>242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195</v>
      </c>
      <c r="B4" s="99" t="s">
        <v>243</v>
      </c>
      <c r="C4" s="100" t="s">
        <v>244</v>
      </c>
      <c r="D4" s="101" t="s">
        <v>244</v>
      </c>
    </row>
    <row r="5" spans="1:4" s="103" customFormat="1" ht="12" thickBot="1">
      <c r="A5" s="102" t="s">
        <v>196</v>
      </c>
      <c r="B5" s="106" t="s">
        <v>249</v>
      </c>
      <c r="C5" s="107" t="s">
        <v>245</v>
      </c>
      <c r="D5" s="108" t="s">
        <v>246</v>
      </c>
    </row>
    <row r="6" spans="1:4">
      <c r="A6" s="52"/>
      <c r="B6" s="104" t="s">
        <v>250</v>
      </c>
      <c r="C6" s="105"/>
      <c r="D6" s="105"/>
    </row>
    <row r="8" spans="1:4">
      <c r="B8" t="s">
        <v>247</v>
      </c>
    </row>
    <row r="9" spans="1:4">
      <c r="B9" t="s">
        <v>248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39" t="s">
        <v>193</v>
      </c>
      <c r="B1" s="139"/>
      <c r="C1" s="139"/>
      <c r="D1" s="139"/>
      <c r="E1" s="139"/>
    </row>
    <row r="2" spans="1:6" ht="19.5" customHeight="1">
      <c r="A2" s="140" t="s">
        <v>194</v>
      </c>
      <c r="B2" s="141"/>
      <c r="C2" s="141"/>
      <c r="D2" s="141"/>
      <c r="E2" s="142"/>
    </row>
    <row r="3" spans="1:6" ht="30">
      <c r="A3" s="78" t="s">
        <v>195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196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204</v>
      </c>
    </row>
    <row r="7" spans="1:6">
      <c r="D7" t="s">
        <v>197</v>
      </c>
    </row>
    <row r="8" spans="1:6" ht="20.25" customHeight="1">
      <c r="D8" s="132" t="s">
        <v>198</v>
      </c>
      <c r="E8" s="132"/>
    </row>
    <row r="9" spans="1:6">
      <c r="C9" s="6"/>
      <c r="D9" s="6" t="s">
        <v>201</v>
      </c>
      <c r="E9" s="56"/>
      <c r="F9" s="6"/>
    </row>
    <row r="10" spans="1:6">
      <c r="C10" s="56"/>
      <c r="D10" s="57" t="s">
        <v>199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32" t="s">
        <v>200</v>
      </c>
      <c r="E11" s="132"/>
    </row>
    <row r="12" spans="1:6">
      <c r="D12" s="6" t="s">
        <v>202</v>
      </c>
      <c r="E12" s="54"/>
    </row>
    <row r="13" spans="1:6">
      <c r="D13" s="55" t="s">
        <v>199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43" t="s">
        <v>205</v>
      </c>
      <c r="B1" s="143"/>
      <c r="C1" s="143"/>
      <c r="D1" s="143"/>
      <c r="E1" s="143"/>
      <c r="F1" s="143"/>
      <c r="G1" s="143"/>
      <c r="H1" s="143"/>
    </row>
    <row r="2" spans="1:8" ht="30.75" thickBot="1">
      <c r="A2" s="75" t="s">
        <v>195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196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206</v>
      </c>
    </row>
    <row r="7" spans="1:8">
      <c r="A7" s="61" t="s">
        <v>207</v>
      </c>
      <c r="C7" s="54"/>
      <c r="D7" s="54"/>
      <c r="E7" s="144" t="s">
        <v>208</v>
      </c>
      <c r="F7" s="144"/>
      <c r="G7" s="144"/>
      <c r="H7" s="144"/>
    </row>
    <row r="8" spans="1:8">
      <c r="A8" s="85" t="s">
        <v>209</v>
      </c>
      <c r="B8" s="85" t="s">
        <v>210</v>
      </c>
      <c r="C8" s="85" t="s">
        <v>235</v>
      </c>
      <c r="D8" s="85" t="s">
        <v>211</v>
      </c>
      <c r="E8" s="85" t="s">
        <v>212</v>
      </c>
      <c r="F8" s="85" t="s">
        <v>213</v>
      </c>
      <c r="G8" s="85" t="s">
        <v>225</v>
      </c>
      <c r="H8" s="85" t="s">
        <v>226</v>
      </c>
    </row>
    <row r="9" spans="1:8">
      <c r="A9" s="6" t="s">
        <v>223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45" t="s">
        <v>214</v>
      </c>
      <c r="F11" s="145"/>
      <c r="G11" s="145"/>
      <c r="H11" s="145"/>
    </row>
    <row r="12" spans="1:8">
      <c r="C12" s="54"/>
      <c r="D12" s="86"/>
      <c r="E12" s="146" t="s">
        <v>215</v>
      </c>
      <c r="F12" s="147"/>
      <c r="G12" s="148"/>
      <c r="H12" s="149" t="s">
        <v>227</v>
      </c>
    </row>
    <row r="13" spans="1:8" ht="15.75" thickBot="1">
      <c r="C13" s="90" t="s">
        <v>235</v>
      </c>
      <c r="D13" s="86" t="s">
        <v>216</v>
      </c>
      <c r="E13" s="87" t="s">
        <v>217</v>
      </c>
      <c r="F13" s="88" t="s">
        <v>218</v>
      </c>
      <c r="G13" s="89" t="s">
        <v>219</v>
      </c>
      <c r="H13" s="149"/>
    </row>
    <row r="14" spans="1:8">
      <c r="A14" s="6" t="s">
        <v>224</v>
      </c>
      <c r="C14" s="54"/>
    </row>
    <row r="15" spans="1:8">
      <c r="C15" s="62">
        <f>SUM(Таблица30[Столбец1])+SUM(Таблица31[Столбец3])</f>
        <v>0</v>
      </c>
      <c r="D15" t="s">
        <v>220</v>
      </c>
      <c r="E15" s="54"/>
    </row>
    <row r="16" spans="1:8">
      <c r="A16" s="61" t="s">
        <v>221</v>
      </c>
      <c r="E16" s="54"/>
    </row>
    <row r="17" spans="1:8" ht="37.5" customHeight="1">
      <c r="A17" s="90" t="s">
        <v>209</v>
      </c>
      <c r="B17" s="90" t="s">
        <v>210</v>
      </c>
      <c r="C17" s="90" t="s">
        <v>235</v>
      </c>
      <c r="D17" s="90" t="s">
        <v>236</v>
      </c>
      <c r="E17" s="91" t="s">
        <v>237</v>
      </c>
    </row>
    <row r="18" spans="1:8">
      <c r="A18" t="s">
        <v>228</v>
      </c>
      <c r="F18" s="63"/>
    </row>
    <row r="19" spans="1:8" ht="15.75" thickBot="1">
      <c r="C19" s="64">
        <f>SUM(C18:C18)</f>
        <v>0</v>
      </c>
      <c r="D19" t="s">
        <v>222</v>
      </c>
      <c r="F19" s="63"/>
    </row>
    <row r="20" spans="1:8" ht="15.75" thickTop="1">
      <c r="C20" s="65">
        <f>tax_13+tax_30</f>
        <v>0</v>
      </c>
      <c r="D20" t="s">
        <v>234</v>
      </c>
    </row>
    <row r="21" spans="1:8">
      <c r="C21" s="66"/>
      <c r="H21" s="67"/>
    </row>
    <row r="22" spans="1:8">
      <c r="A22" s="150" t="s">
        <v>233</v>
      </c>
      <c r="B22" s="150"/>
      <c r="C22" s="150"/>
      <c r="D22" s="150"/>
      <c r="E22" s="150"/>
      <c r="F22" s="150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231</v>
      </c>
      <c r="G23" s="67"/>
    </row>
    <row r="24" spans="1:8">
      <c r="A24" t="s">
        <v>230</v>
      </c>
      <c r="D24" s="54"/>
      <c r="E24" s="54"/>
      <c r="F24" s="54"/>
    </row>
    <row r="25" spans="1:8">
      <c r="A25" t="s">
        <v>232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182</v>
      </c>
      <c r="G1" s="52" t="s">
        <v>1</v>
      </c>
      <c r="H1" s="52" t="s">
        <v>183</v>
      </c>
      <c r="I1" s="53" t="s">
        <v>184</v>
      </c>
    </row>
    <row r="2" spans="1:9">
      <c r="A2" t="s">
        <v>187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15</vt:i4>
      </vt:variant>
    </vt:vector>
  </HeadingPairs>
  <TitlesOfParts>
    <vt:vector size="27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2017-08-17T06:55:29Z</dcterms:modified>
</cp:coreProperties>
</file>