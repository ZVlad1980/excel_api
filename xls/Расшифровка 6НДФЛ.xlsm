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ndfl6_part2" sheetId="249" state="hidden" r:id="rId7"/>
    <sheet name="ndfl6_part1_general" sheetId="71" state="hidden" r:id="rId8"/>
    <sheet name="ndfl6_part1_rates" sheetId="69" state="hidden" r:id="rId9"/>
    <sheet name="funds_employees" sheetId="73" state="hidden" r:id="rId10"/>
    <sheet name="funds_employees_report" sheetId="123" state="hidden" r:id="rId11"/>
    <sheet name="ndfl6_part1" sheetId="248" state="hidden" r:id="rId12"/>
    <sheet name="tax_diff_report" sheetId="271" state="hidden" r:id="rId13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</definedNames>
  <calcPr calcId="124519"/>
</workbook>
</file>

<file path=xl/calcChain.xml><?xml version="1.0" encoding="utf-8"?>
<calcChain xmlns="http://schemas.openxmlformats.org/spreadsheetml/2006/main">
  <c r="I6" i="271"/>
  <c r="I3" s="1"/>
  <c r="D3" i="249" l="1"/>
  <c r="C3"/>
  <c r="F25" i="69"/>
  <c r="E25"/>
  <c r="D25"/>
  <c r="H5"/>
  <c r="G5"/>
  <c r="F5"/>
  <c r="E5"/>
  <c r="D5"/>
  <c r="C5"/>
  <c r="C15"/>
  <c r="C19"/>
  <c r="E13" i="71"/>
  <c r="E10"/>
  <c r="B6" i="103"/>
  <c r="C20" i="69" l="1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<sst xmlns="http://schemas.openxmlformats.org/spreadsheetml/2006/main" count="650" uniqueCount="275">
  <si>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</si>
  <si>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</si>
  <si>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</si>
  <si>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</si>
  <si>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</si>
  <si>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</si>
  <si>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</si>
  <si>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</si>
  <si>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</si>
  <si>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</si>
  <si>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</si>
  <si>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</si>
  <si>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</si>
  <si>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</si>
  <si>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</si>
  <si>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</si>
  <si>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</si>
  <si>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</si>
  <si>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</si>
  <si>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</si>
  <si>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</si>
  <si>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</si>
  <si>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</si>
  <si>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</si>
  <si>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</si>
  <si>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</si>
  <si>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</si>
  <si>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</si>
  <si>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</si>
  <si>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</si>
  <si>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</si>
  <si>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</si>
  <si>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</si>
  <si>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</si>
  <si>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</si>
  <si>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</si>
  <si>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</si>
  <si>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</si>
  <si>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</si>
  <si>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</si>
  <si>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</si>
  <si>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</si>
  <si>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</si>
  <si>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</si>
  <si>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</si>
  <si>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</si>
  <si>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</si>
  <si>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</si>
  <si>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</si>
  <si>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</si>
  <si>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</si>
  <si>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</si>
  <si>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</si>
  <si>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</si>
  <si>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</si>
  <si>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</si>
  <si>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</si>
  <si>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</si>
  <si>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</si>
  <si>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</si>
  <si>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</si>
  <si>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</si>
  <si>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</si>
  <si>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</si>
  <si>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</si>
  <si>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</si>
  <si>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</si>
  <si>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</si>
  <si>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</si>
  <si>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</si>
  <si>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</si>
  <si>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</si>
  <si>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</si>
  <si>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</si>
  <si>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</si>
  <si>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</si>
  <si>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</si>
  <si>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</si>
  <si>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</si>
  <si>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</si>
  <si>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</si>
  <si>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</si>
  <si>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</si>
  <si>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</si>
  <si>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</si>
  <si>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</si>
  <si>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</si>
  <si>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</si>
  <si>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</si>
  <si>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</si>
  <si>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</si>
  <si>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</si>
  <si>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</si>
  <si>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</si>
  <si>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</si>
  <si>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</si>
  <si>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</si>
  <si>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</si>
  <si>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</si>
  <si>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</si>
  <si>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</si>
  <si>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</si>
  <si>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</si>
  <si>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</si>
  <si>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</si>
  <si>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</si>
  <si>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</si>
  <si>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</si>
  <si>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</si>
  <si>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</si>
  <si>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</si>
  <si>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</si>
  <si>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</si>
  <si>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</si>
  <si>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</si>
  <si>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</si>
  <si>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</si>
  <si>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</si>
  <si>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</si>
  <si>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</si>
  <si>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</si>
  <si>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</si>
  <si>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</si>
  <si>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</si>
  <si>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</si>
  <si>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</si>
  <si>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</si>
  <si>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</si>
  <si>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</si>
  <si>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</si>
  <si>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</si>
  <si>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</si>
  <si>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</si>
  <si>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</si>
  <si>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</si>
  <si>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</si>
  <si>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</si>
  <si>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</si>
  <si>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</si>
  <si>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</si>
  <si>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</si>
  <si>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</si>
  <si>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</si>
  <si>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</si>
  <si>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</si>
  <si>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</si>
  <si>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</si>
  <si>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</si>
  <si>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</si>
  <si>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</si>
  <si>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</si>
  <si>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</si>
  <si>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</si>
  <si>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</si>
  <si>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</si>
  <si>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</si>
  <si>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</si>
  <si>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</si>
  <si>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</si>
  <si>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</si>
  <si>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</si>
  <si>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</si>
  <si>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</si>
  <si>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</si>
  <si>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</si>
  <si>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</si>
  <si>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</si>
  <si>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</si>
  <si>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</si>
  <si>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</si>
  <si>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</si>
  <si>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</si>
  <si>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</si>
  <si>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</si>
  <si>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</si>
  <si>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</si>
  <si>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</si>
  <si>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</si>
  <si>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</si>
  <si>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</si>
  <si>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</si>
  <si>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</si>
  <si>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</si>
  <si>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</si>
  <si>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</si>
  <si>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</si>
  <si>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</si>
  <si>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</si>
  <si>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</si>
  <si>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</si>
  <si>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</si>
  <si>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</si>
  <si>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</si>
  <si>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</si>
  <si>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</si>
  <si>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</si>
  <si>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</si>
  <si>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</si>
  <si>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</si>
  <si>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</si>
  <si>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</si>
  <si>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</si>
  <si>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</si>
  <si>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</si>
  <si>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</si>
  <si>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</si>
  <si>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</si>
  <si>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</si>
  <si>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</si>
  <si>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</si>
  <si>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</si>
  <si>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</si>
  <si>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</si>
  <si>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</si>
  <si>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</si>
  <si>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</si>
  <si>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</si>
  <si>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</si>
  <si>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</si>
  <si>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</si>
  <si>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</si>
  <si>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</si>
  <si>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</si>
  <si>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</si>
  <si>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</si>
  <si>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</si>
  <si>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</si>
  <si>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</si>
  <si>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</si>
  <si>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</si>
  <si>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</si>
  <si>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</si>
  <si>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</si>
  <si>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</si>
  <si>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</si>
  <si>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</si>
  <si>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</si>
  <si>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</si>
  <si>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</si>
  <si>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</si>
  <si>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</si>
  <si>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</si>
  <si>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</si>
  <si>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</si>
  <si>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</si>
  <si>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</si>
  <si>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</si>
  <si>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</si>
  <si>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</si>
  <si>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</si>
  <si>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</si>
  <si>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</si>
  <si>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</si>
  <si>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</si>
  <si>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</si>
  <si>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</si>
  <si>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</si>
  <si>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</si>
  <si>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</si>
  <si>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</si>
  <si>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</si>
  <si>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</si>
  <si>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</si>
  <si>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</si>
  <si>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</si>
  <si>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</si>
  <si>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</si>
  <si>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</si>
  <si>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</si>
  <si>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</si>
  <si>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</si>
  <si>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</si>
  <si>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</si>
  <si>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Ок</t>
  </si>
  <si>
    <t>Подготовка данных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</si>
</sst>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2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7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182"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J5" totalsRowShown="0" headerRowDxfId="181" dataDxfId="179" headerRowBorderDxfId="180" tableBorderDxfId="178" totalsRowBorderDxfId="177">
  <autoFilter ref="A4:J5"/>
  <tableColumns count="10">
    <tableColumn id="1" name="1" dataDxfId="176"/>
    <tableColumn id="2" name="2" dataDxfId="175"/>
    <tableColumn id="5" name="3" dataDxfId="174"/>
    <tableColumn id="6" name="4" dataDxfId="173"/>
    <tableColumn id="7" name="5" dataDxfId="172"/>
    <tableColumn id="10" name="6" dataDxfId="171"/>
    <tableColumn id="11" name="7" dataDxfId="170"/>
    <tableColumn id="12" name="8" dataDxfId="169"/>
    <tableColumn id="13" name="9" dataDxfId="168"/>
    <tableColumn id="14" name="10" dataDxfId="1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166" dataDxfId="164" headerRowBorderDxfId="165" tableBorderDxfId="163" totalsRowBorderDxfId="162">
  <autoFilter ref="A5:P6"/>
  <tableColumns count="16">
    <tableColumn id="1" name="1" dataDxfId="161"/>
    <tableColumn id="2" name="2" dataDxfId="160"/>
    <tableColumn id="3" name="3" dataDxfId="159"/>
    <tableColumn id="4" name="4" dataDxfId="158"/>
    <tableColumn id="5" name="5" dataDxfId="157"/>
    <tableColumn id="6" name="6" dataDxfId="156"/>
    <tableColumn id="7" name="7" dataDxfId="155"/>
    <tableColumn id="8" name="8" dataDxfId="154"/>
    <tableColumn id="9" name="9" dataDxfId="153"/>
    <tableColumn id="10" name="10" dataDxfId="152"/>
    <tableColumn id="11" name="11" dataDxfId="151"/>
    <tableColumn id="12" name="12" dataDxfId="150"/>
    <tableColumn id="13" name="13" dataDxfId="149"/>
    <tableColumn id="14" name="14" dataDxfId="148"/>
    <tableColumn id="15" name="15" dataDxfId="147"/>
    <tableColumn id="16" name="16" dataDxfId="1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145" dataDxfId="143" headerRowBorderDxfId="144" tableBorderDxfId="142" totalsRowBorderDxfId="141">
  <autoFilter ref="A3:I4">
    <filterColumn colId="1"/>
  </autoFilter>
  <tableColumns count="9">
    <tableColumn id="1" name="1" dataDxfId="140"/>
    <tableColumn id="3" name="2" dataDxfId="139"/>
    <tableColumn id="2" name="3" dataDxfId="138"/>
    <tableColumn id="5" name="4" dataDxfId="137"/>
    <tableColumn id="6" name="5" dataDxfId="136"/>
    <tableColumn id="7" name="6" dataDxfId="135"/>
    <tableColumn id="10" name="7" dataDxfId="134"/>
    <tableColumn id="11" name="8" dataDxfId="133"/>
    <tableColumn id="12" name="9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131" dataDxfId="129" headerRowBorderDxfId="130" tableBorderDxfId="128" totalsRowBorderDxfId="127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26"/>
    <tableColumn id="20" name="2" dataDxfId="125"/>
    <tableColumn id="19" name="3" dataDxfId="124"/>
    <tableColumn id="18" name="4" dataDxfId="123"/>
    <tableColumn id="17" name="5" dataDxfId="122"/>
    <tableColumn id="23" name="6" dataDxfId="121"/>
    <tableColumn id="22" name="7" dataDxfId="120"/>
    <tableColumn id="21" name="8" dataDxfId="119"/>
    <tableColumn id="28" name="9" dataDxfId="118"/>
    <tableColumn id="29" name="10" dataDxfId="117"/>
    <tableColumn id="27" name="11" dataDxfId="116"/>
    <tableColumn id="26" name="12" dataDxfId="115"/>
    <tableColumn id="25" name="13" dataDxfId="114"/>
    <tableColumn id="5" name="14" dataDxfId="113"/>
    <tableColumn id="4" name="15" dataDxfId="112"/>
    <tableColumn id="3" name="16" dataDxfId="111"/>
    <tableColumn id="2" name="17" dataDxfId="110"/>
    <tableColumn id="24" name="18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5" totalsRowShown="0">
  <autoFilter ref="D2:E1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2" totalsRowShown="0">
  <autoFilter ref="G2:J2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2" totalsRowShown="0">
  <autoFilter ref="L2:Q22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08" tableBorderDxfId="107" totalsRowBorderDxfId="106">
  <autoFilter ref="A2:B8"/>
  <tableColumns count="2">
    <tableColumn id="1" name="Key" totalsRowLabel="Итог" totalsRowDxfId="105"/>
    <tableColumn id="2" name="Value" totalsRowFunction="count" totalsRowDxfId="10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03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102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Tokens" displayName="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01" dataDxfId="100" tableBorderDxfId="99">
  <tableColumns count="1">
    <tableColumn id="1" name="Столбец1" dataDxfId="98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24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26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20" t="s">
        <v>256</v>
      </c>
      <c r="B1" s="121"/>
      <c r="C1" s="121"/>
      <c r="D1" s="121"/>
      <c r="E1" s="121"/>
      <c r="F1" s="121"/>
      <c r="G1" s="121"/>
      <c r="H1" s="121"/>
      <c r="I1" s="121"/>
      <c r="J1" s="121"/>
    </row>
    <row r="2" spans="1:10" ht="31.5" customHeight="1">
      <c r="A2" s="118" t="s">
        <v>4</v>
      </c>
      <c r="B2" s="118"/>
      <c r="C2" s="118"/>
      <c r="D2" s="118"/>
      <c r="E2" s="118"/>
      <c r="F2" s="119" t="s">
        <v>23</v>
      </c>
      <c r="G2" s="119"/>
      <c r="H2" s="119"/>
      <c r="I2" s="119"/>
      <c r="J2" s="119"/>
    </row>
    <row r="3" spans="1:10" ht="78" customHeight="1">
      <c r="A3" s="19" t="s">
        <v>0</v>
      </c>
      <c r="B3" s="19" t="s">
        <v>30</v>
      </c>
      <c r="C3" s="20" t="s">
        <v>1</v>
      </c>
      <c r="D3" s="20" t="s">
        <v>2</v>
      </c>
      <c r="E3" s="19" t="s">
        <v>22</v>
      </c>
      <c r="F3" s="21" t="s">
        <v>29</v>
      </c>
      <c r="G3" s="21" t="s">
        <v>33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28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22" t="s">
        <v>256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</row>
    <row r="2" spans="1:16" ht="31.5" customHeight="1">
      <c r="A2" s="127" t="s">
        <v>4</v>
      </c>
      <c r="B2" s="128"/>
      <c r="C2" s="128"/>
      <c r="D2" s="128"/>
      <c r="E2" s="128"/>
      <c r="F2" s="128"/>
      <c r="G2" s="128"/>
      <c r="H2" s="128"/>
      <c r="I2" s="129"/>
      <c r="J2" s="130" t="s">
        <v>23</v>
      </c>
      <c r="K2" s="131"/>
      <c r="L2" s="131"/>
      <c r="M2" s="131"/>
      <c r="N2" s="131"/>
      <c r="O2" s="131"/>
      <c r="P2" s="132"/>
    </row>
    <row r="3" spans="1:16" ht="24" customHeight="1">
      <c r="A3" s="133" t="s">
        <v>0</v>
      </c>
      <c r="B3" s="135" t="s">
        <v>30</v>
      </c>
      <c r="C3" s="135" t="s">
        <v>3</v>
      </c>
      <c r="D3" s="135" t="s">
        <v>31</v>
      </c>
      <c r="E3" s="137" t="s">
        <v>5</v>
      </c>
      <c r="F3" s="138"/>
      <c r="G3" s="139"/>
      <c r="H3" s="137" t="s">
        <v>6</v>
      </c>
      <c r="I3" s="140"/>
      <c r="J3" s="141" t="s">
        <v>29</v>
      </c>
      <c r="K3" s="141" t="s">
        <v>33</v>
      </c>
      <c r="L3" s="123" t="s">
        <v>5</v>
      </c>
      <c r="M3" s="124"/>
      <c r="N3" s="125"/>
      <c r="O3" s="123" t="s">
        <v>6</v>
      </c>
      <c r="P3" s="126"/>
    </row>
    <row r="4" spans="1:16" ht="38.25" customHeight="1">
      <c r="A4" s="134"/>
      <c r="B4" s="136"/>
      <c r="C4" s="136"/>
      <c r="D4" s="13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42"/>
      <c r="K4" s="14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34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22" t="s">
        <v>257</v>
      </c>
      <c r="B1" s="122"/>
      <c r="C1" s="122"/>
      <c r="D1" s="122"/>
      <c r="E1" s="122"/>
      <c r="F1" s="122"/>
      <c r="G1" s="122"/>
      <c r="H1" s="122"/>
      <c r="I1" s="122"/>
      <c r="J1" s="111"/>
      <c r="K1" s="111"/>
      <c r="L1" s="111"/>
      <c r="M1" s="111"/>
      <c r="N1" s="111"/>
      <c r="O1" s="111"/>
      <c r="P1" s="111"/>
    </row>
    <row r="2" spans="1:16" ht="31.5">
      <c r="A2" s="19" t="s">
        <v>36</v>
      </c>
      <c r="B2" s="19" t="s">
        <v>46</v>
      </c>
      <c r="C2" s="19" t="s">
        <v>37</v>
      </c>
      <c r="D2" s="25" t="s">
        <v>38</v>
      </c>
      <c r="E2" s="25" t="s">
        <v>39</v>
      </c>
      <c r="F2" s="19" t="s">
        <v>40</v>
      </c>
      <c r="G2" s="21" t="s">
        <v>41</v>
      </c>
      <c r="H2" s="21" t="s">
        <v>42</v>
      </c>
      <c r="I2" s="21" t="s">
        <v>43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44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43" t="s">
        <v>258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31.5" customHeight="1">
      <c r="A2" s="118" t="s">
        <v>60</v>
      </c>
      <c r="B2" s="118"/>
      <c r="C2" s="118"/>
      <c r="D2" s="118"/>
      <c r="E2" s="118" t="s">
        <v>59</v>
      </c>
      <c r="F2" s="118"/>
      <c r="G2" s="118"/>
      <c r="H2" s="118"/>
      <c r="I2" s="118"/>
      <c r="J2" s="118"/>
      <c r="K2" s="144" t="s">
        <v>53</v>
      </c>
      <c r="L2" s="144" t="s">
        <v>54</v>
      </c>
      <c r="M2" s="144" t="s">
        <v>39</v>
      </c>
      <c r="N2" s="144" t="s">
        <v>55</v>
      </c>
      <c r="O2" s="118" t="s">
        <v>61</v>
      </c>
      <c r="P2" s="118"/>
      <c r="Q2" s="118"/>
      <c r="R2" s="118"/>
    </row>
    <row r="3" spans="1:18" ht="31.5">
      <c r="A3" s="19" t="s">
        <v>52</v>
      </c>
      <c r="B3" s="19" t="s">
        <v>58</v>
      </c>
      <c r="C3" s="19" t="s">
        <v>48</v>
      </c>
      <c r="D3" s="19" t="s">
        <v>62</v>
      </c>
      <c r="E3" s="19" t="s">
        <v>51</v>
      </c>
      <c r="F3" s="19" t="s">
        <v>52</v>
      </c>
      <c r="G3" s="19" t="s">
        <v>48</v>
      </c>
      <c r="H3" s="19" t="s">
        <v>62</v>
      </c>
      <c r="I3" s="19" t="s">
        <v>56</v>
      </c>
      <c r="J3" s="19" t="s">
        <v>57</v>
      </c>
      <c r="K3" s="144"/>
      <c r="L3" s="144"/>
      <c r="M3" s="144"/>
      <c r="N3" s="144"/>
      <c r="O3" s="19" t="s">
        <v>63</v>
      </c>
      <c r="P3" s="19" t="s">
        <v>64</v>
      </c>
      <c r="Q3" s="19" t="s">
        <v>65</v>
      </c>
      <c r="R3" s="19" t="s">
        <v>66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49</v>
      </c>
      <c r="R4" s="22" t="s">
        <v>50</v>
      </c>
    </row>
    <row r="5" spans="1:18">
      <c r="A5" s="30" t="s">
        <v>67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22"/>
  <sheetViews>
    <sheetView topLeftCell="B1" workbookViewId="0">
      <selection activeCell="D13" sqref="D1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45" t="s">
        <v>118</v>
      </c>
      <c r="B1" s="145"/>
      <c r="D1" s="146" t="s">
        <v>119</v>
      </c>
      <c r="E1" s="146"/>
      <c r="G1" s="146" t="s">
        <v>114</v>
      </c>
      <c r="H1" s="146"/>
      <c r="I1" s="146"/>
      <c r="J1" s="146"/>
      <c r="L1" s="146" t="s">
        <v>109</v>
      </c>
      <c r="M1" s="146"/>
      <c r="N1" s="146"/>
      <c r="O1" s="146"/>
      <c r="P1" s="146"/>
      <c r="Q1" s="146"/>
      <c r="S1" s="146" t="s">
        <v>115</v>
      </c>
      <c r="T1" s="146"/>
      <c r="V1" s="146" t="s">
        <v>106</v>
      </c>
      <c r="W1" s="146"/>
      <c r="X1" s="146"/>
      <c r="Y1" s="146"/>
      <c r="Z1" s="146"/>
      <c r="AB1" s="146" t="s">
        <v>146</v>
      </c>
      <c r="AC1" s="146"/>
      <c r="AD1" s="146"/>
      <c r="AE1" s="146"/>
      <c r="AF1" s="146"/>
      <c r="AG1" s="146"/>
      <c r="AH1" s="146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171</v>
      </c>
      <c r="BB1" s="147" t="s">
        <v>253</v>
      </c>
      <c r="BC1" s="147"/>
    </row>
    <row r="2" spans="1:57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171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170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  <c r="BB2" t="s">
        <v>139</v>
      </c>
      <c r="BC2" t="s">
        <v>117</v>
      </c>
    </row>
    <row r="3" spans="1:57">
      <c r="A3" s="6" t="s">
        <v>186</v>
      </c>
      <c r="B3" s="6" t="s">
        <v>187</v>
      </c>
      <c r="D3" t="s">
        <v>274</v>
      </c>
      <c r="E3" s="6" t="s">
        <v>188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177</v>
      </c>
      <c r="W3" t="s">
        <v>127</v>
      </c>
      <c r="X3" t="s">
        <v>144</v>
      </c>
      <c r="Z3" t="s">
        <v>179</v>
      </c>
      <c r="AB3" s="6" t="s">
        <v>129</v>
      </c>
      <c r="AC3" t="s">
        <v>165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172</v>
      </c>
      <c r="BB3" t="s">
        <v>254</v>
      </c>
      <c r="BC3" t="s">
        <v>161</v>
      </c>
    </row>
    <row r="4" spans="1:57">
      <c r="A4" s="7" t="s">
        <v>104</v>
      </c>
      <c r="B4" s="7" t="s">
        <v>25</v>
      </c>
      <c r="D4" t="s">
        <v>26</v>
      </c>
      <c r="E4" t="s">
        <v>28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196</v>
      </c>
      <c r="V4" s="6" t="s">
        <v>129</v>
      </c>
      <c r="W4" t="s">
        <v>164</v>
      </c>
      <c r="X4" t="s">
        <v>144</v>
      </c>
      <c r="Y4" t="s">
        <v>149</v>
      </c>
      <c r="Z4" s="6" t="s">
        <v>250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164</v>
      </c>
      <c r="AV4" t="s">
        <v>150</v>
      </c>
      <c r="AX4" t="s">
        <v>143</v>
      </c>
      <c r="BB4" t="s">
        <v>255</v>
      </c>
      <c r="BC4" t="s">
        <v>162</v>
      </c>
    </row>
    <row r="5" spans="1:57">
      <c r="A5" s="7" t="s">
        <v>105</v>
      </c>
      <c r="B5" s="7" t="s">
        <v>27</v>
      </c>
      <c r="D5" t="s">
        <v>35</v>
      </c>
      <c r="E5" t="s">
        <v>34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197</v>
      </c>
      <c r="V5" s="6" t="s">
        <v>168</v>
      </c>
      <c r="W5" t="s">
        <v>127</v>
      </c>
      <c r="X5" s="6" t="s">
        <v>143</v>
      </c>
      <c r="Y5" s="6"/>
      <c r="Z5" s="6" t="s">
        <v>169</v>
      </c>
      <c r="AB5" s="46" t="s">
        <v>129</v>
      </c>
      <c r="AC5" s="6" t="s">
        <v>166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7">
      <c r="A6" s="6" t="s">
        <v>125</v>
      </c>
      <c r="B6" s="6" t="str">
        <f>VLOOKUP(ReportSelected,Menu[],2,FALSE)</f>
        <v>detail_report</v>
      </c>
      <c r="D6" t="s">
        <v>45</v>
      </c>
      <c r="E6" t="s">
        <v>44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173</v>
      </c>
      <c r="W6" t="s">
        <v>127</v>
      </c>
      <c r="X6" t="s">
        <v>143</v>
      </c>
      <c r="Y6" s="6"/>
      <c r="Z6" t="s">
        <v>174</v>
      </c>
      <c r="AB6" s="46" t="s">
        <v>129</v>
      </c>
      <c r="AC6" s="6" t="s">
        <v>167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7">
      <c r="A7" s="39" t="s">
        <v>152</v>
      </c>
      <c r="B7" s="6" t="s">
        <v>28</v>
      </c>
      <c r="D7" t="s">
        <v>68</v>
      </c>
      <c r="E7" t="s">
        <v>67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217</v>
      </c>
      <c r="V7" s="6" t="s">
        <v>178</v>
      </c>
      <c r="W7" t="s">
        <v>164</v>
      </c>
      <c r="X7" t="s">
        <v>144</v>
      </c>
      <c r="Y7" s="6"/>
      <c r="Z7" s="6" t="s">
        <v>251</v>
      </c>
      <c r="AB7" s="46" t="s">
        <v>168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7">
      <c r="A8" s="6"/>
      <c r="B8" s="6"/>
      <c r="D8" t="s">
        <v>264</v>
      </c>
      <c r="E8" s="6" t="s">
        <v>265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218</v>
      </c>
      <c r="V8" s="6" t="s">
        <v>188</v>
      </c>
      <c r="W8" t="s">
        <v>164</v>
      </c>
      <c r="X8" t="s">
        <v>144</v>
      </c>
      <c r="Y8" s="6"/>
      <c r="Z8" s="6" t="s">
        <v>252</v>
      </c>
      <c r="AB8" s="47" t="s">
        <v>168</v>
      </c>
      <c r="AC8" s="6" t="s">
        <v>166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  <c r="BE8" s="109"/>
    </row>
    <row r="9" spans="1:57">
      <c r="A9" s="6"/>
      <c r="B9" s="6"/>
      <c r="D9" s="6" t="s">
        <v>248</v>
      </c>
      <c r="E9" s="6" t="s">
        <v>249</v>
      </c>
      <c r="G9" t="s">
        <v>111</v>
      </c>
      <c r="H9" t="s">
        <v>107</v>
      </c>
      <c r="I9" t="s">
        <v>184</v>
      </c>
      <c r="J9" t="s">
        <v>172</v>
      </c>
      <c r="L9" t="s">
        <v>185</v>
      </c>
      <c r="M9" t="s">
        <v>183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222</v>
      </c>
      <c r="AB9" s="47" t="s">
        <v>168</v>
      </c>
      <c r="AC9" s="6" t="s">
        <v>167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7">
      <c r="A10" s="6"/>
      <c r="B10" s="6"/>
      <c r="D10" s="6" t="s">
        <v>232</v>
      </c>
      <c r="E10" t="s">
        <v>233</v>
      </c>
      <c r="G10" t="s">
        <v>111</v>
      </c>
      <c r="H10" t="s">
        <v>108</v>
      </c>
      <c r="I10" t="s">
        <v>173</v>
      </c>
      <c r="L10" t="s">
        <v>184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224</v>
      </c>
      <c r="AB10" s="6" t="s">
        <v>178</v>
      </c>
      <c r="AC10" t="s">
        <v>165</v>
      </c>
      <c r="AD10" t="s">
        <v>150</v>
      </c>
      <c r="AG10">
        <v>2000</v>
      </c>
      <c r="AH10" t="s">
        <v>144</v>
      </c>
    </row>
    <row r="11" spans="1:57">
      <c r="A11" s="6"/>
      <c r="B11" s="6"/>
      <c r="D11" t="s">
        <v>77</v>
      </c>
      <c r="E11" t="s">
        <v>122</v>
      </c>
      <c r="G11" t="s">
        <v>175</v>
      </c>
      <c r="H11" t="s">
        <v>108</v>
      </c>
      <c r="I11" t="s">
        <v>177</v>
      </c>
      <c r="L11" s="6" t="s">
        <v>196</v>
      </c>
      <c r="M11" s="6" t="s">
        <v>198</v>
      </c>
      <c r="N11" s="6" t="s">
        <v>196</v>
      </c>
      <c r="O11" t="s">
        <v>131</v>
      </c>
      <c r="P11" t="s">
        <v>129</v>
      </c>
      <c r="Q11" t="s">
        <v>137</v>
      </c>
      <c r="S11" s="6" t="s">
        <v>246</v>
      </c>
      <c r="T11" s="6" t="s">
        <v>244</v>
      </c>
      <c r="AB11" s="6" t="s">
        <v>178</v>
      </c>
      <c r="AC11" s="6" t="s">
        <v>176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7">
      <c r="A12" s="6"/>
      <c r="B12" s="6"/>
      <c r="D12" t="s">
        <v>79</v>
      </c>
      <c r="E12" t="s">
        <v>78</v>
      </c>
      <c r="G12" t="s">
        <v>175</v>
      </c>
      <c r="H12" t="s">
        <v>108</v>
      </c>
      <c r="I12" t="s">
        <v>178</v>
      </c>
      <c r="L12" s="6" t="s">
        <v>197</v>
      </c>
      <c r="M12" s="6" t="s">
        <v>198</v>
      </c>
      <c r="N12" s="6" t="s">
        <v>197</v>
      </c>
      <c r="O12" t="s">
        <v>131</v>
      </c>
      <c r="P12" t="s">
        <v>129</v>
      </c>
      <c r="Q12" t="s">
        <v>137</v>
      </c>
      <c r="S12" s="6" t="s">
        <v>265</v>
      </c>
      <c r="T12" t="s">
        <v>270</v>
      </c>
      <c r="AB12" s="47" t="s">
        <v>188</v>
      </c>
      <c r="AC12" t="s">
        <v>165</v>
      </c>
      <c r="AD12" t="s">
        <v>150</v>
      </c>
      <c r="AG12">
        <v>2000</v>
      </c>
      <c r="AH12" t="s">
        <v>144</v>
      </c>
    </row>
    <row r="13" spans="1:57">
      <c r="D13" s="6" t="s">
        <v>245</v>
      </c>
      <c r="E13" s="6" t="s">
        <v>246</v>
      </c>
      <c r="G13" t="s">
        <v>175</v>
      </c>
      <c r="H13" t="s">
        <v>107</v>
      </c>
      <c r="I13" t="s">
        <v>185</v>
      </c>
      <c r="L13" t="s">
        <v>140</v>
      </c>
      <c r="M13" s="6" t="s">
        <v>198</v>
      </c>
      <c r="N13" t="s">
        <v>140</v>
      </c>
      <c r="O13" t="s">
        <v>131</v>
      </c>
      <c r="P13" t="s">
        <v>129</v>
      </c>
      <c r="Q13" t="s">
        <v>137</v>
      </c>
      <c r="AB13" s="47" t="s">
        <v>188</v>
      </c>
      <c r="AC13" s="6" t="s">
        <v>167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7">
      <c r="D14" t="s">
        <v>123</v>
      </c>
      <c r="E14" t="s">
        <v>111</v>
      </c>
      <c r="G14" t="s">
        <v>112</v>
      </c>
      <c r="H14" t="s">
        <v>107</v>
      </c>
      <c r="I14" t="s">
        <v>185</v>
      </c>
      <c r="L14" t="s">
        <v>141</v>
      </c>
      <c r="M14" s="6" t="s">
        <v>198</v>
      </c>
      <c r="N14" s="6" t="s">
        <v>141</v>
      </c>
      <c r="O14" t="s">
        <v>131</v>
      </c>
      <c r="P14" t="s">
        <v>129</v>
      </c>
      <c r="Q14" t="s">
        <v>137</v>
      </c>
    </row>
    <row r="15" spans="1:57">
      <c r="D15" t="s">
        <v>96</v>
      </c>
      <c r="E15" t="s">
        <v>112</v>
      </c>
      <c r="G15" s="6" t="s">
        <v>188</v>
      </c>
      <c r="H15" t="s">
        <v>108</v>
      </c>
      <c r="I15" s="6" t="s">
        <v>188</v>
      </c>
      <c r="J15" s="6"/>
      <c r="L15" s="6" t="s">
        <v>217</v>
      </c>
      <c r="M15" s="6" t="s">
        <v>198</v>
      </c>
      <c r="N15" s="6" t="s">
        <v>217</v>
      </c>
      <c r="O15" t="s">
        <v>131</v>
      </c>
      <c r="P15" t="s">
        <v>129</v>
      </c>
      <c r="Q15" t="s">
        <v>137</v>
      </c>
    </row>
    <row r="16" spans="1:57">
      <c r="D16" s="6"/>
      <c r="G16" s="6" t="s">
        <v>233</v>
      </c>
      <c r="H16" t="s">
        <v>107</v>
      </c>
      <c r="I16" t="s">
        <v>78</v>
      </c>
      <c r="J16" s="6"/>
      <c r="L16" s="6" t="s">
        <v>218</v>
      </c>
      <c r="M16" s="6" t="s">
        <v>198</v>
      </c>
      <c r="N16" s="6" t="s">
        <v>218</v>
      </c>
      <c r="O16" t="s">
        <v>131</v>
      </c>
      <c r="P16" t="s">
        <v>129</v>
      </c>
      <c r="Q16" t="s">
        <v>137</v>
      </c>
    </row>
    <row r="17" spans="7:17">
      <c r="G17" s="6" t="s">
        <v>233</v>
      </c>
      <c r="H17" t="s">
        <v>107</v>
      </c>
      <c r="I17" s="6" t="s">
        <v>122</v>
      </c>
      <c r="J17" s="6"/>
      <c r="L17" s="6" t="s">
        <v>222</v>
      </c>
      <c r="M17" s="6" t="s">
        <v>198</v>
      </c>
      <c r="N17" s="6" t="s">
        <v>222</v>
      </c>
      <c r="O17" t="s">
        <v>131</v>
      </c>
      <c r="P17" t="s">
        <v>129</v>
      </c>
      <c r="Q17" t="s">
        <v>137</v>
      </c>
    </row>
    <row r="18" spans="7:17">
      <c r="G18" s="6" t="s">
        <v>246</v>
      </c>
      <c r="H18" t="s">
        <v>107</v>
      </c>
      <c r="I18" s="6" t="s">
        <v>246</v>
      </c>
      <c r="J18" s="6"/>
      <c r="L18" s="6" t="s">
        <v>224</v>
      </c>
      <c r="M18" s="6" t="s">
        <v>198</v>
      </c>
      <c r="N18" s="6" t="s">
        <v>224</v>
      </c>
      <c r="O18" t="s">
        <v>131</v>
      </c>
      <c r="P18" t="s">
        <v>129</v>
      </c>
      <c r="Q18" t="s">
        <v>137</v>
      </c>
    </row>
    <row r="19" spans="7:17">
      <c r="G19" s="6" t="s">
        <v>249</v>
      </c>
      <c r="H19" s="6" t="s">
        <v>107</v>
      </c>
      <c r="I19" s="6" t="s">
        <v>246</v>
      </c>
      <c r="J19" s="6"/>
      <c r="L19" s="6" t="s">
        <v>246</v>
      </c>
      <c r="M19" s="6" t="s">
        <v>246</v>
      </c>
      <c r="N19" s="6" t="s">
        <v>247</v>
      </c>
      <c r="O19" t="s">
        <v>131</v>
      </c>
      <c r="Q19" t="s">
        <v>121</v>
      </c>
    </row>
    <row r="20" spans="7:17">
      <c r="G20" s="6" t="s">
        <v>249</v>
      </c>
      <c r="H20" s="6" t="s">
        <v>107</v>
      </c>
      <c r="I20" t="s">
        <v>78</v>
      </c>
      <c r="J20" s="6"/>
      <c r="L20" s="6" t="s">
        <v>244</v>
      </c>
      <c r="M20" s="6" t="s">
        <v>198</v>
      </c>
      <c r="N20" s="6" t="s">
        <v>244</v>
      </c>
      <c r="O20" t="s">
        <v>131</v>
      </c>
      <c r="P20" t="s">
        <v>129</v>
      </c>
      <c r="Q20" t="s">
        <v>137</v>
      </c>
    </row>
    <row r="21" spans="7:17">
      <c r="G21" s="6" t="s">
        <v>249</v>
      </c>
      <c r="H21" s="6" t="s">
        <v>107</v>
      </c>
      <c r="I21" s="6" t="s">
        <v>122</v>
      </c>
      <c r="J21" s="6"/>
      <c r="L21" s="6" t="s">
        <v>265</v>
      </c>
      <c r="M21" t="s">
        <v>265</v>
      </c>
      <c r="N21" s="6" t="s">
        <v>263</v>
      </c>
      <c r="O21" t="s">
        <v>131</v>
      </c>
      <c r="P21" t="s">
        <v>129</v>
      </c>
      <c r="Q21" t="s">
        <v>137</v>
      </c>
    </row>
    <row r="22" spans="7:17">
      <c r="G22" s="6" t="s">
        <v>265</v>
      </c>
      <c r="H22" s="6" t="s">
        <v>107</v>
      </c>
      <c r="I22" s="6" t="s">
        <v>265</v>
      </c>
      <c r="J22" s="6"/>
      <c r="L22" s="6" t="s">
        <v>270</v>
      </c>
      <c r="M22" s="6" t="s">
        <v>198</v>
      </c>
      <c r="N22" s="6" t="s">
        <v>270</v>
      </c>
      <c r="O22" t="s">
        <v>131</v>
      </c>
      <c r="P22" t="s">
        <v>129</v>
      </c>
      <c r="Q22" t="s">
        <v>137</v>
      </c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15:E16 E10:E12 E4:E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S3:S12 T4:T11 L11:L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2">
      <formula1>INDIRECT("CreateModes[Code]")</formula1>
    </dataValidation>
    <dataValidation type="list" allowBlank="1" showInputMessage="1" showErrorMessage="1" sqref="Q3:Q22">
      <formula1>INDIRECT("ReportTypes[Code]")</formula1>
    </dataValidation>
    <dataValidation type="list" allowBlank="1" showInputMessage="1" showErrorMessage="1" sqref="P3:P22">
      <formula1>INDIRECT("Programs[Code]")</formula1>
    </dataValidation>
    <dataValidation type="list" allowBlank="1" showInputMessage="1" showErrorMessage="1" sqref="H3:H22">
      <formula1>INDIRECT("ActionTypes[Code]")</formula1>
    </dataValidation>
    <dataValidation type="list" allowBlank="1" showInputMessage="1" showErrorMessage="1" sqref="J3:J22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26</v>
      </c>
      <c r="D2" s="32" t="s">
        <v>199</v>
      </c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42978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51"/>
      <c r="B7" s="151"/>
      <c r="C7" s="151"/>
      <c r="D7" s="151"/>
      <c r="E7" s="151"/>
    </row>
    <row r="8" spans="1:6" ht="51" customHeight="1">
      <c r="A8" s="45"/>
      <c r="B8" s="152" t="s">
        <v>273</v>
      </c>
      <c r="C8" s="153"/>
      <c r="D8" s="153"/>
      <c r="E8" s="45"/>
    </row>
    <row r="9" spans="1:6" s="44" customFormat="1" ht="14.25" customHeight="1">
      <c r="A9" s="151"/>
      <c r="B9" s="151"/>
      <c r="C9" s="151"/>
      <c r="D9" s="151"/>
      <c r="E9" s="151"/>
    </row>
    <row r="10" spans="1:6" hidden="1">
      <c r="A10" s="148"/>
      <c r="B10" s="149"/>
      <c r="C10" s="149"/>
      <c r="D10" s="149"/>
      <c r="E10" s="150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A7" sqref="A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20" t="s">
        <v>259</v>
      </c>
      <c r="B1" s="120"/>
      <c r="C1" s="120"/>
      <c r="D1" s="120"/>
      <c r="E1" s="112"/>
      <c r="F1" s="112"/>
      <c r="G1" s="112"/>
      <c r="H1" s="112"/>
      <c r="I1" s="112"/>
      <c r="J1" s="112"/>
    </row>
    <row r="2" spans="1:10">
      <c r="B2" s="96"/>
      <c r="C2" s="65" t="s">
        <v>234</v>
      </c>
      <c r="D2" s="65" t="s">
        <v>235</v>
      </c>
      <c r="E2" s="6"/>
      <c r="F2" s="6"/>
      <c r="G2" s="6"/>
      <c r="H2" s="6"/>
      <c r="I2" s="6"/>
      <c r="J2" s="6"/>
    </row>
    <row r="3" spans="1:10">
      <c r="B3" s="97" t="s">
        <v>236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190</v>
      </c>
      <c r="B5" s="99" t="s">
        <v>237</v>
      </c>
      <c r="C5" s="100" t="s">
        <v>238</v>
      </c>
      <c r="D5" s="101" t="s">
        <v>238</v>
      </c>
    </row>
    <row r="6" spans="1:10" s="103" customFormat="1" ht="12" thickBot="1">
      <c r="A6" s="102" t="s">
        <v>191</v>
      </c>
      <c r="B6" s="106" t="s">
        <v>243</v>
      </c>
      <c r="C6" s="107" t="s">
        <v>239</v>
      </c>
      <c r="D6" s="108" t="s">
        <v>240</v>
      </c>
    </row>
    <row r="7" spans="1:10">
      <c r="A7" s="52"/>
      <c r="B7" s="104" t="s">
        <v>244</v>
      </c>
      <c r="C7" s="105"/>
      <c r="D7" s="105"/>
    </row>
    <row r="9" spans="1:10">
      <c r="B9" t="s">
        <v>241</v>
      </c>
    </row>
    <row r="10" spans="1:10">
      <c r="B10" t="s">
        <v>242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154" t="s">
        <v>260</v>
      </c>
      <c r="B1" s="155"/>
      <c r="C1" s="155"/>
      <c r="D1" s="155"/>
      <c r="E1" s="155"/>
    </row>
    <row r="2" spans="1:6" ht="19.5" customHeight="1">
      <c r="A2" s="156" t="s">
        <v>189</v>
      </c>
      <c r="B2" s="157"/>
      <c r="C2" s="157"/>
      <c r="D2" s="157"/>
      <c r="E2" s="158"/>
    </row>
    <row r="3" spans="1:6" ht="30">
      <c r="A3" s="78" t="s">
        <v>190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191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199</v>
      </c>
    </row>
    <row r="7" spans="1:6">
      <c r="D7" t="s">
        <v>192</v>
      </c>
    </row>
    <row r="8" spans="1:6" ht="20.25" customHeight="1">
      <c r="D8" s="146" t="s">
        <v>193</v>
      </c>
      <c r="E8" s="146"/>
    </row>
    <row r="9" spans="1:6">
      <c r="C9" s="6"/>
      <c r="D9" s="6" t="s">
        <v>196</v>
      </c>
      <c r="E9" s="56"/>
      <c r="F9" s="6"/>
    </row>
    <row r="10" spans="1:6">
      <c r="C10" s="56"/>
      <c r="D10" s="57" t="s">
        <v>194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46" t="s">
        <v>195</v>
      </c>
      <c r="E11" s="146"/>
    </row>
    <row r="12" spans="1:6">
      <c r="D12" s="6" t="s">
        <v>197</v>
      </c>
      <c r="E12" s="54"/>
    </row>
    <row r="13" spans="1:6">
      <c r="D13" s="55" t="s">
        <v>194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159" t="s">
        <v>261</v>
      </c>
      <c r="B1" s="160"/>
      <c r="C1" s="160"/>
      <c r="D1" s="160"/>
      <c r="E1" s="160"/>
      <c r="F1" s="160"/>
      <c r="G1" s="160"/>
      <c r="H1" s="160"/>
    </row>
    <row r="2" spans="1:8" ht="30.75" thickBot="1">
      <c r="A2" s="75" t="s">
        <v>190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191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223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200</v>
      </c>
    </row>
    <row r="7" spans="1:8">
      <c r="A7" s="61" t="s">
        <v>201</v>
      </c>
      <c r="C7" s="54"/>
      <c r="D7" s="54"/>
      <c r="E7" s="166" t="s">
        <v>202</v>
      </c>
      <c r="F7" s="166"/>
      <c r="G7" s="166"/>
      <c r="H7" s="166"/>
    </row>
    <row r="8" spans="1:8">
      <c r="A8" s="85" t="s">
        <v>203</v>
      </c>
      <c r="B8" s="85" t="s">
        <v>204</v>
      </c>
      <c r="C8" s="85" t="s">
        <v>229</v>
      </c>
      <c r="D8" s="85" t="s">
        <v>205</v>
      </c>
      <c r="E8" s="85" t="s">
        <v>206</v>
      </c>
      <c r="F8" s="85" t="s">
        <v>207</v>
      </c>
      <c r="G8" s="85" t="s">
        <v>219</v>
      </c>
      <c r="H8" s="85" t="s">
        <v>220</v>
      </c>
    </row>
    <row r="9" spans="1:8">
      <c r="A9" s="6" t="s">
        <v>217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67" t="s">
        <v>208</v>
      </c>
      <c r="F11" s="167"/>
      <c r="G11" s="167"/>
      <c r="H11" s="167"/>
    </row>
    <row r="12" spans="1:8">
      <c r="C12" s="54"/>
      <c r="D12" s="86"/>
      <c r="E12" s="163" t="s">
        <v>209</v>
      </c>
      <c r="F12" s="164"/>
      <c r="G12" s="165"/>
      <c r="H12" s="161" t="s">
        <v>221</v>
      </c>
    </row>
    <row r="13" spans="1:8" ht="15.75" thickBot="1">
      <c r="C13" s="90" t="s">
        <v>229</v>
      </c>
      <c r="D13" s="86" t="s">
        <v>210</v>
      </c>
      <c r="E13" s="87" t="s">
        <v>211</v>
      </c>
      <c r="F13" s="88" t="s">
        <v>212</v>
      </c>
      <c r="G13" s="89" t="s">
        <v>213</v>
      </c>
      <c r="H13" s="161"/>
    </row>
    <row r="14" spans="1:8">
      <c r="A14" s="6" t="s">
        <v>218</v>
      </c>
      <c r="C14" s="54"/>
    </row>
    <row r="15" spans="1:8">
      <c r="C15" s="62">
        <f>SUM(Таблица30[Столбец1])+SUM(Таблица31[Столбец3])</f>
        <v>0</v>
      </c>
      <c r="D15" t="s">
        <v>214</v>
      </c>
      <c r="E15" s="54"/>
    </row>
    <row r="16" spans="1:8">
      <c r="A16" s="61" t="s">
        <v>215</v>
      </c>
      <c r="E16" s="54"/>
    </row>
    <row r="17" spans="1:8" ht="37.5" customHeight="1">
      <c r="A17" s="90" t="s">
        <v>203</v>
      </c>
      <c r="B17" s="90" t="s">
        <v>204</v>
      </c>
      <c r="C17" s="90" t="s">
        <v>229</v>
      </c>
      <c r="D17" s="90" t="s">
        <v>230</v>
      </c>
      <c r="E17" s="91" t="s">
        <v>231</v>
      </c>
    </row>
    <row r="18" spans="1:8">
      <c r="A18" t="s">
        <v>222</v>
      </c>
      <c r="F18" s="63"/>
    </row>
    <row r="19" spans="1:8" ht="15.75" thickBot="1">
      <c r="C19" s="64">
        <f>SUM(C18:C18)</f>
        <v>0</v>
      </c>
      <c r="D19" t="s">
        <v>216</v>
      </c>
      <c r="F19" s="63"/>
    </row>
    <row r="20" spans="1:8" ht="15.75" thickTop="1">
      <c r="C20" s="65">
        <f>tax_13+tax_30</f>
        <v>0</v>
      </c>
      <c r="D20" t="s">
        <v>228</v>
      </c>
    </row>
    <row r="21" spans="1:8">
      <c r="C21" s="66"/>
      <c r="H21" s="67"/>
    </row>
    <row r="22" spans="1:8">
      <c r="A22" s="162" t="s">
        <v>227</v>
      </c>
      <c r="B22" s="162"/>
      <c r="C22" s="162"/>
      <c r="D22" s="162"/>
      <c r="E22" s="162"/>
      <c r="F22" s="162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225</v>
      </c>
      <c r="G23" s="67"/>
    </row>
    <row r="24" spans="1:8">
      <c r="A24" t="s">
        <v>224</v>
      </c>
      <c r="D24" s="54"/>
      <c r="E24" s="54"/>
      <c r="F24" s="54"/>
    </row>
    <row r="25" spans="1:8">
      <c r="A25" t="s">
        <v>226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168" t="s">
        <v>262</v>
      </c>
      <c r="B1" s="168"/>
      <c r="C1" s="168"/>
      <c r="D1" s="168"/>
      <c r="E1" s="168"/>
      <c r="F1" s="168"/>
      <c r="G1" s="168"/>
      <c r="H1" s="168"/>
      <c r="I1" s="168"/>
    </row>
    <row r="2" spans="1:9" ht="34.5" customHeight="1">
      <c r="A2" s="33" t="s">
        <v>64</v>
      </c>
      <c r="B2" s="48" t="s">
        <v>65</v>
      </c>
      <c r="C2" s="48" t="s">
        <v>66</v>
      </c>
      <c r="D2" s="48" t="s">
        <v>101</v>
      </c>
      <c r="E2" s="48" t="s">
        <v>103</v>
      </c>
      <c r="F2" s="52" t="s">
        <v>180</v>
      </c>
      <c r="G2" s="52" t="s">
        <v>1</v>
      </c>
      <c r="H2" s="52" t="s">
        <v>181</v>
      </c>
      <c r="I2" s="53" t="s">
        <v>182</v>
      </c>
    </row>
    <row r="3" spans="1:9">
      <c r="A3" t="s">
        <v>185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170" t="s">
        <v>272</v>
      </c>
      <c r="B1" s="171"/>
      <c r="C1" s="171"/>
      <c r="D1" s="171"/>
      <c r="E1" s="171"/>
      <c r="F1" s="171"/>
      <c r="G1" s="171"/>
      <c r="H1" s="171"/>
      <c r="I1" s="171"/>
    </row>
    <row r="2" spans="1:9" ht="15.75">
      <c r="A2" s="113"/>
    </row>
    <row r="3" spans="1:9" ht="31.5" customHeight="1">
      <c r="A3" s="169" t="s">
        <v>271</v>
      </c>
      <c r="B3" s="169"/>
      <c r="C3" s="169"/>
      <c r="D3" s="169"/>
      <c r="E3" s="169"/>
      <c r="F3" s="169"/>
      <c r="G3" s="169"/>
      <c r="H3" s="169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266</v>
      </c>
      <c r="B5" s="114" t="s">
        <v>64</v>
      </c>
      <c r="C5" s="114" t="s">
        <v>65</v>
      </c>
      <c r="D5" s="114" t="s">
        <v>66</v>
      </c>
      <c r="E5" s="114" t="s">
        <v>80</v>
      </c>
      <c r="F5" s="114" t="s">
        <v>269</v>
      </c>
      <c r="G5" s="114" t="s">
        <v>267</v>
      </c>
      <c r="H5" s="114" t="s">
        <v>235</v>
      </c>
      <c r="I5" s="114" t="s">
        <v>268</v>
      </c>
    </row>
    <row r="6" spans="1:9">
      <c r="A6" s="115" t="s">
        <v>265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15</vt:i4>
      </vt:variant>
    </vt:vector>
  </HeadingPairs>
  <TitlesOfParts>
    <vt:vector size="28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2017-08-29T09:47:19Z</dcterms:modified>
</cp:coreProperties>
</file>