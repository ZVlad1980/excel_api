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pers" sheetId="284" state="hidden" r:id="rId17"/>
    <sheet name="cmp_f2ndfl_f6" sheetId="29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9" i="284" l="1"/>
  <c r="K25"/>
  <c r="K17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<sst xmlns="http://schemas.openxmlformats.org/spreadsheetml/2006/main" count="1102" uniqueCount="390">
  <si>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</si>
  <si>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</si>
  <si>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</si>
  <si>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</si>
  <si>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</si>
  <si>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</si>
  <si>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</si>
  <si>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</si>
  <si>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</si>
  <si>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</si>
  <si>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</si>
  <si>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</si>
  <si>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</si>
  <si>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</si>
  <si>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</si>
  <si>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</si>
  <si>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</si>
  <si>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</si>
  <si>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</si>
  <si>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</si>
  <si>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</si>
  <si>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</si>
  <si>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</si>
  <si>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</si>
  <si>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</si>
  <si>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</si>
  <si>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</si>
  <si>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</si>
  <si>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</si>
  <si>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</si>
  <si>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</si>
  <si>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</si>
  <si>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</si>
  <si>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</si>
  <si>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</si>
  <si>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</si>
  <si>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</si>
  <si>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</si>
  <si>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</si>
  <si>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</si>
  <si>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</si>
  <si>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</si>
  <si>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</si>
  <si>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</si>
  <si>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</si>
  <si>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</si>
  <si>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</si>
  <si>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</si>
  <si>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</si>
  <si>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</si>
  <si>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</si>
  <si>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</si>
  <si>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</si>
  <si>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</si>
  <si>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</si>
  <si>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</si>
  <si>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</si>
  <si>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</si>
  <si>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</si>
  <si>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</si>
  <si>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</si>
  <si>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</si>
  <si>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</si>
  <si>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</si>
  <si>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</si>
  <si>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</si>
  <si>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</si>
  <si>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</si>
  <si>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</si>
  <si>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</si>
  <si>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</si>
  <si>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</si>
  <si>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</si>
  <si>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</si>
  <si>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</si>
  <si>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</si>
  <si>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</si>
  <si>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</si>
  <si>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</si>
  <si>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</si>
  <si>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</si>
  <si>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</si>
  <si>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</si>
  <si>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</si>
  <si>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</si>
  <si>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</si>
  <si>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</si>
  <si>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</si>
  <si>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</si>
  <si>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</si>
  <si>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</si>
  <si>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</si>
  <si>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</si>
  <si>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</si>
  <si>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</si>
  <si>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</si>
  <si>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</si>
  <si>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</si>
  <si>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</si>
  <si>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</si>
  <si>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</si>
  <si>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</si>
  <si>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</si>
  <si>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</si>
  <si>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</si>
  <si>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</si>
  <si>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</si>
  <si>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</si>
  <si>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</si>
  <si>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</si>
  <si>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</si>
  <si>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</si>
  <si>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</si>
  <si>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</si>
  <si>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</si>
  <si>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</si>
  <si>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</si>
  <si>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</si>
  <si>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</si>
  <si>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</si>
  <si>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</si>
  <si>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</si>
  <si>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</si>
  <si>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</si>
  <si>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</si>
  <si>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</si>
  <si>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</si>
  <si>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</si>
  <si>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</si>
  <si>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</si>
  <si>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</si>
  <si>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</si>
  <si>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</si>
  <si>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</si>
  <si>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</si>
  <si>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</si>
  <si>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</si>
  <si>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</si>
  <si>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</si>
  <si>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</si>
  <si>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</si>
  <si>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</si>
  <si>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</si>
  <si>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</si>
  <si>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</si>
  <si>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</si>
  <si>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</si>
  <si>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</si>
  <si>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</si>
  <si>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</si>
  <si>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</si>
  <si>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</si>
  <si>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</si>
  <si>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</si>
  <si>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</si>
  <si>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</si>
  <si>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</si>
  <si>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</si>
  <si>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</si>
  <si>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</si>
  <si>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</si>
  <si>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</si>
  <si>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</si>
  <si>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</si>
  <si>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</si>
  <si>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</si>
  <si>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</si>
  <si>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</si>
  <si>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</si>
  <si>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</si>
  <si>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</si>
  <si>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</si>
  <si>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</si>
  <si>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</si>
  <si>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</si>
  <si>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</si>
  <si>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</si>
  <si>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</si>
  <si>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</si>
  <si>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</si>
  <si>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</si>
  <si>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</si>
  <si>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</si>
  <si>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</si>
  <si>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</si>
  <si>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</si>
  <si>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</si>
  <si>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</si>
  <si>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</si>
  <si>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</si>
  <si>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</si>
  <si>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</si>
  <si>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</si>
  <si>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</si>
  <si>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</si>
  <si>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</si>
  <si>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</si>
  <si>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</si>
  <si>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</si>
  <si>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</si>
  <si>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</si>
  <si>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</si>
  <si>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</si>
  <si>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</si>
  <si>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</si>
  <si>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</si>
  <si>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</si>
  <si>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</si>
  <si>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</si>
  <si>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</si>
  <si>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</si>
  <si>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</si>
  <si>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</si>
  <si>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</si>
  <si>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</si>
  <si>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</si>
  <si>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</si>
  <si>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</si>
  <si>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</si>
  <si>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</si>
  <si>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</si>
  <si>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</si>
  <si>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</si>
  <si>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</si>
  <si>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</si>
  <si>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</si>
  <si>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</si>
  <si>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</si>
  <si>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</si>
  <si>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</si>
  <si>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</si>
  <si>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</si>
  <si>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</si>
  <si>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</si>
  <si>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</si>
  <si>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</si>
  <si>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</si>
  <si>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</si>
  <si>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</si>
  <si>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</si>
  <si>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</si>
  <si>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</si>
  <si>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</si>
  <si>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</si>
  <si>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</si>
  <si>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</si>
  <si>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</si>
  <si>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</si>
  <si>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</si>
  <si>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</si>
  <si>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</si>
  <si>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</si>
  <si>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</si>
  <si>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</si>
  <si>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</si>
  <si>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</si>
  <si>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</si>
  <si>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</si>
  <si>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</si>
  <si>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</si>
  <si>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</si>
  <si>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</si>
  <si>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</si>
  <si>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</si>
  <si>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</si>
  <si>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</si>
  <si>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</si>
  <si>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</si>
  <si>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</si>
  <si>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</si>
  <si>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</si>
  <si>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</si>
  <si>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</si>
  <si>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</si>
  <si>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</si>
  <si>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</si>
  <si>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</si>
  <si>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</si>
  <si>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</si>
  <si>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</si>
  <si>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</si>
  <si>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</si>
  <si>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</si>
  <si>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</si>
  <si>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</si>
  <si>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</si>
  <si>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</si>
  <si>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</si>
  <si>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</si>
  <si>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</si>
  <si>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</si>
  <si>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</si>
  <si>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</si>
  <si>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</si>
  <si>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</si>
  <si>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</si>
  <si>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</si>
  <si>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</si>
  <si>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</si>
  <si>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</si>
  <si>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</si>
  <si>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</si>
  <si>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</si>
  <si>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</si>
  <si>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</si>
  <si>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</si>
  <si>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</si>
  <si>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</si>
  <si>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</si>
  <si>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</si>
  <si>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</si>
  <si>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</si>
  <si>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</si>
  <si>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</si>
  <si>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</si>
  <si>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</si>
  <si>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</si>
  <si>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</si>
  <si>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</si>
  <si>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</si>
  <si>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</si>
  <si>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</si>
  <si>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</si>
  <si>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</si>
  <si>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</si>
  <si>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</si>
  <si>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</si>
  <si>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</si>
  <si>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</si>
  <si>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</si>
  <si>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</si>
  <si>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</si>
  <si>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</si>
  <si>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</si>
  <si>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</si>
  <si>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</si>
  <si>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</si>
  <si>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</si>
  <si>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</si>
  <si>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</si>
  <si>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</si>
  <si>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</si>
  <si>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</si>
  <si>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</si>
  <si>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</si>
  <si>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</si>
  <si>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</si>
  <si>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</si>
  <si>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</si>
  <si>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</si>
  <si>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</si>
  <si>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</si>
  <si>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</si>
  <si>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</si>
  <si>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</si>
  <si>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</si>
  <si>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</si>
  <si>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</si>
  <si>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</si>
  <si>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</si>
  <si>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</si>
  <si>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</si>
  <si>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</si>
  <si>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</si>
  <si>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</si>
  <si>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</si>
  <si>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01.01.2016</t>
  </si>
  <si>
    <t>31.12.2016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</si>
  <si>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</si>
  <si>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</si>
  <si>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</si>
  <si>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</si>
  <si>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</si>
  <si>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</si>
  <si>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</si>
  <si>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</si>
  <si>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</si>
  <si>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</si>
  <si>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</si>
  <si>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</si>
  <si>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</si>
  <si>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</si>
  <si>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</si>
  <si>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2НФДЛ/6НДФЛ сверочный отчет</t>
  </si>
  <si>
    <t>2НДФЛ_6НДФЛ Сверочный отчет</t>
  </si>
  <si>
    <t>ModePaste</t>
  </si>
  <si>
    <t>New</t>
  </si>
  <si>
    <t>Update</t>
  </si>
  <si>
    <t>Возврат налога</t>
  </si>
  <si>
    <t>Ст.231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</si>
</sst>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0" fontId="36" fillId="0" borderId="1" xfId="6" applyFont="1" applyBorder="1" applyAlignment="1">
      <alignment horizontal="center" vertical="center"/>
    </xf>
    <xf numFmtId="4" fontId="36" fillId="0" borderId="0" xfId="6" applyNumberFormat="1" applyFont="1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4" fontId="35" fillId="0" borderId="0" xfId="6" applyNumberFormat="1" applyAlignment="1">
      <alignment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48" totalsRowDxfId="247">
  <tableColumns count="3">
    <tableColumn id="1" name="ВИД ВЫПЛАТЫ" totalsRowLabel="Итого" dataDxfId="246" totalsRowDxfId="245" dataCellStyle="Обычный 5"/>
    <tableColumn id="2" name="13%" totalsRowFunction="sum" dataDxfId="244" totalsRowDxfId="243" dataCellStyle="Обычный 5"/>
    <tableColumn id="3" name="30%" totalsRowFunction="sum" dataDxfId="242" totalsRowDxfId="241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40" dataDxfId="238" headerRowBorderDxfId="239" headerRowCellStyle="Обычный 5" dataCellStyle="Обычный 5">
  <tableColumns count="4">
    <tableColumn id="1" name="Сумма по ставкам" totalsRowFunction="sum" dataDxfId="237" totalsRowDxfId="236" dataCellStyle="Обычный 5"/>
    <tableColumn id="2" name="13%" dataDxfId="235" totalsRowDxfId="234" dataCellStyle="Обычный 5">
      <calculatedColumnFormula>B31+#REF!-Таблица42[[#This Row],[13%]]</calculatedColumnFormula>
    </tableColumn>
    <tableColumn id="3" name="30%" dataDxfId="233" totalsRowDxfId="232" dataCellStyle="Обычный 5"/>
    <tableColumn id="4" name="Расхождение по ставкам" dataDxfId="231" totalsRowDxfId="230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29" totalsRowDxfId="227" headerRowBorderDxfId="228" headerRowCellStyle="Обычный 5">
  <tableColumns count="8">
    <tableColumn id="1" name="ВИД ВЫПЛАТЫ" totalsRowLabel="Итого по ставке" dataDxfId="226" totalsRowDxfId="225" dataCellStyle="Обычный 5"/>
    <tableColumn id="2" name="13%" totalsRowFunction="sum" dataDxfId="224" totalsRowDxfId="223" dataCellStyle="Обычный 5"/>
    <tableColumn id="3" name="30%" totalsRowFunction="sum" dataDxfId="222" totalsRowDxfId="221" dataCellStyle="Обычный 5"/>
    <tableColumn id="4" name="Столбец1" totalsRowDxfId="220" dataCellStyle="Обычный 5"/>
    <tableColumn id="5" name="без исправлений" dataDxfId="219" totalsRowDxfId="218" dataCellStyle="Обычный 5"/>
    <tableColumn id="6" name="с корректоровкой" dataDxfId="217" totalsRowDxfId="216" dataCellStyle="Обычный 5"/>
    <tableColumn id="7" name="без исправлений2" dataDxfId="215" totalsRowDxfId="214" dataCellStyle="Обычный 5"/>
    <tableColumn id="8" name="с корректоровкой3" dataDxfId="213" totalsRowDxfId="212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4" totalsRowShown="0">
  <autoFilter ref="D2:E2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1" totalsRowShown="0">
  <autoFilter ref="G2:J41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5" totalsRowShown="0">
  <autoFilter ref="L2:R35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18" totalsRowShown="0">
  <autoFilter ref="T2:U1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77" tableBorderDxfId="276" totalsRowBorderDxfId="275">
  <autoFilter ref="A2:B12"/>
  <tableColumns count="2">
    <tableColumn id="1" name="Key" totalsRowLabel="Итог" totalsRowDxfId="274"/>
    <tableColumn id="2" name="Value" totalsRowFunction="count" totalsRowDxfId="2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72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71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70" dataDxfId="269" tableBorderDxfId="268">
  <tableColumns count="1">
    <tableColumn id="1" name="Столбец1" dataDxfId="267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66" dataDxfId="264" headerRowBorderDxfId="265" tableBorderDxfId="263" totalsRowBorderDxfId="262">
  <autoFilter ref="A4:L5">
    <filterColumn colId="1"/>
    <filterColumn colId="8"/>
    <filterColumn colId="9"/>
    <filterColumn colId="10"/>
    <filterColumn colId="11"/>
  </autoFilter>
  <tableColumns count="12">
    <tableColumn id="5" name="1" dataDxfId="261"/>
    <tableColumn id="3" name="2" dataDxfId="260"/>
    <tableColumn id="2" name="3" dataDxfId="259"/>
    <tableColumn id="6" name="4" dataDxfId="258"/>
    <tableColumn id="7" name="5" dataDxfId="257"/>
    <tableColumn id="10" name="6" dataDxfId="256"/>
    <tableColumn id="11" name="7" dataDxfId="255"/>
    <tableColumn id="12" name="8" dataDxfId="254"/>
    <tableColumn id="1" name="9" dataDxfId="253"/>
    <tableColumn id="4" name="10" dataDxfId="252"/>
    <tableColumn id="9" name="12" dataDxfId="251"/>
    <tableColumn id="8" name="11" dataDxfId="250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15:M17" totalsRowCount="1" headerRowDxfId="68" dataDxfId="69">
  <autoFilter ref="A15:M16">
    <filterColumn colId="9"/>
    <filterColumn colId="12"/>
  </autoFilter>
  <tableColumns count="13">
    <tableColumn id="1" name="1" totalsRowLabel="Итог" dataDxfId="80" totalsRowDxfId="11"/>
    <tableColumn id="3" name="2" dataDxfId="79" totalsRowDxfId="10"/>
    <tableColumn id="4" name="3" dataDxfId="39" totalsRowDxfId="9"/>
    <tableColumn id="5" name="4" dataDxfId="78" totalsRowDxfId="8"/>
    <tableColumn id="6" name="5" dataDxfId="77" totalsRowDxfId="7"/>
    <tableColumn id="8" name="6" dataDxfId="76" totalsRowDxfId="6"/>
    <tableColumn id="9" name="7" dataDxfId="75" totalsRowDxfId="5"/>
    <tableColumn id="10" name="8" dataDxfId="74" totalsRowDxfId="4"/>
    <tableColumn id="11" name="9" dataDxfId="73" totalsRowDxfId="3"/>
    <tableColumn id="14" name="10" dataDxfId="72" totalsRowDxfId="2"/>
    <tableColumn id="12" name="11" totalsRowFunction="sum" dataDxfId="71" totalsRowDxfId="1"/>
    <tableColumn id="13" name="12" dataDxfId="70" totalsRowDxfId="0"/>
    <tableColumn id="15" name="13" dataDxfId="67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23:M25" totalsRowCount="1" headerRowDxfId="41" dataDxfId="40">
  <autoFilter ref="A23:M25"/>
  <tableColumns count="13">
    <tableColumn id="1" name="1" totalsRowLabel="Итог" dataDxfId="65" totalsRowDxfId="66"/>
    <tableColumn id="3" name="2" dataDxfId="63" totalsRowDxfId="64"/>
    <tableColumn id="4" name="3" dataDxfId="61" totalsRowDxfId="62"/>
    <tableColumn id="5" name="4" dataDxfId="59" totalsRowDxfId="60"/>
    <tableColumn id="6" name="5" dataDxfId="57" totalsRowDxfId="58"/>
    <tableColumn id="8" name="6" dataDxfId="55" totalsRowDxfId="56"/>
    <tableColumn id="9" name="7" dataDxfId="53" totalsRowDxfId="54"/>
    <tableColumn id="10" name="8" dataDxfId="51" totalsRowDxfId="52"/>
    <tableColumn id="11" name="9" dataDxfId="49" totalsRowDxfId="50"/>
    <tableColumn id="14" name="10" dataDxfId="47" totalsRowDxfId="48"/>
    <tableColumn id="12" name="11" totalsRowFunction="sum" dataDxfId="45" totalsRowDxfId="46"/>
    <tableColumn id="13" name="12" dataDxfId="43" totalsRowDxfId="44"/>
    <tableColumn id="15" name="13" dataDxfId="42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7:M9" totalsRowCount="1" headerRowDxfId="13" dataDxfId="12">
  <autoFilter ref="A7:M9"/>
  <tableColumns count="13">
    <tableColumn id="1" name="1" totalsRowLabel="Итог" dataDxfId="37" totalsRowDxfId="38"/>
    <tableColumn id="3" name="2" dataDxfId="35" totalsRowDxfId="36"/>
    <tableColumn id="4" name="3" dataDxfId="33" totalsRowDxfId="34"/>
    <tableColumn id="5" name="4" dataDxfId="31" totalsRowDxfId="32"/>
    <tableColumn id="6" name="5" dataDxfId="29" totalsRowDxfId="30"/>
    <tableColumn id="8" name="6" dataDxfId="27" totalsRowDxfId="28"/>
    <tableColumn id="9" name="7" dataDxfId="25" totalsRowDxfId="26"/>
    <tableColumn id="10" name="8" dataDxfId="23" totalsRowDxfId="24"/>
    <tableColumn id="11" name="9" dataDxfId="21" totalsRowDxfId="22"/>
    <tableColumn id="14" name="10" dataDxfId="19" totalsRowDxfId="20"/>
    <tableColumn id="12" name="11" totalsRowFunction="sum" dataDxfId="17" totalsRowDxfId="18"/>
    <tableColumn id="13" name="12" dataDxfId="15" totalsRowDxfId="16"/>
    <tableColumn id="15" name="13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4" t="s">
        <v>248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31.5" customHeight="1">
      <c r="A2" s="182" t="s">
        <v>4</v>
      </c>
      <c r="B2" s="182"/>
      <c r="C2" s="182"/>
      <c r="D2" s="182"/>
      <c r="E2" s="182"/>
      <c r="F2" s="183" t="s">
        <v>23</v>
      </c>
      <c r="G2" s="183"/>
      <c r="H2" s="183"/>
      <c r="I2" s="183"/>
      <c r="J2" s="18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6" t="s">
        <v>248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31.5" customHeight="1">
      <c r="A2" s="191" t="s">
        <v>4</v>
      </c>
      <c r="B2" s="192"/>
      <c r="C2" s="192"/>
      <c r="D2" s="192"/>
      <c r="E2" s="192"/>
      <c r="F2" s="192"/>
      <c r="G2" s="192"/>
      <c r="H2" s="192"/>
      <c r="I2" s="193"/>
      <c r="J2" s="194" t="s">
        <v>23</v>
      </c>
      <c r="K2" s="195"/>
      <c r="L2" s="195"/>
      <c r="M2" s="195"/>
      <c r="N2" s="195"/>
      <c r="O2" s="195"/>
      <c r="P2" s="196"/>
    </row>
    <row r="3" spans="1:16" ht="24" customHeight="1">
      <c r="A3" s="197" t="s">
        <v>0</v>
      </c>
      <c r="B3" s="199" t="s">
        <v>29</v>
      </c>
      <c r="C3" s="199" t="s">
        <v>3</v>
      </c>
      <c r="D3" s="199" t="s">
        <v>30</v>
      </c>
      <c r="E3" s="201" t="s">
        <v>5</v>
      </c>
      <c r="F3" s="202"/>
      <c r="G3" s="203"/>
      <c r="H3" s="201" t="s">
        <v>6</v>
      </c>
      <c r="I3" s="204"/>
      <c r="J3" s="205" t="s">
        <v>28</v>
      </c>
      <c r="K3" s="205" t="s">
        <v>32</v>
      </c>
      <c r="L3" s="187" t="s">
        <v>5</v>
      </c>
      <c r="M3" s="188"/>
      <c r="N3" s="189"/>
      <c r="O3" s="187" t="s">
        <v>6</v>
      </c>
      <c r="P3" s="190"/>
    </row>
    <row r="4" spans="1:16" ht="38.25" customHeight="1">
      <c r="A4" s="198"/>
      <c r="B4" s="200"/>
      <c r="C4" s="200"/>
      <c r="D4" s="20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6"/>
      <c r="K4" s="20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6" t="s">
        <v>249</v>
      </c>
      <c r="B1" s="186"/>
      <c r="C1" s="186"/>
      <c r="D1" s="186"/>
      <c r="E1" s="186"/>
      <c r="F1" s="186"/>
      <c r="G1" s="186"/>
      <c r="H1" s="186"/>
      <c r="I1" s="18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7" t="s">
        <v>250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</row>
    <row r="2" spans="1:18" ht="31.5" customHeight="1">
      <c r="A2" s="182" t="s">
        <v>59</v>
      </c>
      <c r="B2" s="182"/>
      <c r="C2" s="182"/>
      <c r="D2" s="182"/>
      <c r="E2" s="182" t="s">
        <v>58</v>
      </c>
      <c r="F2" s="182"/>
      <c r="G2" s="182"/>
      <c r="H2" s="182"/>
      <c r="I2" s="182"/>
      <c r="J2" s="182"/>
      <c r="K2" s="208" t="s">
        <v>52</v>
      </c>
      <c r="L2" s="208" t="s">
        <v>53</v>
      </c>
      <c r="M2" s="208" t="s">
        <v>38</v>
      </c>
      <c r="N2" s="208" t="s">
        <v>54</v>
      </c>
      <c r="O2" s="182" t="s">
        <v>60</v>
      </c>
      <c r="P2" s="182"/>
      <c r="Q2" s="182"/>
      <c r="R2" s="18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8"/>
      <c r="L3" s="208"/>
      <c r="M3" s="208"/>
      <c r="N3" s="20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21" t="s">
        <v>292</v>
      </c>
      <c r="B1" s="222"/>
      <c r="C1" s="222"/>
      <c r="D1" s="222"/>
      <c r="E1" s="222"/>
      <c r="F1" s="222"/>
      <c r="G1" s="222"/>
      <c r="H1" s="222"/>
    </row>
    <row r="2" spans="1:8" ht="15.75" customHeight="1">
      <c r="A2" s="226"/>
      <c r="B2" s="226"/>
      <c r="C2" s="226"/>
      <c r="D2" s="226"/>
      <c r="E2" s="226"/>
      <c r="F2" s="226"/>
      <c r="G2" s="226"/>
      <c r="H2" s="226"/>
    </row>
    <row r="3" spans="1:8" ht="27" customHeight="1">
      <c r="A3" s="223" t="s">
        <v>267</v>
      </c>
      <c r="B3" s="223"/>
      <c r="C3" s="223"/>
      <c r="D3" s="117"/>
      <c r="E3" s="223" t="s">
        <v>268</v>
      </c>
      <c r="F3" s="223"/>
      <c r="G3" s="223"/>
      <c r="H3" s="22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24" t="s">
        <v>283</v>
      </c>
      <c r="B18" s="224"/>
      <c r="C18" s="224"/>
      <c r="D18" s="119"/>
      <c r="E18" s="224" t="s">
        <v>284</v>
      </c>
      <c r="F18" s="224"/>
      <c r="G18" s="224"/>
      <c r="H18" s="224"/>
    </row>
    <row r="19" spans="1:8" ht="14.25" customHeight="1">
      <c r="A19" s="224"/>
      <c r="B19" s="224"/>
      <c r="C19" s="224"/>
      <c r="D19" s="118"/>
      <c r="E19" s="225" t="s">
        <v>269</v>
      </c>
      <c r="F19" s="225"/>
      <c r="G19" s="225" t="s">
        <v>270</v>
      </c>
      <c r="H19" s="22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19" t="s">
        <v>299</v>
      </c>
      <c r="B41" s="220"/>
      <c r="D41" s="117"/>
    </row>
    <row r="42" spans="1:8">
      <c r="A42" s="219"/>
      <c r="B42" s="22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49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1"/>
  <sheetViews>
    <sheetView topLeftCell="I1" workbookViewId="0">
      <selection activeCell="P33" sqref="P33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09" t="s">
        <v>115</v>
      </c>
      <c r="B1" s="209"/>
      <c r="D1" s="210" t="s">
        <v>116</v>
      </c>
      <c r="E1" s="210"/>
      <c r="G1" s="210" t="s">
        <v>111</v>
      </c>
      <c r="H1" s="210"/>
      <c r="I1" s="210"/>
      <c r="J1" s="210"/>
      <c r="L1" s="210" t="s">
        <v>106</v>
      </c>
      <c r="M1" s="210"/>
      <c r="N1" s="210"/>
      <c r="O1" s="210"/>
      <c r="P1" s="210"/>
      <c r="Q1" s="210"/>
      <c r="R1" s="210"/>
      <c r="T1" s="210" t="s">
        <v>112</v>
      </c>
      <c r="U1" s="210"/>
      <c r="W1" s="210" t="s">
        <v>103</v>
      </c>
      <c r="X1" s="210"/>
      <c r="Y1" s="210"/>
      <c r="Z1" s="210"/>
      <c r="AA1" s="210"/>
      <c r="AC1" s="210" t="s">
        <v>143</v>
      </c>
      <c r="AD1" s="210"/>
      <c r="AE1" s="210"/>
      <c r="AF1" s="210"/>
      <c r="AG1" s="210"/>
      <c r="AH1" s="210"/>
      <c r="AI1" s="210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11" t="s">
        <v>245</v>
      </c>
      <c r="BD1" s="211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385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386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386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386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cmp_f2ndfl_f6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386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382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386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366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386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367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386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367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386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386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386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386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386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386</v>
      </c>
      <c r="Q15" t="s">
        <v>126</v>
      </c>
      <c r="R15" t="s">
        <v>134</v>
      </c>
      <c r="T15" s="177" t="s">
        <v>364</v>
      </c>
      <c r="U15" s="177" t="s">
        <v>368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386</v>
      </c>
      <c r="Q16" t="s">
        <v>126</v>
      </c>
      <c r="R16" t="s">
        <v>134</v>
      </c>
      <c r="T16" s="177" t="s">
        <v>379</v>
      </c>
      <c r="U16" s="177" t="s">
        <v>381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386</v>
      </c>
      <c r="Q17" t="s">
        <v>126</v>
      </c>
      <c r="R17" t="s">
        <v>134</v>
      </c>
      <c r="T17" s="177" t="s">
        <v>379</v>
      </c>
      <c r="U17" s="177" t="s">
        <v>380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386</v>
      </c>
      <c r="Q18" t="s">
        <v>126</v>
      </c>
      <c r="R18" t="s">
        <v>134</v>
      </c>
      <c r="T18" s="177" t="s">
        <v>379</v>
      </c>
      <c r="U18" s="177" t="s">
        <v>382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386</v>
      </c>
      <c r="R19" t="s">
        <v>118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386</v>
      </c>
      <c r="Q20" t="s">
        <v>126</v>
      </c>
      <c r="R20" t="s">
        <v>134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386</v>
      </c>
      <c r="Q21" t="s">
        <v>126</v>
      </c>
      <c r="R21" t="s">
        <v>134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386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386</v>
      </c>
      <c r="Q23" t="s">
        <v>126</v>
      </c>
      <c r="R23" s="6" t="s">
        <v>304</v>
      </c>
    </row>
    <row r="24" spans="4:35">
      <c r="D24" s="177" t="s">
        <v>383</v>
      </c>
      <c r="E24" s="177" t="s">
        <v>379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386</v>
      </c>
      <c r="Q24" t="s">
        <v>126</v>
      </c>
      <c r="R24" t="s">
        <v>134</v>
      </c>
    </row>
    <row r="25" spans="4:35"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386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386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386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386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386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386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368</v>
      </c>
      <c r="M31" s="177" t="s">
        <v>190</v>
      </c>
      <c r="N31" s="177" t="s">
        <v>368</v>
      </c>
      <c r="O31" s="177" t="s">
        <v>128</v>
      </c>
      <c r="P31" s="177" t="s">
        <v>386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379</v>
      </c>
      <c r="M32" s="177" t="s">
        <v>379</v>
      </c>
      <c r="N32" s="177" t="s">
        <v>384</v>
      </c>
      <c r="O32" s="177" t="s">
        <v>128</v>
      </c>
      <c r="P32" s="177" t="s">
        <v>386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381</v>
      </c>
      <c r="M33" s="177" t="s">
        <v>190</v>
      </c>
      <c r="N33" s="177" t="s">
        <v>381</v>
      </c>
      <c r="O33" s="177" t="s">
        <v>128</v>
      </c>
      <c r="P33" s="177" t="s">
        <v>387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380</v>
      </c>
      <c r="M34" s="177" t="s">
        <v>190</v>
      </c>
      <c r="N34" s="177" t="s">
        <v>380</v>
      </c>
      <c r="O34" s="177" t="s">
        <v>128</v>
      </c>
      <c r="P34" s="177" t="s">
        <v>387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382</v>
      </c>
      <c r="M35" s="177" t="s">
        <v>190</v>
      </c>
      <c r="N35" s="177" t="s">
        <v>382</v>
      </c>
      <c r="O35" s="177" t="s">
        <v>128</v>
      </c>
      <c r="P35" s="177" t="s">
        <v>387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</row>
    <row r="37" spans="7:18">
      <c r="G37" s="6" t="s">
        <v>332</v>
      </c>
      <c r="H37" s="6" t="s">
        <v>105</v>
      </c>
      <c r="I37" s="6" t="s">
        <v>332</v>
      </c>
      <c r="J37" s="6"/>
    </row>
    <row r="38" spans="7:18">
      <c r="G38" s="6" t="s">
        <v>332</v>
      </c>
      <c r="H38" s="6" t="s">
        <v>104</v>
      </c>
      <c r="I38" s="6" t="s">
        <v>334</v>
      </c>
      <c r="J38" s="6"/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379</v>
      </c>
      <c r="H41" s="177" t="s">
        <v>104</v>
      </c>
      <c r="I41" s="177" t="s">
        <v>379</v>
      </c>
      <c r="J41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U4:U11 T3:T18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5">
      <formula1>INDIRECT("CreateModes[Code]")</formula1>
    </dataValidation>
    <dataValidation type="list" allowBlank="1" showInputMessage="1" showErrorMessage="1" sqref="R3:R35">
      <formula1>INDIRECT("ReportTypes[Code]")</formula1>
    </dataValidation>
    <dataValidation type="list" allowBlank="1" showInputMessage="1" showErrorMessage="1" sqref="Q3:Q35">
      <formula1>INDIRECT("Programs[Code]")</formula1>
    </dataValidation>
    <dataValidation type="list" allowBlank="1" showInputMessage="1" showErrorMessage="1" sqref="H3:H41">
      <formula1>INDIRECT("ActionTypes[Code]")</formula1>
    </dataValidation>
    <dataValidation type="list" allowBlank="1" showInputMessage="1" showErrorMessage="1" sqref="J3:J41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4" sqref="C4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383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/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15"/>
      <c r="B8" s="215"/>
      <c r="C8" s="215"/>
      <c r="D8" s="215"/>
      <c r="E8" s="215"/>
    </row>
    <row r="9" spans="1:6" ht="97.5" customHeight="1">
      <c r="A9" s="44"/>
      <c r="B9" s="216" t="s">
        <v>348</v>
      </c>
      <c r="C9" s="217"/>
      <c r="D9" s="217"/>
      <c r="E9" s="44"/>
    </row>
    <row r="10" spans="1:6" s="43" customFormat="1" ht="14.25" customHeight="1">
      <c r="A10" s="215"/>
      <c r="B10" s="215"/>
      <c r="C10" s="215"/>
      <c r="D10" s="215"/>
      <c r="E10" s="215"/>
    </row>
    <row r="11" spans="1:6" hidden="1">
      <c r="A11" s="212"/>
      <c r="B11" s="213"/>
      <c r="C11" s="213"/>
      <c r="D11" s="213"/>
      <c r="E11" s="214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7" t="s">
        <v>249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</row>
    <row r="2" spans="1:12" ht="44.25" customHeight="1">
      <c r="A2" s="218" t="s">
        <v>327</v>
      </c>
      <c r="B2" s="218"/>
      <c r="C2" s="218"/>
      <c r="D2" s="218" t="s">
        <v>58</v>
      </c>
      <c r="E2" s="218"/>
      <c r="F2" s="218" t="s">
        <v>62</v>
      </c>
      <c r="G2" s="218" t="s">
        <v>52</v>
      </c>
      <c r="H2" s="218" t="s">
        <v>328</v>
      </c>
      <c r="I2" s="218" t="s">
        <v>329</v>
      </c>
      <c r="J2" s="218" t="s">
        <v>3</v>
      </c>
      <c r="K2" s="218" t="s">
        <v>325</v>
      </c>
      <c r="L2" s="218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18"/>
      <c r="G3" s="218" t="s">
        <v>41</v>
      </c>
      <c r="H3" s="218" t="s">
        <v>325</v>
      </c>
      <c r="I3" s="218"/>
      <c r="J3" s="218"/>
      <c r="K3" s="218"/>
      <c r="L3" s="218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4" t="s">
        <v>251</v>
      </c>
      <c r="B1" s="184"/>
      <c r="C1" s="184"/>
      <c r="D1" s="18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7" t="s">
        <v>252</v>
      </c>
      <c r="B1" s="228"/>
      <c r="C1" s="228"/>
      <c r="D1" s="228"/>
      <c r="E1" s="228"/>
    </row>
    <row r="2" spans="1:6" ht="19.5" customHeight="1">
      <c r="A2" s="229" t="s">
        <v>181</v>
      </c>
      <c r="B2" s="230"/>
      <c r="C2" s="230"/>
      <c r="D2" s="230"/>
      <c r="E2" s="23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10" t="s">
        <v>185</v>
      </c>
      <c r="E8" s="210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10" t="s">
        <v>187</v>
      </c>
      <c r="E11" s="210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32" t="s">
        <v>253</v>
      </c>
      <c r="B1" s="233"/>
      <c r="C1" s="233"/>
      <c r="D1" s="233"/>
      <c r="E1" s="233"/>
      <c r="F1" s="233"/>
      <c r="G1" s="233"/>
      <c r="H1" s="23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39" t="s">
        <v>194</v>
      </c>
      <c r="F7" s="239"/>
      <c r="G7" s="239"/>
      <c r="H7" s="23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40" t="s">
        <v>200</v>
      </c>
      <c r="F11" s="240"/>
      <c r="G11" s="240"/>
      <c r="H11" s="240"/>
    </row>
    <row r="12" spans="1:8">
      <c r="C12" s="53"/>
      <c r="D12" s="85"/>
      <c r="E12" s="236" t="s">
        <v>201</v>
      </c>
      <c r="F12" s="237"/>
      <c r="G12" s="238"/>
      <c r="H12" s="23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3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35" t="s">
        <v>219</v>
      </c>
      <c r="B22" s="235"/>
      <c r="C22" s="235"/>
      <c r="D22" s="235"/>
      <c r="E22" s="235"/>
      <c r="F22" s="23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41" t="s">
        <v>254</v>
      </c>
      <c r="B1" s="241"/>
      <c r="C1" s="241"/>
      <c r="D1" s="241"/>
      <c r="E1" s="241"/>
      <c r="F1" s="241"/>
      <c r="G1" s="241"/>
      <c r="H1" s="241"/>
      <c r="I1" s="24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43" t="s">
        <v>263</v>
      </c>
      <c r="B1" s="244"/>
      <c r="C1" s="244"/>
      <c r="D1" s="244"/>
      <c r="E1" s="244"/>
      <c r="F1" s="244"/>
      <c r="G1" s="244"/>
      <c r="H1" s="244"/>
      <c r="I1" s="244"/>
    </row>
    <row r="2" spans="1:9" ht="15.75">
      <c r="A2" s="112"/>
    </row>
    <row r="3" spans="1:9" ht="31.5" customHeight="1">
      <c r="A3" s="242" t="s">
        <v>262</v>
      </c>
      <c r="B3" s="242"/>
      <c r="C3" s="242"/>
      <c r="D3" s="242"/>
      <c r="E3" s="242"/>
      <c r="F3" s="242"/>
      <c r="G3" s="242"/>
      <c r="H3" s="24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43" t="s">
        <v>263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16" ht="15.75">
      <c r="A2" s="112"/>
      <c r="F2" s="112"/>
      <c r="G2" s="112"/>
      <c r="H2" s="112"/>
      <c r="I2" s="112"/>
    </row>
    <row r="3" spans="1:16" ht="31.5" customHeight="1">
      <c r="A3" s="245" t="s">
        <v>262</v>
      </c>
      <c r="B3" s="245"/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47" t="s">
        <v>310</v>
      </c>
      <c r="L4" s="247"/>
      <c r="M4" s="247"/>
      <c r="N4" s="248" t="s">
        <v>311</v>
      </c>
      <c r="O4" s="249"/>
      <c r="P4" s="25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A12" sqref="A12:M12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41" t="s">
        <v>349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64"/>
    </row>
    <row r="4" spans="1:14" ht="37.5" customHeight="1">
      <c r="A4" s="258" t="s">
        <v>359</v>
      </c>
      <c r="B4" s="258"/>
      <c r="C4" s="258"/>
      <c r="D4" s="258"/>
      <c r="E4" s="258"/>
      <c r="F4" s="258"/>
      <c r="G4" s="258"/>
      <c r="H4" s="258"/>
      <c r="I4" s="258"/>
      <c r="J4" s="258"/>
      <c r="K4" s="258"/>
      <c r="L4" s="258"/>
      <c r="M4" s="258"/>
      <c r="N4" s="263"/>
    </row>
    <row r="5" spans="1:14" ht="33.75" customHeight="1">
      <c r="A5" s="259" t="s">
        <v>350</v>
      </c>
      <c r="B5" s="251" t="s">
        <v>353</v>
      </c>
      <c r="C5" s="252"/>
      <c r="D5" s="259" t="s">
        <v>329</v>
      </c>
      <c r="E5" s="259" t="s">
        <v>97</v>
      </c>
      <c r="F5" s="254" t="s">
        <v>1</v>
      </c>
      <c r="G5" s="254" t="s">
        <v>2</v>
      </c>
      <c r="H5" s="254" t="s">
        <v>82</v>
      </c>
      <c r="I5" s="251" t="s">
        <v>69</v>
      </c>
      <c r="J5" s="255"/>
      <c r="K5" s="252"/>
      <c r="L5" s="259" t="s">
        <v>354</v>
      </c>
      <c r="M5" s="261" t="s">
        <v>355</v>
      </c>
    </row>
    <row r="6" spans="1:14">
      <c r="A6" s="260"/>
      <c r="B6" s="257" t="s">
        <v>351</v>
      </c>
      <c r="C6" s="257"/>
      <c r="D6" s="260"/>
      <c r="E6" s="260"/>
      <c r="F6" s="257"/>
      <c r="G6" s="257"/>
      <c r="H6" s="257"/>
      <c r="I6" s="257" t="s">
        <v>351</v>
      </c>
      <c r="J6" s="257" t="s">
        <v>352</v>
      </c>
      <c r="K6" s="257" t="s">
        <v>362</v>
      </c>
      <c r="L6" s="260"/>
      <c r="M6" s="262"/>
    </row>
    <row r="7" spans="1:14">
      <c r="A7" s="109" t="s">
        <v>7</v>
      </c>
      <c r="B7" s="109" t="s">
        <v>8</v>
      </c>
      <c r="C7" s="109" t="s">
        <v>9</v>
      </c>
      <c r="D7" s="109" t="s">
        <v>10</v>
      </c>
      <c r="E7" s="109" t="s">
        <v>11</v>
      </c>
      <c r="F7" s="109" t="s">
        <v>12</v>
      </c>
      <c r="G7" s="109" t="s">
        <v>13</v>
      </c>
      <c r="H7" s="109" t="s">
        <v>14</v>
      </c>
      <c r="I7" s="109" t="s">
        <v>15</v>
      </c>
      <c r="J7" s="109" t="s">
        <v>16</v>
      </c>
      <c r="K7" s="109" t="s">
        <v>17</v>
      </c>
      <c r="L7" s="109" t="s">
        <v>18</v>
      </c>
      <c r="M7" s="109" t="s">
        <v>19</v>
      </c>
    </row>
    <row r="8" spans="1:14">
      <c r="A8" s="109" t="s">
        <v>360</v>
      </c>
      <c r="B8" s="109"/>
      <c r="C8" s="109"/>
      <c r="D8" s="253"/>
      <c r="E8" s="253"/>
      <c r="F8" s="256"/>
      <c r="G8" s="256"/>
      <c r="H8" s="256"/>
      <c r="I8" s="256"/>
      <c r="J8" s="256"/>
      <c r="K8" s="109"/>
      <c r="L8" s="109"/>
      <c r="M8" s="256"/>
    </row>
    <row r="9" spans="1:14">
      <c r="A9" s="109" t="s">
        <v>218</v>
      </c>
      <c r="B9" s="109"/>
      <c r="C9" s="109"/>
      <c r="D9" s="253"/>
      <c r="E9" s="253"/>
      <c r="F9" s="253"/>
      <c r="G9" s="253"/>
      <c r="H9" s="253"/>
      <c r="I9" s="253"/>
      <c r="J9" s="256"/>
      <c r="K9" s="109">
        <f>SUBTOTAL(109,[11])</f>
        <v>0</v>
      </c>
      <c r="L9" s="109"/>
    </row>
    <row r="12" spans="1:14" ht="37.5" customHeight="1">
      <c r="A12" s="258" t="s">
        <v>361</v>
      </c>
      <c r="B12" s="258"/>
      <c r="C12" s="258"/>
      <c r="D12" s="258"/>
      <c r="E12" s="258"/>
      <c r="F12" s="258"/>
      <c r="G12" s="258"/>
      <c r="H12" s="258"/>
      <c r="I12" s="258"/>
      <c r="J12" s="258"/>
      <c r="K12" s="258"/>
      <c r="L12" s="258"/>
      <c r="M12" s="258"/>
      <c r="N12" s="263"/>
    </row>
    <row r="13" spans="1:14" ht="33.75" customHeight="1">
      <c r="A13" s="259" t="s">
        <v>350</v>
      </c>
      <c r="B13" s="251" t="s">
        <v>353</v>
      </c>
      <c r="C13" s="252"/>
      <c r="D13" s="259" t="s">
        <v>329</v>
      </c>
      <c r="E13" s="259" t="s">
        <v>97</v>
      </c>
      <c r="F13" s="254" t="s">
        <v>1</v>
      </c>
      <c r="G13" s="254" t="s">
        <v>2</v>
      </c>
      <c r="H13" s="254" t="s">
        <v>82</v>
      </c>
      <c r="I13" s="251" t="s">
        <v>69</v>
      </c>
      <c r="J13" s="255"/>
      <c r="K13" s="252"/>
      <c r="L13" s="259" t="s">
        <v>354</v>
      </c>
      <c r="M13" s="261" t="s">
        <v>355</v>
      </c>
    </row>
    <row r="14" spans="1:14">
      <c r="A14" s="260"/>
      <c r="B14" s="257" t="s">
        <v>351</v>
      </c>
      <c r="C14" s="257"/>
      <c r="D14" s="260"/>
      <c r="E14" s="260"/>
      <c r="F14" s="257"/>
      <c r="G14" s="257"/>
      <c r="H14" s="257"/>
      <c r="I14" s="257" t="s">
        <v>351</v>
      </c>
      <c r="J14" s="257" t="s">
        <v>352</v>
      </c>
      <c r="K14" s="257" t="s">
        <v>362</v>
      </c>
      <c r="L14" s="260"/>
      <c r="M14" s="262"/>
    </row>
    <row r="15" spans="1:14">
      <c r="A15" s="109" t="s">
        <v>7</v>
      </c>
      <c r="B15" s="109" t="s">
        <v>8</v>
      </c>
      <c r="C15" s="109" t="s">
        <v>9</v>
      </c>
      <c r="D15" s="109" t="s">
        <v>10</v>
      </c>
      <c r="E15" s="109" t="s">
        <v>11</v>
      </c>
      <c r="F15" s="109" t="s">
        <v>12</v>
      </c>
      <c r="G15" s="109" t="s">
        <v>13</v>
      </c>
      <c r="H15" s="109" t="s">
        <v>14</v>
      </c>
      <c r="I15" s="109" t="s">
        <v>15</v>
      </c>
      <c r="J15" s="109" t="s">
        <v>16</v>
      </c>
      <c r="K15" s="109" t="s">
        <v>17</v>
      </c>
      <c r="L15" s="109" t="s">
        <v>18</v>
      </c>
      <c r="M15" s="109" t="s">
        <v>19</v>
      </c>
    </row>
    <row r="16" spans="1:14">
      <c r="A16" s="109" t="s">
        <v>368</v>
      </c>
      <c r="B16" s="109"/>
      <c r="C16" s="109"/>
      <c r="D16" s="253"/>
      <c r="E16" s="253"/>
      <c r="F16" s="256"/>
      <c r="G16" s="256"/>
      <c r="H16" s="256"/>
      <c r="I16" s="256"/>
      <c r="J16" s="256"/>
      <c r="K16" s="109"/>
      <c r="L16" s="109"/>
      <c r="M16" s="256"/>
    </row>
    <row r="17" spans="1:14">
      <c r="A17" s="109" t="s">
        <v>218</v>
      </c>
      <c r="B17" s="109"/>
      <c r="C17" s="109"/>
      <c r="D17" s="253"/>
      <c r="E17" s="253"/>
      <c r="F17" s="253"/>
      <c r="G17" s="253"/>
      <c r="H17" s="253"/>
      <c r="I17" s="253"/>
      <c r="J17" s="256"/>
      <c r="K17" s="109">
        <f>SUBTOTAL(109,[11])</f>
        <v>0</v>
      </c>
      <c r="L17" s="109"/>
    </row>
    <row r="18" spans="1:14">
      <c r="A18" s="109"/>
      <c r="B18" s="109"/>
      <c r="C18" s="109"/>
      <c r="D18" s="253"/>
      <c r="E18" s="253"/>
      <c r="F18" s="253"/>
      <c r="G18" s="253"/>
      <c r="H18" s="253"/>
      <c r="I18" s="253"/>
      <c r="J18" s="256"/>
      <c r="K18" s="109"/>
      <c r="L18" s="109"/>
    </row>
    <row r="20" spans="1:14" ht="37.5" customHeight="1">
      <c r="A20" s="258" t="s">
        <v>358</v>
      </c>
      <c r="B20" s="258"/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63"/>
    </row>
    <row r="21" spans="1:14" ht="33.75" customHeight="1">
      <c r="A21" s="259" t="s">
        <v>350</v>
      </c>
      <c r="B21" s="251" t="s">
        <v>353</v>
      </c>
      <c r="C21" s="252"/>
      <c r="D21" s="259" t="s">
        <v>329</v>
      </c>
      <c r="E21" s="259" t="s">
        <v>97</v>
      </c>
      <c r="F21" s="254" t="s">
        <v>1</v>
      </c>
      <c r="G21" s="254" t="s">
        <v>2</v>
      </c>
      <c r="H21" s="254" t="s">
        <v>82</v>
      </c>
      <c r="I21" s="251" t="s">
        <v>69</v>
      </c>
      <c r="J21" s="255"/>
      <c r="K21" s="252"/>
      <c r="L21" s="259" t="s">
        <v>354</v>
      </c>
      <c r="M21" s="261" t="s">
        <v>355</v>
      </c>
    </row>
    <row r="22" spans="1:14">
      <c r="A22" s="260"/>
      <c r="B22" s="257" t="s">
        <v>351</v>
      </c>
      <c r="C22" s="257" t="s">
        <v>352</v>
      </c>
      <c r="D22" s="260"/>
      <c r="E22" s="260"/>
      <c r="F22" s="257"/>
      <c r="G22" s="257"/>
      <c r="H22" s="257"/>
      <c r="I22" s="257" t="s">
        <v>351</v>
      </c>
      <c r="J22" s="257" t="s">
        <v>352</v>
      </c>
      <c r="K22" s="257" t="s">
        <v>362</v>
      </c>
      <c r="L22" s="260"/>
      <c r="M22" s="262"/>
    </row>
    <row r="23" spans="1:14">
      <c r="A23" s="109" t="s">
        <v>7</v>
      </c>
      <c r="B23" s="109" t="s">
        <v>8</v>
      </c>
      <c r="C23" s="109" t="s">
        <v>9</v>
      </c>
      <c r="D23" s="109" t="s">
        <v>10</v>
      </c>
      <c r="E23" s="109" t="s">
        <v>11</v>
      </c>
      <c r="F23" s="109" t="s">
        <v>12</v>
      </c>
      <c r="G23" s="109" t="s">
        <v>13</v>
      </c>
      <c r="H23" s="109" t="s">
        <v>14</v>
      </c>
      <c r="I23" s="109" t="s">
        <v>15</v>
      </c>
      <c r="J23" s="109" t="s">
        <v>16</v>
      </c>
      <c r="K23" s="109" t="s">
        <v>17</v>
      </c>
      <c r="L23" s="109" t="s">
        <v>18</v>
      </c>
      <c r="M23" s="109" t="s">
        <v>19</v>
      </c>
    </row>
    <row r="24" spans="1:14">
      <c r="A24" s="109" t="s">
        <v>357</v>
      </c>
      <c r="B24" s="109"/>
      <c r="C24" s="109"/>
      <c r="D24" s="253"/>
      <c r="E24" s="253"/>
      <c r="F24" s="256"/>
      <c r="G24" s="256"/>
      <c r="H24" s="256"/>
      <c r="I24" s="256"/>
      <c r="J24" s="256"/>
      <c r="K24" s="109"/>
      <c r="L24" s="109"/>
      <c r="M24" s="256"/>
    </row>
    <row r="25" spans="1:14">
      <c r="A25" s="109" t="s">
        <v>218</v>
      </c>
      <c r="B25" s="109"/>
      <c r="C25" s="109"/>
      <c r="D25" s="253"/>
      <c r="E25" s="253"/>
      <c r="F25" s="253"/>
      <c r="G25" s="253"/>
      <c r="H25" s="253"/>
      <c r="I25" s="253"/>
      <c r="J25" s="256"/>
      <c r="K25" s="109">
        <f>SUBTOTAL(109,[11])</f>
        <v>0</v>
      </c>
      <c r="L25" s="109"/>
    </row>
  </sheetData>
  <mergeCells count="25">
    <mergeCell ref="A5:A6"/>
    <mergeCell ref="B5:C5"/>
    <mergeCell ref="D5:D6"/>
    <mergeCell ref="E5:E6"/>
    <mergeCell ref="I5:K5"/>
    <mergeCell ref="L5:L6"/>
    <mergeCell ref="M5:M6"/>
    <mergeCell ref="A4:M4"/>
    <mergeCell ref="A13:A14"/>
    <mergeCell ref="A20:M20"/>
    <mergeCell ref="A21:A22"/>
    <mergeCell ref="B21:C21"/>
    <mergeCell ref="D21:D22"/>
    <mergeCell ref="E21:E22"/>
    <mergeCell ref="I21:K21"/>
    <mergeCell ref="L21:L22"/>
    <mergeCell ref="D13:D14"/>
    <mergeCell ref="E13:E14"/>
    <mergeCell ref="M21:M22"/>
    <mergeCell ref="B13:C13"/>
    <mergeCell ref="I13:K13"/>
    <mergeCell ref="A12:M12"/>
    <mergeCell ref="A1:M1"/>
    <mergeCell ref="L13:L14"/>
    <mergeCell ref="M13:M14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30" zoomScaleNormal="130" workbookViewId="0">
      <selection activeCell="B9" sqref="B9:D9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41" t="s">
        <v>369</v>
      </c>
      <c r="B1" s="241"/>
      <c r="C1" s="241"/>
      <c r="D1" s="241"/>
      <c r="E1" s="241"/>
      <c r="F1" s="264"/>
      <c r="G1" s="264"/>
      <c r="H1" s="264"/>
      <c r="I1" s="264"/>
      <c r="J1" s="264"/>
      <c r="K1" s="264"/>
      <c r="L1" s="264"/>
      <c r="M1" s="264"/>
      <c r="N1" s="264"/>
    </row>
    <row r="3" spans="1:14">
      <c r="A3" s="285" t="s">
        <v>370</v>
      </c>
      <c r="B3" s="285"/>
      <c r="C3" s="285" t="s">
        <v>371</v>
      </c>
      <c r="D3" s="285" t="s">
        <v>372</v>
      </c>
      <c r="E3" s="285" t="s">
        <v>356</v>
      </c>
    </row>
    <row r="4" spans="1:14" ht="30" customHeight="1">
      <c r="A4" s="265" t="s">
        <v>373</v>
      </c>
      <c r="B4" s="265"/>
      <c r="C4" s="267" t="s">
        <v>381</v>
      </c>
      <c r="D4" s="267"/>
      <c r="E4" s="267"/>
    </row>
    <row r="5" spans="1:14">
      <c r="A5" s="266" t="s">
        <v>374</v>
      </c>
      <c r="B5" s="266"/>
      <c r="C5" s="267"/>
      <c r="D5" s="267"/>
      <c r="E5" s="267"/>
    </row>
    <row r="6" spans="1:14">
      <c r="A6" s="266" t="s">
        <v>375</v>
      </c>
      <c r="B6" s="266"/>
      <c r="C6" s="267"/>
      <c r="D6" s="268"/>
      <c r="E6" s="267"/>
    </row>
    <row r="7" spans="1:14">
      <c r="A7" s="287"/>
      <c r="B7" s="288"/>
      <c r="C7" s="284"/>
      <c r="D7" s="284"/>
      <c r="E7" s="284"/>
    </row>
    <row r="8" spans="1:14">
      <c r="A8" s="289" t="s">
        <v>376</v>
      </c>
      <c r="B8" s="289"/>
      <c r="C8" s="289"/>
      <c r="D8" s="289"/>
      <c r="E8" s="289"/>
    </row>
    <row r="9" spans="1:14">
      <c r="A9" s="286" t="s">
        <v>370</v>
      </c>
      <c r="B9" s="286" t="s">
        <v>79</v>
      </c>
      <c r="C9" s="286" t="s">
        <v>371</v>
      </c>
      <c r="D9" s="286" t="s">
        <v>372</v>
      </c>
      <c r="E9" s="286" t="s">
        <v>356</v>
      </c>
    </row>
    <row r="10" spans="1:14">
      <c r="A10" s="272" t="s">
        <v>1</v>
      </c>
      <c r="B10" s="273">
        <v>13</v>
      </c>
      <c r="C10" s="274" t="s">
        <v>380</v>
      </c>
      <c r="D10" s="275"/>
      <c r="E10" s="276"/>
    </row>
    <row r="11" spans="1:14">
      <c r="A11" s="266" t="s">
        <v>81</v>
      </c>
      <c r="B11" s="277">
        <v>13</v>
      </c>
      <c r="C11" s="278"/>
      <c r="D11" s="279"/>
      <c r="E11" s="280"/>
    </row>
    <row r="12" spans="1:14">
      <c r="A12" s="266" t="s">
        <v>82</v>
      </c>
      <c r="B12" s="277">
        <v>13</v>
      </c>
      <c r="C12" s="278"/>
      <c r="D12" s="279"/>
      <c r="E12" s="280"/>
    </row>
    <row r="13" spans="1:14">
      <c r="A13" s="266" t="s">
        <v>69</v>
      </c>
      <c r="B13" s="277">
        <v>13</v>
      </c>
      <c r="C13" s="278"/>
      <c r="D13" s="267"/>
      <c r="E13" s="280"/>
    </row>
    <row r="14" spans="1:14">
      <c r="A14" s="272" t="s">
        <v>1</v>
      </c>
      <c r="B14" s="273">
        <v>30</v>
      </c>
      <c r="C14" s="274"/>
      <c r="D14" s="275"/>
      <c r="E14" s="281"/>
    </row>
    <row r="15" spans="1:14">
      <c r="A15" s="266" t="s">
        <v>81</v>
      </c>
      <c r="B15" s="277">
        <v>30</v>
      </c>
      <c r="C15" s="278"/>
      <c r="D15" s="279"/>
      <c r="E15" s="280"/>
    </row>
    <row r="16" spans="1:14">
      <c r="A16" s="266" t="s">
        <v>82</v>
      </c>
      <c r="B16" s="277">
        <v>30</v>
      </c>
      <c r="C16" s="278"/>
      <c r="D16" s="279"/>
      <c r="E16" s="280"/>
    </row>
    <row r="17" spans="1:5">
      <c r="A17" s="266" t="s">
        <v>69</v>
      </c>
      <c r="B17" s="277">
        <v>30</v>
      </c>
      <c r="C17" s="278"/>
      <c r="D17" s="267"/>
      <c r="E17" s="280"/>
    </row>
    <row r="18" spans="1:5">
      <c r="A18" s="253"/>
      <c r="B18" s="253"/>
      <c r="C18" s="253"/>
      <c r="D18" s="253"/>
      <c r="E18" s="253"/>
    </row>
    <row r="19" spans="1:5">
      <c r="A19" s="269" t="s">
        <v>388</v>
      </c>
      <c r="B19" s="270"/>
      <c r="C19" s="270"/>
      <c r="D19" s="270"/>
      <c r="E19" s="271"/>
    </row>
    <row r="20" spans="1:5">
      <c r="A20" s="286"/>
      <c r="B20" s="291"/>
      <c r="C20" s="291" t="s">
        <v>377</v>
      </c>
      <c r="D20" s="286" t="s">
        <v>378</v>
      </c>
      <c r="E20" s="286" t="s">
        <v>293</v>
      </c>
    </row>
    <row r="21" spans="1:5">
      <c r="A21" s="266" t="s">
        <v>389</v>
      </c>
      <c r="B21" s="267"/>
      <c r="C21" s="267" t="s">
        <v>382</v>
      </c>
      <c r="D21" s="267"/>
      <c r="E21" s="267" t="e">
        <f>C21+D21</f>
        <v>#VALUE!</v>
      </c>
    </row>
    <row r="22" spans="1:5">
      <c r="A22" s="282">
        <v>83</v>
      </c>
      <c r="B22" s="267"/>
      <c r="C22" s="267"/>
      <c r="D22" s="279"/>
      <c r="E22" s="267">
        <f>C22+D22</f>
        <v>0</v>
      </c>
    </row>
    <row r="23" spans="1:5">
      <c r="A23" s="283"/>
      <c r="B23" s="283"/>
      <c r="C23" s="292" t="e">
        <f>C21+C22</f>
        <v>#VALUE!</v>
      </c>
      <c r="D23" s="292">
        <f>D21+D22</f>
        <v>0</v>
      </c>
      <c r="E23" s="290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cmp_f2ndfl_pers</vt:lpstr>
      <vt:lpstr>cmp_f2ndfl_f6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2018-01-20T13:44:40Z</dcterms:modified>
</cp:coreProperties>
</file>