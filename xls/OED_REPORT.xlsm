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30.xml" ContentType="application/vnd.openxmlformats-officedocument.spreadsheetml.table+xml"/>
  <Override PartName="/xl/drawings/drawing4.xml" ContentType="application/vnd.openxmlformats-officedocument.drawing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6" activeTab="16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dv_sr_detail_report" sheetId="404" state="hidden" r:id="rId6"/>
    <sheet name="f2_vych_diff_periods" sheetId="403" state="hidden" r:id="rId7"/>
    <sheet name="f2_vych_diff_amounts" sheetId="400" state="hidden" r:id="rId8"/>
    <sheet name="f2_load_vych_errors" sheetId="321" state="hidden" r:id="rId9"/>
    <sheet name="f2_arh_spravki_errors" sheetId="298" state="hidden" r:id="rId10"/>
    <sheet name="f2_arh_batch_xml_head" sheetId="297" state="hidden" r:id="rId11"/>
    <sheet name="f2_ndfl_nalplat_pers" sheetId="295" state="hidden" r:id="rId12"/>
    <sheet name="f2_enumarate_error" sheetId="320" state="hidden" r:id="rId13"/>
    <sheet name="f2_load_vych_person" sheetId="332" state="hidden" r:id="rId14"/>
    <sheet name="Settings" sheetId="103" state="hidden" r:id="rId15"/>
    <sheet name="cmp_f2ndfl_pers" sheetId="284" state="hidden" r:id="rId16"/>
    <sheet name="Отчеты" sheetId="6" r:id="rId17"/>
    <sheet name="f2_amount_errors" sheetId="299" state="hidden" r:id="rId18"/>
    <sheet name="synch_error_report" sheetId="283" state="hidden" r:id="rId19"/>
    <sheet name="ndfl6_part2" sheetId="249" state="hidden" r:id="rId20"/>
    <sheet name="ndfl6_part1_general" sheetId="71" state="hidden" r:id="rId21"/>
    <sheet name="ndfl6_part1_rates" sheetId="69" state="hidden" r:id="rId22"/>
    <sheet name="funds_employees" sheetId="73" state="hidden" r:id="rId23"/>
    <sheet name="funds_employees_report" sheetId="123" state="hidden" r:id="rId24"/>
    <sheet name="ndfl6_part1" sheetId="248" state="hidden" r:id="rId25"/>
    <sheet name="f2_ndfl_person_report" sheetId="474" state="hidden" r:id="rId26"/>
    <sheet name="tax_diff_report" sheetId="271" state="hidden" r:id="rId27"/>
    <sheet name="tax_diff_det_report" sheetId="282" state="hidden" r:id="rId28"/>
    <sheet name="cmp_f2ndfl_f6" sheetId="294" state="hidden" r:id="rId29"/>
  </sheets>
  <functionGroups/>
  <externalReferences>
    <externalReference r:id="rId30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25">f2_ndfl_person_report!$B$4</definedName>
    <definedName name="FIO">dv_sr_detail_report!$B$4</definedName>
    <definedName name="GF_PERSON" localSheetId="25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4">Settings!$B$16</definedName>
    <definedName name="report_year" localSheetId="14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7">[1]Отчеты!$C$2</definedName>
    <definedName name="ReportSelected" localSheetId="10">[1]Отчеты!$C$2</definedName>
    <definedName name="ReportSelected" localSheetId="9">[1]Отчеты!$C$2</definedName>
    <definedName name="ReportSelected" localSheetId="8">[1]Отчеты!$C$2</definedName>
    <definedName name="ReportSelected" localSheetId="13">[1]Отчеты!$C$2</definedName>
    <definedName name="ReportSelected" localSheetId="11">[1]Отчеты!$C$2</definedName>
    <definedName name="ReportSelected" localSheetId="7">[1]Отчеты!$C$2</definedName>
    <definedName name="ReportSelected" localSheetId="6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P3" i="282" l="1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<sst xmlns="http://schemas.openxmlformats.org/spreadsheetml/2006/main" count="1810" uniqueCount="579">
  <si>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</si>
  <si>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</si>
  <si>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</si>
  <si>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</si>
  <si>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</si>
  <si>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</si>
  <si>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</si>
  <si>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</si>
  <si>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</si>
  <si>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</si>
  <si>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</si>
  <si>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</si>
  <si>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</si>
  <si>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</si>
  <si>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</si>
  <si>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</si>
  <si>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</si>
  <si>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</si>
  <si>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</si>
  <si>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</si>
  <si>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</si>
  <si>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</si>
  <si>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</si>
  <si>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</si>
  <si>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</si>
  <si>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</si>
  <si>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</si>
  <si>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</si>
  <si>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</si>
  <si>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</si>
  <si>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</si>
  <si>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</si>
  <si>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</si>
  <si>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</si>
  <si>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</si>
  <si>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</si>
  <si>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</si>
  <si>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</si>
  <si>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</si>
  <si>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</si>
  <si>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</si>
  <si>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</si>
  <si>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</si>
  <si>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</si>
  <si>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</si>
  <si>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</si>
  <si>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</si>
  <si>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</si>
  <si>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</si>
  <si>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</si>
  <si>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</si>
  <si>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</si>
  <si>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</si>
  <si>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</si>
  <si>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</si>
  <si>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</si>
  <si>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</si>
  <si>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</si>
  <si>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</si>
  <si>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</si>
  <si>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</si>
  <si>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</si>
  <si>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</si>
  <si>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</si>
  <si>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</si>
  <si>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</si>
  <si>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</si>
  <si>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</si>
  <si>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</si>
  <si>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</si>
  <si>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</si>
  <si>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</si>
  <si>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</si>
  <si>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</si>
  <si>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</si>
  <si>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</si>
  <si>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</si>
  <si>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</si>
  <si>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</si>
  <si>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</si>
  <si>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</si>
  <si>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</si>
  <si>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</si>
  <si>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</si>
  <si>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</si>
  <si>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</si>
  <si>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</si>
  <si>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</si>
  <si>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</si>
  <si>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</si>
  <si>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</si>
  <si>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</si>
  <si>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</si>
  <si>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</si>
  <si>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</si>
  <si>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</si>
  <si>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</si>
  <si>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</si>
  <si>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</si>
  <si>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</si>
  <si>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</si>
  <si>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</si>
  <si>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</si>
  <si>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</si>
  <si>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</si>
  <si>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</si>
  <si>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</si>
  <si>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</si>
  <si>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</si>
  <si>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</si>
  <si>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</si>
  <si>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</si>
  <si>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</si>
  <si>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</si>
  <si>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</si>
  <si>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</si>
  <si>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</si>
  <si>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</si>
  <si>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</si>
  <si>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</si>
  <si>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</si>
  <si>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</si>
  <si>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</si>
  <si>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</si>
  <si>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</si>
  <si>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</si>
  <si>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</si>
  <si>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</si>
  <si>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</si>
  <si>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</si>
  <si>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</si>
  <si>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</si>
  <si>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</si>
  <si>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</si>
  <si>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</si>
  <si>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</si>
  <si>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</si>
  <si>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</si>
  <si>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</si>
  <si>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</si>
  <si>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</si>
  <si>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</si>
  <si>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</si>
  <si>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</si>
  <si>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</si>
  <si>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</si>
  <si>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</si>
  <si>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</si>
  <si>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</si>
  <si>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</si>
  <si>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</si>
  <si>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</si>
  <si>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</si>
  <si>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</si>
  <si>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</si>
  <si>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</si>
  <si>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</si>
  <si>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</si>
  <si>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</si>
  <si>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</si>
  <si>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</si>
  <si>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</si>
  <si>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</si>
  <si>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</si>
  <si>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</si>
  <si>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</si>
  <si>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</si>
  <si>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</si>
  <si>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</si>
  <si>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</si>
  <si>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</si>
  <si>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</si>
  <si>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</si>
  <si>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</si>
  <si>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</si>
  <si>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</si>
  <si>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</si>
  <si>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</si>
  <si>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</si>
  <si>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</si>
  <si>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</si>
  <si>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</si>
  <si>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</si>
  <si>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</si>
  <si>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</si>
  <si>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</si>
  <si>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</si>
  <si>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</si>
  <si>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</si>
  <si>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</si>
  <si>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</si>
  <si>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</si>
  <si>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</si>
  <si>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</si>
  <si>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</si>
  <si>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</si>
  <si>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</si>
  <si>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</si>
  <si>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</si>
  <si>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</si>
  <si>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</si>
  <si>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</si>
  <si>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</si>
  <si>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</si>
  <si>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</si>
  <si>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</si>
  <si>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</si>
  <si>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</si>
  <si>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</si>
  <si>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</si>
  <si>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</si>
  <si>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</si>
  <si>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</si>
  <si>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</si>
  <si>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</si>
  <si>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</si>
  <si>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</si>
  <si>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</si>
  <si>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</si>
  <si>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</si>
  <si>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</si>
  <si>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</si>
  <si>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</si>
  <si>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</si>
  <si>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</si>
  <si>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</si>
  <si>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</si>
  <si>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</si>
  <si>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</si>
  <si>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</si>
  <si>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</si>
  <si>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</si>
  <si>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</si>
  <si>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</si>
  <si>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</si>
  <si>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</si>
  <si>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</si>
  <si>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</si>
  <si>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</si>
  <si>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</si>
  <si>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</si>
  <si>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</si>
  <si>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</si>
  <si>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</si>
  <si>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</si>
  <si>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</si>
  <si>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</si>
  <si>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</si>
  <si>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</si>
  <si>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</si>
  <si>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</si>
  <si>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</si>
  <si>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</si>
  <si>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</si>
  <si>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</si>
  <si>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</si>
  <si>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</si>
  <si>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</si>
  <si>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</si>
  <si>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</si>
  <si>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</si>
  <si>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</si>
  <si>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</si>
  <si>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</si>
  <si>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</si>
  <si>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</si>
  <si>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</si>
  <si>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</si>
  <si>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</si>
  <si>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</si>
  <si>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</si>
  <si>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</si>
  <si>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</si>
  <si>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</si>
  <si>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</si>
  <si>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</si>
  <si>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</si>
  <si>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</si>
  <si>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</si>
  <si>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</si>
  <si>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</si>
  <si>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</si>
  <si>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</si>
  <si>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</si>
  <si>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</si>
  <si>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</si>
  <si>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</si>
  <si>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</si>
  <si>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</si>
  <si>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</si>
  <si>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</si>
  <si>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</si>
  <si>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</si>
  <si>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</si>
  <si>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</si>
  <si>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</si>
  <si>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</si>
  <si>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</si>
  <si>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</si>
  <si>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</si>
  <si>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</si>
  <si>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</si>
  <si>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</si>
  <si>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</si>
  <si>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</si>
  <si>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</si>
  <si>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</si>
  <si>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</si>
  <si>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</si>
  <si>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</si>
  <si>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</si>
  <si>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</si>
  <si>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</si>
  <si>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</si>
  <si>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</si>
  <si>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</si>
  <si>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</si>
  <si>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</si>
  <si>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</si>
  <si>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</si>
  <si>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</si>
  <si>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</si>
  <si>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</si>
  <si>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</si>
  <si>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</si>
  <si>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</si>
  <si>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</si>
  <si>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</si>
  <si>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</si>
  <si>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</si>
  <si>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</si>
  <si>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</si>
  <si>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</si>
  <si>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</si>
  <si>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</si>
  <si>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</si>
  <si>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</si>
  <si>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</si>
  <si>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</si>
  <si>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</si>
  <si>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</si>
  <si>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</si>
  <si>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</si>
  <si>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</si>
  <si>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</si>
  <si>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</si>
  <si>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</si>
  <si>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</si>
  <si>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</si>
  <si>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</si>
  <si>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</si>
  <si>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</si>
  <si>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</si>
  <si>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</si>
  <si>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</si>
  <si>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</si>
  <si>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</si>
  <si>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</si>
  <si>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</si>
  <si>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</si>
  <si>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</si>
  <si>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</si>
  <si>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</si>
  <si>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</si>
  <si>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</si>
  <si>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</si>
  <si>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</si>
  <si>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</si>
  <si>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</si>
  <si>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</si>
  <si>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</si>
  <si>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</si>
  <si>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</si>
  <si>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</si>
  <si>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</si>
  <si>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</si>
  <si>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</si>
  <si>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</si>
  <si>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</si>
  <si>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</si>
  <si>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</si>
  <si>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</si>
  <si>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</si>
  <si>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</si>
  <si>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</si>
  <si>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</si>
  <si>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</si>
  <si>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</si>
  <si>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</si>
  <si>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</si>
  <si>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</si>
  <si>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</si>
  <si>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</si>
  <si>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</si>
  <si>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</si>
  <si>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</si>
  <si>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</si>
  <si>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</si>
  <si>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</si>
  <si>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</si>
  <si>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</si>
  <si>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</si>
  <si>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</si>
  <si>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</si>
  <si>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</si>
  <si>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</si>
  <si>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</si>
  <si>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</si>
  <si>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</si>
  <si>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</si>
  <si>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</si>
  <si>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</si>
  <si>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</si>
  <si>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</si>
  <si>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</si>
  <si>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</si>
  <si>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</si>
  <si>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</si>
  <si>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</si>
  <si>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</si>
  <si>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</si>
  <si>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</si>
  <si>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</si>
  <si>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</si>
  <si>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</si>
  <si>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</si>
  <si>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</si>
  <si>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</si>
  <si>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</si>
  <si>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</si>
  <si>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t>FND
SSYLKA</t>
  </si>
  <si>
    <t>Дата
рождения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</si>
  <si>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</si>
  <si>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</si>
  <si>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</si>
  <si>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</si>
  <si>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</si>
  <si>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</si>
  <si>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</si>
  <si>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</si>
  <si>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</si>
  <si>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</si>
  <si>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</si>
  <si>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</si>
  <si>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</si>
  <si>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</si>
  <si>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</si>
  <si>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</si>
  <si>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</si>
  <si>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</si>
  <si>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</si>
  <si>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</si>
  <si>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</si>
  <si>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</si>
  <si>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</si>
  <si>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</si>
  <si>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</si>
  <si>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</si>
  <si>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</si>
  <si>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</si>
  <si>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</si>
  <si>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</si>
  <si>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</si>
  <si>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</si>
  <si>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</si>
  <si>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</si>
  <si>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</si>
  <si>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</si>
  <si>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</si>
  <si>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</si>
  <si>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</si>
  <si>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</si>
  <si>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</si>
  <si>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</si>
  <si>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</si>
  <si>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</si>
  <si>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</si>
  <si>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</si>
  <si>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</si>
  <si>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</si>
  <si>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</si>
  <si>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</si>
  <si>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</si>
  <si>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</si>
  <si>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</si>
  <si>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</si>
  <si>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</si>
  <si>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</si>
  <si>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</si>
  <si>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</si>
  <si>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</si>
  <si>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</si>
  <si>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</si>
  <si>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</si>
  <si>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</si>
  <si>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</si>
  <si>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</si>
  <si>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</si>
  <si>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</si>
  <si>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</si>
  <si>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</si>
  <si>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</si>
  <si>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</si>
  <si>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</si>
  <si>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</si>
  <si>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</si>
  <si>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</si>
  <si>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</si>
  <si>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</si>
  <si>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</si>
  <si>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</si>
  <si>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</si>
  <si>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</si>
  <si>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</si>
  <si>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</si>
  <si>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</si>
  <si>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</si>
  <si>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</si>
  <si>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</si>
  <si>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</si>
  <si>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</si>
  <si>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</si>
  <si>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</si>
  <si>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</si>
  <si>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</si>
  <si>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</si>
  <si>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</si>
  <si>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</si>
  <si>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</si>
  <si>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</si>
  <si>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</si>
  <si>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</si>
  <si>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</si>
  <si>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</si>
  <si>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</si>
  <si>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</si>
  <si>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</si>
  <si>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</si>
  <si>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</si>
  <si>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</si>
  <si>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</si>
  <si>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</si>
  <si>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</si>
  <si>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</si>
  <si>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</si>
  <si>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</si>
  <si>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</si>
  <si>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</si>
  <si>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</si>
  <si>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</si>
  <si>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</si>
  <si>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</si>
  <si>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</si>
  <si>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</si>
  <si>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</si>
  <si>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</si>
  <si>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</si>
  <si>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</si>
  <si>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</si>
  <si>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</si>
  <si>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</si>
  <si>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</si>
  <si>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</si>
  <si>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</si>
  <si>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2НДФЛ Файлы XML</t>
  </si>
  <si>
    <t>p_actual_date</t>
  </si>
  <si>
    <t>f2_amount_errors</t>
  </si>
  <si>
    <t>2НДФЛ Ошибки суммовых показателей</t>
  </si>
  <si>
    <r>
      <rPr>
        <b/>
        <sz val="13"/>
        <color theme="1"/>
        <rFont val="Calibri"/>
        <family val="2"/>
        <charset val="204"/>
        <scheme val="minor"/>
      </rPr>
      <t>Ошибки в суммовых показателях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</si>
  <si>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№ коррекции</t>
  </si>
  <si>
    <t>ID справки</t>
  </si>
  <si>
    <t>Код показателя</t>
  </si>
  <si>
    <t>2НДФЛ Ошибки сумм</t>
  </si>
  <si>
    <t>01.01.2018</t>
  </si>
  <si>
    <t>31.01.2018</t>
  </si>
  <si>
    <t>Disabled</t>
  </si>
  <si>
    <t>LOAD</t>
  </si>
  <si>
    <t>ARH</t>
  </si>
  <si>
    <t>DOCS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</si>
</sst>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4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 diagonalUp="1" diagonalDown="1">
      <left/>
      <right/>
      <top/>
      <bottom/>
      <diagonal style="thin">
        <color auto="1"/>
      </diagonal>
    </border>
    <border>
      <left/>
      <right/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8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0" fontId="0" fillId="0" borderId="43" xfId="0" applyFont="1" applyBorder="1"/>
    <xf numFmtId="1" fontId="0" fillId="0" borderId="21" xfId="0" applyNumberFormat="1" applyFont="1" applyBorder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50" xfId="0" applyBorder="1"/>
    <xf numFmtId="0" fontId="39" fillId="0" borderId="50" xfId="0" applyFont="1" applyBorder="1"/>
    <xf numFmtId="0" fontId="0" fillId="0" borderId="51" xfId="0" applyBorder="1"/>
    <xf numFmtId="0" fontId="0" fillId="0" borderId="0" xfId="0" applyAlignment="1">
      <alignment horizontal="right" vertical="center"/>
    </xf>
    <xf numFmtId="3" fontId="0" fillId="11" borderId="52" xfId="0" applyNumberFormat="1" applyFont="1" applyFill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0" fontId="0" fillId="11" borderId="49" xfId="0" applyFont="1" applyFill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33" fillId="7" borderId="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627"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border diagonalUp="1" diagonalDown="1">
        <left/>
        <right/>
        <top/>
        <bottom/>
        <diagonal style="thin">
          <color auto="1"/>
        </diagonal>
        <vertical/>
        <horizontal/>
      </border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>
        <row r="1">
          <cell r="T1" t="str">
            <v>#ReportYear#</v>
          </cell>
        </row>
      </sheetData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626" dataDxfId="624" headerRowBorderDxfId="625" tableBorderDxfId="623" totalsRowBorderDxfId="622">
  <autoFilter ref="A4:J5"/>
  <tableColumns count="10">
    <tableColumn id="1" name="1" dataDxfId="621"/>
    <tableColumn id="2" name="2" dataDxfId="620"/>
    <tableColumn id="5" name="3" dataDxfId="619"/>
    <tableColumn id="6" name="4" dataDxfId="618"/>
    <tableColumn id="7" name="5" dataDxfId="617"/>
    <tableColumn id="10" name="6" dataDxfId="616"/>
    <tableColumn id="11" name="7" dataDxfId="615"/>
    <tableColumn id="12" name="8" dataDxfId="614"/>
    <tableColumn id="13" name="9" dataDxfId="613"/>
    <tableColumn id="14" name="10" dataDxfId="6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611" dataDxfId="609" headerRowBorderDxfId="610" tableBorderDxfId="608" totalsRowBorderDxfId="607">
  <autoFilter ref="A5:P6"/>
  <tableColumns count="16">
    <tableColumn id="1" name="1" dataDxfId="606"/>
    <tableColumn id="2" name="2" dataDxfId="605"/>
    <tableColumn id="3" name="3" dataDxfId="604"/>
    <tableColumn id="4" name="4" dataDxfId="603"/>
    <tableColumn id="5" name="5" dataDxfId="602"/>
    <tableColumn id="6" name="6" dataDxfId="601"/>
    <tableColumn id="7" name="7" dataDxfId="600"/>
    <tableColumn id="8" name="8" dataDxfId="599"/>
    <tableColumn id="9" name="9" dataDxfId="598"/>
    <tableColumn id="10" name="10" dataDxfId="597"/>
    <tableColumn id="11" name="11" dataDxfId="596"/>
    <tableColumn id="12" name="12" dataDxfId="595"/>
    <tableColumn id="13" name="13" dataDxfId="594"/>
    <tableColumn id="14" name="14" dataDxfId="593"/>
    <tableColumn id="15" name="15" dataDxfId="592"/>
    <tableColumn id="16" name="16" dataDxfId="59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590" dataDxfId="588" headerRowBorderDxfId="589" tableBorderDxfId="587" totalsRowBorderDxfId="586">
  <autoFilter ref="A3:I4">
    <filterColumn colId="1"/>
  </autoFilter>
  <tableColumns count="9">
    <tableColumn id="1" name="1" dataDxfId="585"/>
    <tableColumn id="3" name="2" dataDxfId="584"/>
    <tableColumn id="2" name="3" dataDxfId="583"/>
    <tableColumn id="5" name="4" dataDxfId="582"/>
    <tableColumn id="6" name="5" dataDxfId="581"/>
    <tableColumn id="7" name="6" dataDxfId="580"/>
    <tableColumn id="10" name="7" dataDxfId="579"/>
    <tableColumn id="11" name="8" dataDxfId="578"/>
    <tableColumn id="12" name="9" dataDxfId="57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576" dataDxfId="574" headerRowBorderDxfId="575" tableBorderDxfId="573" totalsRowBorderDxfId="572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571"/>
    <tableColumn id="20" name="2" dataDxfId="570"/>
    <tableColumn id="19" name="3" dataDxfId="569"/>
    <tableColumn id="18" name="4" dataDxfId="568"/>
    <tableColumn id="17" name="5" dataDxfId="567"/>
    <tableColumn id="23" name="6" dataDxfId="566"/>
    <tableColumn id="22" name="7" dataDxfId="565"/>
    <tableColumn id="21" name="8" dataDxfId="564"/>
    <tableColumn id="28" name="9" dataDxfId="563"/>
    <tableColumn id="29" name="10" dataDxfId="562"/>
    <tableColumn id="27" name="11" dataDxfId="561"/>
    <tableColumn id="26" name="12" dataDxfId="560"/>
    <tableColumn id="25" name="13" dataDxfId="559"/>
    <tableColumn id="5" name="14" dataDxfId="558"/>
    <tableColumn id="4" name="15" dataDxfId="557"/>
    <tableColumn id="3" name="16" dataDxfId="556"/>
    <tableColumn id="2" name="17" dataDxfId="555"/>
    <tableColumn id="24" name="18" dataDxfId="55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552" totalsRowDxfId="551">
  <tableColumns count="3">
    <tableColumn id="1" name="ВИД ВЫПЛАТЫ" totalsRowLabel="Итого" dataDxfId="550" totalsRowDxfId="549" dataCellStyle="Обычный 5"/>
    <tableColumn id="2" name="13%" totalsRowFunction="sum" dataDxfId="548" totalsRowDxfId="547" dataCellStyle="Обычный 5"/>
    <tableColumn id="3" name="30%" totalsRowFunction="sum" dataDxfId="546" totalsRowDxfId="545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544" dataDxfId="542" headerRowBorderDxfId="543" headerRowCellStyle="Обычный 5" dataCellStyle="Обычный 5">
  <tableColumns count="4">
    <tableColumn id="1" name="Сумма по ставкам" totalsRowFunction="sum" dataDxfId="541" totalsRowDxfId="540" dataCellStyle="Обычный 5"/>
    <tableColumn id="2" name="13%" dataDxfId="539" totalsRowDxfId="538" dataCellStyle="Обычный 5">
      <calculatedColumnFormula>B31+#REF!-Таблица42[[#This Row],[13%]]</calculatedColumnFormula>
    </tableColumn>
    <tableColumn id="3" name="30%" dataDxfId="537" totalsRowDxfId="536" dataCellStyle="Обычный 5"/>
    <tableColumn id="4" name="Расхождение по ставкам" dataDxfId="535" totalsRowDxfId="534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533" totalsRowDxfId="531" headerRowBorderDxfId="532" headerRowCellStyle="Обычный 5">
  <tableColumns count="8">
    <tableColumn id="1" name="ВИД ВЫПЛАТЫ" totalsRowLabel="Итого по ставке" dataDxfId="530" totalsRowDxfId="529" dataCellStyle="Обычный 5"/>
    <tableColumn id="2" name="13%" totalsRowFunction="sum" dataDxfId="528" totalsRowDxfId="527" dataCellStyle="Обычный 5"/>
    <tableColumn id="3" name="30%" totalsRowFunction="sum" dataDxfId="526" totalsRowDxfId="525" dataCellStyle="Обычный 5"/>
    <tableColumn id="4" name="Столбец1" totalsRowDxfId="524" dataCellStyle="Обычный 5"/>
    <tableColumn id="5" name="без исправлений" dataDxfId="523" totalsRowDxfId="522" dataCellStyle="Обычный 5"/>
    <tableColumn id="6" name="с корректоровкой" dataDxfId="521" totalsRowDxfId="520" dataCellStyle="Обычный 5"/>
    <tableColumn id="7" name="без исправлений2" dataDxfId="519" totalsRowDxfId="518" dataCellStyle="Обычный 5"/>
    <tableColumn id="8" name="с корректоровкой3" dataDxfId="517" totalsRowDxfId="516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6" name="Таблица44047" displayName="Таблица44047" ref="A7:L8" totalsRowShown="0" headerRowDxfId="515" dataDxfId="514">
  <autoFilter ref="A7:L8">
    <filterColumn colId="4"/>
    <filterColumn colId="11"/>
  </autoFilter>
  <tableColumns count="12">
    <tableColumn id="2" name="SSYLKA_FL" dataDxfId="513"/>
    <tableColumn id="3" name="NOM_VKL" dataDxfId="512"/>
    <tableColumn id="4" name="NOM_IPS" dataDxfId="511"/>
    <tableColumn id="5" name="Дата операции" dataDxfId="510"/>
    <tableColumn id="7" name="Дата документа" dataDxfId="509"/>
    <tableColumn id="6" name="Тип дохода" dataDxfId="508"/>
    <tableColumn id="8" name="Вычет" dataDxfId="507"/>
    <tableColumn id="9" name="Доход" dataDxfId="506"/>
    <tableColumn id="10" name="Налог" dataDxfId="505"/>
    <tableColumn id="11" name="№ документа" dataDxfId="504"/>
    <tableColumn id="12" name="№ корректируемого документа" dataDxfId="503"/>
    <tableColumn id="13" name="Ставка налога" dataDxfId="502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61" name="Таблица4404762" displayName="Таблица4404762" ref="A12:L13" totalsRowShown="0" headerRowDxfId="501" dataDxfId="500">
  <autoFilter ref="A12:L13"/>
  <tableColumns count="12">
    <tableColumn id="2" name="SSYLKA_FL" dataDxfId="499"/>
    <tableColumn id="3" name="NOM_VKL" dataDxfId="498"/>
    <tableColumn id="4" name="NOM_IPS" dataDxfId="497"/>
    <tableColumn id="5" name="Дата" dataDxfId="496"/>
    <tableColumn id="6" name="Тип дохода" dataDxfId="495"/>
    <tableColumn id="7" name="Тип операции" dataDxfId="494"/>
    <tableColumn id="8" name="Счет" dataDxfId="493"/>
    <tableColumn id="9" name="Субсчет" dataDxfId="492"/>
    <tableColumn id="10" name="Сумма" dataDxfId="491"/>
    <tableColumn id="11" name="№ документа" dataDxfId="490"/>
    <tableColumn id="12" name="№ корректирующего документа" dataDxfId="489"/>
    <tableColumn id="13" name="Ставка налога" dataDxfId="48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7" name="Таблица54138105108" displayName="Таблица54138105108" ref="A2:L3" totalsRowShown="0" headerRowDxfId="487" dataDxfId="485" headerRowBorderDxfId="486" tableBorderDxfId="484" totalsRowBorderDxfId="483">
  <autoFilter ref="A2:L3">
    <filterColumn colId="9"/>
    <filterColumn colId="10"/>
    <filterColumn colId="11"/>
  </autoFilter>
  <tableColumns count="12">
    <tableColumn id="1" name="Ssylka" dataDxfId="482"/>
    <tableColumn id="2" name="nom_vkl" dataDxfId="481"/>
    <tableColumn id="3" name="nom_ips" dataDxfId="480"/>
    <tableColumn id="4" name="ФИО" dataDxfId="479"/>
    <tableColumn id="5" name="Бух.счет" dataDxfId="478"/>
    <tableColumn id="6" name="Код вычета" dataDxfId="477"/>
    <tableColumn id="7" name="Период с" dataDxfId="476"/>
    <tableColumn id="8" name="Период по" dataDxfId="475"/>
    <tableColumn id="9" name="Период с_x000a_(БИТ)" dataDxfId="474"/>
    <tableColumn id="10" name="Период по_x000a_(БИТ)" dataDxfId="473"/>
    <tableColumn id="11" name="Сумма" dataDxfId="472"/>
    <tableColumn id="12" name="Применение вычета в движении" dataDxfId="47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4" name="Таблица54138105" displayName="Таблица54138105" ref="A2:K3" totalsRowShown="0" headerRowDxfId="470" dataDxfId="468" headerRowBorderDxfId="469" tableBorderDxfId="467" totalsRowBorderDxfId="466">
  <autoFilter ref="A2:K3">
    <filterColumn colId="9"/>
    <filterColumn colId="10"/>
  </autoFilter>
  <tableColumns count="11">
    <tableColumn id="1" name="Ssylka" dataDxfId="465"/>
    <tableColumn id="2" name="nom_vkl" dataDxfId="464"/>
    <tableColumn id="3" name="nom_ips" dataDxfId="463"/>
    <tableColumn id="4" name="ФИО" dataDxfId="462"/>
    <tableColumn id="5" name="Бух.счет" dataDxfId="461"/>
    <tableColumn id="6" name="Код вычета" dataDxfId="460"/>
    <tableColumn id="7" name="Период с" dataDxfId="459"/>
    <tableColumn id="8" name="Период по" dataDxfId="458"/>
    <tableColumn id="9" name="Сумма по движению" dataDxfId="457"/>
    <tableColumn id="10" name="Расчетная сумма по БИТ" dataDxfId="456"/>
    <tableColumn id="11" name="Расчетная сумма по БИТ_x000a_по счету" dataDxfId="45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7" name="Таблица54138" displayName="Таблица54138" ref="A2:K3" totalsRowShown="0" headerRowDxfId="454" dataDxfId="452" headerRowBorderDxfId="453" tableBorderDxfId="451" totalsRowBorderDxfId="450">
  <autoFilter ref="A2:K3">
    <filterColumn colId="9"/>
    <filterColumn colId="10"/>
  </autoFilter>
  <tableColumns count="11">
    <tableColumn id="1" name="Ssylka" dataDxfId="449"/>
    <tableColumn id="2" name="nom_vkl" dataDxfId="448"/>
    <tableColumn id="3" name="nom_ips" dataDxfId="447"/>
    <tableColumn id="4" name="ФИО" dataDxfId="446"/>
    <tableColumn id="5" name="Тип дохода" dataDxfId="445"/>
    <tableColumn id="6" name="Месяц" dataDxfId="444"/>
    <tableColumn id="7" name="Shifr_schet" dataDxfId="443"/>
    <tableColumn id="8" name="Код вычета_x000a_(ручн)" dataDxfId="442"/>
    <tableColumn id="9" name="Сумма вычета" dataDxfId="441"/>
    <tableColumn id="10" name="Наличие записей в SP_OGR_PV" dataDxfId="440"/>
    <tableColumn id="11" name="Наличие записей в BIT" dataDxfId="43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0" name="Таблица541" displayName="Таблица541" ref="A3:R4" totalsRowShown="0" headerRowDxfId="438" dataDxfId="436" headerRowBorderDxfId="437" tableBorderDxfId="435" totalsRowBorderDxfId="434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433"/>
    <tableColumn id="2" name="Ошибка" dataDxfId="432"/>
    <tableColumn id="3" name="ИД контрагента" dataDxfId="431"/>
    <tableColumn id="4" name="Фамилия" dataDxfId="430"/>
    <tableColumn id="5" name="Имя" dataDxfId="429"/>
    <tableColumn id="6" name="Отчество" dataDxfId="428"/>
    <tableColumn id="7" name="Дата рождения" dataDxfId="427"/>
    <tableColumn id="8" name="ИНН" dataDxfId="426"/>
    <tableColumn id="9" name="Гражданство" dataDxfId="425"/>
    <tableColumn id="10" name="Резидент" dataDxfId="424"/>
    <tableColumn id="11" name="Код УЛ" dataDxfId="423"/>
    <tableColumn id="12" name="Серия и номер УЛ" dataDxfId="422"/>
    <tableColumn id="13" name="№ справки" dataDxfId="421"/>
    <tableColumn id="19" name="ИНН2" dataDxfId="420"/>
    <tableColumn id="14" name="Гражданство2" dataDxfId="419"/>
    <tableColumn id="15" name="Резидент2" dataDxfId="418"/>
    <tableColumn id="16" name="Код УЛ2" dataDxfId="417"/>
    <tableColumn id="17" name="Серия и номер УЛ3" dataDxfId="4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8" name="Таблица444493347" displayName="Таблица444493347" ref="A2:H3" totalsRowShown="0" headerRowDxfId="415" dataDxfId="413" headerRowBorderDxfId="414" tableBorderDxfId="412" totalsRowBorderDxfId="411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410"/>
    <tableColumn id="14" name="Имя файла" dataDxfId="409"/>
    <tableColumn id="1" name="Количество справок" dataDxfId="408"/>
    <tableColumn id="16" name="Фамилия с" dataDxfId="407"/>
    <tableColumn id="17" name="Фамилия по" dataDxfId="406"/>
    <tableColumn id="2" name="№ справки с" dataDxfId="405"/>
    <tableColumn id="3" name="№ справки по" dataDxfId="404"/>
    <tableColumn id="25" name="Признак справки" dataDxfId="403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39" name="Таблица3348" displayName="Таблица3348" ref="A7:G9" totalsRowCount="1" headerRowDxfId="402" headerRowBorderDxfId="401" tableBorderDxfId="400" totalsRowBorderDxfId="399">
  <autoFilter ref="A7:G8"/>
  <tableColumns count="7">
    <tableColumn id="1" name="№_x000a_справки" totalsRowLabel="Итог" dataDxfId="398" totalsRowDxfId="397"/>
    <tableColumn id="2" name="Фамилия" dataDxfId="396" totalsRowDxfId="395"/>
    <tableColumn id="3" name="UI_PERSON" dataDxfId="394" totalsRowDxfId="393"/>
    <tableColumn id="4" name="Резидент" dataDxfId="392" totalsRowDxfId="391"/>
    <tableColumn id="5" name="Гражданство" dataDxfId="390" totalsRowDxfId="389"/>
    <tableColumn id="6" name="Задолженность" totalsRowFunction="sum" dataDxfId="388" totalsRowDxfId="387"/>
    <tableColumn id="7" name="Коррекция №" totalsRowFunction="count" dataDxfId="386" totalsRowDxfId="38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6" name="Таблица44449" displayName="Таблица44449" ref="A4:P5" totalsRowShown="0" headerRowDxfId="384" dataDxfId="383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82"/>
    <tableColumn id="14" name="2" dataDxfId="381"/>
    <tableColumn id="1" name="3" dataDxfId="380"/>
    <tableColumn id="16" name="4" dataDxfId="379"/>
    <tableColumn id="17" name="5" dataDxfId="378"/>
    <tableColumn id="2" name="6" dataDxfId="377"/>
    <tableColumn id="3" name="7" dataDxfId="376"/>
    <tableColumn id="25" name="8" dataDxfId="375"/>
    <tableColumn id="18" name="9" dataDxfId="374"/>
    <tableColumn id="19" name="10" dataDxfId="373"/>
    <tableColumn id="20" name="11" dataDxfId="372"/>
    <tableColumn id="21" name="12" dataDxfId="371"/>
    <tableColumn id="22" name="13" dataDxfId="370"/>
    <tableColumn id="23" name="14" dataDxfId="369"/>
    <tableColumn id="24" name="15" dataDxfId="368"/>
    <tableColumn id="26" name="16" dataDxfId="367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57" name="Таблица354258" displayName="Таблица354258" ref="A2:I3" headerRowDxfId="366" dataDxfId="364" totalsRowDxfId="362" headerRowBorderDxfId="365" tableBorderDxfId="363">
  <autoFilter ref="A2:I3"/>
  <tableColumns count="9">
    <tableColumn id="1" name="Таблица" totalsRowLabel="Итог" dataDxfId="361" totalsRowDxfId="360"/>
    <tableColumn id="3" name="SSYLKA" dataDxfId="359" totalsRowDxfId="358"/>
    <tableColumn id="4" name="Тип дохода" dataDxfId="357" totalsRowDxfId="356"/>
    <tableColumn id="5" name="Фамилия" dataDxfId="355" totalsRowDxfId="354"/>
    <tableColumn id="6" name="Имя" dataDxfId="353" totalsRowDxfId="352"/>
    <tableColumn id="8" name="Отчество" dataDxfId="351" totalsRowDxfId="350"/>
    <tableColumn id="9" name="ДР" dataDxfId="349" totalsRowDxfId="348"/>
    <tableColumn id="10" name="SSYLKA_REAL" dataDxfId="347" totalsRowDxfId="346"/>
    <tableColumn id="11" name="UI_PERSON" dataDxfId="345" totalsRowDxfId="34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50" name="Таблица44051" displayName="Таблица44051" ref="A2:H3" totalsRowShown="0">
  <autoFilter ref="A2:H3">
    <filterColumn colId="7"/>
  </autoFilter>
  <tableColumns count="8">
    <tableColumn id="1" name="gf_person" dataDxfId="343"/>
    <tableColumn id="2" name="FND_x000a_SSYLKA" dataDxfId="342"/>
    <tableColumn id="3" name="NOM_VKL" dataDxfId="341"/>
    <tableColumn id="4" name="NOM_IPS" dataDxfId="340"/>
    <tableColumn id="6" name="ФИО" dataDxfId="339"/>
    <tableColumn id="7" name="Дата_x000a_рождения" dataDxfId="338"/>
    <tableColumn id="8" name="Гражданство" dataDxfId="337"/>
    <tableColumn id="5" name="Столбец1" dataDxfId="336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1" name="Таблица4405152" displayName="Таблица4405152" ref="A7:H8" totalsRowShown="0" dataDxfId="335">
  <autoFilter ref="A7:H8">
    <filterColumn colId="6"/>
    <filterColumn colId="7"/>
  </autoFilter>
  <tableColumns count="8">
    <tableColumn id="2" name="Период с" dataDxfId="334"/>
    <tableColumn id="3" name="Период по" dataDxfId="333"/>
    <tableColumn id="4" name="Код вычета" dataDxfId="332"/>
    <tableColumn id="6" name="Сумма" dataDxfId="331"/>
    <tableColumn id="7" name="Описание" dataDxfId="330"/>
    <tableColumn id="8" name="Лимит дохода" dataDxfId="329"/>
    <tableColumn id="5" name="tdappid" dataDxfId="328"/>
    <tableColumn id="9" name="rid" dataDxfId="327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55" name="Таблица440515256" displayName="Таблица440515256" ref="A11:H12" totalsRowShown="0" dataDxfId="326">
  <autoFilter ref="A11:H12">
    <filterColumn colId="6"/>
    <filterColumn colId="7"/>
  </autoFilter>
  <tableColumns count="8">
    <tableColumn id="2" name="Период с" dataDxfId="325"/>
    <tableColumn id="3" name="Период по" dataDxfId="324"/>
    <tableColumn id="4" name="Shifr_schet" dataDxfId="323"/>
    <tableColumn id="6" name="Сумма" dataDxfId="322"/>
    <tableColumn id="7" name="Описание" dataDxfId="321"/>
    <tableColumn id="8" name="Лимит дохода" dataDxfId="320"/>
    <tableColumn id="5" name="tdappid" dataDxfId="319"/>
    <tableColumn id="9" name="rid" dataDxfId="318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6" name="Таблица44051525657" displayName="Таблица44051525657" ref="A15:G16" totalsRowShown="0" dataDxfId="317">
  <autoFilter ref="A15:G16">
    <filterColumn colId="6"/>
  </autoFilter>
  <tableColumns count="7">
    <tableColumn id="1" name="Дата операции" dataDxfId="316"/>
    <tableColumn id="2" name="Тип движения" dataDxfId="315"/>
    <tableColumn id="3" name="Счет" dataDxfId="314"/>
    <tableColumn id="4" name="Сумма" dataDxfId="313"/>
    <tableColumn id="6" name="Документ" dataDxfId="312"/>
    <tableColumn id="7" name="Корректирующий документ" dataDxfId="311"/>
    <tableColumn id="10" name="Субсчет" dataDxfId="310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9" name="Menu" displayName="Menu" ref="D2:E38" totalsRowShown="0">
  <autoFilter ref="D2:E38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0" name="Actions" displayName="Actions" ref="G2:M68" totalsRowShown="0">
  <autoFilter ref="G2:M68">
    <filterColumn colId="3"/>
    <filterColumn colId="4"/>
    <filterColumn colId="5"/>
    <filterColumn colId="6"/>
  </autoFilter>
  <tableColumns count="7">
    <tableColumn id="1" name="Code"/>
    <tableColumn id="2" name="Type"/>
    <tableColumn id="3" name="ActionCode"/>
    <tableColumn id="4" name="AfterAction"/>
    <tableColumn id="8" name="ActionParameter"/>
    <tableColumn id="5" name="RepeatCode"/>
    <tableColumn id="7" name="Disabled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1" name="Programs" displayName="Programs" ref="Z2:AD14" totalsRowShown="0">
  <autoFilter ref="Z2:AD1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2" name="Reports" displayName="Reports" ref="O2:U65" totalsRowShown="0">
  <autoFilter ref="O2:U65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3" name="SubReports" displayName="SubReports" ref="W2:X35" totalsRowShown="0">
  <autoFilter ref="W2:X35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4" name="GeneralOptions" displayName="GeneralOptions" ref="A2:B16" headerRowBorderDxfId="309" tableBorderDxfId="308" totalsRowBorderDxfId="307">
  <autoFilter ref="A2:B16"/>
  <tableColumns count="2">
    <tableColumn id="1" name="Key" totalsRowLabel="Итог" totalsRowDxfId="306"/>
    <tableColumn id="2" name="Value" totalsRowFunction="count" totalsRowDxfId="305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7" name="ActionTypes" displayName="ActionTypes" ref="AN2:AN4" totalsRowShown="0" tableBorderDxfId="304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8" name="CreateModes" displayName="CreateMod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0" name="ReportTypes" displayName="ReportTypes" ref="AR2:AR5" totalsRowShown="0">
  <autoFilter ref="AR2:AR5"/>
  <tableColumns count="1">
    <tableColumn id="1" name="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5" name="ProgramTypes" displayName="ProgramTypes" ref="AT2:AT4" totalsRowShown="0">
  <autoFilter ref="AT2:AT4"/>
  <tableColumns count="1">
    <tableColumn id="1" name="Cod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9" name="ParamPurpose" displayName="ParamPurpose" ref="AV2:AV3" totalsRowShown="0">
  <autoFilter ref="AV2:AV3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1" name="ReturnTypes" displayName="ReturnTypes" ref="AX2:AX3" totalsRowShown="0">
  <autoFilter ref="AX2:AX3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3" name="Direction" displayName="Direction" ref="AZ2:AZ4" totalsRowShown="0">
  <autoFilter ref="AZ2:AZ4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2" name="Parameters" displayName="Parameters" ref="AF2:AL30" totalsRowShown="0">
  <autoFilter ref="AF2:AL30">
    <filterColumn colId="5"/>
    <filterColumn colId="6"/>
  </autoFilter>
  <tableColumns count="7">
    <tableColumn id="1" name="Program" dataDxfId="30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4" name="YesNo" displayName="YesNo" ref="BB2:BB4" totalsRowShown="0">
  <autoFilter ref="BB2:BB4"/>
  <tableColumns count="1">
    <tableColumn id="1" name="Code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7" name="AfterAction" displayName="AfterAction" ref="BD2:BD4" totalsRowShown="0">
  <autoFilter ref="BD2:BD4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7" name="CommonTokens" displayName="CommonTokens" ref="BF2:BG6" totalsRowShown="0">
  <autoFilter ref="BF2:BG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41" name="Таблица3542" displayName="Таблица3542" ref="A6:O8" totalsRowCount="1" headerRowDxfId="107" dataDxfId="106">
  <autoFilter ref="A6:O7">
    <filterColumn colId="0"/>
    <filterColumn colId="9"/>
    <filterColumn colId="10"/>
    <filterColumn colId="11"/>
    <filterColumn colId="12"/>
  </autoFilter>
  <tableColumns count="15">
    <tableColumn id="21" name="1" dataDxfId="94" totalsRowDxfId="56"/>
    <tableColumn id="1" name="2" totalsRowLabel="Итог" dataDxfId="95" totalsRowDxfId="55"/>
    <tableColumn id="3" name="3" dataDxfId="105" totalsRowDxfId="54"/>
    <tableColumn id="4" name="4" dataDxfId="104" totalsRowDxfId="53"/>
    <tableColumn id="6" name="6" dataDxfId="103" totalsRowDxfId="52"/>
    <tableColumn id="8" name="7" dataDxfId="102" totalsRowDxfId="51"/>
    <tableColumn id="9" name="8" dataDxfId="101" totalsRowDxfId="50"/>
    <tableColumn id="10" name="9" dataDxfId="100" totalsRowDxfId="49"/>
    <tableColumn id="11" name="10" dataDxfId="99" totalsRowDxfId="48"/>
    <tableColumn id="17" name="11" dataDxfId="98" totalsRowDxfId="47"/>
    <tableColumn id="16" name="12" dataDxfId="67" totalsRowDxfId="46"/>
    <tableColumn id="7" name="13" dataDxfId="66" totalsRowDxfId="45"/>
    <tableColumn id="2" name="14" dataDxfId="65" totalsRowDxfId="44"/>
    <tableColumn id="14" name="15" dataDxfId="97" totalsRowDxfId="43"/>
    <tableColumn id="12" name="16" dataDxfId="96" totalsRowDxfId="4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54" name="Таблица354255" displayName="Таблица354255" ref="A14:O16" totalsRowCount="1" headerRowDxfId="83" dataDxfId="82">
  <autoFilter ref="A14:O16"/>
  <tableColumns count="15">
    <tableColumn id="21" name="1" dataDxfId="68" totalsRowDxfId="29"/>
    <tableColumn id="1" name="2" totalsRowLabel="Итог" dataDxfId="93" totalsRowDxfId="28"/>
    <tableColumn id="3" name="3" dataDxfId="92" totalsRowDxfId="27"/>
    <tableColumn id="4" name="4" dataDxfId="91" totalsRowDxfId="26"/>
    <tableColumn id="6" name="6" dataDxfId="90" totalsRowDxfId="25"/>
    <tableColumn id="8" name="7" dataDxfId="89" totalsRowDxfId="24"/>
    <tableColumn id="9" name="8" dataDxfId="88" totalsRowDxfId="23"/>
    <tableColumn id="10" name="9" dataDxfId="87" totalsRowDxfId="22"/>
    <tableColumn id="11" name="10" dataDxfId="86" totalsRowDxfId="21"/>
    <tableColumn id="17" name="11" dataDxfId="64" totalsRowDxfId="20"/>
    <tableColumn id="16" name="12" dataDxfId="63" totalsRowDxfId="19"/>
    <tableColumn id="7" name="13" dataDxfId="62" totalsRowDxfId="18"/>
    <tableColumn id="2" name="14" dataDxfId="61" totalsRowDxfId="17"/>
    <tableColumn id="14" name="15" dataDxfId="85" totalsRowDxfId="16"/>
    <tableColumn id="12" name="16" dataDxfId="84" totalsRowDxfId="15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58" name="Таблица35425559" displayName="Таблица35425559" ref="A22:O24" totalsRowCount="1" headerRowDxfId="70" dataDxfId="69">
  <autoFilter ref="A22:O24"/>
  <tableColumns count="15">
    <tableColumn id="21" name="1" dataDxfId="81" totalsRowDxfId="14"/>
    <tableColumn id="1" name="2" totalsRowLabel="Итог" dataDxfId="80" totalsRowDxfId="13"/>
    <tableColumn id="3" name="3" dataDxfId="79" totalsRowDxfId="12"/>
    <tableColumn id="4" name="4" dataDxfId="78" totalsRowDxfId="11"/>
    <tableColumn id="6" name="6" dataDxfId="77" totalsRowDxfId="10"/>
    <tableColumn id="8" name="7" dataDxfId="76" totalsRowDxfId="9"/>
    <tableColumn id="9" name="8" dataDxfId="75" totalsRowDxfId="8"/>
    <tableColumn id="10" name="9" dataDxfId="74" totalsRowDxfId="7"/>
    <tableColumn id="11" name="10" dataDxfId="73" totalsRowDxfId="6"/>
    <tableColumn id="17" name="11" dataDxfId="60" totalsRowDxfId="5"/>
    <tableColumn id="16" name="12" dataDxfId="59" totalsRowDxfId="4"/>
    <tableColumn id="7" name="13" dataDxfId="58" totalsRowDxfId="3"/>
    <tableColumn id="2" name="14" dataDxfId="57" totalsRowDxfId="2"/>
    <tableColumn id="14" name="15" dataDxfId="72" totalsRowDxfId="1"/>
    <tableColumn id="12" name="16" dataDxfId="71" totalsRowDxfId="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16" name="Таблица16" displayName="Таблица16" ref="C3:C6" totalsRowShown="0" headerRowDxfId="302" dataDxfId="301" tableBorderDxfId="300">
  <tableColumns count="1">
    <tableColumn id="1" name="Столбец1" dataDxfId="299"/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id="45" name="Таблица440" displayName="Таблица440" ref="A2:N3" totalsRowShown="0" dataDxfId="298">
  <autoFilter ref="A2:N3">
    <filterColumn colId="0"/>
    <filterColumn colId="1"/>
    <filterColumn colId="2"/>
    <filterColumn colId="3"/>
    <filterColumn colId="6"/>
    <filterColumn colId="7"/>
    <filterColumn colId="11"/>
    <filterColumn colId="12"/>
  </autoFilter>
  <tableColumns count="14">
    <tableColumn id="14" name="Таблица" dataDxfId="297"/>
    <tableColumn id="20" name="ID справки" dataDxfId="296"/>
    <tableColumn id="15" name="№ справки" dataDxfId="295"/>
    <tableColumn id="16" name="№ коррекции" dataDxfId="294"/>
    <tableColumn id="1" name="GF_PERSON" dataDxfId="293"/>
    <tableColumn id="2" name="FND_x000a_SSYLKA" dataDxfId="292"/>
    <tableColumn id="17" name="NOM_VKL" dataDxfId="291"/>
    <tableColumn id="18" name="NOM_IPS" dataDxfId="290"/>
    <tableColumn id="4" name="Показатель" dataDxfId="289"/>
    <tableColumn id="5" name="Код показателя" dataDxfId="288"/>
    <tableColumn id="6" name="Сумма" dataDxfId="287"/>
    <tableColumn id="21" name="Месяц" dataDxfId="286"/>
    <tableColumn id="22" name="ФИО" dataDxfId="285"/>
    <tableColumn id="7" name="Описание" dataDxfId="284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id="34" name="Таблица2435" displayName="Таблица2435" ref="A4:L5" totalsRowShown="0" headerRowDxfId="283" dataDxfId="281" headerRowBorderDxfId="282" tableBorderDxfId="280" totalsRowBorderDxfId="279">
  <autoFilter ref="A4:L5">
    <filterColumn colId="1"/>
    <filterColumn colId="8"/>
    <filterColumn colId="9"/>
    <filterColumn colId="10"/>
    <filterColumn colId="11"/>
  </autoFilter>
  <tableColumns count="12">
    <tableColumn id="5" name="1" dataDxfId="278"/>
    <tableColumn id="3" name="2" dataDxfId="277"/>
    <tableColumn id="2" name="3" dataDxfId="276"/>
    <tableColumn id="6" name="4" dataDxfId="275"/>
    <tableColumn id="7" name="5" dataDxfId="274"/>
    <tableColumn id="10" name="6" dataDxfId="273"/>
    <tableColumn id="11" name="7" dataDxfId="272"/>
    <tableColumn id="12" name="8" dataDxfId="271"/>
    <tableColumn id="1" name="9" dataDxfId="270"/>
    <tableColumn id="4" name="10" dataDxfId="269"/>
    <tableColumn id="9" name="12" dataDxfId="268"/>
    <tableColumn id="8" name="11" dataDxfId="267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26" name="Таблица26" displayName="Таблица26" ref="B6:D7" totalsRowShown="0" headerRowDxfId="266" headerRowBorderDxfId="265" tableBorderDxfId="264" headerRowCellStyle="Обычный 4">
  <autoFilter ref="B6:D7"/>
  <tableColumns count="3">
    <tableColumn id="1" name="100" dataDxfId="263" dataCellStyle="Обычный 4"/>
    <tableColumn id="2" name="130" dataDxfId="262" dataCellStyle="Обычный 4"/>
    <tableColumn id="3" name="140" dataDxfId="261" dataCellStyle="Обычный 4"/>
  </tableColumns>
  <tableStyleInfo name="TableStyleLight1" showFirstColumn="0" showLastColumn="0" showRowStripes="0" showColumnStripes="0"/>
</table>
</file>

<file path=xl/tables/table46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60" dataDxfId="259"/>
  </tableColumns>
  <tableStyleInfo showFirstColumn="0" showLastColumn="0" showRowStripes="0" showColumnStripes="0"/>
</table>
</file>

<file path=xl/tables/table47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58" dataDxfId="257"/>
  </tableColumns>
  <tableStyleInfo showFirstColumn="0" showLastColumn="0" showRowStripes="0" showColumnStripes="0"/>
</table>
</file>

<file path=xl/tables/table48.xml><?xml version="1.0" encoding="utf-8"?>
<table xmlns="http://schemas.openxmlformats.org/spreadsheetml/2006/main" id="4" name="Таблица4" displayName="Таблица4" ref="B5:E5" headerRowCount="0" totalsRowShown="0" headerRowDxfId="256" dataDxfId="255" tableBorderDxfId="254" totalsRowBorderDxfId="253">
  <tableColumns count="4">
    <tableColumn id="1" name="Столбец1" headerRowDxfId="252" dataDxfId="251" dataCellStyle="Обычный 4"/>
    <tableColumn id="2" name="Столбец2" headerRowDxfId="250" dataDxfId="249" headerRowCellStyle="Обычный 4" dataCellStyle="Обычный 4"/>
    <tableColumn id="3" name="Столбец3" headerRowDxfId="248" dataDxfId="247"/>
    <tableColumn id="4" name="Столбец4" headerRowDxfId="246" dataDxfId="245" headerRowCellStyle="Обычный 4" dataCellStyle="Обычный 4"/>
  </tableColumns>
  <tableStyleInfo name="TableStyleLight1" showFirstColumn="0" showLastColumn="0" showRowStripes="0" showColumnStripes="0"/>
</table>
</file>

<file path=xl/tables/table49.xml><?xml version="1.0" encoding="utf-8"?>
<table xmlns="http://schemas.openxmlformats.org/spreadsheetml/2006/main" id="29" name="Таблица29" displayName="Таблица29" ref="A4:H5" headerRowCount="0" totalsRowCount="1" headerRowDxfId="244" dataDxfId="243">
  <tableColumns count="8">
    <tableColumn id="1" name="Столбец1" totalsRowLabel="Итого:" headerRowDxfId="242" dataDxfId="241" totalsRowDxfId="240"/>
    <tableColumn id="2" name="Столбец2" headerRowDxfId="239" dataDxfId="238" totalsRowDxfId="237"/>
    <tableColumn id="3" name="Столбец3" totalsRowFunction="sum" headerRowDxfId="236" dataDxfId="235" totalsRowDxfId="234"/>
    <tableColumn id="4" name="Столбец4" totalsRowFunction="sum" headerRowDxfId="233" dataDxfId="232" totalsRowDxfId="231"/>
    <tableColumn id="5" name="Столбец5" totalsRowFunction="sum" headerRowDxfId="230" dataDxfId="229" totalsRowDxfId="228"/>
    <tableColumn id="6" name="Столбец6" totalsRowFunction="sum" headerRowDxfId="227" dataDxfId="226" totalsRowDxfId="225"/>
    <tableColumn id="7" name="Столбец7" totalsRowFunction="sum" headerRowDxfId="224" dataDxfId="223" totalsRowDxfId="222"/>
    <tableColumn id="8" name="Столбец8" totalsRowFunction="sum" headerRowDxfId="221" dataDxfId="220" totalsRowDxfId="219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218" totalsRowDxfId="217"/>
    <tableColumn id="4" name="Столбец2" dataDxfId="216"/>
    <tableColumn id="5" name="итог" dataDxfId="215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51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214"/>
    <tableColumn id="2" name="Столбец2"/>
    <tableColumn id="3" name="Столбец3" totalsRowFunction="sum" headerRowDxfId="213" dataDxfId="212" totalsRowDxfId="211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52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3.xml><?xml version="1.0" encoding="utf-8"?>
<table xmlns="http://schemas.openxmlformats.org/spreadsheetml/2006/main" id="47" name="Таблица47" displayName="Таблица47" ref="A23:F25" totalsRowCount="1" headerRowDxfId="210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209"/>
    <tableColumn id="5" name="Налог удержанный" totalsRowFunction="sum" dataDxfId="208"/>
    <tableColumn id="6" name="Разница" totalsRowFunction="sum" dataDxfId="207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8" name="Таблица8" displayName="Таблица8" ref="A1:D2" insertRow="1" totalsRowShown="0" headerRowDxfId="206" headerRowBorderDxfId="205" tableBorderDxfId="204" totalsRowBorderDxfId="203">
  <autoFilter ref="A1:D2">
    <filterColumn colId="2"/>
    <filterColumn colId="3"/>
  </autoFilter>
  <tableColumns count="4">
    <tableColumn id="1" name="ФИО" dataDxfId="202"/>
    <tableColumn id="5" name="Дата рождения" dataDxfId="201"/>
    <tableColumn id="2" name="Снилс"/>
    <tableColumn id="3" name="ИНН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25" name="Таблица8526" displayName="Таблица8526" ref="A2:I3" totalsRowShown="0" headerRowDxfId="200" headerRowBorderDxfId="199" tableBorderDxfId="198" totalsRowBorderDxfId="197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96"/>
    <tableColumn id="6" name="Имя" dataDxfId="195"/>
    <tableColumn id="4" name="Отчество" dataDxfId="194"/>
    <tableColumn id="5" name="Дата рождения" dataDxfId="193"/>
    <tableColumn id="3" name="ИНН" dataDxfId="192"/>
    <tableColumn id="1" name="Участник/Не участник" dataDxfId="191"/>
    <tableColumn id="2" name="Доход" dataDxfId="190"/>
    <tableColumn id="8" name="Пенсионные схемы" dataDxfId="189"/>
    <tableColumn id="9" name="Типы дохода" dataDxfId="188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id="101" name="Таблица44047102" displayName="Таблица44047102" ref="A7:I8" totalsRowShown="0" headerRowDxfId="187" dataDxfId="186">
  <autoFilter ref="A7:I8">
    <filterColumn colId="3"/>
  </autoFilter>
  <tableColumns count="9">
    <tableColumn id="3" name="№ справки" dataDxfId="185"/>
    <tableColumn id="4" name="№ корр" dataDxfId="184"/>
    <tableColumn id="5" name="Ставка налога" dataDxfId="183"/>
    <tableColumn id="7" name="Годовой доход" dataDxfId="182"/>
    <tableColumn id="6" name="Облагаемый доход" dataDxfId="181"/>
    <tableColumn id="8" name="Налог исчисленный" dataDxfId="180"/>
    <tableColumn id="9" name="Налог удержанный" dataDxfId="179"/>
    <tableColumn id="10" name="Переплата" dataDxfId="178"/>
    <tableColumn id="11" name="Недоплата" dataDxfId="177"/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id="122" name="Таблица4404762103122123" displayName="Таблица4404762103122123" ref="A12:F13" totalsRowShown="0" headerRowDxfId="176" dataDxfId="175">
  <autoFilter ref="A12:F13"/>
  <tableColumns count="6">
    <tableColumn id="3" name="№ справки" dataDxfId="174"/>
    <tableColumn id="4" name="№ корр" dataDxfId="173"/>
    <tableColumn id="5" name="Ставка налога" dataDxfId="172"/>
    <tableColumn id="6" name="Код вычета" dataDxfId="171"/>
    <tableColumn id="7" name="Сумма предоставленная" dataDxfId="170"/>
    <tableColumn id="8" name="Сумма использованная" dataDxfId="169"/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id="125" name="Таблица4404762103122123126" displayName="Таблица4404762103122123126" ref="A16:G17" totalsRowShown="0" headerRowDxfId="168" dataDxfId="167">
  <autoFilter ref="A16:G17">
    <filterColumn colId="6"/>
  </autoFilter>
  <tableColumns count="7">
    <tableColumn id="3" name="№ справки" dataDxfId="166"/>
    <tableColumn id="4" name="№ корр" dataDxfId="165"/>
    <tableColumn id="5" name="Ставка налога" dataDxfId="164"/>
    <tableColumn id="6" name="Код дохода" dataDxfId="163"/>
    <tableColumn id="7" name="Сумма дохода" dataDxfId="162"/>
    <tableColumn id="8" name="Код вычета" dataDxfId="161"/>
    <tableColumn id="1" name="Сумма вычета" dataDxfId="160"/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id="52" name="Таблица52" displayName="Таблица52" ref="A5:I6" headerRowDxfId="159">
  <autoFilter ref="A5:I6">
    <filterColumn colId="5"/>
  </autoFilter>
  <tableColumns count="9">
    <tableColumn id="1" name="Контрагент ID" totalsRowLabel="Итог" dataDxfId="158" totalsRowDxfId="157"/>
    <tableColumn id="2" name="Фамилия" dataDxfId="156" totalsRowDxfId="155"/>
    <tableColumn id="3" name="Имя" dataDxfId="154" totalsRowDxfId="153"/>
    <tableColumn id="4" name="Отчество" dataDxfId="152" totalsRowDxfId="151"/>
    <tableColumn id="5" name="Ставка" dataDxfId="150" totalsRowDxfId="149"/>
    <tableColumn id="9" name="Количество счетов" dataDxfId="148" totalsRowDxfId="147"/>
    <tableColumn id="6" name="Исчисленный налог" dataDxfId="146" totalsRowDxfId="145"/>
    <tableColumn id="7" name="Удержанный налог" dataDxfId="144" totalsRowDxfId="143"/>
    <tableColumn id="8" name="Недоплата" totalsRowFunction="sum" dataDxfId="142" totalsRowDxfId="141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28" name="Таблица5229" displayName="Таблица5229" ref="A5:P6" headerRowDxfId="140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39" totalsRowDxfId="138"/>
    <tableColumn id="2" name="Фамилия" dataDxfId="137" totalsRowDxfId="136"/>
    <tableColumn id="3" name="Имя" dataDxfId="135" totalsRowDxfId="134"/>
    <tableColumn id="4" name="Отчество" dataDxfId="133" totalsRowDxfId="132"/>
    <tableColumn id="9" name="SSYLKA" dataDxfId="131" totalsRowDxfId="130"/>
    <tableColumn id="10" name="Вкладчик" dataDxfId="129" totalsRowDxfId="128"/>
    <tableColumn id="11" name="ИПС" dataDxfId="127" totalsRowDxfId="126"/>
    <tableColumn id="12" name="Пенс.схема" dataDxfId="125" totalsRowDxfId="124"/>
    <tableColumn id="14" name="Счет дохода" dataDxfId="123" totalsRowDxfId="122"/>
    <tableColumn id="5" name="Счет налога" dataDxfId="121" totalsRowDxfId="120"/>
    <tableColumn id="16" name="Доход" dataDxfId="119" totalsRowDxfId="118"/>
    <tableColumn id="15" name="Вычет" dataDxfId="117" totalsRowDxfId="116"/>
    <tableColumn id="13" name="Налог" dataDxfId="115" totalsRowDxfId="114"/>
    <tableColumn id="18" name="Удержано налога" dataDxfId="113" totalsRowDxfId="112"/>
    <tableColumn id="17" name="Исчислено налога" dataDxfId="111" totalsRowDxfId="110"/>
    <tableColumn id="8" name="Недоплата2" totalsRowFunction="sum" dataDxfId="109" totalsRowDxfId="10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table" Target="../tables/table22.xml"/><Relationship Id="rId16" Type="http://schemas.openxmlformats.org/officeDocument/2006/relationships/table" Target="../tables/table36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10" Type="http://schemas.openxmlformats.org/officeDocument/2006/relationships/table" Target="../tables/table30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table" Target="../tables/table40.xml"/><Relationship Id="rId1" Type="http://schemas.openxmlformats.org/officeDocument/2006/relationships/table" Target="../tables/table3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4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20.bin"/><Relationship Id="rId6" Type="http://schemas.openxmlformats.org/officeDocument/2006/relationships/table" Target="../tables/table53.xml"/><Relationship Id="rId5" Type="http://schemas.openxmlformats.org/officeDocument/2006/relationships/table" Target="../tables/table52.xml"/><Relationship Id="rId4" Type="http://schemas.openxmlformats.org/officeDocument/2006/relationships/table" Target="../tables/table5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23.bin"/><Relationship Id="rId4" Type="http://schemas.openxmlformats.org/officeDocument/2006/relationships/table" Target="../tables/table5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96" t="s">
        <v>248</v>
      </c>
      <c r="B1" s="297"/>
      <c r="C1" s="297"/>
      <c r="D1" s="297"/>
      <c r="E1" s="297"/>
      <c r="F1" s="297"/>
      <c r="G1" s="297"/>
      <c r="H1" s="297"/>
      <c r="I1" s="297"/>
      <c r="J1" s="297"/>
    </row>
    <row r="2" spans="1:10" ht="31.5" customHeight="1">
      <c r="A2" s="294" t="s">
        <v>4</v>
      </c>
      <c r="B2" s="294"/>
      <c r="C2" s="294"/>
      <c r="D2" s="294"/>
      <c r="E2" s="294"/>
      <c r="F2" s="295" t="s">
        <v>23</v>
      </c>
      <c r="G2" s="295"/>
      <c r="H2" s="295"/>
      <c r="I2" s="295"/>
      <c r="J2" s="295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98" t="s">
        <v>248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</row>
    <row r="2" spans="1:16" ht="31.5" customHeight="1">
      <c r="A2" s="303" t="s">
        <v>4</v>
      </c>
      <c r="B2" s="304"/>
      <c r="C2" s="304"/>
      <c r="D2" s="304"/>
      <c r="E2" s="304"/>
      <c r="F2" s="304"/>
      <c r="G2" s="304"/>
      <c r="H2" s="304"/>
      <c r="I2" s="305"/>
      <c r="J2" s="306" t="s">
        <v>23</v>
      </c>
      <c r="K2" s="307"/>
      <c r="L2" s="307"/>
      <c r="M2" s="307"/>
      <c r="N2" s="307"/>
      <c r="O2" s="307"/>
      <c r="P2" s="308"/>
    </row>
    <row r="3" spans="1:16" ht="24" customHeight="1">
      <c r="A3" s="309" t="s">
        <v>0</v>
      </c>
      <c r="B3" s="311" t="s">
        <v>29</v>
      </c>
      <c r="C3" s="311" t="s">
        <v>3</v>
      </c>
      <c r="D3" s="311" t="s">
        <v>30</v>
      </c>
      <c r="E3" s="313" t="s">
        <v>5</v>
      </c>
      <c r="F3" s="314"/>
      <c r="G3" s="315"/>
      <c r="H3" s="313" t="s">
        <v>6</v>
      </c>
      <c r="I3" s="316"/>
      <c r="J3" s="317" t="s">
        <v>28</v>
      </c>
      <c r="K3" s="317" t="s">
        <v>32</v>
      </c>
      <c r="L3" s="299" t="s">
        <v>5</v>
      </c>
      <c r="M3" s="300"/>
      <c r="N3" s="301"/>
      <c r="O3" s="299" t="s">
        <v>6</v>
      </c>
      <c r="P3" s="302"/>
    </row>
    <row r="4" spans="1:16" ht="38.25" customHeight="1">
      <c r="A4" s="310"/>
      <c r="B4" s="312"/>
      <c r="C4" s="312"/>
      <c r="D4" s="312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18"/>
      <c r="K4" s="318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98" t="s">
        <v>249</v>
      </c>
      <c r="B1" s="298"/>
      <c r="C1" s="298"/>
      <c r="D1" s="298"/>
      <c r="E1" s="298"/>
      <c r="F1" s="298"/>
      <c r="G1" s="298"/>
      <c r="H1" s="298"/>
      <c r="I1" s="298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19" t="s">
        <v>250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</row>
    <row r="2" spans="1:18" ht="31.5" customHeight="1">
      <c r="A2" s="294" t="s">
        <v>59</v>
      </c>
      <c r="B2" s="294"/>
      <c r="C2" s="294"/>
      <c r="D2" s="294"/>
      <c r="E2" s="294" t="s">
        <v>58</v>
      </c>
      <c r="F2" s="294"/>
      <c r="G2" s="294"/>
      <c r="H2" s="294"/>
      <c r="I2" s="294"/>
      <c r="J2" s="294"/>
      <c r="K2" s="320" t="s">
        <v>52</v>
      </c>
      <c r="L2" s="320" t="s">
        <v>53</v>
      </c>
      <c r="M2" s="320" t="s">
        <v>38</v>
      </c>
      <c r="N2" s="320" t="s">
        <v>54</v>
      </c>
      <c r="O2" s="294" t="s">
        <v>60</v>
      </c>
      <c r="P2" s="294"/>
      <c r="Q2" s="294"/>
      <c r="R2" s="294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20"/>
      <c r="L3" s="320"/>
      <c r="M3" s="320"/>
      <c r="N3" s="320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B46" sqref="B46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323" t="s">
        <v>292</v>
      </c>
      <c r="B1" s="324"/>
      <c r="C1" s="324"/>
      <c r="D1" s="324"/>
      <c r="E1" s="324"/>
      <c r="F1" s="324"/>
      <c r="G1" s="324"/>
      <c r="H1" s="324"/>
    </row>
    <row r="2" spans="1:8" ht="15.75" customHeight="1">
      <c r="A2" s="328"/>
      <c r="B2" s="328"/>
      <c r="C2" s="328"/>
      <c r="D2" s="328"/>
      <c r="E2" s="328"/>
      <c r="F2" s="328"/>
      <c r="G2" s="328"/>
      <c r="H2" s="328"/>
    </row>
    <row r="3" spans="1:8" ht="27" customHeight="1">
      <c r="A3" s="325" t="s">
        <v>267</v>
      </c>
      <c r="B3" s="325"/>
      <c r="C3" s="325"/>
      <c r="D3" s="117"/>
      <c r="E3" s="325" t="s">
        <v>268</v>
      </c>
      <c r="F3" s="325"/>
      <c r="G3" s="325"/>
      <c r="H3" s="325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26" t="s">
        <v>283</v>
      </c>
      <c r="B18" s="326"/>
      <c r="C18" s="326"/>
      <c r="D18" s="119"/>
      <c r="E18" s="326" t="s">
        <v>284</v>
      </c>
      <c r="F18" s="326"/>
      <c r="G18" s="326"/>
      <c r="H18" s="326"/>
    </row>
    <row r="19" spans="1:8" ht="14.25" customHeight="1">
      <c r="A19" s="326"/>
      <c r="B19" s="326"/>
      <c r="C19" s="326"/>
      <c r="D19" s="118"/>
      <c r="E19" s="327" t="s">
        <v>269</v>
      </c>
      <c r="F19" s="327"/>
      <c r="G19" s="327" t="s">
        <v>270</v>
      </c>
      <c r="H19" s="327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321" t="s">
        <v>299</v>
      </c>
      <c r="B41" s="322"/>
      <c r="D41" s="117"/>
    </row>
    <row r="42" spans="1:8">
      <c r="A42" s="321"/>
      <c r="B42" s="322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553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57" customWidth="1"/>
    <col min="2" max="2" width="12.140625" style="257" customWidth="1"/>
    <col min="3" max="4" width="10.140625" style="257" customWidth="1"/>
    <col min="5" max="6" width="13.85546875" style="257" customWidth="1"/>
    <col min="7" max="7" width="17.140625" style="257" customWidth="1"/>
    <col min="8" max="10" width="14.140625" style="257" customWidth="1"/>
    <col min="11" max="11" width="17.140625" style="257" customWidth="1"/>
    <col min="12" max="12" width="15.140625" style="257" customWidth="1"/>
    <col min="13" max="13" width="9" style="257" customWidth="1"/>
    <col min="14" max="16384" width="9.140625" style="257"/>
  </cols>
  <sheetData>
    <row r="1" spans="1:18" ht="40.5" customHeight="1">
      <c r="A1" s="319" t="s">
        <v>542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242"/>
      <c r="N1" s="242"/>
      <c r="O1" s="242"/>
      <c r="P1" s="242"/>
      <c r="Q1" s="242"/>
      <c r="R1" s="242"/>
    </row>
    <row r="2" spans="1:18" ht="9" customHeight="1">
      <c r="A2" s="283"/>
      <c r="B2" s="283"/>
      <c r="C2" s="283"/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42"/>
      <c r="P2" s="242"/>
      <c r="Q2" s="242"/>
      <c r="R2" s="242"/>
    </row>
    <row r="3" spans="1:18">
      <c r="A3" s="288" t="s">
        <v>543</v>
      </c>
      <c r="B3" s="329"/>
      <c r="C3" s="329"/>
      <c r="D3" s="329"/>
      <c r="E3" s="329"/>
      <c r="F3" s="329"/>
      <c r="G3" s="329"/>
      <c r="H3" s="287"/>
      <c r="I3" s="287"/>
      <c r="J3" s="287"/>
      <c r="K3" s="287"/>
      <c r="L3" s="287"/>
      <c r="M3" s="287"/>
      <c r="N3" s="287"/>
    </row>
    <row r="4" spans="1:18">
      <c r="A4" s="288" t="s">
        <v>544</v>
      </c>
      <c r="B4" s="331"/>
      <c r="C4" s="331"/>
      <c r="D4" s="331"/>
      <c r="E4" s="331"/>
      <c r="F4" s="331"/>
      <c r="G4" s="331"/>
      <c r="H4" s="287"/>
      <c r="I4" s="287"/>
      <c r="J4" s="287"/>
      <c r="K4" s="287"/>
      <c r="L4" s="287"/>
      <c r="M4" s="287"/>
      <c r="N4" s="287"/>
    </row>
    <row r="5" spans="1:18" ht="9" customHeight="1"/>
    <row r="6" spans="1:18">
      <c r="A6" s="330" t="s">
        <v>540</v>
      </c>
      <c r="B6" s="330"/>
      <c r="C6" s="330"/>
      <c r="D6" s="330"/>
      <c r="E6" s="330"/>
      <c r="F6" s="330"/>
      <c r="G6" s="330"/>
      <c r="H6" s="330"/>
      <c r="I6" s="330"/>
      <c r="J6" s="330"/>
      <c r="K6" s="330"/>
      <c r="L6" s="330"/>
      <c r="M6" s="330"/>
    </row>
    <row r="7" spans="1:18" ht="45" customHeight="1">
      <c r="A7" s="243" t="s">
        <v>531</v>
      </c>
      <c r="B7" s="243" t="s">
        <v>490</v>
      </c>
      <c r="C7" s="244" t="s">
        <v>491</v>
      </c>
      <c r="D7" s="244" t="s">
        <v>35</v>
      </c>
      <c r="E7" s="244" t="s">
        <v>536</v>
      </c>
      <c r="F7" s="244" t="s">
        <v>3</v>
      </c>
      <c r="G7" s="244" t="s">
        <v>2</v>
      </c>
      <c r="H7" s="245" t="s">
        <v>1</v>
      </c>
      <c r="I7" s="246" t="s">
        <v>309</v>
      </c>
      <c r="J7" s="244" t="s">
        <v>532</v>
      </c>
      <c r="K7" s="243" t="s">
        <v>537</v>
      </c>
      <c r="L7" s="243" t="s">
        <v>533</v>
      </c>
    </row>
    <row r="8" spans="1:18">
      <c r="A8" s="258" t="s">
        <v>535</v>
      </c>
      <c r="B8" s="163"/>
      <c r="C8" s="163"/>
      <c r="D8" s="285"/>
      <c r="E8" s="285"/>
      <c r="F8" s="277"/>
      <c r="G8" s="166"/>
      <c r="H8" s="166"/>
      <c r="I8" s="166"/>
      <c r="J8" s="163"/>
      <c r="K8" s="163"/>
      <c r="L8" s="165"/>
    </row>
    <row r="11" spans="1:18">
      <c r="A11" s="330" t="s">
        <v>539</v>
      </c>
      <c r="B11" s="330"/>
      <c r="C11" s="330"/>
      <c r="D11" s="330"/>
      <c r="E11" s="330"/>
      <c r="F11" s="330"/>
      <c r="G11" s="330"/>
      <c r="H11" s="330"/>
      <c r="I11" s="330"/>
      <c r="J11" s="330"/>
      <c r="K11" s="330"/>
      <c r="L11" s="330"/>
      <c r="M11" s="330"/>
    </row>
    <row r="12" spans="1:18" ht="45" customHeight="1">
      <c r="A12" s="243" t="s">
        <v>531</v>
      </c>
      <c r="B12" s="243" t="s">
        <v>490</v>
      </c>
      <c r="C12" s="244" t="s">
        <v>491</v>
      </c>
      <c r="D12" s="244" t="s">
        <v>47</v>
      </c>
      <c r="E12" s="244" t="s">
        <v>3</v>
      </c>
      <c r="F12" s="244" t="s">
        <v>326</v>
      </c>
      <c r="G12" s="244" t="s">
        <v>38</v>
      </c>
      <c r="H12" s="245" t="s">
        <v>39</v>
      </c>
      <c r="I12" s="246" t="s">
        <v>40</v>
      </c>
      <c r="J12" s="244" t="s">
        <v>532</v>
      </c>
      <c r="K12" s="243" t="s">
        <v>538</v>
      </c>
      <c r="L12" s="243" t="s">
        <v>533</v>
      </c>
    </row>
    <row r="13" spans="1:18">
      <c r="A13" s="284" t="s">
        <v>528</v>
      </c>
      <c r="B13" s="163"/>
      <c r="C13" s="163"/>
      <c r="D13" s="285"/>
      <c r="E13" s="277"/>
      <c r="F13" s="277"/>
      <c r="G13" s="165"/>
      <c r="H13" s="165"/>
      <c r="I13" s="166"/>
      <c r="J13" s="163"/>
      <c r="K13" s="163"/>
      <c r="L13" s="165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57" customWidth="1"/>
    <col min="2" max="3" width="7.7109375" style="257" customWidth="1"/>
    <col min="4" max="4" width="46.42578125" style="257" customWidth="1"/>
    <col min="5" max="5" width="12.140625" style="257" customWidth="1"/>
    <col min="6" max="6" width="15.140625" style="257" customWidth="1"/>
    <col min="7" max="10" width="13.140625" style="257" customWidth="1"/>
    <col min="11" max="11" width="10" style="257" customWidth="1"/>
    <col min="12" max="12" width="13.42578125" style="257" customWidth="1"/>
    <col min="13" max="16384" width="9.140625" style="257"/>
  </cols>
  <sheetData>
    <row r="1" spans="1:12" ht="67.5" customHeight="1">
      <c r="A1" s="319" t="s">
        <v>521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</row>
    <row r="2" spans="1:12" ht="60.75" customHeight="1">
      <c r="A2" s="260" t="s">
        <v>469</v>
      </c>
      <c r="B2" s="259" t="s">
        <v>394</v>
      </c>
      <c r="C2" s="259" t="s">
        <v>395</v>
      </c>
      <c r="D2" s="259" t="s">
        <v>97</v>
      </c>
      <c r="E2" s="259" t="s">
        <v>514</v>
      </c>
      <c r="F2" s="259" t="s">
        <v>494</v>
      </c>
      <c r="G2" s="259" t="s">
        <v>492</v>
      </c>
      <c r="H2" s="259" t="s">
        <v>493</v>
      </c>
      <c r="I2" s="259" t="s">
        <v>522</v>
      </c>
      <c r="J2" s="259" t="s">
        <v>523</v>
      </c>
      <c r="K2" s="264" t="s">
        <v>40</v>
      </c>
      <c r="L2" s="255" t="s">
        <v>524</v>
      </c>
    </row>
    <row r="3" spans="1:12">
      <c r="A3" s="282" t="s">
        <v>519</v>
      </c>
      <c r="B3" s="253"/>
      <c r="C3" s="253"/>
      <c r="D3" s="261"/>
      <c r="E3" s="262"/>
      <c r="F3" s="262"/>
      <c r="G3" s="262"/>
      <c r="H3" s="262"/>
      <c r="I3" s="262"/>
      <c r="J3" s="262"/>
      <c r="K3" s="280"/>
      <c r="L3" s="26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57" customWidth="1"/>
    <col min="2" max="3" width="7.7109375" style="257" customWidth="1"/>
    <col min="4" max="4" width="46.42578125" style="257" customWidth="1"/>
    <col min="5" max="5" width="12.140625" style="257" customWidth="1"/>
    <col min="6" max="6" width="15.140625" style="257" customWidth="1"/>
    <col min="7" max="8" width="12.7109375" style="257" customWidth="1"/>
    <col min="9" max="9" width="19.5703125" style="257" customWidth="1"/>
    <col min="10" max="11" width="10" style="257" customWidth="1"/>
    <col min="12" max="16384" width="9.140625" style="257"/>
  </cols>
  <sheetData>
    <row r="1" spans="1:11" ht="92.25" customHeight="1">
      <c r="A1" s="319" t="s">
        <v>513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</row>
    <row r="2" spans="1:11" ht="60.75" customHeight="1">
      <c r="A2" s="260" t="s">
        <v>469</v>
      </c>
      <c r="B2" s="259" t="s">
        <v>394</v>
      </c>
      <c r="C2" s="259" t="s">
        <v>395</v>
      </c>
      <c r="D2" s="259" t="s">
        <v>97</v>
      </c>
      <c r="E2" s="259" t="s">
        <v>514</v>
      </c>
      <c r="F2" s="259" t="s">
        <v>494</v>
      </c>
      <c r="G2" s="259" t="s">
        <v>492</v>
      </c>
      <c r="H2" s="259" t="s">
        <v>493</v>
      </c>
      <c r="I2" s="259" t="s">
        <v>515</v>
      </c>
      <c r="J2" s="264" t="s">
        <v>516</v>
      </c>
      <c r="K2" s="255" t="s">
        <v>517</v>
      </c>
    </row>
    <row r="3" spans="1:11">
      <c r="A3" s="252" t="s">
        <v>511</v>
      </c>
      <c r="B3" s="253"/>
      <c r="C3" s="253"/>
      <c r="D3" s="261"/>
      <c r="E3" s="262"/>
      <c r="F3" s="262"/>
      <c r="G3" s="262"/>
      <c r="H3" s="262"/>
      <c r="I3" s="280"/>
      <c r="J3" s="280"/>
      <c r="K3" s="281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19" t="s">
        <v>468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</row>
    <row r="2" spans="1:11" ht="65.25" customHeight="1">
      <c r="A2" s="235" t="s">
        <v>469</v>
      </c>
      <c r="B2" s="236" t="s">
        <v>394</v>
      </c>
      <c r="C2" s="236" t="s">
        <v>395</v>
      </c>
      <c r="D2" s="236" t="s">
        <v>97</v>
      </c>
      <c r="E2" s="236" t="s">
        <v>3</v>
      </c>
      <c r="F2" s="236" t="s">
        <v>57</v>
      </c>
      <c r="G2" s="236" t="s">
        <v>470</v>
      </c>
      <c r="H2" s="236" t="s">
        <v>471</v>
      </c>
      <c r="I2" s="236" t="s">
        <v>472</v>
      </c>
      <c r="J2" s="237" t="s">
        <v>473</v>
      </c>
      <c r="K2" s="255" t="s">
        <v>474</v>
      </c>
    </row>
    <row r="3" spans="1:11">
      <c r="A3" s="252" t="s">
        <v>466</v>
      </c>
      <c r="B3" s="253"/>
      <c r="C3" s="253"/>
      <c r="D3" s="239"/>
      <c r="E3" s="239"/>
      <c r="F3" s="240"/>
      <c r="G3" s="250"/>
      <c r="H3" s="250"/>
      <c r="I3" s="254"/>
      <c r="J3" s="240"/>
      <c r="K3" s="241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96" t="s">
        <v>418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U1" t="s">
        <v>419</v>
      </c>
    </row>
    <row r="2" spans="1:21" ht="18" customHeight="1">
      <c r="A2" s="332" t="s">
        <v>419</v>
      </c>
      <c r="B2" s="332"/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3" t="e">
        <f>report_year-1</f>
        <v>#VALUE!</v>
      </c>
      <c r="N2" s="333"/>
      <c r="O2" s="333"/>
      <c r="P2" s="333"/>
      <c r="Q2" s="333"/>
      <c r="R2" s="333"/>
    </row>
    <row r="3" spans="1:21" ht="31.5" customHeight="1">
      <c r="A3" s="211" t="s">
        <v>420</v>
      </c>
      <c r="B3" s="211" t="s">
        <v>325</v>
      </c>
      <c r="C3" s="211" t="s">
        <v>421</v>
      </c>
      <c r="D3" s="211" t="s">
        <v>63</v>
      </c>
      <c r="E3" s="211" t="s">
        <v>64</v>
      </c>
      <c r="F3" s="211" t="s">
        <v>65</v>
      </c>
      <c r="G3" s="211" t="s">
        <v>98</v>
      </c>
      <c r="H3" s="211" t="s">
        <v>100</v>
      </c>
      <c r="I3" s="211" t="s">
        <v>414</v>
      </c>
      <c r="J3" s="211" t="s">
        <v>413</v>
      </c>
      <c r="K3" s="211" t="s">
        <v>422</v>
      </c>
      <c r="L3" s="211" t="s">
        <v>423</v>
      </c>
      <c r="M3" s="256" t="s">
        <v>482</v>
      </c>
      <c r="N3" s="256" t="s">
        <v>424</v>
      </c>
      <c r="O3" s="256" t="s">
        <v>425</v>
      </c>
      <c r="P3" s="256" t="s">
        <v>426</v>
      </c>
      <c r="Q3" s="256" t="s">
        <v>427</v>
      </c>
      <c r="R3" s="256" t="s">
        <v>428</v>
      </c>
    </row>
    <row r="4" spans="1:21">
      <c r="A4" s="29" t="s">
        <v>526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19" t="s">
        <v>400</v>
      </c>
      <c r="B1" s="319"/>
      <c r="C1" s="319"/>
      <c r="D1" s="319"/>
      <c r="E1" s="319"/>
      <c r="F1" s="319"/>
      <c r="G1" s="319"/>
      <c r="H1" s="319"/>
    </row>
    <row r="2" spans="1:8" ht="25.5">
      <c r="A2" s="219" t="s">
        <v>401</v>
      </c>
      <c r="B2" s="220" t="s">
        <v>402</v>
      </c>
      <c r="C2" s="220" t="s">
        <v>403</v>
      </c>
      <c r="D2" s="220" t="s">
        <v>404</v>
      </c>
      <c r="E2" s="220" t="s">
        <v>405</v>
      </c>
      <c r="F2" s="220" t="s">
        <v>406</v>
      </c>
      <c r="G2" s="220" t="s">
        <v>407</v>
      </c>
      <c r="H2" s="221" t="s">
        <v>408</v>
      </c>
    </row>
    <row r="3" spans="1:8">
      <c r="A3" s="222" t="s">
        <v>409</v>
      </c>
      <c r="B3" s="223"/>
      <c r="C3" s="224"/>
      <c r="D3" s="225"/>
      <c r="E3" s="225"/>
      <c r="F3" s="226"/>
      <c r="G3" s="225"/>
      <c r="H3" s="227"/>
    </row>
    <row r="6" spans="1:8" ht="47.25" customHeight="1">
      <c r="A6" s="319" t="s">
        <v>410</v>
      </c>
      <c r="B6" s="319"/>
      <c r="C6" s="319"/>
      <c r="D6" s="319"/>
      <c r="E6" s="319"/>
      <c r="F6" s="319"/>
      <c r="G6" s="319"/>
    </row>
    <row r="7" spans="1:8" ht="25.5">
      <c r="A7" s="219" t="s">
        <v>411</v>
      </c>
      <c r="B7" s="220" t="s">
        <v>63</v>
      </c>
      <c r="C7" s="220" t="s">
        <v>412</v>
      </c>
      <c r="D7" s="220" t="s">
        <v>413</v>
      </c>
      <c r="E7" s="220" t="s">
        <v>414</v>
      </c>
      <c r="F7" s="228" t="s">
        <v>415</v>
      </c>
      <c r="G7" s="220" t="s">
        <v>416</v>
      </c>
    </row>
    <row r="8" spans="1:8">
      <c r="A8" s="229" t="s">
        <v>417</v>
      </c>
      <c r="B8" s="223"/>
      <c r="C8" s="226"/>
      <c r="D8" s="226"/>
      <c r="E8" s="230"/>
      <c r="F8" s="231"/>
      <c r="G8" s="227"/>
    </row>
    <row r="9" spans="1:8">
      <c r="A9" s="229" t="s">
        <v>218</v>
      </c>
      <c r="B9" s="232"/>
      <c r="C9" s="233"/>
      <c r="D9" s="233"/>
      <c r="E9" s="233"/>
      <c r="F9" s="231">
        <f>SUBTOTAL(109,[Задолженность])</f>
        <v>0</v>
      </c>
      <c r="G9" s="234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96" t="s">
        <v>391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</row>
    <row r="2" spans="1:16" ht="18" customHeight="1">
      <c r="A2" s="334" t="s">
        <v>392</v>
      </c>
      <c r="B2" s="334"/>
      <c r="C2" s="334"/>
      <c r="D2" s="334"/>
      <c r="E2" s="334"/>
      <c r="F2" s="334"/>
      <c r="G2" s="334"/>
      <c r="H2" s="334" t="s">
        <v>393</v>
      </c>
      <c r="I2" s="334"/>
      <c r="J2" s="334"/>
      <c r="K2" s="334"/>
      <c r="L2" s="334"/>
      <c r="M2" s="334"/>
      <c r="N2" s="334"/>
      <c r="O2" s="334"/>
      <c r="P2" s="334"/>
    </row>
    <row r="3" spans="1:16" ht="31.5" customHeight="1">
      <c r="A3" s="211" t="s">
        <v>394</v>
      </c>
      <c r="B3" s="211" t="s">
        <v>395</v>
      </c>
      <c r="C3" s="211" t="s">
        <v>329</v>
      </c>
      <c r="D3" s="211" t="s">
        <v>396</v>
      </c>
      <c r="E3" s="211" t="s">
        <v>397</v>
      </c>
      <c r="F3" s="211" t="s">
        <v>1</v>
      </c>
      <c r="G3" s="211" t="s">
        <v>97</v>
      </c>
      <c r="H3" s="211" t="s">
        <v>398</v>
      </c>
      <c r="I3" s="211" t="s">
        <v>394</v>
      </c>
      <c r="J3" s="211" t="s">
        <v>395</v>
      </c>
      <c r="K3" s="211" t="s">
        <v>329</v>
      </c>
      <c r="L3" s="211" t="s">
        <v>396</v>
      </c>
      <c r="M3" s="211" t="s">
        <v>397</v>
      </c>
      <c r="N3" s="211" t="s">
        <v>1</v>
      </c>
      <c r="O3" s="211" t="s">
        <v>97</v>
      </c>
      <c r="P3" s="211" t="s">
        <v>398</v>
      </c>
    </row>
    <row r="4" spans="1:16">
      <c r="A4" s="212" t="s">
        <v>7</v>
      </c>
      <c r="B4" s="212" t="s">
        <v>8</v>
      </c>
      <c r="C4" s="212" t="s">
        <v>9</v>
      </c>
      <c r="D4" s="212" t="s">
        <v>10</v>
      </c>
      <c r="E4" s="212" t="s">
        <v>11</v>
      </c>
      <c r="F4" s="212" t="s">
        <v>12</v>
      </c>
      <c r="G4" s="212" t="s">
        <v>13</v>
      </c>
      <c r="H4" s="212" t="s">
        <v>14</v>
      </c>
      <c r="I4" s="212" t="s">
        <v>15</v>
      </c>
      <c r="J4" s="212" t="s">
        <v>16</v>
      </c>
      <c r="K4" s="212" t="s">
        <v>17</v>
      </c>
      <c r="L4" s="212" t="s">
        <v>18</v>
      </c>
      <c r="M4" s="212" t="s">
        <v>19</v>
      </c>
      <c r="N4" s="212" t="s">
        <v>20</v>
      </c>
      <c r="O4" s="212" t="s">
        <v>21</v>
      </c>
      <c r="P4" s="213" t="s">
        <v>24</v>
      </c>
    </row>
    <row r="5" spans="1:16">
      <c r="A5" s="214" t="s">
        <v>399</v>
      </c>
      <c r="B5" s="214"/>
      <c r="C5" s="215"/>
      <c r="D5" s="215"/>
      <c r="E5" s="216"/>
      <c r="F5" s="217"/>
      <c r="G5" s="216"/>
      <c r="H5" s="216"/>
      <c r="I5" s="215"/>
      <c r="J5" s="215"/>
      <c r="K5" s="215"/>
      <c r="L5" s="215"/>
      <c r="M5" s="216"/>
      <c r="N5" s="217"/>
      <c r="O5" s="216"/>
      <c r="P5" s="218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35" t="s">
        <v>457</v>
      </c>
      <c r="B1" s="335"/>
      <c r="C1" s="335"/>
      <c r="D1" s="335"/>
      <c r="E1" s="335"/>
      <c r="F1" s="335"/>
      <c r="G1" s="335"/>
      <c r="H1" s="335"/>
      <c r="I1" s="335"/>
      <c r="J1" s="185"/>
    </row>
    <row r="2" spans="1:10" ht="39.75" customHeight="1">
      <c r="A2" s="33" t="s">
        <v>459</v>
      </c>
      <c r="B2" s="47" t="s">
        <v>62</v>
      </c>
      <c r="C2" s="249" t="s">
        <v>3</v>
      </c>
      <c r="D2" s="47" t="s">
        <v>63</v>
      </c>
      <c r="E2" s="47" t="s">
        <v>64</v>
      </c>
      <c r="F2" s="47" t="s">
        <v>65</v>
      </c>
      <c r="G2" s="47" t="s">
        <v>460</v>
      </c>
      <c r="H2" s="47" t="s">
        <v>461</v>
      </c>
      <c r="I2" s="34" t="s">
        <v>412</v>
      </c>
    </row>
    <row r="3" spans="1:10">
      <c r="A3" s="238" t="s">
        <v>456</v>
      </c>
      <c r="B3" s="250"/>
      <c r="C3" s="240"/>
      <c r="D3" s="239"/>
      <c r="E3" s="239"/>
      <c r="F3" s="239"/>
      <c r="G3" s="240"/>
      <c r="H3" s="250"/>
      <c r="I3" s="251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6"/>
  <dimension ref="A1:J20"/>
  <sheetViews>
    <sheetView zoomScale="145" zoomScaleNormal="145" workbookViewId="0">
      <pane ySplit="4" topLeftCell="A5" activePane="bottomLeft" state="frozen"/>
      <selection pane="bottomLeft" activeCell="A2" sqref="A2:XFD3"/>
    </sheetView>
  </sheetViews>
  <sheetFormatPr defaultRowHeight="15"/>
  <cols>
    <col min="1" max="2" width="12.42578125" style="257" customWidth="1"/>
    <col min="3" max="4" width="13.85546875" style="257" customWidth="1"/>
    <col min="5" max="5" width="39" style="257" customWidth="1"/>
    <col min="6" max="7" width="17.140625" style="257" customWidth="1"/>
    <col min="8" max="8" width="14" style="257" customWidth="1"/>
    <col min="9" max="16384" width="9.140625" style="257"/>
  </cols>
  <sheetData>
    <row r="1" spans="1:10" ht="36" customHeight="1">
      <c r="A1" s="319" t="s">
        <v>489</v>
      </c>
      <c r="B1" s="319"/>
      <c r="C1" s="319"/>
      <c r="D1" s="319"/>
      <c r="E1" s="319"/>
      <c r="F1" s="319"/>
      <c r="G1" s="319"/>
      <c r="H1" s="319"/>
      <c r="I1" s="242"/>
      <c r="J1" s="242"/>
    </row>
    <row r="2" spans="1:10" ht="24" customHeight="1">
      <c r="A2" s="243" t="s">
        <v>509</v>
      </c>
      <c r="B2" s="243" t="s">
        <v>430</v>
      </c>
      <c r="C2" s="243" t="s">
        <v>490</v>
      </c>
      <c r="D2" s="244" t="s">
        <v>491</v>
      </c>
      <c r="E2" s="244" t="s">
        <v>97</v>
      </c>
      <c r="F2" s="245" t="s">
        <v>431</v>
      </c>
      <c r="G2" s="244" t="s">
        <v>414</v>
      </c>
      <c r="H2" s="273" t="s">
        <v>135</v>
      </c>
    </row>
    <row r="3" spans="1:10">
      <c r="A3" s="266" t="s">
        <v>477</v>
      </c>
      <c r="B3" s="163"/>
      <c r="C3" s="163"/>
      <c r="D3" s="163"/>
      <c r="E3" s="114"/>
      <c r="F3" s="267"/>
      <c r="G3" s="267"/>
      <c r="H3" s="272"/>
    </row>
    <row r="4" spans="1:10" ht="15.75" thickBot="1">
      <c r="A4" s="274"/>
      <c r="B4" s="274"/>
      <c r="C4" s="274"/>
      <c r="D4" s="274"/>
      <c r="E4" s="274"/>
      <c r="F4" s="274"/>
      <c r="G4" s="274"/>
      <c r="H4" s="274"/>
    </row>
    <row r="5" spans="1:10" ht="19.5" customHeight="1" thickTop="1"/>
    <row r="6" spans="1:10" ht="30" customHeight="1">
      <c r="A6" s="337" t="s">
        <v>503</v>
      </c>
      <c r="B6" s="337"/>
      <c r="C6" s="337"/>
      <c r="D6" s="337"/>
      <c r="E6" s="337"/>
      <c r="F6" s="337"/>
      <c r="G6" s="337"/>
      <c r="H6" s="337"/>
    </row>
    <row r="7" spans="1:10">
      <c r="A7" s="243" t="s">
        <v>492</v>
      </c>
      <c r="B7" s="243" t="s">
        <v>493</v>
      </c>
      <c r="C7" s="244" t="s">
        <v>494</v>
      </c>
      <c r="D7" s="244" t="s">
        <v>40</v>
      </c>
      <c r="E7" s="245" t="s">
        <v>495</v>
      </c>
      <c r="F7" s="244" t="s">
        <v>496</v>
      </c>
      <c r="G7" s="244" t="s">
        <v>497</v>
      </c>
      <c r="H7" s="244" t="s">
        <v>498</v>
      </c>
    </row>
    <row r="8" spans="1:10">
      <c r="A8" s="267" t="s">
        <v>478</v>
      </c>
      <c r="B8" s="267"/>
      <c r="C8" s="165"/>
      <c r="D8" s="276"/>
      <c r="E8" s="278"/>
      <c r="F8" s="166" t="s">
        <v>191</v>
      </c>
      <c r="G8" s="163"/>
      <c r="H8" s="163"/>
    </row>
    <row r="9" spans="1:10" ht="16.5" customHeight="1"/>
    <row r="10" spans="1:10" ht="30" customHeight="1">
      <c r="A10" s="336" t="s">
        <v>506</v>
      </c>
      <c r="B10" s="337"/>
      <c r="C10" s="337"/>
      <c r="D10" s="337"/>
      <c r="E10" s="337"/>
      <c r="F10" s="337"/>
      <c r="G10" s="337"/>
      <c r="H10" s="337"/>
    </row>
    <row r="11" spans="1:10">
      <c r="A11" s="243" t="s">
        <v>492</v>
      </c>
      <c r="B11" s="243" t="s">
        <v>493</v>
      </c>
      <c r="C11" s="244" t="s">
        <v>470</v>
      </c>
      <c r="D11" s="244" t="s">
        <v>40</v>
      </c>
      <c r="E11" s="245" t="s">
        <v>495</v>
      </c>
      <c r="F11" s="244" t="s">
        <v>496</v>
      </c>
      <c r="G11" s="244" t="s">
        <v>497</v>
      </c>
      <c r="H11" s="244" t="s">
        <v>498</v>
      </c>
    </row>
    <row r="12" spans="1:10">
      <c r="A12" s="265" t="s">
        <v>479</v>
      </c>
      <c r="B12" s="267"/>
      <c r="C12" s="165"/>
      <c r="D12" s="115"/>
      <c r="E12" s="278"/>
      <c r="F12" s="166" t="s">
        <v>191</v>
      </c>
      <c r="G12" s="163"/>
      <c r="H12" s="163"/>
    </row>
    <row r="14" spans="1:10" ht="30" customHeight="1">
      <c r="A14" s="337" t="s">
        <v>504</v>
      </c>
      <c r="B14" s="337"/>
      <c r="C14" s="337"/>
      <c r="D14" s="337"/>
      <c r="E14" s="337"/>
      <c r="F14" s="337"/>
      <c r="G14" s="337"/>
    </row>
    <row r="15" spans="1:10" ht="25.5">
      <c r="A15" s="243" t="s">
        <v>35</v>
      </c>
      <c r="B15" s="243" t="s">
        <v>499</v>
      </c>
      <c r="C15" s="243" t="s">
        <v>38</v>
      </c>
      <c r="D15" s="244" t="s">
        <v>40</v>
      </c>
      <c r="E15" s="244" t="s">
        <v>500</v>
      </c>
      <c r="F15" s="244" t="s">
        <v>501</v>
      </c>
      <c r="G15" s="244" t="s">
        <v>39</v>
      </c>
    </row>
    <row r="16" spans="1:10">
      <c r="A16" s="265" t="s">
        <v>480</v>
      </c>
      <c r="B16" s="277"/>
      <c r="C16" s="267"/>
      <c r="D16" s="115"/>
      <c r="E16" s="275"/>
      <c r="F16" s="268"/>
      <c r="G16" s="268"/>
    </row>
    <row r="18" spans="1:5" ht="30" customHeight="1">
      <c r="A18" s="337" t="s">
        <v>505</v>
      </c>
      <c r="B18" s="337"/>
      <c r="C18" s="337"/>
      <c r="D18" s="337"/>
      <c r="E18" s="337"/>
    </row>
    <row r="19" spans="1:5" ht="15.75" thickBot="1">
      <c r="A19" s="269" t="s">
        <v>3</v>
      </c>
      <c r="B19" s="269" t="s">
        <v>57</v>
      </c>
      <c r="C19" s="270" t="s">
        <v>494</v>
      </c>
      <c r="D19" s="270" t="s">
        <v>40</v>
      </c>
      <c r="E19" s="269" t="s">
        <v>502</v>
      </c>
    </row>
    <row r="20" spans="1:5" ht="15.75" thickTop="1">
      <c r="A20" s="271" t="s">
        <v>481</v>
      </c>
      <c r="B20" s="271"/>
      <c r="C20" s="271"/>
      <c r="D20" s="276"/>
      <c r="E20" s="279"/>
    </row>
  </sheetData>
  <mergeCells count="5">
    <mergeCell ref="A10:H10"/>
    <mergeCell ref="A6:H6"/>
    <mergeCell ref="A1:H1"/>
    <mergeCell ref="A14:G14"/>
    <mergeCell ref="A18:E18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ettings"/>
  <dimension ref="A1:BI68"/>
  <sheetViews>
    <sheetView topLeftCell="C22" workbookViewId="0">
      <selection activeCell="I56" sqref="I56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8.42578125" style="257" customWidth="1"/>
    <col min="14" max="14" width="10.85546875" customWidth="1"/>
    <col min="15" max="15" width="30.7109375" bestFit="1" customWidth="1"/>
    <col min="16" max="16" width="32.42578125" bestFit="1" customWidth="1"/>
    <col min="17" max="17" width="34.7109375" customWidth="1"/>
    <col min="18" max="19" width="16.7109375" customWidth="1"/>
    <col min="20" max="20" width="13.85546875" customWidth="1"/>
    <col min="21" max="21" width="13.5703125" bestFit="1" customWidth="1"/>
    <col min="22" max="22" width="23" customWidth="1"/>
    <col min="23" max="23" width="30.7109375" bestFit="1" customWidth="1"/>
    <col min="24" max="24" width="27.140625" bestFit="1" customWidth="1"/>
    <col min="25" max="25" width="19.7109375" bestFit="1" customWidth="1"/>
    <col min="26" max="28" width="17.85546875" customWidth="1"/>
    <col min="29" max="29" width="34" bestFit="1" customWidth="1"/>
    <col min="30" max="30" width="36" bestFit="1" customWidth="1"/>
    <col min="31" max="31" width="19.7109375" bestFit="1" customWidth="1"/>
    <col min="32" max="32" width="18.5703125" bestFit="1" customWidth="1"/>
    <col min="33" max="33" width="14.140625" bestFit="1" customWidth="1"/>
    <col min="34" max="34" width="11.42578125" bestFit="1" customWidth="1"/>
    <col min="35" max="35" width="12.85546875" bestFit="1" customWidth="1"/>
    <col min="36" max="36" width="11.42578125" bestFit="1" customWidth="1"/>
    <col min="37" max="37" width="6.85546875" bestFit="1" customWidth="1"/>
    <col min="38" max="38" width="9.28515625" bestFit="1" customWidth="1"/>
    <col min="39" max="40" width="11.85546875" bestFit="1" customWidth="1"/>
    <col min="41" max="42" width="13.140625" bestFit="1" customWidth="1"/>
    <col min="43" max="44" width="12.140625" bestFit="1" customWidth="1"/>
    <col min="45" max="45" width="13.7109375" bestFit="1" customWidth="1"/>
    <col min="46" max="46" width="7.5703125" customWidth="1"/>
    <col min="47" max="47" width="14" bestFit="1" customWidth="1"/>
    <col min="48" max="48" width="7.5703125" customWidth="1"/>
    <col min="49" max="49" width="12.140625" bestFit="1" customWidth="1"/>
    <col min="50" max="50" width="7.5703125" customWidth="1"/>
    <col min="51" max="51" width="13.5703125" customWidth="1"/>
    <col min="52" max="52" width="7.5703125" customWidth="1"/>
    <col min="55" max="55" width="11.28515625" bestFit="1" customWidth="1"/>
    <col min="57" max="58" width="12.140625" customWidth="1"/>
    <col min="59" max="59" width="11.5703125" bestFit="1" customWidth="1"/>
  </cols>
  <sheetData>
    <row r="1" spans="1:61" ht="29.25" customHeight="1">
      <c r="A1" s="338" t="s">
        <v>115</v>
      </c>
      <c r="B1" s="338"/>
      <c r="D1" s="339" t="s">
        <v>116</v>
      </c>
      <c r="E1" s="339"/>
      <c r="G1" s="339" t="s">
        <v>111</v>
      </c>
      <c r="H1" s="339"/>
      <c r="I1" s="339"/>
      <c r="J1" s="339"/>
      <c r="K1" s="339"/>
      <c r="L1" s="339"/>
      <c r="M1" s="292"/>
      <c r="O1" s="339" t="s">
        <v>106</v>
      </c>
      <c r="P1" s="339"/>
      <c r="Q1" s="339"/>
      <c r="R1" s="339"/>
      <c r="S1" s="339"/>
      <c r="T1" s="339"/>
      <c r="U1" s="339"/>
      <c r="W1" s="339" t="s">
        <v>112</v>
      </c>
      <c r="X1" s="339"/>
      <c r="Z1" s="339" t="s">
        <v>103</v>
      </c>
      <c r="AA1" s="339"/>
      <c r="AB1" s="339"/>
      <c r="AC1" s="339"/>
      <c r="AD1" s="339"/>
      <c r="AF1" s="339" t="s">
        <v>143</v>
      </c>
      <c r="AG1" s="339"/>
      <c r="AH1" s="339"/>
      <c r="AI1" s="339"/>
      <c r="AJ1" s="339"/>
      <c r="AK1" s="339"/>
      <c r="AL1" s="339"/>
      <c r="AN1" s="38" t="s">
        <v>129</v>
      </c>
      <c r="AP1" s="38" t="s">
        <v>131</v>
      </c>
      <c r="AR1" s="38" t="s">
        <v>133</v>
      </c>
      <c r="AT1" s="38" t="s">
        <v>142</v>
      </c>
      <c r="AV1" s="38" t="s">
        <v>151</v>
      </c>
      <c r="AX1" s="38" t="s">
        <v>152</v>
      </c>
      <c r="AZ1" s="38" t="s">
        <v>144</v>
      </c>
      <c r="BB1" s="38" t="s">
        <v>157</v>
      </c>
      <c r="BD1" s="38" t="s">
        <v>164</v>
      </c>
      <c r="BF1" s="340" t="s">
        <v>245</v>
      </c>
      <c r="BG1" s="340"/>
    </row>
    <row r="2" spans="1:61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434</v>
      </c>
      <c r="L2" t="s">
        <v>455</v>
      </c>
      <c r="M2" s="257" t="s">
        <v>575</v>
      </c>
      <c r="O2" t="s">
        <v>107</v>
      </c>
      <c r="P2" t="s">
        <v>31</v>
      </c>
      <c r="Q2" t="s">
        <v>95</v>
      </c>
      <c r="R2" t="s">
        <v>130</v>
      </c>
      <c r="S2" t="s">
        <v>378</v>
      </c>
      <c r="T2" t="s">
        <v>125</v>
      </c>
      <c r="U2" t="s">
        <v>117</v>
      </c>
      <c r="W2" t="s">
        <v>107</v>
      </c>
      <c r="X2" t="s">
        <v>113</v>
      </c>
      <c r="Z2" t="s">
        <v>107</v>
      </c>
      <c r="AA2" t="s">
        <v>123</v>
      </c>
      <c r="AB2" t="s">
        <v>139</v>
      </c>
      <c r="AC2" t="s">
        <v>145</v>
      </c>
      <c r="AD2" t="s">
        <v>127</v>
      </c>
      <c r="AF2" t="s">
        <v>125</v>
      </c>
      <c r="AG2" t="s">
        <v>153</v>
      </c>
      <c r="AH2" t="s">
        <v>144</v>
      </c>
      <c r="AI2" t="s">
        <v>154</v>
      </c>
      <c r="AJ2" t="s">
        <v>155</v>
      </c>
      <c r="AK2" t="s">
        <v>160</v>
      </c>
      <c r="AL2" t="s">
        <v>163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107</v>
      </c>
      <c r="BD2" t="s">
        <v>107</v>
      </c>
      <c r="BF2" t="s">
        <v>136</v>
      </c>
      <c r="BG2" t="s">
        <v>114</v>
      </c>
    </row>
    <row r="3" spans="1:61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O3" t="s">
        <v>27</v>
      </c>
      <c r="P3" t="s">
        <v>27</v>
      </c>
      <c r="Q3" t="s">
        <v>25</v>
      </c>
      <c r="R3" t="s">
        <v>128</v>
      </c>
      <c r="S3" t="s">
        <v>379</v>
      </c>
      <c r="T3" t="s">
        <v>126</v>
      </c>
      <c r="U3" t="s">
        <v>134</v>
      </c>
      <c r="W3" t="s">
        <v>119</v>
      </c>
      <c r="X3" t="s">
        <v>137</v>
      </c>
      <c r="Z3" s="6" t="s">
        <v>170</v>
      </c>
      <c r="AA3" t="s">
        <v>124</v>
      </c>
      <c r="AB3" t="s">
        <v>141</v>
      </c>
      <c r="AD3" t="s">
        <v>172</v>
      </c>
      <c r="AF3" s="6" t="s">
        <v>126</v>
      </c>
      <c r="AG3" t="s">
        <v>162</v>
      </c>
      <c r="AH3" t="s">
        <v>147</v>
      </c>
      <c r="AK3">
        <v>2000</v>
      </c>
      <c r="AL3" t="s">
        <v>141</v>
      </c>
      <c r="AN3" s="36" t="s">
        <v>104</v>
      </c>
      <c r="AP3" t="s">
        <v>128</v>
      </c>
      <c r="AR3" t="s">
        <v>134</v>
      </c>
      <c r="AT3" t="s">
        <v>124</v>
      </c>
      <c r="AV3" t="s">
        <v>150</v>
      </c>
      <c r="AX3" t="s">
        <v>146</v>
      </c>
      <c r="AZ3" t="s">
        <v>148</v>
      </c>
      <c r="BB3" t="s">
        <v>141</v>
      </c>
      <c r="BD3" t="s">
        <v>165</v>
      </c>
      <c r="BF3" t="s">
        <v>246</v>
      </c>
      <c r="BG3" t="s">
        <v>158</v>
      </c>
    </row>
    <row r="4" spans="1:61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O4" t="s">
        <v>33</v>
      </c>
      <c r="P4" t="s">
        <v>33</v>
      </c>
      <c r="Q4" t="s">
        <v>34</v>
      </c>
      <c r="R4" t="s">
        <v>128</v>
      </c>
      <c r="S4" t="s">
        <v>379</v>
      </c>
      <c r="T4" t="s">
        <v>126</v>
      </c>
      <c r="U4" t="s">
        <v>134</v>
      </c>
      <c r="W4" t="s">
        <v>119</v>
      </c>
      <c r="X4" s="6" t="s">
        <v>188</v>
      </c>
      <c r="Z4" s="6" t="s">
        <v>126</v>
      </c>
      <c r="AA4" t="s">
        <v>161</v>
      </c>
      <c r="AB4" t="s">
        <v>141</v>
      </c>
      <c r="AC4" t="s">
        <v>146</v>
      </c>
      <c r="AD4" s="6" t="s">
        <v>242</v>
      </c>
      <c r="AE4" s="6"/>
      <c r="AF4" s="45" t="s">
        <v>126</v>
      </c>
      <c r="AG4" s="6" t="s">
        <v>156</v>
      </c>
      <c r="AH4" s="6" t="s">
        <v>148</v>
      </c>
      <c r="AI4" s="6" t="s">
        <v>149</v>
      </c>
      <c r="AJ4" s="6" t="s">
        <v>141</v>
      </c>
      <c r="AK4" s="6">
        <v>40</v>
      </c>
      <c r="AL4" s="6" t="s">
        <v>140</v>
      </c>
      <c r="AN4" s="37" t="s">
        <v>105</v>
      </c>
      <c r="AP4" t="s">
        <v>132</v>
      </c>
      <c r="AR4" t="s">
        <v>118</v>
      </c>
      <c r="AT4" t="s">
        <v>161</v>
      </c>
      <c r="AZ4" t="s">
        <v>147</v>
      </c>
      <c r="BB4" t="s">
        <v>140</v>
      </c>
      <c r="BD4" s="177" t="s">
        <v>454</v>
      </c>
      <c r="BF4" t="s">
        <v>247</v>
      </c>
      <c r="BG4" t="s">
        <v>159</v>
      </c>
    </row>
    <row r="5" spans="1:61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O5" t="s">
        <v>43</v>
      </c>
      <c r="P5" t="s">
        <v>43</v>
      </c>
      <c r="Q5" t="s">
        <v>44</v>
      </c>
      <c r="R5" t="s">
        <v>128</v>
      </c>
      <c r="S5" t="s">
        <v>379</v>
      </c>
      <c r="T5" t="s">
        <v>126</v>
      </c>
      <c r="U5" t="s">
        <v>134</v>
      </c>
      <c r="W5" t="s">
        <v>119</v>
      </c>
      <c r="X5" s="6" t="s">
        <v>189</v>
      </c>
      <c r="Z5" s="6" t="s">
        <v>166</v>
      </c>
      <c r="AA5" t="s">
        <v>124</v>
      </c>
      <c r="AB5" t="s">
        <v>140</v>
      </c>
      <c r="AC5" s="6"/>
      <c r="AD5" t="s">
        <v>167</v>
      </c>
      <c r="AF5" s="45" t="s">
        <v>126</v>
      </c>
      <c r="AG5" s="177" t="s">
        <v>340</v>
      </c>
      <c r="AH5" s="6" t="s">
        <v>148</v>
      </c>
      <c r="AI5" s="258" t="s">
        <v>549</v>
      </c>
      <c r="AJ5" s="6" t="s">
        <v>141</v>
      </c>
      <c r="AK5" s="6">
        <v>4</v>
      </c>
      <c r="AL5" s="6" t="s">
        <v>140</v>
      </c>
      <c r="AR5" s="6" t="s">
        <v>304</v>
      </c>
      <c r="BF5" s="177" t="s">
        <v>345</v>
      </c>
      <c r="BG5" s="177" t="s">
        <v>344</v>
      </c>
    </row>
    <row r="6" spans="1:61">
      <c r="A6" s="6" t="s">
        <v>122</v>
      </c>
      <c r="B6" s="6" t="str">
        <f>VLOOKUP(ReportSelected,Menu[],2,FALSE)</f>
        <v>error_report</v>
      </c>
      <c r="D6" s="247" t="s">
        <v>432</v>
      </c>
      <c r="E6" s="177" t="s">
        <v>433</v>
      </c>
      <c r="G6" t="s">
        <v>43</v>
      </c>
      <c r="H6" t="s">
        <v>104</v>
      </c>
      <c r="I6" t="s">
        <v>43</v>
      </c>
      <c r="O6" t="s">
        <v>66</v>
      </c>
      <c r="P6" t="s">
        <v>66</v>
      </c>
      <c r="Q6" t="s">
        <v>67</v>
      </c>
      <c r="R6" t="s">
        <v>128</v>
      </c>
      <c r="S6" t="s">
        <v>379</v>
      </c>
      <c r="T6" t="s">
        <v>126</v>
      </c>
      <c r="U6" t="s">
        <v>134</v>
      </c>
      <c r="W6" s="6" t="s">
        <v>77</v>
      </c>
      <c r="X6" s="6" t="s">
        <v>138</v>
      </c>
      <c r="Z6" s="6" t="s">
        <v>171</v>
      </c>
      <c r="AA6" t="s">
        <v>161</v>
      </c>
      <c r="AB6" t="s">
        <v>141</v>
      </c>
      <c r="AC6" s="6"/>
      <c r="AD6" s="6" t="s">
        <v>243</v>
      </c>
      <c r="AF6" s="45" t="s">
        <v>126</v>
      </c>
      <c r="AG6" s="177" t="s">
        <v>342</v>
      </c>
      <c r="AH6" s="6" t="s">
        <v>148</v>
      </c>
      <c r="AI6" s="258" t="s">
        <v>550</v>
      </c>
      <c r="AJ6" s="6" t="s">
        <v>141</v>
      </c>
      <c r="AK6" s="6">
        <v>2</v>
      </c>
      <c r="AL6" s="6" t="s">
        <v>140</v>
      </c>
      <c r="BF6" s="257" t="s">
        <v>341</v>
      </c>
      <c r="BG6" s="257" t="s">
        <v>549</v>
      </c>
    </row>
    <row r="7" spans="1:61">
      <c r="A7" s="39" t="s">
        <v>149</v>
      </c>
      <c r="B7" s="258"/>
      <c r="D7" t="s">
        <v>436</v>
      </c>
      <c r="E7" s="177" t="s">
        <v>437</v>
      </c>
      <c r="G7" t="s">
        <v>66</v>
      </c>
      <c r="H7" t="s">
        <v>104</v>
      </c>
      <c r="I7" t="s">
        <v>66</v>
      </c>
      <c r="O7" t="s">
        <v>119</v>
      </c>
      <c r="P7" t="s">
        <v>119</v>
      </c>
      <c r="Q7" t="s">
        <v>76</v>
      </c>
      <c r="R7" t="s">
        <v>128</v>
      </c>
      <c r="S7" t="s">
        <v>379</v>
      </c>
      <c r="U7" t="s">
        <v>118</v>
      </c>
      <c r="W7" s="6" t="s">
        <v>77</v>
      </c>
      <c r="X7" s="6" t="s">
        <v>209</v>
      </c>
      <c r="Z7" s="6" t="s">
        <v>180</v>
      </c>
      <c r="AA7" t="s">
        <v>161</v>
      </c>
      <c r="AB7" t="s">
        <v>141</v>
      </c>
      <c r="AC7" s="6"/>
      <c r="AD7" s="6" t="s">
        <v>244</v>
      </c>
      <c r="AF7" s="45" t="s">
        <v>126</v>
      </c>
      <c r="AG7" s="177" t="s">
        <v>343</v>
      </c>
      <c r="AH7" s="177" t="s">
        <v>148</v>
      </c>
      <c r="AI7" s="258" t="s">
        <v>344</v>
      </c>
      <c r="AJ7" s="177" t="s">
        <v>141</v>
      </c>
      <c r="AK7" s="177">
        <v>10</v>
      </c>
      <c r="AL7" s="177" t="s">
        <v>140</v>
      </c>
    </row>
    <row r="8" spans="1:61">
      <c r="A8" s="177" t="s">
        <v>158</v>
      </c>
      <c r="B8" s="180" t="s">
        <v>573</v>
      </c>
      <c r="D8" t="s">
        <v>463</v>
      </c>
      <c r="E8" s="177" t="s">
        <v>451</v>
      </c>
      <c r="G8" t="s">
        <v>119</v>
      </c>
      <c r="H8" t="s">
        <v>104</v>
      </c>
      <c r="I8" t="s">
        <v>119</v>
      </c>
      <c r="O8" t="s">
        <v>77</v>
      </c>
      <c r="P8" t="s">
        <v>77</v>
      </c>
      <c r="Q8" t="s">
        <v>78</v>
      </c>
      <c r="R8" t="s">
        <v>128</v>
      </c>
      <c r="S8" t="s">
        <v>379</v>
      </c>
      <c r="U8" t="s">
        <v>118</v>
      </c>
      <c r="W8" s="6" t="s">
        <v>77</v>
      </c>
      <c r="X8" s="6" t="s">
        <v>210</v>
      </c>
      <c r="Z8" s="6" t="s">
        <v>301</v>
      </c>
      <c r="AA8" s="6" t="s">
        <v>124</v>
      </c>
      <c r="AB8" s="6" t="s">
        <v>141</v>
      </c>
      <c r="AC8" s="6"/>
      <c r="AD8" s="6" t="s">
        <v>302</v>
      </c>
      <c r="AF8" s="6" t="s">
        <v>171</v>
      </c>
      <c r="AG8" t="s">
        <v>162</v>
      </c>
      <c r="AH8" t="s">
        <v>147</v>
      </c>
      <c r="AK8">
        <v>2000</v>
      </c>
      <c r="AL8" t="s">
        <v>141</v>
      </c>
      <c r="BI8" s="108"/>
    </row>
    <row r="9" spans="1:61">
      <c r="A9" s="177" t="s">
        <v>159</v>
      </c>
      <c r="B9" s="258" t="s">
        <v>574</v>
      </c>
      <c r="D9" s="247" t="s">
        <v>432</v>
      </c>
      <c r="E9" s="177" t="s">
        <v>433</v>
      </c>
      <c r="G9" t="s">
        <v>77</v>
      </c>
      <c r="H9" t="s">
        <v>104</v>
      </c>
      <c r="I9" t="s">
        <v>77</v>
      </c>
      <c r="O9" t="s">
        <v>178</v>
      </c>
      <c r="P9" t="s">
        <v>176</v>
      </c>
      <c r="Q9" t="s">
        <v>96</v>
      </c>
      <c r="R9" t="s">
        <v>128</v>
      </c>
      <c r="S9" t="s">
        <v>379</v>
      </c>
      <c r="T9" t="s">
        <v>126</v>
      </c>
      <c r="U9" t="s">
        <v>134</v>
      </c>
      <c r="W9" s="6" t="s">
        <v>77</v>
      </c>
      <c r="X9" s="6" t="s">
        <v>214</v>
      </c>
      <c r="Z9" s="6" t="s">
        <v>332</v>
      </c>
      <c r="AA9" s="6" t="s">
        <v>161</v>
      </c>
      <c r="AB9" s="6" t="s">
        <v>141</v>
      </c>
      <c r="AC9" s="6"/>
      <c r="AD9" s="6" t="s">
        <v>333</v>
      </c>
      <c r="AF9" s="6" t="s">
        <v>171</v>
      </c>
      <c r="AG9" s="6" t="s">
        <v>169</v>
      </c>
      <c r="AH9" s="6" t="s">
        <v>148</v>
      </c>
      <c r="AI9" s="258" t="s">
        <v>344</v>
      </c>
      <c r="AJ9" s="6" t="s">
        <v>141</v>
      </c>
      <c r="AK9" s="6">
        <v>10</v>
      </c>
      <c r="AL9" s="6" t="s">
        <v>140</v>
      </c>
    </row>
    <row r="10" spans="1:61">
      <c r="A10" s="177" t="s">
        <v>344</v>
      </c>
      <c r="B10" s="258" t="s">
        <v>574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454</v>
      </c>
      <c r="O10" t="s">
        <v>177</v>
      </c>
      <c r="P10" t="s">
        <v>94</v>
      </c>
      <c r="Q10" t="s">
        <v>96</v>
      </c>
      <c r="R10" t="s">
        <v>128</v>
      </c>
      <c r="S10" t="s">
        <v>379</v>
      </c>
      <c r="T10" s="6"/>
      <c r="U10" t="s">
        <v>134</v>
      </c>
      <c r="W10" s="6" t="s">
        <v>77</v>
      </c>
      <c r="X10" s="6" t="s">
        <v>216</v>
      </c>
      <c r="Z10" s="6" t="s">
        <v>337</v>
      </c>
      <c r="AA10" t="s">
        <v>161</v>
      </c>
      <c r="AB10" t="s">
        <v>141</v>
      </c>
      <c r="AC10" s="6"/>
      <c r="AD10" s="6" t="s">
        <v>338</v>
      </c>
      <c r="AF10" s="46" t="s">
        <v>180</v>
      </c>
      <c r="AG10" t="s">
        <v>162</v>
      </c>
      <c r="AH10" t="s">
        <v>147</v>
      </c>
      <c r="AK10">
        <v>2000</v>
      </c>
      <c r="AL10" t="s">
        <v>141</v>
      </c>
      <c r="BF10" s="258"/>
      <c r="BG10" s="258"/>
    </row>
    <row r="11" spans="1:61">
      <c r="A11" s="177" t="s">
        <v>435</v>
      </c>
      <c r="B11" s="258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O11" s="6" t="s">
        <v>188</v>
      </c>
      <c r="P11" s="6" t="s">
        <v>190</v>
      </c>
      <c r="Q11" s="6" t="s">
        <v>188</v>
      </c>
      <c r="R11" t="s">
        <v>128</v>
      </c>
      <c r="S11" t="s">
        <v>379</v>
      </c>
      <c r="T11" t="s">
        <v>126</v>
      </c>
      <c r="U11" t="s">
        <v>134</v>
      </c>
      <c r="W11" s="6" t="s">
        <v>238</v>
      </c>
      <c r="X11" s="6" t="s">
        <v>236</v>
      </c>
      <c r="Z11" s="177" t="s">
        <v>438</v>
      </c>
      <c r="AA11" s="177" t="s">
        <v>161</v>
      </c>
      <c r="AB11" s="177" t="s">
        <v>141</v>
      </c>
      <c r="AC11" s="177"/>
      <c r="AD11" s="177" t="s">
        <v>439</v>
      </c>
      <c r="AF11" s="46" t="s">
        <v>180</v>
      </c>
      <c r="AG11" s="177" t="s">
        <v>340</v>
      </c>
      <c r="AH11" s="6" t="s">
        <v>148</v>
      </c>
      <c r="AI11" s="258" t="s">
        <v>549</v>
      </c>
      <c r="AJ11" s="6" t="s">
        <v>141</v>
      </c>
      <c r="AK11" s="6">
        <v>4</v>
      </c>
      <c r="AL11" s="6" t="s">
        <v>140</v>
      </c>
    </row>
    <row r="12" spans="1:61">
      <c r="A12" s="177" t="s">
        <v>443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O12" s="6" t="s">
        <v>189</v>
      </c>
      <c r="P12" s="6" t="s">
        <v>190</v>
      </c>
      <c r="Q12" s="6" t="s">
        <v>189</v>
      </c>
      <c r="R12" t="s">
        <v>128</v>
      </c>
      <c r="S12" t="s">
        <v>379</v>
      </c>
      <c r="T12" t="s">
        <v>126</v>
      </c>
      <c r="U12" t="s">
        <v>134</v>
      </c>
      <c r="W12" s="6" t="s">
        <v>266</v>
      </c>
      <c r="X12" s="6" t="s">
        <v>303</v>
      </c>
      <c r="Z12" s="177" t="s">
        <v>440</v>
      </c>
      <c r="AA12" s="177" t="s">
        <v>161</v>
      </c>
      <c r="AB12" s="177" t="s">
        <v>141</v>
      </c>
      <c r="AC12" s="177"/>
      <c r="AD12" s="258" t="s">
        <v>441</v>
      </c>
      <c r="AF12" s="145" t="s">
        <v>301</v>
      </c>
      <c r="AG12" t="s">
        <v>162</v>
      </c>
      <c r="AH12" s="6" t="s">
        <v>147</v>
      </c>
      <c r="AI12" s="6"/>
      <c r="AJ12" s="6"/>
      <c r="AK12">
        <v>2000</v>
      </c>
      <c r="AL12" t="s">
        <v>141</v>
      </c>
    </row>
    <row r="13" spans="1:61">
      <c r="A13" s="258" t="s">
        <v>483</v>
      </c>
      <c r="B13" s="258" t="s">
        <v>509</v>
      </c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O13" t="s">
        <v>137</v>
      </c>
      <c r="P13" s="6" t="s">
        <v>190</v>
      </c>
      <c r="Q13" t="s">
        <v>137</v>
      </c>
      <c r="R13" t="s">
        <v>128</v>
      </c>
      <c r="S13" t="s">
        <v>379</v>
      </c>
      <c r="T13" t="s">
        <v>126</v>
      </c>
      <c r="U13" t="s">
        <v>134</v>
      </c>
      <c r="W13" s="177" t="s">
        <v>360</v>
      </c>
      <c r="X13" s="177" t="s">
        <v>354</v>
      </c>
      <c r="Z13" s="258" t="s">
        <v>485</v>
      </c>
      <c r="AA13" s="258" t="s">
        <v>161</v>
      </c>
      <c r="AB13" s="258" t="s">
        <v>141</v>
      </c>
      <c r="AC13" s="258"/>
      <c r="AD13" s="258" t="s">
        <v>486</v>
      </c>
      <c r="AF13" s="145" t="s">
        <v>301</v>
      </c>
      <c r="AG13" s="6" t="s">
        <v>156</v>
      </c>
      <c r="AH13" s="6" t="s">
        <v>148</v>
      </c>
      <c r="AI13" s="6" t="s">
        <v>149</v>
      </c>
      <c r="AJ13" s="6" t="s">
        <v>141</v>
      </c>
      <c r="AK13" s="6">
        <v>40</v>
      </c>
      <c r="AL13" s="6" t="s">
        <v>140</v>
      </c>
    </row>
    <row r="14" spans="1:61">
      <c r="A14" s="258" t="s">
        <v>484</v>
      </c>
      <c r="B14" s="258">
        <v>1327325</v>
      </c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O14" t="s">
        <v>138</v>
      </c>
      <c r="P14" s="6" t="s">
        <v>190</v>
      </c>
      <c r="Q14" s="6" t="s">
        <v>138</v>
      </c>
      <c r="R14" t="s">
        <v>128</v>
      </c>
      <c r="S14" t="s">
        <v>379</v>
      </c>
      <c r="T14" t="s">
        <v>126</v>
      </c>
      <c r="U14" t="s">
        <v>134</v>
      </c>
      <c r="W14" s="177" t="s">
        <v>360</v>
      </c>
      <c r="X14" s="177" t="s">
        <v>357</v>
      </c>
      <c r="Z14" s="258" t="s">
        <v>507</v>
      </c>
      <c r="AA14" s="258" t="s">
        <v>161</v>
      </c>
      <c r="AB14" s="258" t="s">
        <v>141</v>
      </c>
      <c r="AC14" s="258"/>
      <c r="AD14" s="258" t="s">
        <v>508</v>
      </c>
      <c r="AF14" s="176" t="s">
        <v>332</v>
      </c>
      <c r="AG14" t="s">
        <v>162</v>
      </c>
      <c r="AH14" t="s">
        <v>147</v>
      </c>
      <c r="AK14">
        <v>2000</v>
      </c>
      <c r="AL14" t="s">
        <v>141</v>
      </c>
    </row>
    <row r="15" spans="1:61">
      <c r="A15" s="258" t="s">
        <v>549</v>
      </c>
      <c r="B15" s="258">
        <v>2018</v>
      </c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O15" s="6" t="s">
        <v>209</v>
      </c>
      <c r="P15" s="6" t="s">
        <v>190</v>
      </c>
      <c r="Q15" s="6" t="s">
        <v>209</v>
      </c>
      <c r="R15" t="s">
        <v>128</v>
      </c>
      <c r="S15" t="s">
        <v>379</v>
      </c>
      <c r="T15" t="s">
        <v>126</v>
      </c>
      <c r="U15" t="s">
        <v>134</v>
      </c>
      <c r="W15" s="177" t="s">
        <v>360</v>
      </c>
      <c r="X15" s="177" t="s">
        <v>362</v>
      </c>
      <c r="AF15" s="176" t="s">
        <v>332</v>
      </c>
      <c r="AG15" s="177" t="s">
        <v>340</v>
      </c>
      <c r="AH15" s="177" t="s">
        <v>148</v>
      </c>
      <c r="AI15" s="258" t="s">
        <v>549</v>
      </c>
      <c r="AJ15" s="177" t="s">
        <v>141</v>
      </c>
      <c r="AK15" s="177">
        <v>4</v>
      </c>
      <c r="AL15" s="177" t="s">
        <v>140</v>
      </c>
    </row>
    <row r="16" spans="1:61">
      <c r="A16" s="258" t="s">
        <v>550</v>
      </c>
      <c r="B16" s="258">
        <v>1</v>
      </c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M16" s="258"/>
      <c r="O16" s="6" t="s">
        <v>210</v>
      </c>
      <c r="P16" s="6" t="s">
        <v>190</v>
      </c>
      <c r="Q16" s="6" t="s">
        <v>210</v>
      </c>
      <c r="R16" t="s">
        <v>128</v>
      </c>
      <c r="S16" t="s">
        <v>379</v>
      </c>
      <c r="T16" t="s">
        <v>126</v>
      </c>
      <c r="U16" t="s">
        <v>134</v>
      </c>
      <c r="W16" s="177" t="s">
        <v>373</v>
      </c>
      <c r="X16" s="177" t="s">
        <v>375</v>
      </c>
      <c r="AF16" s="176" t="s">
        <v>332</v>
      </c>
      <c r="AG16" s="177" t="s">
        <v>342</v>
      </c>
      <c r="AH16" s="177" t="s">
        <v>148</v>
      </c>
      <c r="AI16" s="258" t="s">
        <v>550</v>
      </c>
      <c r="AJ16" s="177" t="s">
        <v>141</v>
      </c>
      <c r="AK16" s="177">
        <v>2</v>
      </c>
      <c r="AL16" s="177" t="s">
        <v>140</v>
      </c>
    </row>
    <row r="17" spans="4:38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M17" s="258"/>
      <c r="O17" s="6" t="s">
        <v>214</v>
      </c>
      <c r="P17" s="6" t="s">
        <v>190</v>
      </c>
      <c r="Q17" s="6" t="s">
        <v>214</v>
      </c>
      <c r="R17" t="s">
        <v>128</v>
      </c>
      <c r="S17" t="s">
        <v>379</v>
      </c>
      <c r="T17" t="s">
        <v>126</v>
      </c>
      <c r="U17" t="s">
        <v>134</v>
      </c>
      <c r="W17" s="177" t="s">
        <v>373</v>
      </c>
      <c r="X17" s="177" t="s">
        <v>374</v>
      </c>
      <c r="AF17" s="45" t="s">
        <v>337</v>
      </c>
      <c r="AG17" t="s">
        <v>162</v>
      </c>
      <c r="AH17" t="s">
        <v>147</v>
      </c>
      <c r="AK17">
        <v>2000</v>
      </c>
      <c r="AL17" t="s">
        <v>141</v>
      </c>
    </row>
    <row r="18" spans="4:38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M18" s="258"/>
      <c r="O18" s="6" t="s">
        <v>216</v>
      </c>
      <c r="P18" s="6" t="s">
        <v>190</v>
      </c>
      <c r="Q18" s="6" t="s">
        <v>216</v>
      </c>
      <c r="R18" t="s">
        <v>128</v>
      </c>
      <c r="S18" t="s">
        <v>379</v>
      </c>
      <c r="T18" t="s">
        <v>126</v>
      </c>
      <c r="U18" t="s">
        <v>134</v>
      </c>
      <c r="W18" s="177" t="s">
        <v>373</v>
      </c>
      <c r="X18" s="177" t="s">
        <v>376</v>
      </c>
      <c r="AF18" s="45" t="s">
        <v>337</v>
      </c>
      <c r="AG18" s="177" t="s">
        <v>340</v>
      </c>
      <c r="AH18" s="177" t="s">
        <v>148</v>
      </c>
      <c r="AI18" s="258" t="s">
        <v>549</v>
      </c>
      <c r="AJ18" s="177" t="s">
        <v>141</v>
      </c>
      <c r="AK18" s="177">
        <v>4</v>
      </c>
      <c r="AL18" s="177" t="s">
        <v>140</v>
      </c>
    </row>
    <row r="19" spans="4:38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M19" s="258"/>
      <c r="O19" s="6" t="s">
        <v>238</v>
      </c>
      <c r="P19" s="6" t="s">
        <v>238</v>
      </c>
      <c r="Q19" s="6" t="s">
        <v>239</v>
      </c>
      <c r="R19" t="s">
        <v>128</v>
      </c>
      <c r="S19" t="s">
        <v>379</v>
      </c>
      <c r="U19" t="s">
        <v>118</v>
      </c>
      <c r="W19" s="177" t="s">
        <v>383</v>
      </c>
      <c r="X19" s="177" t="s">
        <v>384</v>
      </c>
      <c r="AF19" s="45" t="s">
        <v>438</v>
      </c>
      <c r="AG19" t="s">
        <v>162</v>
      </c>
      <c r="AH19" t="s">
        <v>147</v>
      </c>
      <c r="AI19" s="177"/>
      <c r="AJ19" s="177"/>
      <c r="AK19">
        <v>2000</v>
      </c>
      <c r="AL19" t="s">
        <v>141</v>
      </c>
    </row>
    <row r="20" spans="4:38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M20" s="258"/>
      <c r="O20" s="6" t="s">
        <v>236</v>
      </c>
      <c r="P20" s="6" t="s">
        <v>190</v>
      </c>
      <c r="Q20" s="6" t="s">
        <v>236</v>
      </c>
      <c r="R20" t="s">
        <v>128</v>
      </c>
      <c r="S20" t="s">
        <v>379</v>
      </c>
      <c r="T20" t="s">
        <v>126</v>
      </c>
      <c r="U20" t="s">
        <v>134</v>
      </c>
      <c r="W20" s="177" t="s">
        <v>383</v>
      </c>
      <c r="X20" s="177" t="s">
        <v>385</v>
      </c>
      <c r="AF20" s="45" t="s">
        <v>438</v>
      </c>
      <c r="AG20" s="177" t="s">
        <v>442</v>
      </c>
      <c r="AH20" s="177" t="s">
        <v>148</v>
      </c>
      <c r="AI20" s="177" t="s">
        <v>445</v>
      </c>
      <c r="AJ20" s="177" t="s">
        <v>141</v>
      </c>
      <c r="AK20" s="177">
        <v>3</v>
      </c>
      <c r="AL20" s="177" t="s">
        <v>140</v>
      </c>
    </row>
    <row r="21" spans="4:38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M21" s="258"/>
      <c r="O21" s="6" t="s">
        <v>257</v>
      </c>
      <c r="P21" t="s">
        <v>257</v>
      </c>
      <c r="Q21" s="6" t="s">
        <v>255</v>
      </c>
      <c r="R21" t="s">
        <v>128</v>
      </c>
      <c r="S21" t="s">
        <v>379</v>
      </c>
      <c r="T21" t="s">
        <v>126</v>
      </c>
      <c r="U21" t="s">
        <v>134</v>
      </c>
      <c r="W21" s="177" t="s">
        <v>383</v>
      </c>
      <c r="X21" s="177" t="s">
        <v>376</v>
      </c>
      <c r="AF21" s="45" t="s">
        <v>438</v>
      </c>
      <c r="AG21" s="177" t="s">
        <v>340</v>
      </c>
      <c r="AH21" s="177" t="s">
        <v>148</v>
      </c>
      <c r="AI21" s="258" t="s">
        <v>549</v>
      </c>
      <c r="AJ21" s="177" t="s">
        <v>141</v>
      </c>
      <c r="AK21" s="177">
        <v>4</v>
      </c>
      <c r="AL21" s="177" t="s">
        <v>140</v>
      </c>
    </row>
    <row r="22" spans="4:38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M22" s="258"/>
      <c r="O22" s="6" t="s">
        <v>266</v>
      </c>
      <c r="P22" s="6" t="s">
        <v>266</v>
      </c>
      <c r="Q22" s="6" t="s">
        <v>265</v>
      </c>
      <c r="R22" t="s">
        <v>128</v>
      </c>
      <c r="S22" t="s">
        <v>379</v>
      </c>
      <c r="T22" t="s">
        <v>126</v>
      </c>
      <c r="U22" t="s">
        <v>118</v>
      </c>
      <c r="W22" s="177" t="s">
        <v>452</v>
      </c>
      <c r="X22" s="177" t="s">
        <v>409</v>
      </c>
      <c r="AF22" s="45" t="s">
        <v>438</v>
      </c>
      <c r="AG22" s="177" t="s">
        <v>342</v>
      </c>
      <c r="AH22" s="177" t="s">
        <v>148</v>
      </c>
      <c r="AI22" s="258" t="s">
        <v>550</v>
      </c>
      <c r="AJ22" s="177" t="s">
        <v>141</v>
      </c>
      <c r="AK22" s="177">
        <v>20</v>
      </c>
      <c r="AL22" s="177" t="s">
        <v>140</v>
      </c>
    </row>
    <row r="23" spans="4:38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M23" s="258"/>
      <c r="O23" s="6" t="s">
        <v>303</v>
      </c>
      <c r="P23" s="6"/>
      <c r="Q23" s="6"/>
      <c r="S23" t="s">
        <v>379</v>
      </c>
      <c r="T23" t="s">
        <v>126</v>
      </c>
      <c r="U23" s="6" t="s">
        <v>304</v>
      </c>
      <c r="W23" s="177" t="s">
        <v>452</v>
      </c>
      <c r="X23" s="177" t="s">
        <v>417</v>
      </c>
      <c r="AF23" s="45" t="s">
        <v>438</v>
      </c>
      <c r="AG23" s="258" t="s">
        <v>565</v>
      </c>
      <c r="AH23" s="258" t="s">
        <v>148</v>
      </c>
      <c r="AI23" s="258" t="s">
        <v>344</v>
      </c>
      <c r="AJ23" s="258" t="s">
        <v>141</v>
      </c>
      <c r="AK23" s="258">
        <v>20</v>
      </c>
      <c r="AL23" s="258" t="s">
        <v>140</v>
      </c>
    </row>
    <row r="24" spans="4:38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M24" s="258"/>
      <c r="O24" s="6" t="s">
        <v>312</v>
      </c>
      <c r="P24" t="s">
        <v>312</v>
      </c>
      <c r="Q24" s="6" t="s">
        <v>314</v>
      </c>
      <c r="R24" t="s">
        <v>128</v>
      </c>
      <c r="S24" t="s">
        <v>379</v>
      </c>
      <c r="T24" t="s">
        <v>126</v>
      </c>
      <c r="U24" t="s">
        <v>134</v>
      </c>
      <c r="W24" s="177" t="s">
        <v>475</v>
      </c>
      <c r="X24" s="177" t="s">
        <v>477</v>
      </c>
      <c r="AF24" s="45" t="s">
        <v>440</v>
      </c>
      <c r="AG24" t="s">
        <v>162</v>
      </c>
      <c r="AH24" t="s">
        <v>147</v>
      </c>
      <c r="AK24">
        <v>2000</v>
      </c>
      <c r="AL24" t="s">
        <v>141</v>
      </c>
    </row>
    <row r="25" spans="4:38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O25" s="6" t="s">
        <v>316</v>
      </c>
      <c r="P25" s="6" t="s">
        <v>312</v>
      </c>
      <c r="Q25" s="6" t="s">
        <v>314</v>
      </c>
      <c r="R25" s="6" t="s">
        <v>128</v>
      </c>
      <c r="S25" s="177" t="s">
        <v>379</v>
      </c>
      <c r="T25" s="6" t="s">
        <v>126</v>
      </c>
      <c r="U25" s="6" t="s">
        <v>134</v>
      </c>
      <c r="W25" s="177" t="s">
        <v>475</v>
      </c>
      <c r="X25" s="177" t="s">
        <v>478</v>
      </c>
      <c r="AF25" s="45" t="s">
        <v>440</v>
      </c>
      <c r="AG25" s="177" t="s">
        <v>444</v>
      </c>
      <c r="AH25" s="177" t="s">
        <v>148</v>
      </c>
      <c r="AI25" s="177" t="s">
        <v>435</v>
      </c>
      <c r="AJ25" s="177" t="s">
        <v>141</v>
      </c>
      <c r="AK25" s="177">
        <v>40</v>
      </c>
      <c r="AL25" s="177" t="s">
        <v>140</v>
      </c>
    </row>
    <row r="26" spans="4:38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M26" s="258"/>
      <c r="O26" s="6" t="s">
        <v>324</v>
      </c>
      <c r="P26" s="6" t="s">
        <v>324</v>
      </c>
      <c r="Q26" s="6" t="s">
        <v>323</v>
      </c>
      <c r="R26" s="6" t="s">
        <v>128</v>
      </c>
      <c r="S26" s="177" t="s">
        <v>379</v>
      </c>
      <c r="T26" s="6" t="s">
        <v>126</v>
      </c>
      <c r="U26" s="6" t="s">
        <v>134</v>
      </c>
      <c r="W26" s="177" t="s">
        <v>475</v>
      </c>
      <c r="X26" s="177" t="s">
        <v>479</v>
      </c>
      <c r="AF26" s="45" t="s">
        <v>440</v>
      </c>
      <c r="AG26" s="177" t="s">
        <v>442</v>
      </c>
      <c r="AH26" s="177" t="s">
        <v>148</v>
      </c>
      <c r="AI26" s="177" t="s">
        <v>445</v>
      </c>
      <c r="AJ26" s="177" t="s">
        <v>141</v>
      </c>
      <c r="AK26" s="177">
        <v>3</v>
      </c>
      <c r="AL26" s="177" t="s">
        <v>140</v>
      </c>
    </row>
    <row r="27" spans="4:38">
      <c r="D27" s="248" t="s">
        <v>432</v>
      </c>
      <c r="E27" s="177" t="s">
        <v>433</v>
      </c>
      <c r="G27" s="6" t="s">
        <v>307</v>
      </c>
      <c r="H27" t="s">
        <v>104</v>
      </c>
      <c r="I27" t="s">
        <v>27</v>
      </c>
      <c r="O27" s="6" t="s">
        <v>334</v>
      </c>
      <c r="P27" s="6" t="s">
        <v>312</v>
      </c>
      <c r="Q27" s="6" t="s">
        <v>314</v>
      </c>
      <c r="R27" s="6" t="s">
        <v>128</v>
      </c>
      <c r="S27" s="177" t="s">
        <v>379</v>
      </c>
      <c r="T27" s="6" t="s">
        <v>126</v>
      </c>
      <c r="U27" s="6" t="s">
        <v>134</v>
      </c>
      <c r="W27" s="177" t="s">
        <v>475</v>
      </c>
      <c r="X27" s="177" t="s">
        <v>480</v>
      </c>
      <c r="AF27" s="45" t="s">
        <v>440</v>
      </c>
      <c r="AG27" s="177" t="s">
        <v>340</v>
      </c>
      <c r="AH27" s="177" t="s">
        <v>148</v>
      </c>
      <c r="AI27" s="258" t="s">
        <v>549</v>
      </c>
      <c r="AJ27" s="177" t="s">
        <v>141</v>
      </c>
      <c r="AK27" s="177">
        <v>4</v>
      </c>
      <c r="AL27" s="177" t="s">
        <v>140</v>
      </c>
    </row>
    <row r="28" spans="4:38">
      <c r="D28" s="177" t="s">
        <v>359</v>
      </c>
      <c r="E28" s="177" t="s">
        <v>360</v>
      </c>
      <c r="G28" s="6" t="s">
        <v>307</v>
      </c>
      <c r="H28" t="s">
        <v>104</v>
      </c>
      <c r="I28" t="s">
        <v>66</v>
      </c>
      <c r="O28" s="177" t="s">
        <v>360</v>
      </c>
      <c r="P28" s="177" t="s">
        <v>360</v>
      </c>
      <c r="Q28" s="177" t="s">
        <v>361</v>
      </c>
      <c r="R28" s="177" t="s">
        <v>128</v>
      </c>
      <c r="S28" s="177" t="s">
        <v>379</v>
      </c>
      <c r="T28" s="177"/>
      <c r="U28" t="s">
        <v>118</v>
      </c>
      <c r="W28" s="177" t="s">
        <v>475</v>
      </c>
      <c r="X28" s="177" t="s">
        <v>481</v>
      </c>
      <c r="AF28" s="45" t="s">
        <v>440</v>
      </c>
      <c r="AG28" s="258" t="s">
        <v>565</v>
      </c>
      <c r="AH28" s="258" t="s">
        <v>148</v>
      </c>
      <c r="AI28" s="258" t="s">
        <v>344</v>
      </c>
      <c r="AJ28" s="258" t="s">
        <v>141</v>
      </c>
      <c r="AK28" s="258">
        <v>10</v>
      </c>
      <c r="AL28" s="258" t="s">
        <v>140</v>
      </c>
    </row>
    <row r="29" spans="4:38">
      <c r="D29" s="177" t="s">
        <v>389</v>
      </c>
      <c r="E29" s="177" t="s">
        <v>373</v>
      </c>
      <c r="G29" s="6" t="s">
        <v>307</v>
      </c>
      <c r="H29" s="6" t="s">
        <v>104</v>
      </c>
      <c r="I29" s="6" t="s">
        <v>257</v>
      </c>
      <c r="O29" s="177" t="s">
        <v>354</v>
      </c>
      <c r="P29" s="177" t="s">
        <v>190</v>
      </c>
      <c r="Q29" s="177" t="s">
        <v>354</v>
      </c>
      <c r="R29" s="177" t="s">
        <v>128</v>
      </c>
      <c r="S29" s="177" t="s">
        <v>379</v>
      </c>
      <c r="T29" s="177" t="s">
        <v>126</v>
      </c>
      <c r="U29" s="177" t="s">
        <v>134</v>
      </c>
      <c r="W29" s="258" t="s">
        <v>529</v>
      </c>
      <c r="X29" s="258" t="s">
        <v>528</v>
      </c>
      <c r="AF29" s="45" t="s">
        <v>485</v>
      </c>
      <c r="AG29" s="258" t="s">
        <v>487</v>
      </c>
      <c r="AH29" s="258" t="s">
        <v>148</v>
      </c>
      <c r="AI29" s="258" t="s">
        <v>483</v>
      </c>
      <c r="AJ29" s="258" t="s">
        <v>141</v>
      </c>
      <c r="AK29" s="258">
        <v>20</v>
      </c>
      <c r="AL29" s="258" t="s">
        <v>140</v>
      </c>
    </row>
    <row r="30" spans="4:38">
      <c r="D30" s="177" t="s">
        <v>390</v>
      </c>
      <c r="E30" s="177" t="s">
        <v>383</v>
      </c>
      <c r="G30" s="6" t="s">
        <v>307</v>
      </c>
      <c r="H30" s="6" t="s">
        <v>104</v>
      </c>
      <c r="I30" s="6" t="s">
        <v>266</v>
      </c>
      <c r="O30" s="177" t="s">
        <v>357</v>
      </c>
      <c r="P30" s="177" t="s">
        <v>190</v>
      </c>
      <c r="Q30" s="177" t="s">
        <v>357</v>
      </c>
      <c r="R30" s="177" t="s">
        <v>128</v>
      </c>
      <c r="S30" s="177" t="s">
        <v>379</v>
      </c>
      <c r="T30" s="177" t="s">
        <v>126</v>
      </c>
      <c r="U30" s="177" t="s">
        <v>134</v>
      </c>
      <c r="W30" s="258" t="s">
        <v>529</v>
      </c>
      <c r="X30" s="258" t="s">
        <v>535</v>
      </c>
      <c r="AF30" s="45" t="s">
        <v>485</v>
      </c>
      <c r="AG30" s="257" t="s">
        <v>488</v>
      </c>
      <c r="AH30" s="258" t="s">
        <v>148</v>
      </c>
      <c r="AI30" s="258" t="s">
        <v>484</v>
      </c>
      <c r="AJ30" t="s">
        <v>141</v>
      </c>
      <c r="AK30">
        <v>512</v>
      </c>
      <c r="AL30" s="258" t="s">
        <v>140</v>
      </c>
    </row>
    <row r="31" spans="4:38">
      <c r="D31" s="177" t="s">
        <v>464</v>
      </c>
      <c r="E31" s="177" t="s">
        <v>429</v>
      </c>
      <c r="G31" s="6" t="s">
        <v>307</v>
      </c>
      <c r="H31" s="6" t="s">
        <v>104</v>
      </c>
      <c r="I31" s="6" t="s">
        <v>238</v>
      </c>
      <c r="O31" s="177" t="s">
        <v>362</v>
      </c>
      <c r="P31" s="177" t="s">
        <v>190</v>
      </c>
      <c r="Q31" s="177" t="s">
        <v>362</v>
      </c>
      <c r="R31" s="177" t="s">
        <v>128</v>
      </c>
      <c r="S31" s="177" t="s">
        <v>379</v>
      </c>
      <c r="T31" s="177" t="s">
        <v>126</v>
      </c>
      <c r="U31" s="177" t="s">
        <v>134</v>
      </c>
      <c r="W31" s="258" t="s">
        <v>529</v>
      </c>
      <c r="X31" s="258" t="s">
        <v>541</v>
      </c>
    </row>
    <row r="32" spans="4:38">
      <c r="D32" s="258" t="s">
        <v>527</v>
      </c>
      <c r="E32" s="258" t="s">
        <v>525</v>
      </c>
      <c r="G32" s="6" t="s">
        <v>307</v>
      </c>
      <c r="H32" s="6" t="s">
        <v>104</v>
      </c>
      <c r="I32" t="s">
        <v>77</v>
      </c>
      <c r="O32" s="177" t="s">
        <v>373</v>
      </c>
      <c r="P32" s="177" t="s">
        <v>373</v>
      </c>
      <c r="Q32" s="177" t="s">
        <v>377</v>
      </c>
      <c r="R32" s="177" t="s">
        <v>128</v>
      </c>
      <c r="S32" s="177" t="s">
        <v>379</v>
      </c>
      <c r="T32" s="177"/>
      <c r="U32" t="s">
        <v>118</v>
      </c>
      <c r="W32" s="258" t="s">
        <v>545</v>
      </c>
      <c r="X32" s="258" t="s">
        <v>541</v>
      </c>
    </row>
    <row r="33" spans="4:24">
      <c r="D33" s="258" t="s">
        <v>567</v>
      </c>
      <c r="E33" s="258" t="s">
        <v>566</v>
      </c>
      <c r="G33" s="6" t="s">
        <v>307</v>
      </c>
      <c r="H33" s="6" t="s">
        <v>104</v>
      </c>
      <c r="I33" s="6" t="s">
        <v>119</v>
      </c>
      <c r="O33" s="177" t="s">
        <v>375</v>
      </c>
      <c r="P33" s="177" t="s">
        <v>190</v>
      </c>
      <c r="Q33" s="177" t="s">
        <v>375</v>
      </c>
      <c r="R33" s="177" t="s">
        <v>128</v>
      </c>
      <c r="S33" s="177" t="s">
        <v>380</v>
      </c>
      <c r="T33" s="177" t="s">
        <v>126</v>
      </c>
      <c r="U33" s="177" t="s">
        <v>134</v>
      </c>
      <c r="W33" s="258" t="s">
        <v>545</v>
      </c>
      <c r="X33" s="258" t="s">
        <v>547</v>
      </c>
    </row>
    <row r="34" spans="4:24">
      <c r="D34" s="258" t="s">
        <v>465</v>
      </c>
      <c r="E34" s="177" t="s">
        <v>466</v>
      </c>
      <c r="G34" s="6" t="s">
        <v>312</v>
      </c>
      <c r="H34" s="6" t="s">
        <v>104</v>
      </c>
      <c r="I34" t="s">
        <v>312</v>
      </c>
      <c r="O34" s="177" t="s">
        <v>374</v>
      </c>
      <c r="P34" s="177" t="s">
        <v>190</v>
      </c>
      <c r="Q34" s="177" t="s">
        <v>374</v>
      </c>
      <c r="R34" s="177" t="s">
        <v>128</v>
      </c>
      <c r="S34" s="177" t="s">
        <v>380</v>
      </c>
      <c r="T34" s="177" t="s">
        <v>126</v>
      </c>
      <c r="U34" s="177" t="s">
        <v>134</v>
      </c>
      <c r="W34" s="258" t="s">
        <v>545</v>
      </c>
      <c r="X34" s="258" t="s">
        <v>556</v>
      </c>
    </row>
    <row r="35" spans="4:24">
      <c r="D35" s="258" t="s">
        <v>510</v>
      </c>
      <c r="E35" s="258" t="s">
        <v>511</v>
      </c>
      <c r="G35" s="6" t="s">
        <v>316</v>
      </c>
      <c r="H35" s="6" t="s">
        <v>104</v>
      </c>
      <c r="I35" s="6" t="s">
        <v>316</v>
      </c>
      <c r="J35" s="6"/>
      <c r="K35" s="177"/>
      <c r="L35" s="177"/>
      <c r="M35" s="258"/>
      <c r="O35" s="177" t="s">
        <v>376</v>
      </c>
      <c r="P35" s="177" t="s">
        <v>190</v>
      </c>
      <c r="Q35" s="177" t="s">
        <v>376</v>
      </c>
      <c r="R35" s="177" t="s">
        <v>128</v>
      </c>
      <c r="S35" s="177" t="s">
        <v>380</v>
      </c>
      <c r="T35" s="177" t="s">
        <v>126</v>
      </c>
      <c r="U35" s="177" t="s">
        <v>134</v>
      </c>
      <c r="W35" s="258" t="s">
        <v>545</v>
      </c>
      <c r="X35" s="258" t="s">
        <v>560</v>
      </c>
    </row>
    <row r="36" spans="4:24">
      <c r="D36" s="258" t="s">
        <v>518</v>
      </c>
      <c r="E36" s="258" t="s">
        <v>519</v>
      </c>
      <c r="G36" s="6" t="s">
        <v>324</v>
      </c>
      <c r="H36" s="6" t="s">
        <v>104</v>
      </c>
      <c r="I36" s="6" t="s">
        <v>324</v>
      </c>
      <c r="J36" s="6"/>
      <c r="K36" s="177"/>
      <c r="L36" s="177"/>
      <c r="M36" s="258"/>
      <c r="O36" s="177" t="s">
        <v>383</v>
      </c>
      <c r="P36" s="177" t="s">
        <v>373</v>
      </c>
      <c r="Q36" s="177" t="s">
        <v>386</v>
      </c>
      <c r="R36" s="177" t="s">
        <v>128</v>
      </c>
      <c r="S36" s="177" t="s">
        <v>379</v>
      </c>
      <c r="T36" s="177"/>
      <c r="U36" t="s">
        <v>118</v>
      </c>
    </row>
    <row r="37" spans="4:24">
      <c r="D37" s="258" t="s">
        <v>564</v>
      </c>
      <c r="E37" s="258" t="s">
        <v>452</v>
      </c>
      <c r="G37" s="6" t="s">
        <v>332</v>
      </c>
      <c r="H37" s="6" t="s">
        <v>105</v>
      </c>
      <c r="I37" s="6" t="s">
        <v>332</v>
      </c>
      <c r="J37" s="6"/>
      <c r="K37" s="177"/>
      <c r="L37" s="177"/>
      <c r="M37" s="258"/>
      <c r="O37" s="177" t="s">
        <v>384</v>
      </c>
      <c r="P37" s="177" t="s">
        <v>190</v>
      </c>
      <c r="Q37" s="177" t="s">
        <v>384</v>
      </c>
      <c r="R37" s="177" t="s">
        <v>128</v>
      </c>
      <c r="S37" s="177" t="s">
        <v>380</v>
      </c>
      <c r="T37" s="177" t="s">
        <v>126</v>
      </c>
      <c r="U37" s="177" t="s">
        <v>134</v>
      </c>
    </row>
    <row r="38" spans="4:24">
      <c r="D38" s="258"/>
      <c r="E38" s="258"/>
      <c r="G38" s="6" t="s">
        <v>332</v>
      </c>
      <c r="H38" s="6" t="s">
        <v>104</v>
      </c>
      <c r="I38" s="6" t="s">
        <v>334</v>
      </c>
      <c r="J38" s="6"/>
      <c r="K38" s="177"/>
      <c r="L38" s="177"/>
      <c r="M38" s="258"/>
      <c r="O38" s="177" t="s">
        <v>385</v>
      </c>
      <c r="P38" s="177" t="s">
        <v>190</v>
      </c>
      <c r="Q38" s="177" t="s">
        <v>385</v>
      </c>
      <c r="R38" s="177" t="s">
        <v>128</v>
      </c>
      <c r="S38" s="177" t="s">
        <v>380</v>
      </c>
      <c r="T38" s="177" t="s">
        <v>126</v>
      </c>
      <c r="U38" s="177" t="s">
        <v>134</v>
      </c>
    </row>
    <row r="39" spans="4:24">
      <c r="G39" s="6" t="s">
        <v>337</v>
      </c>
      <c r="H39" s="6" t="s">
        <v>105</v>
      </c>
      <c r="I39" s="6" t="s">
        <v>337</v>
      </c>
      <c r="J39" s="6"/>
      <c r="K39" s="177"/>
      <c r="L39" s="177"/>
      <c r="M39" s="258"/>
      <c r="O39" s="177" t="s">
        <v>399</v>
      </c>
      <c r="P39" s="177" t="s">
        <v>399</v>
      </c>
      <c r="Q39" s="177" t="s">
        <v>446</v>
      </c>
      <c r="R39" s="177" t="s">
        <v>128</v>
      </c>
      <c r="S39" s="177" t="s">
        <v>379</v>
      </c>
      <c r="T39" s="177" t="s">
        <v>126</v>
      </c>
      <c r="U39" s="177" t="s">
        <v>134</v>
      </c>
    </row>
    <row r="40" spans="4:24">
      <c r="G40" s="177" t="s">
        <v>360</v>
      </c>
      <c r="H40" s="177" t="s">
        <v>104</v>
      </c>
      <c r="I40" s="177" t="s">
        <v>360</v>
      </c>
      <c r="J40" s="177"/>
      <c r="K40" s="177"/>
      <c r="L40" s="177"/>
      <c r="M40" s="258"/>
      <c r="O40" s="177" t="s">
        <v>452</v>
      </c>
      <c r="P40" s="177" t="s">
        <v>452</v>
      </c>
      <c r="Q40" s="177" t="s">
        <v>453</v>
      </c>
      <c r="R40" t="s">
        <v>128</v>
      </c>
      <c r="S40" s="177"/>
      <c r="U40" t="s">
        <v>118</v>
      </c>
    </row>
    <row r="41" spans="4:24">
      <c r="G41" s="177" t="s">
        <v>373</v>
      </c>
      <c r="H41" s="177" t="s">
        <v>104</v>
      </c>
      <c r="I41" s="177" t="s">
        <v>373</v>
      </c>
      <c r="J41" s="177"/>
      <c r="K41" s="177"/>
      <c r="L41" s="177"/>
      <c r="M41" s="258"/>
      <c r="O41" s="177" t="s">
        <v>409</v>
      </c>
      <c r="P41" s="177" t="s">
        <v>190</v>
      </c>
      <c r="Q41" s="177" t="s">
        <v>409</v>
      </c>
      <c r="R41" t="s">
        <v>128</v>
      </c>
      <c r="S41" s="177" t="s">
        <v>379</v>
      </c>
      <c r="T41" t="s">
        <v>126</v>
      </c>
      <c r="U41" t="s">
        <v>134</v>
      </c>
    </row>
    <row r="42" spans="4:24">
      <c r="G42" s="177" t="s">
        <v>383</v>
      </c>
      <c r="H42" s="177" t="s">
        <v>104</v>
      </c>
      <c r="I42" s="177" t="s">
        <v>383</v>
      </c>
      <c r="J42" s="177"/>
      <c r="K42" s="177"/>
      <c r="L42" s="177"/>
      <c r="M42" s="258"/>
      <c r="O42" s="177" t="s">
        <v>417</v>
      </c>
      <c r="P42" s="177" t="s">
        <v>190</v>
      </c>
      <c r="Q42" s="177" t="s">
        <v>417</v>
      </c>
      <c r="R42" s="177" t="s">
        <v>128</v>
      </c>
      <c r="S42" s="177" t="s">
        <v>379</v>
      </c>
      <c r="T42" s="177" t="s">
        <v>126</v>
      </c>
      <c r="U42" s="177" t="s">
        <v>134</v>
      </c>
    </row>
    <row r="43" spans="4:24">
      <c r="G43" s="258" t="s">
        <v>437</v>
      </c>
      <c r="H43" s="45" t="s">
        <v>105</v>
      </c>
      <c r="I43" s="45" t="s">
        <v>438</v>
      </c>
      <c r="J43" s="45"/>
      <c r="K43" s="45"/>
      <c r="L43" s="45"/>
      <c r="M43" s="258"/>
      <c r="O43" s="177" t="s">
        <v>456</v>
      </c>
      <c r="P43" s="177" t="s">
        <v>456</v>
      </c>
      <c r="Q43" s="177" t="s">
        <v>458</v>
      </c>
      <c r="R43" s="177" t="s">
        <v>128</v>
      </c>
      <c r="S43" s="177" t="s">
        <v>379</v>
      </c>
      <c r="T43" s="177" t="s">
        <v>126</v>
      </c>
      <c r="U43" s="177" t="s">
        <v>134</v>
      </c>
    </row>
    <row r="44" spans="4:24">
      <c r="G44" s="258" t="s">
        <v>437</v>
      </c>
      <c r="H44" s="45" t="s">
        <v>104</v>
      </c>
      <c r="I44" s="45" t="s">
        <v>399</v>
      </c>
      <c r="J44" t="s">
        <v>454</v>
      </c>
      <c r="L44" s="45" t="s">
        <v>438</v>
      </c>
      <c r="M44" s="258"/>
      <c r="O44" s="177" t="s">
        <v>429</v>
      </c>
      <c r="P44" s="177" t="s">
        <v>429</v>
      </c>
      <c r="Q44" s="177" t="s">
        <v>462</v>
      </c>
      <c r="R44" s="177" t="s">
        <v>128</v>
      </c>
      <c r="S44" s="177" t="s">
        <v>379</v>
      </c>
      <c r="T44" s="177" t="s">
        <v>126</v>
      </c>
      <c r="U44" s="177" t="s">
        <v>134</v>
      </c>
    </row>
    <row r="45" spans="4:24">
      <c r="G45" s="177" t="s">
        <v>437</v>
      </c>
      <c r="H45" s="45" t="s">
        <v>105</v>
      </c>
      <c r="I45" s="45" t="s">
        <v>440</v>
      </c>
      <c r="J45" s="45"/>
      <c r="K45" s="45" t="s">
        <v>447</v>
      </c>
      <c r="L45" s="45"/>
      <c r="M45" s="258"/>
      <c r="O45" s="177" t="s">
        <v>466</v>
      </c>
      <c r="P45" s="177" t="s">
        <v>466</v>
      </c>
      <c r="Q45" s="177" t="s">
        <v>467</v>
      </c>
      <c r="R45" s="177" t="s">
        <v>128</v>
      </c>
      <c r="S45" s="177" t="s">
        <v>379</v>
      </c>
      <c r="T45" s="177" t="s">
        <v>126</v>
      </c>
      <c r="U45" s="177" t="s">
        <v>134</v>
      </c>
    </row>
    <row r="46" spans="4:24">
      <c r="G46" s="177" t="s">
        <v>437</v>
      </c>
      <c r="H46" s="177" t="s">
        <v>105</v>
      </c>
      <c r="I46" s="177" t="s">
        <v>440</v>
      </c>
      <c r="J46" s="177"/>
      <c r="K46" s="177" t="s">
        <v>448</v>
      </c>
      <c r="L46" s="177"/>
      <c r="M46" s="258"/>
      <c r="O46" s="177" t="s">
        <v>475</v>
      </c>
      <c r="P46" s="177" t="s">
        <v>475</v>
      </c>
      <c r="Q46" s="177" t="s">
        <v>476</v>
      </c>
      <c r="R46" s="177" t="s">
        <v>128</v>
      </c>
      <c r="S46" s="177" t="s">
        <v>379</v>
      </c>
      <c r="T46" s="177"/>
      <c r="U46" t="s">
        <v>118</v>
      </c>
    </row>
    <row r="47" spans="4:24">
      <c r="G47" s="177" t="s">
        <v>437</v>
      </c>
      <c r="H47" s="177" t="s">
        <v>104</v>
      </c>
      <c r="I47" s="177" t="s">
        <v>466</v>
      </c>
      <c r="K47" s="177"/>
      <c r="L47" s="177"/>
      <c r="M47" s="258"/>
      <c r="O47" s="258" t="s">
        <v>477</v>
      </c>
      <c r="P47" s="258" t="s">
        <v>190</v>
      </c>
      <c r="Q47" s="258" t="s">
        <v>477</v>
      </c>
      <c r="R47" s="257" t="s">
        <v>128</v>
      </c>
      <c r="S47" s="258" t="s">
        <v>379</v>
      </c>
      <c r="T47" s="257" t="s">
        <v>126</v>
      </c>
      <c r="U47" s="257" t="s">
        <v>134</v>
      </c>
    </row>
    <row r="48" spans="4:24">
      <c r="G48" s="258" t="s">
        <v>437</v>
      </c>
      <c r="H48" s="258" t="s">
        <v>104</v>
      </c>
      <c r="I48" s="258" t="s">
        <v>566</v>
      </c>
      <c r="J48" s="257"/>
      <c r="K48" s="258"/>
      <c r="L48" s="258"/>
      <c r="M48" s="258"/>
      <c r="O48" s="177" t="s">
        <v>478</v>
      </c>
      <c r="P48" s="177" t="s">
        <v>190</v>
      </c>
      <c r="Q48" s="177" t="s">
        <v>478</v>
      </c>
      <c r="R48" t="s">
        <v>128</v>
      </c>
      <c r="S48" s="177" t="s">
        <v>379</v>
      </c>
      <c r="T48" t="s">
        <v>126</v>
      </c>
      <c r="U48" t="s">
        <v>134</v>
      </c>
    </row>
    <row r="49" spans="7:21">
      <c r="G49" s="177" t="s">
        <v>437</v>
      </c>
      <c r="H49" s="177" t="s">
        <v>104</v>
      </c>
      <c r="I49" s="177" t="s">
        <v>360</v>
      </c>
      <c r="K49" s="177"/>
      <c r="L49" s="177"/>
      <c r="M49" s="258"/>
      <c r="O49" s="177" t="s">
        <v>479</v>
      </c>
      <c r="P49" s="177" t="s">
        <v>190</v>
      </c>
      <c r="Q49" s="177" t="s">
        <v>479</v>
      </c>
      <c r="R49" t="s">
        <v>128</v>
      </c>
      <c r="S49" s="177" t="s">
        <v>379</v>
      </c>
      <c r="T49" t="s">
        <v>126</v>
      </c>
      <c r="U49" t="s">
        <v>134</v>
      </c>
    </row>
    <row r="50" spans="7:21">
      <c r="G50" s="177" t="s">
        <v>437</v>
      </c>
      <c r="H50" s="177" t="s">
        <v>104</v>
      </c>
      <c r="I50" s="177" t="s">
        <v>373</v>
      </c>
      <c r="J50" t="s">
        <v>454</v>
      </c>
      <c r="K50" s="177"/>
      <c r="L50" s="177" t="s">
        <v>448</v>
      </c>
      <c r="M50" s="258"/>
      <c r="O50" s="177" t="s">
        <v>480</v>
      </c>
      <c r="P50" s="177" t="s">
        <v>190</v>
      </c>
      <c r="Q50" s="177" t="s">
        <v>480</v>
      </c>
      <c r="R50" t="s">
        <v>128</v>
      </c>
      <c r="S50" s="177" t="s">
        <v>379</v>
      </c>
      <c r="T50" t="s">
        <v>126</v>
      </c>
      <c r="U50" t="s">
        <v>134</v>
      </c>
    </row>
    <row r="51" spans="7:21">
      <c r="G51" s="177" t="s">
        <v>437</v>
      </c>
      <c r="H51" s="177" t="s">
        <v>105</v>
      </c>
      <c r="I51" s="177" t="s">
        <v>440</v>
      </c>
      <c r="J51" s="177"/>
      <c r="K51" s="177" t="s">
        <v>449</v>
      </c>
      <c r="L51" s="177"/>
      <c r="M51" s="258"/>
      <c r="O51" s="177" t="s">
        <v>481</v>
      </c>
      <c r="P51" s="177" t="s">
        <v>190</v>
      </c>
      <c r="Q51" s="177" t="s">
        <v>481</v>
      </c>
      <c r="R51" t="s">
        <v>128</v>
      </c>
      <c r="S51" s="177" t="s">
        <v>379</v>
      </c>
      <c r="T51" t="s">
        <v>126</v>
      </c>
      <c r="U51" t="s">
        <v>134</v>
      </c>
    </row>
    <row r="52" spans="7:21">
      <c r="G52" s="177" t="s">
        <v>437</v>
      </c>
      <c r="H52" s="177" t="s">
        <v>104</v>
      </c>
      <c r="I52" s="177" t="s">
        <v>456</v>
      </c>
      <c r="K52" s="177"/>
      <c r="L52" s="177"/>
      <c r="M52" s="258"/>
      <c r="O52" s="258" t="s">
        <v>511</v>
      </c>
      <c r="P52" s="258" t="s">
        <v>511</v>
      </c>
      <c r="Q52" s="258" t="s">
        <v>512</v>
      </c>
      <c r="R52" s="257" t="s">
        <v>128</v>
      </c>
      <c r="S52" s="258" t="s">
        <v>379</v>
      </c>
      <c r="T52" s="257" t="s">
        <v>126</v>
      </c>
      <c r="U52" s="257" t="s">
        <v>134</v>
      </c>
    </row>
    <row r="53" spans="7:21">
      <c r="G53" s="177" t="s">
        <v>437</v>
      </c>
      <c r="H53" s="177" t="s">
        <v>104</v>
      </c>
      <c r="I53" s="177" t="s">
        <v>429</v>
      </c>
      <c r="J53" t="s">
        <v>454</v>
      </c>
      <c r="K53" s="177"/>
      <c r="L53" s="177" t="s">
        <v>449</v>
      </c>
      <c r="M53" s="258"/>
      <c r="O53" s="258" t="s">
        <v>519</v>
      </c>
      <c r="P53" s="258" t="s">
        <v>519</v>
      </c>
      <c r="Q53" s="258" t="s">
        <v>520</v>
      </c>
      <c r="R53" s="257" t="s">
        <v>128</v>
      </c>
      <c r="S53" s="258" t="s">
        <v>379</v>
      </c>
      <c r="T53" s="257" t="s">
        <v>126</v>
      </c>
      <c r="U53" s="257" t="s">
        <v>134</v>
      </c>
    </row>
    <row r="54" spans="7:21">
      <c r="G54" s="177" t="s">
        <v>437</v>
      </c>
      <c r="H54" s="177" t="s">
        <v>105</v>
      </c>
      <c r="I54" s="177" t="s">
        <v>440</v>
      </c>
      <c r="J54" s="177"/>
      <c r="K54" s="177" t="s">
        <v>450</v>
      </c>
      <c r="L54" s="177"/>
      <c r="M54" s="258"/>
      <c r="O54" s="258" t="s">
        <v>525</v>
      </c>
      <c r="P54" s="258" t="s">
        <v>429</v>
      </c>
      <c r="Q54" s="258" t="s">
        <v>462</v>
      </c>
      <c r="R54" s="257" t="s">
        <v>128</v>
      </c>
      <c r="S54" s="258" t="s">
        <v>379</v>
      </c>
      <c r="T54" s="257" t="s">
        <v>126</v>
      </c>
      <c r="U54" s="257" t="s">
        <v>134</v>
      </c>
    </row>
    <row r="55" spans="7:21">
      <c r="G55" s="258" t="s">
        <v>437</v>
      </c>
      <c r="H55" s="258" t="s">
        <v>104</v>
      </c>
      <c r="I55" s="258" t="s">
        <v>383</v>
      </c>
      <c r="J55" s="258"/>
      <c r="K55" s="258"/>
      <c r="L55" s="258"/>
      <c r="M55" s="258"/>
      <c r="O55" s="258" t="s">
        <v>529</v>
      </c>
      <c r="P55" s="258" t="s">
        <v>529</v>
      </c>
      <c r="Q55" s="258" t="s">
        <v>530</v>
      </c>
      <c r="R55" s="258" t="s">
        <v>128</v>
      </c>
      <c r="S55" s="258" t="s">
        <v>379</v>
      </c>
      <c r="T55" s="258"/>
      <c r="U55" s="257" t="s">
        <v>118</v>
      </c>
    </row>
    <row r="56" spans="7:21">
      <c r="G56" s="258" t="s">
        <v>437</v>
      </c>
      <c r="H56" s="258" t="s">
        <v>104</v>
      </c>
      <c r="I56" s="258" t="s">
        <v>566</v>
      </c>
      <c r="J56" s="258"/>
      <c r="K56" s="258"/>
      <c r="L56" s="258"/>
      <c r="M56" s="258"/>
      <c r="O56" s="258" t="s">
        <v>528</v>
      </c>
      <c r="P56" s="258" t="s">
        <v>190</v>
      </c>
      <c r="Q56" s="258" t="s">
        <v>528</v>
      </c>
      <c r="R56" s="257" t="s">
        <v>128</v>
      </c>
      <c r="S56" s="258" t="s">
        <v>379</v>
      </c>
      <c r="T56" s="257" t="s">
        <v>126</v>
      </c>
      <c r="U56" s="257" t="s">
        <v>134</v>
      </c>
    </row>
    <row r="57" spans="7:21">
      <c r="G57" s="177" t="s">
        <v>451</v>
      </c>
      <c r="H57" s="177" t="s">
        <v>105</v>
      </c>
      <c r="I57" s="177" t="s">
        <v>440</v>
      </c>
      <c r="J57" s="177"/>
      <c r="K57" s="177" t="s">
        <v>451</v>
      </c>
      <c r="L57" s="177"/>
      <c r="M57" s="258"/>
      <c r="O57" s="258" t="s">
        <v>535</v>
      </c>
      <c r="P57" s="258" t="s">
        <v>190</v>
      </c>
      <c r="Q57" s="258" t="s">
        <v>535</v>
      </c>
      <c r="R57" s="257" t="s">
        <v>128</v>
      </c>
      <c r="S57" s="258" t="s">
        <v>379</v>
      </c>
      <c r="T57" s="257" t="s">
        <v>126</v>
      </c>
      <c r="U57" s="257" t="s">
        <v>134</v>
      </c>
    </row>
    <row r="58" spans="7:21">
      <c r="G58" s="177" t="s">
        <v>451</v>
      </c>
      <c r="H58" s="177" t="s">
        <v>104</v>
      </c>
      <c r="I58" s="177" t="s">
        <v>452</v>
      </c>
      <c r="J58" s="177"/>
      <c r="K58" s="177"/>
      <c r="L58" s="177"/>
      <c r="M58" s="258"/>
      <c r="O58" s="258" t="s">
        <v>541</v>
      </c>
      <c r="P58" s="258"/>
      <c r="Q58" s="258"/>
      <c r="R58" s="258"/>
      <c r="S58" s="258" t="s">
        <v>379</v>
      </c>
      <c r="T58" s="257" t="s">
        <v>126</v>
      </c>
      <c r="U58" s="258" t="s">
        <v>304</v>
      </c>
    </row>
    <row r="59" spans="7:21">
      <c r="G59" s="177" t="s">
        <v>429</v>
      </c>
      <c r="H59" s="177" t="s">
        <v>104</v>
      </c>
      <c r="I59" s="177" t="s">
        <v>429</v>
      </c>
      <c r="J59" s="177"/>
      <c r="K59" s="177"/>
      <c r="L59" s="177"/>
      <c r="M59" s="258"/>
      <c r="O59" s="258" t="s">
        <v>545</v>
      </c>
      <c r="P59" s="258" t="s">
        <v>545</v>
      </c>
      <c r="Q59" s="258" t="s">
        <v>546</v>
      </c>
      <c r="R59" s="257" t="s">
        <v>128</v>
      </c>
      <c r="S59" s="258" t="s">
        <v>379</v>
      </c>
      <c r="T59" s="258"/>
      <c r="U59" s="257" t="s">
        <v>118</v>
      </c>
    </row>
    <row r="60" spans="7:21">
      <c r="G60" s="177" t="s">
        <v>466</v>
      </c>
      <c r="H60" s="177" t="s">
        <v>104</v>
      </c>
      <c r="I60" s="177" t="s">
        <v>466</v>
      </c>
      <c r="J60" s="177"/>
      <c r="K60" s="177"/>
      <c r="L60" s="177"/>
      <c r="M60" s="258"/>
      <c r="O60" s="258" t="s">
        <v>541</v>
      </c>
      <c r="P60" s="258"/>
      <c r="Q60" s="258"/>
      <c r="R60" s="258"/>
      <c r="S60" s="258" t="s">
        <v>379</v>
      </c>
      <c r="T60" s="258" t="s">
        <v>126</v>
      </c>
      <c r="U60" s="258" t="s">
        <v>304</v>
      </c>
    </row>
    <row r="61" spans="7:21">
      <c r="G61" s="177" t="s">
        <v>475</v>
      </c>
      <c r="H61" s="177" t="s">
        <v>104</v>
      </c>
      <c r="I61" s="177" t="s">
        <v>475</v>
      </c>
      <c r="J61" s="177"/>
      <c r="K61" s="177"/>
      <c r="L61" s="177"/>
      <c r="M61" s="258"/>
      <c r="O61" s="258" t="s">
        <v>547</v>
      </c>
      <c r="P61" s="258" t="s">
        <v>190</v>
      </c>
      <c r="Q61" s="258" t="s">
        <v>547</v>
      </c>
      <c r="R61" s="257" t="s">
        <v>128</v>
      </c>
      <c r="S61" s="258" t="s">
        <v>379</v>
      </c>
      <c r="T61" s="257" t="s">
        <v>126</v>
      </c>
      <c r="U61" s="257" t="s">
        <v>134</v>
      </c>
    </row>
    <row r="62" spans="7:21">
      <c r="G62" s="258" t="s">
        <v>511</v>
      </c>
      <c r="H62" s="258" t="s">
        <v>104</v>
      </c>
      <c r="I62" s="258" t="s">
        <v>511</v>
      </c>
      <c r="J62" s="258"/>
      <c r="K62" s="258"/>
      <c r="L62" s="258"/>
      <c r="M62" s="258"/>
      <c r="O62" s="258" t="s">
        <v>556</v>
      </c>
      <c r="P62" s="258" t="s">
        <v>190</v>
      </c>
      <c r="Q62" s="258" t="s">
        <v>556</v>
      </c>
      <c r="R62" s="258" t="s">
        <v>128</v>
      </c>
      <c r="S62" s="258" t="s">
        <v>379</v>
      </c>
      <c r="T62" s="258" t="s">
        <v>126</v>
      </c>
      <c r="U62" s="258" t="s">
        <v>134</v>
      </c>
    </row>
    <row r="63" spans="7:21">
      <c r="G63" s="258" t="s">
        <v>519</v>
      </c>
      <c r="H63" s="258" t="s">
        <v>104</v>
      </c>
      <c r="I63" s="258" t="s">
        <v>519</v>
      </c>
      <c r="J63" s="258"/>
      <c r="K63" s="258"/>
      <c r="L63" s="258"/>
      <c r="M63" s="258"/>
      <c r="O63" s="258" t="s">
        <v>560</v>
      </c>
      <c r="P63" s="258" t="s">
        <v>190</v>
      </c>
      <c r="Q63" s="258" t="s">
        <v>560</v>
      </c>
      <c r="R63" s="258" t="s">
        <v>128</v>
      </c>
      <c r="S63" s="258" t="s">
        <v>379</v>
      </c>
      <c r="T63" s="258" t="s">
        <v>126</v>
      </c>
      <c r="U63" s="258" t="s">
        <v>134</v>
      </c>
    </row>
    <row r="64" spans="7:21">
      <c r="G64" s="258" t="s">
        <v>525</v>
      </c>
      <c r="H64" s="258" t="s">
        <v>104</v>
      </c>
      <c r="I64" s="258" t="s">
        <v>525</v>
      </c>
      <c r="J64" s="258"/>
      <c r="K64" s="258"/>
      <c r="L64" s="258"/>
      <c r="M64" s="258"/>
      <c r="O64" s="258" t="s">
        <v>566</v>
      </c>
      <c r="P64" s="258" t="s">
        <v>566</v>
      </c>
      <c r="Q64" s="258" t="s">
        <v>572</v>
      </c>
      <c r="R64" s="258" t="s">
        <v>128</v>
      </c>
      <c r="S64" s="258" t="s">
        <v>379</v>
      </c>
      <c r="T64" s="258" t="s">
        <v>126</v>
      </c>
      <c r="U64" s="258" t="s">
        <v>134</v>
      </c>
    </row>
    <row r="65" spans="7:21">
      <c r="G65" s="258" t="s">
        <v>529</v>
      </c>
      <c r="H65" s="258" t="s">
        <v>104</v>
      </c>
      <c r="I65" s="258" t="s">
        <v>529</v>
      </c>
      <c r="J65" s="258"/>
      <c r="K65" s="258"/>
      <c r="L65" s="258"/>
      <c r="M65" s="258"/>
      <c r="O65" s="258"/>
      <c r="P65" s="258"/>
      <c r="Q65" s="258"/>
      <c r="R65" s="258"/>
      <c r="S65" s="258"/>
      <c r="T65" s="258"/>
      <c r="U65" s="258"/>
    </row>
    <row r="66" spans="7:21">
      <c r="G66" s="258" t="s">
        <v>545</v>
      </c>
      <c r="H66" s="258" t="s">
        <v>104</v>
      </c>
      <c r="I66" s="258" t="s">
        <v>545</v>
      </c>
      <c r="J66" s="258"/>
      <c r="K66" s="258"/>
      <c r="L66" s="258"/>
      <c r="M66" s="258"/>
    </row>
    <row r="67" spans="7:21">
      <c r="G67" s="258" t="s">
        <v>452</v>
      </c>
      <c r="H67" s="258" t="s">
        <v>104</v>
      </c>
      <c r="I67" s="258" t="s">
        <v>452</v>
      </c>
      <c r="J67" s="258"/>
      <c r="K67" s="258"/>
      <c r="L67" s="258"/>
      <c r="M67" s="258"/>
    </row>
    <row r="68" spans="7:21">
      <c r="G68" s="258" t="s">
        <v>566</v>
      </c>
      <c r="H68" s="258" t="s">
        <v>104</v>
      </c>
      <c r="I68" s="258" t="s">
        <v>566</v>
      </c>
      <c r="J68" s="258"/>
      <c r="K68" s="258"/>
      <c r="L68" s="258"/>
      <c r="M68" s="258"/>
    </row>
  </sheetData>
  <dataConsolidate/>
  <mergeCells count="8">
    <mergeCell ref="A1:B1"/>
    <mergeCell ref="D1:E1"/>
    <mergeCell ref="BF1:BG1"/>
    <mergeCell ref="AF1:AL1"/>
    <mergeCell ref="Z1:AD1"/>
    <mergeCell ref="O1:U1"/>
    <mergeCell ref="W1:X1"/>
    <mergeCell ref="G1:L1"/>
  </mergeCells>
  <dataValidations count="14">
    <dataValidation type="list" allowBlank="1" showInputMessage="1" showErrorMessage="1" sqref="E10:E12 E16:E18 E3 E21">
      <formula1>INDIRECT("Actions[Code]")</formula1>
    </dataValidation>
    <dataValidation type="list" allowBlank="1" showInputMessage="1" showErrorMessage="1" sqref="AM3:AM6">
      <formula1>INDIRECT("ParamPurpose[Code]")</formula1>
    </dataValidation>
    <dataValidation type="list" allowBlank="1" showInputMessage="1" showErrorMessage="1" sqref="O11:O12 W3:W35 X4:X11">
      <formula1>INDIRECT("Reports[Code]")</formula1>
    </dataValidation>
    <dataValidation type="list" allowBlank="1" showInputMessage="1" showErrorMessage="1" sqref="AA3:AA14">
      <formula1>INDIRECT("ProgramTypes[Code]")</formula1>
    </dataValidation>
    <dataValidation type="list" allowBlank="1" showInputMessage="1" showErrorMessage="1" sqref="AC3:AC14">
      <formula1>INDIRECT("ReturnTypes[Code]")</formula1>
    </dataValidation>
    <dataValidation type="list" allowBlank="1" showInputMessage="1" showErrorMessage="1" sqref="R3:R65">
      <formula1>INDIRECT("CreateModes[Code]")</formula1>
    </dataValidation>
    <dataValidation type="list" allowBlank="1" showInputMessage="1" showErrorMessage="1" sqref="U3:U65">
      <formula1>INDIRECT("ReportTypes[Code]")</formula1>
    </dataValidation>
    <dataValidation type="list" allowBlank="1" showInputMessage="1" showErrorMessage="1" sqref="T3:T65">
      <formula1>INDIRECT("Programs[Code]")</formula1>
    </dataValidation>
    <dataValidation type="list" allowBlank="1" showInputMessage="1" showErrorMessage="1" sqref="J3:J68">
      <formula1>INDIRECT("AfterAction")</formula1>
    </dataValidation>
    <dataValidation type="list" allowBlank="1" showInputMessage="1" showErrorMessage="1" sqref="H3:H68">
      <formula1>INDIRECT("ActionTypes[Code]")</formula1>
    </dataValidation>
    <dataValidation type="list" allowBlank="1" showInputMessage="1" showErrorMessage="1" sqref="AH3:AH30">
      <formula1>INDIRECT("Direction[Code]")</formula1>
    </dataValidation>
    <dataValidation type="list" allowBlank="1" showInputMessage="1" showErrorMessage="1" sqref="AJ3:AJ30 AL3:AL30">
      <formula1>INDIRECT("YesNo[Code]")</formula1>
    </dataValidation>
    <dataValidation type="whole" allowBlank="1" showInputMessage="1" showErrorMessage="1" sqref="AK3:AK30">
      <formula1>1</formula1>
      <formula2>32767</formula2>
    </dataValidation>
    <dataValidation type="list" allowBlank="1" showInputMessage="1" showErrorMessage="1" sqref="M3:M68">
      <formula1>$BB$3:$BB$4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3"/>
  <dimension ref="A1:O24"/>
  <sheetViews>
    <sheetView zoomScaleNormal="100" workbookViewId="0">
      <selection activeCell="K23" sqref="K23"/>
    </sheetView>
  </sheetViews>
  <sheetFormatPr defaultRowHeight="15"/>
  <cols>
    <col min="1" max="1" width="11.7109375" customWidth="1"/>
    <col min="2" max="2" width="7.7109375" customWidth="1"/>
    <col min="3" max="4" width="5" customWidth="1"/>
    <col min="5" max="5" width="38.7109375" customWidth="1"/>
    <col min="6" max="6" width="13.7109375" customWidth="1"/>
    <col min="7" max="9" width="10.28515625" customWidth="1"/>
    <col min="10" max="10" width="13.7109375" customWidth="1"/>
    <col min="11" max="13" width="10.28515625" customWidth="1"/>
    <col min="14" max="15" width="7" customWidth="1"/>
  </cols>
  <sheetData>
    <row r="1" spans="1:15" ht="84" customHeight="1">
      <c r="A1" s="335" t="s">
        <v>346</v>
      </c>
      <c r="B1" s="335"/>
      <c r="C1" s="335"/>
      <c r="D1" s="335"/>
      <c r="E1" s="335"/>
      <c r="F1" s="335"/>
      <c r="G1" s="335"/>
      <c r="H1" s="335"/>
      <c r="I1" s="335"/>
      <c r="J1" s="335"/>
      <c r="K1" s="335"/>
      <c r="L1" s="335"/>
      <c r="M1" s="335"/>
      <c r="N1" s="185"/>
    </row>
    <row r="3" spans="1:15" ht="15" customHeight="1">
      <c r="A3" s="375" t="s">
        <v>355</v>
      </c>
      <c r="B3" s="375"/>
      <c r="C3" s="375"/>
      <c r="D3" s="375"/>
      <c r="E3" s="375"/>
      <c r="F3" s="375"/>
      <c r="G3" s="375"/>
      <c r="H3" s="375"/>
      <c r="I3" s="375"/>
      <c r="J3" s="375"/>
      <c r="K3" s="375"/>
      <c r="L3" s="375"/>
      <c r="M3" s="375"/>
      <c r="N3" s="375"/>
      <c r="O3" s="375"/>
    </row>
    <row r="4" spans="1:15" ht="37.5" customHeight="1">
      <c r="A4" s="376" t="s">
        <v>329</v>
      </c>
      <c r="B4" s="376" t="s">
        <v>347</v>
      </c>
      <c r="C4" s="378" t="s">
        <v>350</v>
      </c>
      <c r="D4" s="379"/>
      <c r="E4" s="376" t="s">
        <v>97</v>
      </c>
      <c r="F4" s="378" t="s">
        <v>576</v>
      </c>
      <c r="G4" s="380"/>
      <c r="H4" s="380"/>
      <c r="I4" s="380"/>
      <c r="J4" s="378" t="s">
        <v>577</v>
      </c>
      <c r="K4" s="380"/>
      <c r="L4" s="380"/>
      <c r="M4" s="380"/>
      <c r="N4" s="376" t="s">
        <v>351</v>
      </c>
      <c r="O4" s="381" t="s">
        <v>352</v>
      </c>
    </row>
    <row r="5" spans="1:15" ht="33.75" customHeight="1">
      <c r="A5" s="377"/>
      <c r="B5" s="377"/>
      <c r="C5" s="184" t="s">
        <v>348</v>
      </c>
      <c r="D5" s="184" t="s">
        <v>349</v>
      </c>
      <c r="E5" s="377"/>
      <c r="F5" s="293" t="s">
        <v>1</v>
      </c>
      <c r="G5" s="293" t="s">
        <v>2</v>
      </c>
      <c r="H5" s="293" t="s">
        <v>82</v>
      </c>
      <c r="I5" s="293" t="s">
        <v>69</v>
      </c>
      <c r="J5" s="293" t="s">
        <v>1</v>
      </c>
      <c r="K5" s="293" t="s">
        <v>2</v>
      </c>
      <c r="L5" s="293" t="s">
        <v>82</v>
      </c>
      <c r="M5" s="293" t="s">
        <v>69</v>
      </c>
      <c r="N5" s="377"/>
      <c r="O5" s="382"/>
    </row>
    <row r="6" spans="1:15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12</v>
      </c>
      <c r="F6" s="109" t="s">
        <v>13</v>
      </c>
      <c r="G6" s="109" t="s">
        <v>14</v>
      </c>
      <c r="H6" s="109" t="s">
        <v>15</v>
      </c>
      <c r="I6" s="109" t="s">
        <v>16</v>
      </c>
      <c r="J6" s="109" t="s">
        <v>17</v>
      </c>
      <c r="K6" s="109" t="s">
        <v>18</v>
      </c>
      <c r="L6" s="109" t="s">
        <v>19</v>
      </c>
      <c r="M6" s="109" t="s">
        <v>20</v>
      </c>
      <c r="N6" s="109" t="s">
        <v>21</v>
      </c>
      <c r="O6" s="109" t="s">
        <v>24</v>
      </c>
    </row>
    <row r="7" spans="1:15">
      <c r="A7" s="275" t="s">
        <v>354</v>
      </c>
      <c r="B7" s="109"/>
      <c r="C7" s="109"/>
      <c r="D7" s="109"/>
      <c r="E7" s="182"/>
      <c r="F7" s="183"/>
      <c r="G7" s="183"/>
      <c r="H7" s="183"/>
      <c r="I7" s="183"/>
      <c r="J7" s="183"/>
      <c r="K7" s="183"/>
      <c r="L7" s="183"/>
      <c r="M7" s="183"/>
      <c r="N7" s="267"/>
      <c r="O7" s="267"/>
    </row>
    <row r="8" spans="1:15">
      <c r="A8" s="182"/>
      <c r="B8" s="109" t="s">
        <v>218</v>
      </c>
      <c r="C8" s="109"/>
      <c r="D8" s="109"/>
      <c r="E8" s="182"/>
      <c r="F8" s="182"/>
      <c r="G8" s="182"/>
      <c r="H8" s="182"/>
      <c r="I8" s="182"/>
      <c r="J8" s="182"/>
      <c r="K8" s="182"/>
      <c r="L8" s="182"/>
      <c r="M8" s="182"/>
      <c r="N8" s="183"/>
      <c r="O8" s="109"/>
    </row>
    <row r="11" spans="1:15" ht="15" customHeight="1">
      <c r="A11" s="375" t="s">
        <v>356</v>
      </c>
      <c r="B11" s="375"/>
      <c r="C11" s="375"/>
      <c r="D11" s="375"/>
      <c r="E11" s="375"/>
      <c r="F11" s="375"/>
      <c r="G11" s="375"/>
      <c r="H11" s="375"/>
      <c r="I11" s="375"/>
      <c r="J11" s="375"/>
      <c r="K11" s="375"/>
      <c r="L11" s="375"/>
      <c r="M11" s="375"/>
      <c r="N11" s="375"/>
      <c r="O11" s="375"/>
    </row>
    <row r="12" spans="1:15" s="257" customFormat="1" ht="37.5" customHeight="1">
      <c r="A12" s="376" t="s">
        <v>329</v>
      </c>
      <c r="B12" s="376" t="s">
        <v>347</v>
      </c>
      <c r="C12" s="378" t="s">
        <v>350</v>
      </c>
      <c r="D12" s="379"/>
      <c r="E12" s="376" t="s">
        <v>97</v>
      </c>
      <c r="F12" s="378" t="s">
        <v>576</v>
      </c>
      <c r="G12" s="380"/>
      <c r="H12" s="380"/>
      <c r="I12" s="380"/>
      <c r="J12" s="378" t="s">
        <v>578</v>
      </c>
      <c r="K12" s="380"/>
      <c r="L12" s="380"/>
      <c r="M12" s="380"/>
      <c r="N12" s="376" t="s">
        <v>351</v>
      </c>
      <c r="O12" s="381" t="s">
        <v>352</v>
      </c>
    </row>
    <row r="13" spans="1:15" s="257" customFormat="1" ht="33.75" customHeight="1">
      <c r="A13" s="377"/>
      <c r="B13" s="377"/>
      <c r="C13" s="184" t="s">
        <v>348</v>
      </c>
      <c r="D13" s="184"/>
      <c r="E13" s="377"/>
      <c r="F13" s="293" t="s">
        <v>1</v>
      </c>
      <c r="G13" s="293" t="s">
        <v>2</v>
      </c>
      <c r="H13" s="293" t="s">
        <v>82</v>
      </c>
      <c r="I13" s="293" t="s">
        <v>69</v>
      </c>
      <c r="J13" s="293" t="s">
        <v>1</v>
      </c>
      <c r="K13" s="293" t="s">
        <v>2</v>
      </c>
      <c r="L13" s="293" t="s">
        <v>82</v>
      </c>
      <c r="M13" s="293" t="s">
        <v>69</v>
      </c>
      <c r="N13" s="377"/>
      <c r="O13" s="382"/>
    </row>
    <row r="14" spans="1:15" s="257" customFormat="1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12</v>
      </c>
      <c r="F14" s="109" t="s">
        <v>13</v>
      </c>
      <c r="G14" s="109" t="s">
        <v>14</v>
      </c>
      <c r="H14" s="109" t="s">
        <v>15</v>
      </c>
      <c r="I14" s="109" t="s">
        <v>16</v>
      </c>
      <c r="J14" s="109" t="s">
        <v>17</v>
      </c>
      <c r="K14" s="109" t="s">
        <v>18</v>
      </c>
      <c r="L14" s="109" t="s">
        <v>19</v>
      </c>
      <c r="M14" s="109" t="s">
        <v>20</v>
      </c>
      <c r="N14" s="109" t="s">
        <v>21</v>
      </c>
      <c r="O14" s="109" t="s">
        <v>24</v>
      </c>
    </row>
    <row r="15" spans="1:15" s="257" customFormat="1">
      <c r="A15" s="275" t="s">
        <v>357</v>
      </c>
      <c r="B15" s="109"/>
      <c r="C15" s="109"/>
      <c r="D15" s="109"/>
      <c r="E15" s="182"/>
      <c r="F15" s="183"/>
      <c r="G15" s="183"/>
      <c r="H15" s="183"/>
      <c r="I15" s="183"/>
      <c r="J15" s="183"/>
      <c r="K15" s="183"/>
      <c r="L15" s="183"/>
      <c r="M15" s="183"/>
      <c r="N15" s="267"/>
      <c r="O15" s="267"/>
    </row>
    <row r="16" spans="1:15" s="257" customFormat="1">
      <c r="A16" s="182"/>
      <c r="B16" s="109" t="s">
        <v>218</v>
      </c>
      <c r="C16" s="109"/>
      <c r="D16" s="109"/>
      <c r="E16" s="182"/>
      <c r="F16" s="182"/>
      <c r="G16" s="182"/>
      <c r="H16" s="182"/>
      <c r="I16" s="182"/>
      <c r="J16" s="182"/>
      <c r="K16" s="182"/>
      <c r="L16" s="182"/>
      <c r="M16" s="182"/>
      <c r="N16" s="183"/>
      <c r="O16" s="109"/>
    </row>
    <row r="19" spans="1:15" ht="15" customHeight="1">
      <c r="A19" s="375" t="s">
        <v>358</v>
      </c>
      <c r="B19" s="375"/>
      <c r="C19" s="375"/>
      <c r="D19" s="375"/>
      <c r="E19" s="375"/>
      <c r="F19" s="375"/>
      <c r="G19" s="375"/>
      <c r="H19" s="375"/>
      <c r="I19" s="375"/>
      <c r="J19" s="375"/>
      <c r="K19" s="375"/>
      <c r="L19" s="375"/>
      <c r="M19" s="375"/>
      <c r="N19" s="375"/>
      <c r="O19" s="375"/>
    </row>
    <row r="20" spans="1:15" s="257" customFormat="1" ht="37.5" customHeight="1">
      <c r="A20" s="376" t="s">
        <v>329</v>
      </c>
      <c r="B20" s="376" t="s">
        <v>347</v>
      </c>
      <c r="C20" s="378" t="s">
        <v>350</v>
      </c>
      <c r="D20" s="379"/>
      <c r="E20" s="376" t="s">
        <v>97</v>
      </c>
      <c r="F20" s="378" t="s">
        <v>576</v>
      </c>
      <c r="G20" s="380"/>
      <c r="H20" s="380"/>
      <c r="I20" s="380"/>
      <c r="J20" s="378" t="s">
        <v>578</v>
      </c>
      <c r="K20" s="380"/>
      <c r="L20" s="380"/>
      <c r="M20" s="380"/>
      <c r="N20" s="376" t="s">
        <v>351</v>
      </c>
      <c r="O20" s="381" t="s">
        <v>352</v>
      </c>
    </row>
    <row r="21" spans="1:15" s="257" customFormat="1" ht="33.75" customHeight="1">
      <c r="A21" s="377"/>
      <c r="B21" s="377"/>
      <c r="C21" s="184" t="s">
        <v>348</v>
      </c>
      <c r="D21" s="184"/>
      <c r="E21" s="377"/>
      <c r="F21" s="293" t="s">
        <v>1</v>
      </c>
      <c r="G21" s="293" t="s">
        <v>2</v>
      </c>
      <c r="H21" s="293" t="s">
        <v>82</v>
      </c>
      <c r="I21" s="293" t="s">
        <v>69</v>
      </c>
      <c r="J21" s="293" t="s">
        <v>1</v>
      </c>
      <c r="K21" s="293" t="s">
        <v>2</v>
      </c>
      <c r="L21" s="293" t="s">
        <v>82</v>
      </c>
      <c r="M21" s="293" t="s">
        <v>69</v>
      </c>
      <c r="N21" s="377"/>
      <c r="O21" s="382"/>
    </row>
    <row r="22" spans="1:15" s="257" customFormat="1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12</v>
      </c>
      <c r="F22" s="109" t="s">
        <v>13</v>
      </c>
      <c r="G22" s="109" t="s">
        <v>14</v>
      </c>
      <c r="H22" s="109" t="s">
        <v>15</v>
      </c>
      <c r="I22" s="109" t="s">
        <v>16</v>
      </c>
      <c r="J22" s="109" t="s">
        <v>17</v>
      </c>
      <c r="K22" s="109" t="s">
        <v>18</v>
      </c>
      <c r="L22" s="109" t="s">
        <v>19</v>
      </c>
      <c r="M22" s="109" t="s">
        <v>20</v>
      </c>
      <c r="N22" s="109" t="s">
        <v>21</v>
      </c>
      <c r="O22" s="109" t="s">
        <v>24</v>
      </c>
    </row>
    <row r="23" spans="1:15" s="257" customFormat="1">
      <c r="A23" s="275" t="s">
        <v>362</v>
      </c>
      <c r="B23" s="109"/>
      <c r="C23" s="109"/>
      <c r="D23" s="109"/>
      <c r="E23" s="182"/>
      <c r="F23" s="183"/>
      <c r="G23" s="183"/>
      <c r="H23" s="183"/>
      <c r="I23" s="183"/>
      <c r="J23" s="183"/>
      <c r="K23" s="183"/>
      <c r="L23" s="183"/>
      <c r="M23" s="183"/>
      <c r="N23" s="267"/>
      <c r="O23" s="267"/>
    </row>
    <row r="24" spans="1:15" s="257" customFormat="1">
      <c r="A24" s="182"/>
      <c r="B24" s="109" t="s">
        <v>218</v>
      </c>
      <c r="C24" s="109"/>
      <c r="D24" s="109"/>
      <c r="E24" s="182"/>
      <c r="F24" s="182"/>
      <c r="G24" s="182"/>
      <c r="H24" s="182"/>
      <c r="I24" s="182"/>
      <c r="J24" s="182"/>
      <c r="K24" s="182"/>
      <c r="L24" s="182"/>
      <c r="M24" s="182"/>
      <c r="N24" s="183"/>
      <c r="O24" s="109"/>
    </row>
  </sheetData>
  <mergeCells count="28">
    <mergeCell ref="A3:O3"/>
    <mergeCell ref="J20:M20"/>
    <mergeCell ref="N20:N21"/>
    <mergeCell ref="O20:O21"/>
    <mergeCell ref="A11:O11"/>
    <mergeCell ref="A19:O19"/>
    <mergeCell ref="A4:A5"/>
    <mergeCell ref="B12:B13"/>
    <mergeCell ref="C12:D12"/>
    <mergeCell ref="F12:I12"/>
    <mergeCell ref="J12:M12"/>
    <mergeCell ref="N12:N13"/>
    <mergeCell ref="O12:O13"/>
    <mergeCell ref="A1:M1"/>
    <mergeCell ref="N4:N5"/>
    <mergeCell ref="O4:O5"/>
    <mergeCell ref="B4:B5"/>
    <mergeCell ref="C4:D4"/>
    <mergeCell ref="E4:E5"/>
    <mergeCell ref="A12:A13"/>
    <mergeCell ref="E12:E13"/>
    <mergeCell ref="F4:I4"/>
    <mergeCell ref="J4:M4"/>
    <mergeCell ref="A20:A21"/>
    <mergeCell ref="B20:B21"/>
    <mergeCell ref="C20:D20"/>
    <mergeCell ref="E20:E21"/>
    <mergeCell ref="F20:I20"/>
  </mergeCells>
  <conditionalFormatting sqref="J7">
    <cfRule type="expression" dxfId="41" priority="14">
      <formula>F7&lt;&gt;J7</formula>
    </cfRule>
  </conditionalFormatting>
  <conditionalFormatting sqref="K7">
    <cfRule type="expression" dxfId="40" priority="11">
      <formula>G7&lt;&gt;K7</formula>
    </cfRule>
  </conditionalFormatting>
  <conditionalFormatting sqref="L7">
    <cfRule type="expression" dxfId="39" priority="10">
      <formula>H7&lt;&gt;L7</formula>
    </cfRule>
  </conditionalFormatting>
  <conditionalFormatting sqref="M7">
    <cfRule type="expression" dxfId="38" priority="9">
      <formula>I7&lt;&gt;M7</formula>
    </cfRule>
  </conditionalFormatting>
  <conditionalFormatting sqref="J15">
    <cfRule type="expression" dxfId="37" priority="8">
      <formula>F15&lt;&gt;J15</formula>
    </cfRule>
  </conditionalFormatting>
  <conditionalFormatting sqref="K15">
    <cfRule type="expression" dxfId="36" priority="7">
      <formula>G15&lt;&gt;K15</formula>
    </cfRule>
  </conditionalFormatting>
  <conditionalFormatting sqref="L15">
    <cfRule type="expression" dxfId="35" priority="6">
      <formula>H15&lt;&gt;L15</formula>
    </cfRule>
  </conditionalFormatting>
  <conditionalFormatting sqref="M15">
    <cfRule type="expression" dxfId="34" priority="5">
      <formula>I15&lt;&gt;M15</formula>
    </cfRule>
  </conditionalFormatting>
  <conditionalFormatting sqref="J23">
    <cfRule type="expression" dxfId="33" priority="4">
      <formula>F23&lt;&gt;J23</formula>
    </cfRule>
  </conditionalFormatting>
  <conditionalFormatting sqref="K23">
    <cfRule type="expression" dxfId="32" priority="3">
      <formula>G23&lt;&gt;K23</formula>
    </cfRule>
  </conditionalFormatting>
  <conditionalFormatting sqref="L23">
    <cfRule type="expression" dxfId="31" priority="2">
      <formula>H23&lt;&gt;L23</formula>
    </cfRule>
  </conditionalFormatting>
  <conditionalFormatting sqref="M23">
    <cfRule type="expression" dxfId="30" priority="1">
      <formula>I23&lt;&gt;M23</formula>
    </cfRule>
  </conditionalFormatting>
  <pageMargins left="0.7" right="0.7" top="0.75" bottom="0.75" header="0.3" footer="0.3"/>
  <pageSetup paperSize="0" orientation="portrait" horizontalDpi="0" verticalDpi="0" copies="0"/>
  <tableParts count="3">
    <tablePart r:id="rId1"/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2018</v>
      </c>
      <c r="D4" s="32"/>
      <c r="E4" s="32"/>
    </row>
    <row r="5" spans="1:6">
      <c r="A5" s="32"/>
      <c r="B5" s="31" t="s">
        <v>57</v>
      </c>
      <c r="C5" s="179">
        <v>1</v>
      </c>
      <c r="D5" s="32"/>
      <c r="E5" s="32"/>
    </row>
    <row r="6" spans="1:6">
      <c r="A6" s="32"/>
      <c r="B6" s="31" t="s">
        <v>339</v>
      </c>
      <c r="C6" s="41">
        <v>43131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44"/>
      <c r="B8" s="344"/>
      <c r="C8" s="344"/>
      <c r="D8" s="344"/>
      <c r="E8" s="344"/>
    </row>
    <row r="9" spans="1:6" ht="97.5" customHeight="1">
      <c r="A9" s="44"/>
      <c r="B9" s="345"/>
      <c r="C9" s="346"/>
      <c r="D9" s="346"/>
      <c r="E9" s="44"/>
    </row>
    <row r="10" spans="1:6" s="43" customFormat="1" ht="14.25" customHeight="1">
      <c r="A10" s="344"/>
      <c r="B10" s="344"/>
      <c r="C10" s="344"/>
      <c r="D10" s="344"/>
      <c r="E10" s="344"/>
    </row>
    <row r="11" spans="1:6" hidden="1">
      <c r="A11" s="341"/>
      <c r="B11" s="342"/>
      <c r="C11" s="342"/>
      <c r="D11" s="342"/>
      <c r="E11" s="343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20"/>
  <dimension ref="A1:P3"/>
  <sheetViews>
    <sheetView topLeftCell="E1" zoomScale="145" zoomScaleNormal="145" workbookViewId="0">
      <pane ySplit="2" topLeftCell="A3" activePane="bottomLeft" state="frozen"/>
      <selection activeCell="A3" sqref="A3"/>
      <selection pane="bottomLeft" activeCell="N3" sqref="N3"/>
    </sheetView>
  </sheetViews>
  <sheetFormatPr defaultRowHeight="15"/>
  <cols>
    <col min="1" max="1" width="14.140625" customWidth="1"/>
    <col min="2" max="2" width="9.5703125" style="257" customWidth="1"/>
    <col min="3" max="3" width="10.140625" style="257" customWidth="1"/>
    <col min="4" max="4" width="8.28515625" style="257" customWidth="1"/>
    <col min="5" max="6" width="11.140625" customWidth="1"/>
    <col min="7" max="8" width="7.140625" style="257" customWidth="1"/>
    <col min="9" max="9" width="16.140625" customWidth="1"/>
    <col min="10" max="10" width="11.42578125" customWidth="1"/>
    <col min="11" max="11" width="12.85546875" customWidth="1"/>
    <col min="12" max="12" width="10.28515625" style="257" customWidth="1"/>
    <col min="13" max="13" width="27.42578125" style="257" customWidth="1"/>
    <col min="14" max="14" width="36.5703125" customWidth="1"/>
  </cols>
  <sheetData>
    <row r="1" spans="1:16" ht="75" customHeight="1">
      <c r="A1" s="319" t="s">
        <v>568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242"/>
      <c r="P1" s="242"/>
    </row>
    <row r="2" spans="1:16" ht="45" customHeight="1">
      <c r="A2" s="243" t="s">
        <v>459</v>
      </c>
      <c r="B2" s="243" t="s">
        <v>570</v>
      </c>
      <c r="C2" s="243" t="s">
        <v>482</v>
      </c>
      <c r="D2" s="243" t="s">
        <v>569</v>
      </c>
      <c r="E2" s="243" t="s">
        <v>329</v>
      </c>
      <c r="F2" s="243" t="s">
        <v>430</v>
      </c>
      <c r="G2" s="243" t="s">
        <v>490</v>
      </c>
      <c r="H2" s="243" t="s">
        <v>491</v>
      </c>
      <c r="I2" s="244" t="s">
        <v>364</v>
      </c>
      <c r="J2" s="244" t="s">
        <v>571</v>
      </c>
      <c r="K2" s="244" t="s">
        <v>40</v>
      </c>
      <c r="L2" s="244" t="s">
        <v>57</v>
      </c>
      <c r="M2" s="244" t="s">
        <v>97</v>
      </c>
      <c r="N2" s="244" t="s">
        <v>495</v>
      </c>
    </row>
    <row r="3" spans="1:16">
      <c r="A3" s="291" t="s">
        <v>566</v>
      </c>
      <c r="B3" s="289"/>
      <c r="C3" s="289"/>
      <c r="D3" s="289"/>
      <c r="E3" s="268"/>
      <c r="F3" s="268"/>
      <c r="G3" s="268"/>
      <c r="H3" s="268"/>
      <c r="I3" s="277"/>
      <c r="J3" s="163"/>
      <c r="K3" s="166"/>
      <c r="L3" s="165"/>
      <c r="M3" s="278"/>
      <c r="N3" s="114"/>
    </row>
  </sheetData>
  <mergeCells count="1">
    <mergeCell ref="A1:N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19" t="s">
        <v>249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</row>
    <row r="2" spans="1:12" ht="44.25" customHeight="1">
      <c r="A2" s="347" t="s">
        <v>327</v>
      </c>
      <c r="B2" s="347"/>
      <c r="C2" s="347"/>
      <c r="D2" s="347" t="s">
        <v>58</v>
      </c>
      <c r="E2" s="347"/>
      <c r="F2" s="347" t="s">
        <v>62</v>
      </c>
      <c r="G2" s="347" t="s">
        <v>52</v>
      </c>
      <c r="H2" s="347" t="s">
        <v>328</v>
      </c>
      <c r="I2" s="347" t="s">
        <v>329</v>
      </c>
      <c r="J2" s="347" t="s">
        <v>3</v>
      </c>
      <c r="K2" s="347" t="s">
        <v>325</v>
      </c>
      <c r="L2" s="347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47"/>
      <c r="G3" s="347" t="s">
        <v>41</v>
      </c>
      <c r="H3" s="347" t="s">
        <v>325</v>
      </c>
      <c r="I3" s="347"/>
      <c r="J3" s="347"/>
      <c r="K3" s="347"/>
      <c r="L3" s="347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96" t="s">
        <v>251</v>
      </c>
      <c r="B1" s="296"/>
      <c r="C1" s="296"/>
      <c r="D1" s="296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48" t="s">
        <v>252</v>
      </c>
      <c r="B1" s="349"/>
      <c r="C1" s="349"/>
      <c r="D1" s="349"/>
      <c r="E1" s="349"/>
    </row>
    <row r="2" spans="1:6" ht="19.5" customHeight="1">
      <c r="A2" s="350" t="s">
        <v>181</v>
      </c>
      <c r="B2" s="351"/>
      <c r="C2" s="351"/>
      <c r="D2" s="351"/>
      <c r="E2" s="352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39" t="s">
        <v>185</v>
      </c>
      <c r="E8" s="339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39" t="s">
        <v>187</v>
      </c>
      <c r="E11" s="339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53" t="s">
        <v>253</v>
      </c>
      <c r="B1" s="354"/>
      <c r="C1" s="354"/>
      <c r="D1" s="354"/>
      <c r="E1" s="354"/>
      <c r="F1" s="354"/>
      <c r="G1" s="354"/>
      <c r="H1" s="354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60" t="s">
        <v>194</v>
      </c>
      <c r="F7" s="360"/>
      <c r="G7" s="360"/>
      <c r="H7" s="360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61" t="s">
        <v>200</v>
      </c>
      <c r="F11" s="361"/>
      <c r="G11" s="361"/>
      <c r="H11" s="361"/>
    </row>
    <row r="12" spans="1:8">
      <c r="C12" s="53"/>
      <c r="D12" s="85"/>
      <c r="E12" s="357" t="s">
        <v>201</v>
      </c>
      <c r="F12" s="358"/>
      <c r="G12" s="359"/>
      <c r="H12" s="355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55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56" t="s">
        <v>219</v>
      </c>
      <c r="B22" s="356"/>
      <c r="C22" s="356"/>
      <c r="D22" s="356"/>
      <c r="E22" s="356"/>
      <c r="F22" s="356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35" t="s">
        <v>254</v>
      </c>
      <c r="B1" s="335"/>
      <c r="C1" s="335"/>
      <c r="D1" s="335"/>
      <c r="E1" s="335"/>
      <c r="F1" s="335"/>
      <c r="G1" s="335"/>
      <c r="H1" s="335"/>
      <c r="I1" s="335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57" customWidth="1"/>
    <col min="2" max="2" width="12.140625" style="257" customWidth="1"/>
    <col min="3" max="3" width="10.140625" style="257" customWidth="1"/>
    <col min="4" max="9" width="19.7109375" style="257" customWidth="1"/>
    <col min="10" max="10" width="14.140625" style="257" customWidth="1"/>
    <col min="11" max="11" width="17.140625" style="257" customWidth="1"/>
    <col min="12" max="12" width="15.140625" style="257" customWidth="1"/>
    <col min="13" max="13" width="9" style="257" customWidth="1"/>
    <col min="14" max="16384" width="9.140625" style="257"/>
  </cols>
  <sheetData>
    <row r="1" spans="1:18" ht="40.5" customHeight="1">
      <c r="A1" s="319" t="s">
        <v>548</v>
      </c>
      <c r="B1" s="319"/>
      <c r="C1" s="319"/>
      <c r="D1" s="319"/>
      <c r="E1" s="319"/>
      <c r="F1" s="319"/>
      <c r="G1" s="319"/>
      <c r="H1" s="319"/>
      <c r="I1" s="319"/>
      <c r="J1" s="242"/>
      <c r="K1" s="242"/>
      <c r="L1" s="242"/>
      <c r="M1" s="242"/>
      <c r="N1" s="242"/>
      <c r="O1" s="242"/>
      <c r="P1" s="242"/>
      <c r="Q1" s="242"/>
      <c r="R1" s="242"/>
    </row>
    <row r="2" spans="1:18" ht="9" customHeight="1">
      <c r="A2" s="283"/>
      <c r="B2" s="283"/>
      <c r="C2" s="283"/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42"/>
      <c r="P2" s="242"/>
      <c r="Q2" s="242"/>
      <c r="R2" s="242"/>
    </row>
    <row r="3" spans="1:18">
      <c r="A3" s="288" t="s">
        <v>543</v>
      </c>
      <c r="B3" s="329"/>
      <c r="C3" s="329"/>
      <c r="D3" s="329"/>
      <c r="E3" s="329"/>
      <c r="F3" s="329"/>
      <c r="G3" s="329"/>
      <c r="H3" s="287"/>
      <c r="I3" s="287"/>
      <c r="J3" s="287"/>
      <c r="K3" s="287"/>
      <c r="L3" s="287"/>
      <c r="M3" s="287"/>
      <c r="N3" s="287"/>
    </row>
    <row r="4" spans="1:18">
      <c r="A4" s="288" t="s">
        <v>544</v>
      </c>
      <c r="B4" s="331"/>
      <c r="C4" s="331"/>
      <c r="D4" s="331"/>
      <c r="E4" s="331"/>
      <c r="F4" s="331"/>
      <c r="G4" s="331"/>
      <c r="H4" s="287"/>
      <c r="I4" s="287"/>
      <c r="J4" s="287"/>
      <c r="K4" s="287"/>
      <c r="L4" s="287"/>
      <c r="M4" s="287"/>
      <c r="N4" s="287"/>
    </row>
    <row r="5" spans="1:18" ht="9" customHeight="1"/>
    <row r="6" spans="1:18">
      <c r="A6" s="330" t="s">
        <v>555</v>
      </c>
      <c r="B6" s="330"/>
      <c r="C6" s="330"/>
      <c r="D6" s="330"/>
      <c r="E6" s="330"/>
      <c r="F6" s="330"/>
      <c r="G6" s="330"/>
      <c r="H6" s="330"/>
      <c r="I6" s="330"/>
      <c r="J6" s="287"/>
      <c r="K6" s="287"/>
      <c r="L6" s="287"/>
      <c r="M6" s="287"/>
    </row>
    <row r="7" spans="1:18" ht="45" customHeight="1">
      <c r="A7" s="243" t="s">
        <v>482</v>
      </c>
      <c r="B7" s="244" t="s">
        <v>551</v>
      </c>
      <c r="C7" s="243" t="s">
        <v>533</v>
      </c>
      <c r="D7" s="244" t="s">
        <v>552</v>
      </c>
      <c r="E7" s="244" t="s">
        <v>553</v>
      </c>
      <c r="F7" s="244" t="s">
        <v>82</v>
      </c>
      <c r="G7" s="245" t="s">
        <v>69</v>
      </c>
      <c r="H7" s="246" t="s">
        <v>554</v>
      </c>
      <c r="I7" s="244" t="s">
        <v>260</v>
      </c>
    </row>
    <row r="8" spans="1:18">
      <c r="A8" s="289" t="s">
        <v>547</v>
      </c>
      <c r="B8" s="267"/>
      <c r="C8" s="165"/>
      <c r="D8" s="166"/>
      <c r="E8" s="166"/>
      <c r="F8" s="166"/>
      <c r="G8" s="166"/>
      <c r="H8" s="166"/>
      <c r="I8" s="166"/>
    </row>
    <row r="11" spans="1:18">
      <c r="A11" s="330" t="s">
        <v>557</v>
      </c>
      <c r="B11" s="330"/>
      <c r="C11" s="330"/>
      <c r="D11" s="330"/>
      <c r="E11" s="330"/>
      <c r="F11" s="330"/>
      <c r="G11" s="287"/>
      <c r="H11" s="287"/>
      <c r="I11" s="287"/>
      <c r="J11" s="287"/>
      <c r="K11" s="287"/>
      <c r="L11" s="287"/>
      <c r="M11" s="287"/>
    </row>
    <row r="12" spans="1:18" ht="45" customHeight="1">
      <c r="A12" s="243" t="s">
        <v>482</v>
      </c>
      <c r="B12" s="244" t="s">
        <v>551</v>
      </c>
      <c r="C12" s="243" t="s">
        <v>533</v>
      </c>
      <c r="D12" s="245" t="s">
        <v>494</v>
      </c>
      <c r="E12" s="246" t="s">
        <v>559</v>
      </c>
      <c r="F12" s="246" t="s">
        <v>558</v>
      </c>
    </row>
    <row r="13" spans="1:18">
      <c r="A13" s="289" t="s">
        <v>556</v>
      </c>
      <c r="B13" s="267"/>
      <c r="C13" s="165"/>
      <c r="D13" s="165"/>
      <c r="E13" s="290"/>
      <c r="F13" s="290"/>
    </row>
    <row r="15" spans="1:18">
      <c r="A15" s="330" t="s">
        <v>561</v>
      </c>
      <c r="B15" s="330"/>
      <c r="C15" s="330"/>
      <c r="D15" s="330"/>
      <c r="E15" s="330"/>
      <c r="F15" s="330"/>
      <c r="G15" s="330"/>
    </row>
    <row r="16" spans="1:18" ht="25.5">
      <c r="A16" s="243" t="s">
        <v>482</v>
      </c>
      <c r="B16" s="244" t="s">
        <v>551</v>
      </c>
      <c r="C16" s="243" t="s">
        <v>533</v>
      </c>
      <c r="D16" s="245" t="s">
        <v>562</v>
      </c>
      <c r="E16" s="246" t="s">
        <v>563</v>
      </c>
      <c r="F16" s="246" t="s">
        <v>494</v>
      </c>
      <c r="G16" s="246" t="s">
        <v>472</v>
      </c>
    </row>
    <row r="17" spans="1:7">
      <c r="A17" s="289" t="s">
        <v>560</v>
      </c>
      <c r="B17" s="267"/>
      <c r="C17" s="165"/>
      <c r="D17" s="165"/>
      <c r="E17" s="290"/>
      <c r="F17" s="286"/>
      <c r="G17" s="290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63" t="s">
        <v>534</v>
      </c>
      <c r="B1" s="364"/>
      <c r="C1" s="364"/>
      <c r="D1" s="364"/>
      <c r="E1" s="364"/>
      <c r="F1" s="364"/>
      <c r="G1" s="364"/>
      <c r="H1" s="364"/>
      <c r="I1" s="364"/>
    </row>
    <row r="2" spans="1:9" ht="15.75">
      <c r="A2" s="112"/>
    </row>
    <row r="3" spans="1:9" ht="31.5" customHeight="1">
      <c r="A3" s="362" t="s">
        <v>262</v>
      </c>
      <c r="B3" s="362"/>
      <c r="C3" s="362"/>
      <c r="D3" s="362"/>
      <c r="E3" s="362"/>
      <c r="F3" s="362"/>
      <c r="G3" s="362"/>
      <c r="H3" s="362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63" t="s">
        <v>263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</row>
    <row r="2" spans="1:16" ht="15.75">
      <c r="A2" s="112"/>
      <c r="F2" s="112"/>
      <c r="G2" s="112"/>
      <c r="H2" s="112"/>
      <c r="I2" s="112"/>
    </row>
    <row r="3" spans="1:16" ht="31.5" customHeight="1">
      <c r="A3" s="365" t="s">
        <v>262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365"/>
      <c r="O3" s="366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67" t="s">
        <v>310</v>
      </c>
      <c r="L4" s="367"/>
      <c r="M4" s="367"/>
      <c r="N4" s="368" t="s">
        <v>311</v>
      </c>
      <c r="O4" s="369"/>
      <c r="P4" s="370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5" t="s">
        <v>363</v>
      </c>
      <c r="B1" s="335"/>
      <c r="C1" s="335"/>
      <c r="D1" s="335"/>
      <c r="E1" s="335"/>
      <c r="F1" s="185"/>
      <c r="G1" s="185"/>
      <c r="H1" s="185"/>
      <c r="I1" s="185"/>
      <c r="J1" s="185"/>
      <c r="K1" s="185"/>
      <c r="L1" s="185"/>
      <c r="M1" s="185"/>
      <c r="N1" s="185"/>
    </row>
    <row r="3" spans="1:14">
      <c r="A3" s="203" t="s">
        <v>364</v>
      </c>
      <c r="B3" s="203"/>
      <c r="C3" s="203" t="s">
        <v>365</v>
      </c>
      <c r="D3" s="203" t="s">
        <v>366</v>
      </c>
      <c r="E3" s="203" t="s">
        <v>353</v>
      </c>
    </row>
    <row r="4" spans="1:14" ht="30" customHeight="1">
      <c r="A4" s="186" t="s">
        <v>367</v>
      </c>
      <c r="B4" s="186"/>
      <c r="C4" s="208" t="s">
        <v>387</v>
      </c>
      <c r="D4" s="208"/>
      <c r="E4" s="208"/>
    </row>
    <row r="5" spans="1:14">
      <c r="A5" s="187" t="s">
        <v>368</v>
      </c>
      <c r="B5" s="187"/>
      <c r="C5" s="188"/>
      <c r="D5" s="188"/>
      <c r="E5" s="188"/>
    </row>
    <row r="6" spans="1:14">
      <c r="A6" s="187" t="s">
        <v>369</v>
      </c>
      <c r="B6" s="187"/>
      <c r="C6" s="188"/>
      <c r="D6" s="189"/>
      <c r="E6" s="188"/>
    </row>
    <row r="7" spans="1:14">
      <c r="A7" s="205"/>
      <c r="B7" s="206"/>
      <c r="C7" s="202"/>
      <c r="D7" s="202"/>
      <c r="E7" s="202"/>
    </row>
    <row r="8" spans="1:14">
      <c r="A8" s="371" t="s">
        <v>370</v>
      </c>
      <c r="B8" s="371"/>
      <c r="C8" s="371"/>
      <c r="D8" s="371"/>
      <c r="E8" s="371"/>
    </row>
    <row r="9" spans="1:14">
      <c r="A9" s="204" t="s">
        <v>364</v>
      </c>
      <c r="B9" s="204" t="s">
        <v>79</v>
      </c>
      <c r="C9" s="204" t="s">
        <v>365</v>
      </c>
      <c r="D9" s="204" t="s">
        <v>366</v>
      </c>
      <c r="E9" s="204" t="s">
        <v>353</v>
      </c>
    </row>
    <row r="10" spans="1:14">
      <c r="A10" s="190" t="s">
        <v>1</v>
      </c>
      <c r="B10" s="191">
        <v>13</v>
      </c>
      <c r="C10" s="192" t="s">
        <v>388</v>
      </c>
      <c r="D10" s="193"/>
      <c r="E10" s="194"/>
    </row>
    <row r="11" spans="1:14">
      <c r="A11" s="187" t="s">
        <v>81</v>
      </c>
      <c r="B11" s="195">
        <v>13</v>
      </c>
      <c r="C11" s="196"/>
      <c r="D11" s="197"/>
      <c r="E11" s="198"/>
    </row>
    <row r="12" spans="1:14">
      <c r="A12" s="187" t="s">
        <v>82</v>
      </c>
      <c r="B12" s="195">
        <v>13</v>
      </c>
      <c r="C12" s="196"/>
      <c r="D12" s="197"/>
      <c r="E12" s="198"/>
    </row>
    <row r="13" spans="1:14">
      <c r="A13" s="187" t="s">
        <v>69</v>
      </c>
      <c r="B13" s="195">
        <v>13</v>
      </c>
      <c r="C13" s="196"/>
      <c r="D13" s="188"/>
      <c r="E13" s="198"/>
    </row>
    <row r="14" spans="1:14">
      <c r="A14" s="190" t="s">
        <v>1</v>
      </c>
      <c r="B14" s="191">
        <v>30</v>
      </c>
      <c r="C14" s="192"/>
      <c r="D14" s="193"/>
      <c r="E14" s="199"/>
    </row>
    <row r="15" spans="1:14">
      <c r="A15" s="187" t="s">
        <v>81</v>
      </c>
      <c r="B15" s="195">
        <v>30</v>
      </c>
      <c r="C15" s="196"/>
      <c r="D15" s="197"/>
      <c r="E15" s="198"/>
    </row>
    <row r="16" spans="1:14">
      <c r="A16" s="187" t="s">
        <v>82</v>
      </c>
      <c r="B16" s="195">
        <v>30</v>
      </c>
      <c r="C16" s="196"/>
      <c r="D16" s="197"/>
      <c r="E16" s="198"/>
    </row>
    <row r="17" spans="1:5">
      <c r="A17" s="187" t="s">
        <v>69</v>
      </c>
      <c r="B17" s="195">
        <v>30</v>
      </c>
      <c r="C17" s="196"/>
      <c r="D17" s="188"/>
      <c r="E17" s="198"/>
    </row>
    <row r="18" spans="1:5">
      <c r="A18" s="182"/>
      <c r="B18" s="182"/>
      <c r="C18" s="182"/>
      <c r="D18" s="182"/>
      <c r="E18" s="182"/>
    </row>
    <row r="19" spans="1:5">
      <c r="A19" s="372" t="s">
        <v>381</v>
      </c>
      <c r="B19" s="373"/>
      <c r="C19" s="373"/>
      <c r="D19" s="373"/>
      <c r="E19" s="374"/>
    </row>
    <row r="20" spans="1:5">
      <c r="A20" s="204"/>
      <c r="B20" s="209"/>
      <c r="C20" s="207" t="s">
        <v>371</v>
      </c>
      <c r="D20" s="204" t="s">
        <v>372</v>
      </c>
      <c r="E20" s="204" t="s">
        <v>293</v>
      </c>
    </row>
    <row r="21" spans="1:5">
      <c r="A21" s="187" t="s">
        <v>382</v>
      </c>
      <c r="B21" s="210"/>
      <c r="C21" s="188" t="s">
        <v>376</v>
      </c>
      <c r="D21" s="188"/>
      <c r="E21" s="188" t="e">
        <f>C21+D21</f>
        <v>#VALUE!</v>
      </c>
    </row>
    <row r="22" spans="1:5">
      <c r="A22" s="200">
        <v>83</v>
      </c>
      <c r="B22" s="210"/>
      <c r="C22" s="188"/>
      <c r="D22" s="197"/>
      <c r="E22" s="188">
        <f>C22+D22</f>
        <v>0</v>
      </c>
    </row>
    <row r="23" spans="1:5">
      <c r="A23" s="201"/>
      <c r="B23" s="201"/>
      <c r="C23" s="188" t="e">
        <f>C21+C22</f>
        <v>#VALUE!</v>
      </c>
      <c r="D23" s="188">
        <f>D21+D22</f>
        <v>0</v>
      </c>
      <c r="E23" s="189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29</vt:i4>
      </vt:variant>
      <vt:variant>
        <vt:lpstr>Именованные диапазоны</vt:lpstr>
      </vt:variant>
      <vt:variant>
        <vt:i4>31</vt:i4>
      </vt:variant>
    </vt:vector>
  </HeadingPairs>
  <TitlesOfParts>
    <vt:vector size="60" baseType="lpstr">
      <vt:lpstr>detail_report</vt:lpstr>
      <vt:lpstr>detail_report_2</vt:lpstr>
      <vt:lpstr>error_report</vt:lpstr>
      <vt:lpstr>correcting_report</vt:lpstr>
      <vt:lpstr>tax_retained_report</vt:lpstr>
      <vt:lpstr>dv_sr_detail_report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cmp_f2ndfl_pers</vt:lpstr>
      <vt:lpstr>Отчеты</vt:lpstr>
      <vt:lpstr>f2_amount_errors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2018-02-27T14:05:04Z</dcterms:modified>
</cp:coreProperties>
</file>