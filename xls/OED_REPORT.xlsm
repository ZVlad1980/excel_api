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<sst xmlns="http://schemas.openxmlformats.org/spreadsheetml/2006/main" count="1914" uniqueCount="602">
  <si>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</si>
  <si>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</si>
  <si>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</si>
  <si>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</si>
  <si>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</si>
  <si>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</si>
  <si>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</si>
  <si>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</si>
  <si>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</si>
  <si>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</si>
  <si>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</si>
  <si>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</si>
  <si>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</si>
  <si>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</si>
  <si>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</si>
  <si>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</si>
  <si>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</si>
  <si>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</si>
  <si>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</si>
  <si>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</si>
  <si>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</si>
  <si>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</si>
  <si>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</si>
  <si>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</si>
  <si>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</si>
  <si>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</si>
  <si>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</si>
  <si>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</si>
  <si>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</si>
  <si>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</si>
  <si>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</si>
  <si>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</si>
  <si>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</si>
  <si>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</si>
  <si>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</si>
  <si>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</si>
  <si>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</si>
  <si>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</si>
  <si>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</si>
  <si>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</si>
  <si>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</si>
  <si>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</si>
  <si>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</si>
  <si>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</si>
  <si>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</si>
  <si>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</si>
  <si>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</si>
  <si>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</si>
  <si>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</si>
  <si>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</si>
  <si>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</si>
  <si>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</si>
  <si>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</si>
  <si>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</si>
  <si>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</si>
  <si>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</si>
  <si>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</si>
  <si>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</si>
  <si>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</si>
  <si>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</si>
  <si>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</si>
  <si>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</si>
  <si>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</si>
  <si>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</si>
  <si>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</si>
  <si>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</si>
  <si>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</si>
  <si>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</si>
  <si>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</si>
  <si>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</si>
  <si>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</si>
  <si>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</si>
  <si>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</si>
  <si>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</si>
  <si>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</si>
  <si>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</si>
  <si>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</si>
  <si>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</si>
  <si>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</si>
  <si>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</si>
  <si>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</si>
  <si>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</si>
  <si>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</si>
  <si>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</si>
  <si>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</si>
  <si>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</si>
  <si>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</si>
  <si>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</si>
  <si>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</si>
  <si>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</si>
  <si>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</si>
  <si>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</si>
  <si>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</si>
  <si>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</si>
  <si>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</si>
  <si>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</si>
  <si>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</si>
  <si>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</si>
  <si>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</si>
  <si>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</si>
  <si>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</si>
  <si>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</si>
  <si>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</si>
  <si>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</si>
  <si>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</si>
  <si>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</si>
  <si>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</si>
  <si>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</si>
  <si>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</si>
  <si>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</si>
  <si>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</si>
  <si>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</si>
  <si>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</si>
  <si>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</si>
  <si>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</si>
  <si>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</si>
  <si>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</si>
  <si>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</si>
  <si>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</si>
  <si>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</si>
  <si>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</si>
  <si>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</si>
  <si>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</si>
  <si>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</si>
  <si>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</si>
  <si>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</si>
  <si>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</si>
  <si>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</si>
  <si>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</si>
  <si>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</si>
  <si>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</si>
  <si>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</si>
  <si>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</si>
  <si>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</si>
  <si>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</si>
  <si>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</si>
  <si>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</si>
  <si>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</si>
  <si>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</si>
  <si>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</si>
  <si>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</si>
  <si>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</si>
  <si>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</si>
  <si>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</si>
  <si>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</si>
  <si>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</si>
  <si>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</si>
  <si>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</si>
  <si>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</si>
  <si>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</si>
  <si>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</si>
  <si>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</si>
  <si>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</si>
  <si>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</si>
  <si>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</si>
  <si>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</si>
  <si>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</si>
  <si>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</si>
  <si>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</si>
  <si>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</si>
  <si>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</si>
  <si>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</si>
  <si>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</si>
  <si>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</si>
  <si>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</si>
  <si>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</si>
  <si>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</si>
  <si>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</si>
  <si>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</si>
  <si>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</si>
  <si>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</si>
  <si>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</si>
  <si>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</si>
  <si>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</si>
  <si>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</si>
  <si>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</si>
  <si>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</si>
  <si>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</si>
  <si>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</si>
  <si>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</si>
  <si>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</si>
  <si>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</si>
  <si>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</si>
  <si>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</si>
  <si>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</si>
  <si>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</si>
  <si>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</si>
  <si>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</si>
  <si>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</si>
  <si>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</si>
  <si>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</si>
  <si>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</si>
  <si>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</si>
  <si>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</si>
  <si>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</si>
  <si>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</si>
  <si>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</si>
  <si>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</si>
  <si>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</si>
  <si>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</si>
  <si>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</si>
  <si>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</si>
  <si>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</si>
  <si>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</si>
  <si>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</si>
  <si>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</si>
  <si>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</si>
  <si>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</si>
  <si>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</si>
  <si>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</si>
  <si>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</si>
  <si>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</si>
  <si>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</si>
  <si>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</si>
  <si>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</si>
  <si>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</si>
  <si>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</si>
  <si>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</si>
  <si>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</si>
  <si>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</si>
  <si>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</si>
  <si>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</si>
  <si>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</si>
  <si>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</si>
  <si>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</si>
  <si>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</si>
  <si>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</si>
  <si>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</si>
  <si>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</si>
  <si>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</si>
  <si>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</si>
  <si>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</si>
  <si>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</si>
  <si>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</si>
  <si>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</si>
  <si>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</si>
  <si>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</si>
  <si>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</si>
  <si>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</si>
  <si>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</si>
  <si>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</si>
  <si>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</si>
  <si>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</si>
  <si>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</si>
  <si>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</si>
  <si>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</si>
  <si>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</si>
  <si>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</si>
  <si>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</si>
  <si>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</si>
  <si>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</si>
  <si>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</si>
  <si>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</si>
  <si>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</si>
  <si>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</si>
  <si>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</si>
  <si>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</si>
  <si>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</si>
  <si>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</si>
  <si>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</si>
  <si>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</si>
  <si>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</si>
  <si>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</si>
  <si>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</si>
  <si>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</si>
  <si>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</si>
  <si>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</si>
  <si>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</si>
  <si>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</si>
  <si>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</si>
  <si>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</si>
  <si>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</si>
  <si>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</si>
  <si>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</si>
  <si>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</si>
  <si>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</si>
  <si>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</si>
  <si>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</si>
  <si>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</si>
  <si>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</si>
  <si>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</si>
  <si>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</si>
  <si>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</si>
  <si>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</si>
  <si>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</si>
  <si>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</si>
  <si>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</si>
  <si>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</si>
  <si>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</si>
  <si>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</si>
  <si>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</si>
  <si>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</si>
  <si>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</si>
  <si>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</si>
  <si>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</si>
  <si>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</si>
  <si>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</si>
  <si>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</si>
  <si>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</si>
  <si>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</si>
  <si>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</si>
  <si>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</si>
  <si>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</si>
  <si>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</si>
  <si>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</si>
  <si>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</si>
  <si>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</si>
  <si>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</si>
  <si>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</si>
  <si>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</si>
  <si>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</si>
  <si>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</si>
  <si>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</si>
  <si>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</si>
  <si>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</si>
  <si>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</si>
  <si>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</si>
  <si>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</si>
  <si>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</si>
  <si>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</si>
  <si>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</si>
  <si>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</si>
  <si>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</si>
  <si>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</si>
  <si>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</si>
  <si>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</si>
  <si>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</si>
  <si>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</si>
  <si>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</si>
  <si>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</si>
  <si>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</si>
  <si>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</si>
  <si>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</si>
  <si>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</si>
  <si>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</si>
  <si>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</si>
  <si>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</si>
  <si>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</si>
  <si>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</si>
  <si>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</si>
  <si>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</si>
  <si>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</si>
  <si>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</si>
  <si>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</si>
  <si>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</si>
  <si>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</si>
  <si>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</si>
  <si>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</si>
  <si>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</si>
  <si>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</si>
  <si>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</si>
  <si>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</si>
  <si>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</si>
  <si>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</si>
  <si>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</si>
  <si>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</si>
  <si>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</si>
  <si>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</si>
  <si>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</si>
  <si>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</si>
  <si>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</si>
  <si>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</si>
  <si>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</si>
  <si>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</si>
  <si>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</si>
  <si>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</si>
  <si>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</si>
  <si>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</si>
  <si>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</si>
  <si>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</si>
  <si>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</si>
  <si>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</si>
  <si>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</si>
  <si>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</si>
  <si>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</si>
  <si>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</si>
  <si>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</si>
  <si>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</si>
  <si>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</si>
  <si>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</si>
  <si>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</si>
  <si>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</si>
  <si>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</si>
  <si>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</si>
  <si>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</si>
  <si>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</si>
  <si>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</si>
  <si>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</si>
  <si>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</si>
  <si>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</si>
  <si>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</si>
  <si>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</si>
  <si>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</si>
  <si>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</si>
  <si>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</si>
  <si>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</si>
  <si>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</si>
  <si>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</si>
  <si>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</si>
  <si>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</si>
  <si>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</si>
  <si>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</si>
  <si>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</si>
  <si>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</si>
  <si>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</si>
  <si>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</si>
  <si>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</si>
  <si>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</si>
  <si>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</si>
  <si>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</si>
  <si>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</si>
  <si>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</si>
  <si>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</si>
  <si>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</si>
  <si>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</si>
  <si>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</si>
  <si>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</si>
  <si>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</si>
  <si>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</si>
  <si>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</si>
  <si>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</si>
  <si>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</si>
  <si>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</si>
  <si>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</si>
  <si>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</si>
  <si>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</si>
  <si>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</si>
  <si>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</si>
  <si>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</si>
  <si>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</si>
  <si>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</si>
  <si>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</si>
  <si>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</si>
  <si>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</si>
  <si>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</si>
  <si>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</si>
  <si>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</si>
  <si>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</si>
  <si>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</si>
  <si>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</si>
  <si>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</si>
  <si>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</si>
  <si>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</si>
  <si>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</si>
  <si>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</si>
  <si>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</si>
  <si>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</si>
  <si>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</si>
  <si>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</si>
  <si>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</si>
  <si>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</si>
  <si>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</si>
  <si>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</si>
  <si>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</si>
  <si>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</si>
  <si>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</si>
  <si>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</si>
  <si>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</si>
  <si>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</si>
  <si>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</si>
  <si>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</si>
  <si>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</si>
  <si>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</si>
  <si>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</si>
  <si>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</si>
  <si>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</si>
  <si>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</si>
  <si>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</si>
  <si>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</si>
  <si>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</si>
  <si>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</si>
  <si>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</si>
  <si>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</si>
  <si>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</si>
  <si>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</si>
  <si>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</si>
  <si>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</si>
  <si>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</si>
  <si>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</si>
  <si>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</si>
  <si>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</si>
  <si>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</si>
  <si>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</si>
  <si>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</si>
  <si>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</si>
  <si>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</si>
  <si>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</si>
  <si>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</si>
  <si>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</si>
  <si>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</si>
  <si>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</si>
  <si>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</si>
  <si>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</si>
  <si>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</si>
  <si>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</si>
  <si>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</si>
  <si>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</si>
  <si>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</si>
  <si>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</si>
  <si>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</si>
  <si>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</si>
  <si>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</si>
  <si>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</si>
  <si>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</si>
  <si>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</si>
  <si>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</si>
  <si>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</si>
  <si>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</si>
  <si>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</si>
  <si>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</si>
  <si>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</si>
  <si>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</si>
  <si>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</si>
  <si>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</si>
  <si>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</si>
  <si>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</si>
  <si>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</si>
  <si>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</si>
  <si>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</si>
  <si>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</si>
  <si>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</si>
  <si>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</si>
  <si>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</si>
  <si>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</si>
  <si>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</si>
  <si>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</si>
  <si>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</si>
  <si>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</si>
  <si>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</si>
  <si>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</si>
  <si>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</si>
  <si>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</si>
  <si>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</si>
  <si>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</si>
  <si>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</si>
  <si>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</si>
  <si>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</si>
  <si>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</si>
  <si>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</si>
  <si>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</si>
  <si>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</si>
  <si>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</si>
  <si>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</si>
  <si>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</si>
  <si>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</si>
  <si>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</si>
  <si>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</si>
  <si>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</si>
  <si>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</si>
  <si>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</si>
  <si>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</si>
  <si>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</si>
  <si>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</si>
  <si>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</si>
  <si>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</si>
  <si>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</si>
  <si>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</si>
  <si>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</si>
  <si>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</si>
  <si>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</si>
  <si>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</si>
  <si>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</si>
  <si>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</si>
  <si>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</si>
  <si>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</si>
  <si>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</si>
  <si>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</si>
  <si>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</si>
  <si>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</si>
  <si>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</si>
  <si>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</si>
  <si>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</si>
  <si>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</si>
  <si>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01.01.2018</t>
  </si>
  <si>
    <t>31.01.2018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</si>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</sst>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scheme val="minor"/>
    </font>
    <font>
      <b/>
      <sz val="10"/>
      <color theme="4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1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4" dataDxfId="662" headerRowBorderDxfId="663" tableBorderDxfId="661" totalsRowBorderDxfId="660">
  <autoFilter ref="A4:J5"/>
  <tableColumns count="10">
    <tableColumn id="1" name="1" dataDxfId="659"/>
    <tableColumn id="2" name="2" dataDxfId="658"/>
    <tableColumn id="5" name="3" dataDxfId="657"/>
    <tableColumn id="6" name="4" dataDxfId="656"/>
    <tableColumn id="7" name="5" dataDxfId="655"/>
    <tableColumn id="10" name="6" dataDxfId="654"/>
    <tableColumn id="11" name="7" dataDxfId="653"/>
    <tableColumn id="12" name="8" dataDxfId="652"/>
    <tableColumn id="13" name="9" dataDxfId="651"/>
    <tableColumn id="14" name="10" dataDxfId="6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49" dataDxfId="647" headerRowBorderDxfId="648" tableBorderDxfId="646" totalsRowBorderDxfId="645">
  <autoFilter ref="A5:P6"/>
  <tableColumns count="16">
    <tableColumn id="1" name="1" dataDxfId="644"/>
    <tableColumn id="2" name="2" dataDxfId="643"/>
    <tableColumn id="3" name="3" dataDxfId="642"/>
    <tableColumn id="4" name="4" dataDxfId="641"/>
    <tableColumn id="5" name="5" dataDxfId="640"/>
    <tableColumn id="6" name="6" dataDxfId="639"/>
    <tableColumn id="7" name="7" dataDxfId="638"/>
    <tableColumn id="8" name="8" dataDxfId="637"/>
    <tableColumn id="9" name="9" dataDxfId="636"/>
    <tableColumn id="10" name="10" dataDxfId="635"/>
    <tableColumn id="11" name="11" dataDxfId="634"/>
    <tableColumn id="12" name="12" dataDxfId="633"/>
    <tableColumn id="13" name="13" dataDxfId="632"/>
    <tableColumn id="14" name="14" dataDxfId="631"/>
    <tableColumn id="15" name="15" dataDxfId="630"/>
    <tableColumn id="16" name="16" dataDxfId="6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28" dataDxfId="626" headerRowBorderDxfId="627" tableBorderDxfId="625" totalsRowBorderDxfId="624">
  <autoFilter ref="A3:I4">
    <filterColumn colId="1"/>
  </autoFilter>
  <tableColumns count="9">
    <tableColumn id="1" name="1" dataDxfId="623"/>
    <tableColumn id="3" name="2" dataDxfId="622"/>
    <tableColumn id="2" name="3" dataDxfId="621"/>
    <tableColumn id="5" name="4" dataDxfId="620"/>
    <tableColumn id="6" name="5" dataDxfId="619"/>
    <tableColumn id="7" name="6" dataDxfId="618"/>
    <tableColumn id="10" name="7" dataDxfId="617"/>
    <tableColumn id="11" name="8" dataDxfId="616"/>
    <tableColumn id="12" name="9" dataDxfId="6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4" dataDxfId="612" headerRowBorderDxfId="613" tableBorderDxfId="611" totalsRowBorderDxfId="610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09"/>
    <tableColumn id="20" name="2" dataDxfId="608"/>
    <tableColumn id="19" name="3" dataDxfId="607"/>
    <tableColumn id="18" name="4" dataDxfId="606"/>
    <tableColumn id="17" name="5" dataDxfId="605"/>
    <tableColumn id="23" name="6" dataDxfId="604"/>
    <tableColumn id="22" name="7" dataDxfId="603"/>
    <tableColumn id="21" name="8" dataDxfId="602"/>
    <tableColumn id="28" name="9" dataDxfId="601"/>
    <tableColumn id="29" name="10" dataDxfId="600"/>
    <tableColumn id="27" name="11" dataDxfId="599"/>
    <tableColumn id="26" name="12" dataDxfId="598"/>
    <tableColumn id="25" name="13" dataDxfId="597"/>
    <tableColumn id="5" name="14" dataDxfId="596"/>
    <tableColumn id="4" name="15" dataDxfId="595"/>
    <tableColumn id="3" name="16" dataDxfId="594"/>
    <tableColumn id="2" name="17" dataDxfId="593"/>
    <tableColumn id="24" name="18" dataDxfId="5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0" totalsRowDxfId="589">
  <tableColumns count="3">
    <tableColumn id="1" name="ВИД ВЫПЛАТЫ" totalsRowLabel="Итого" dataDxfId="588" totalsRowDxfId="587" dataCellStyle="Обычный 5"/>
    <tableColumn id="2" name="13%" totalsRowFunction="sum" dataDxfId="586" totalsRowDxfId="585" dataCellStyle="Обычный 5"/>
    <tableColumn id="3" name="30%" totalsRowFunction="sum" dataDxfId="584" totalsRowDxfId="583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2" dataDxfId="580" headerRowBorderDxfId="581" headerRowCellStyle="Обычный 5" dataCellStyle="Обычный 5">
  <tableColumns count="4">
    <tableColumn id="1" name="Сумма по ставкам" totalsRowFunction="sum" dataDxfId="579" totalsRowDxfId="578" dataCellStyle="Обычный 5"/>
    <tableColumn id="2" name="13%" dataDxfId="577" totalsRowDxfId="576" dataCellStyle="Обычный 5">
      <calculatedColumnFormula>B31+#REF!-Таблица42[[#This Row],[13%]]</calculatedColumnFormula>
    </tableColumn>
    <tableColumn id="3" name="30%" dataDxfId="575" totalsRowDxfId="574" dataCellStyle="Обычный 5"/>
    <tableColumn id="4" name="Расхождение по ставкам" dataDxfId="573" totalsRowDxfId="57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1" totalsRowDxfId="569" headerRowBorderDxfId="570" headerRowCellStyle="Обычный 5">
  <tableColumns count="8">
    <tableColumn id="1" name="ВИД ВЫПЛАТЫ" totalsRowLabel="Итого по ставке" dataDxfId="568" totalsRowDxfId="567" dataCellStyle="Обычный 5"/>
    <tableColumn id="2" name="13%" totalsRowFunction="sum" dataDxfId="566" totalsRowDxfId="565" dataCellStyle="Обычный 5"/>
    <tableColumn id="3" name="30%" totalsRowFunction="sum" dataDxfId="564" totalsRowDxfId="563" dataCellStyle="Обычный 5"/>
    <tableColumn id="4" name="Столбец1" totalsRowDxfId="562" dataCellStyle="Обычный 5"/>
    <tableColumn id="5" name="без исправлений" dataDxfId="561" totalsRowDxfId="560" dataCellStyle="Обычный 5"/>
    <tableColumn id="6" name="с корректоровкой" dataDxfId="559" totalsRowDxfId="558" dataCellStyle="Обычный 5"/>
    <tableColumn id="7" name="без исправлений2" dataDxfId="557" totalsRowDxfId="556" dataCellStyle="Обычный 5"/>
    <tableColumn id="8" name="с корректоровкой3" dataDxfId="555" totalsRowDxfId="554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4" dataDxfId="53">
  <autoFilter ref="A3:I4">
    <filterColumn colId="4"/>
    <filterColumn colId="7"/>
  </autoFilter>
  <tableColumns count="9">
    <tableColumn id="2" name="GF_PERSON" dataDxfId="52"/>
    <tableColumn id="3" name="SSYLKA" dataDxfId="59"/>
    <tableColumn id="4" name="NOM_IPS" dataDxfId="58"/>
    <tableColumn id="5" name="NOM_VKL" dataDxfId="57"/>
    <tableColumn id="10" name="ФИО" dataDxfId="56"/>
    <tableColumn id="6" name="SHIFR_SCHET" dataDxfId="55"/>
    <tableColumn id="7" name="Нераспределенная сумма" dataDxfId="51"/>
    <tableColumn id="9" name="Сумма по счету" dataDxfId="50"/>
    <tableColumn id="8" name="Сумма по кодам" dataDxfId="4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53" dataDxfId="552">
  <autoFilter ref="A4:J5">
    <filterColumn colId="4"/>
    <filterColumn colId="6"/>
  </autoFilter>
  <tableColumns count="10">
    <tableColumn id="2" name="GF_PERSON" dataDxfId="551"/>
    <tableColumn id="3" name="SSYLKA" dataDxfId="550"/>
    <tableColumn id="4" name="NOM_IPS" dataDxfId="549"/>
    <tableColumn id="5" name="NOM_VKL" dataDxfId="548"/>
    <tableColumn id="10" name="ФИО" dataDxfId="547"/>
    <tableColumn id="6" name="SHIFR_SCHET" dataDxfId="546"/>
    <tableColumn id="1" name="Код вычета" dataDxfId="545"/>
    <tableColumn id="7" name="Детализация" dataDxfId="544"/>
    <tableColumn id="8" name="2НДФЛ" dataDxfId="543"/>
    <tableColumn id="9" name="Остаток на счете" dataDxfId="54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41" dataDxfId="540">
  <autoFilter ref="A7:L8">
    <filterColumn colId="4"/>
    <filterColumn colId="11"/>
  </autoFilter>
  <tableColumns count="12">
    <tableColumn id="2" name="SSYLKA_FL" dataDxfId="539"/>
    <tableColumn id="3" name="NOM_VKL" dataDxfId="538"/>
    <tableColumn id="4" name="NOM_IPS" dataDxfId="537"/>
    <tableColumn id="5" name="Дата операции" dataDxfId="536"/>
    <tableColumn id="7" name="Дата документа" dataDxfId="535"/>
    <tableColumn id="6" name="Тип дохода" dataDxfId="534"/>
    <tableColumn id="8" name="Вычет" dataDxfId="533"/>
    <tableColumn id="9" name="Доход" dataDxfId="532"/>
    <tableColumn id="10" name="Налог" dataDxfId="531"/>
    <tableColumn id="11" name="№ документа" dataDxfId="530"/>
    <tableColumn id="12" name="№ корректируемого документа" dataDxfId="529"/>
    <tableColumn id="13" name="Ставка налога" dataDxfId="52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27" dataDxfId="526">
  <autoFilter ref="A12:L13"/>
  <tableColumns count="12">
    <tableColumn id="2" name="SSYLKA_FL" dataDxfId="525"/>
    <tableColumn id="3" name="NOM_VKL" dataDxfId="524"/>
    <tableColumn id="4" name="NOM_IPS" dataDxfId="523"/>
    <tableColumn id="5" name="Дата" dataDxfId="522"/>
    <tableColumn id="6" name="Тип дохода" dataDxfId="521"/>
    <tableColumn id="7" name="Тип операции" dataDxfId="520"/>
    <tableColumn id="8" name="Счет" dataDxfId="519"/>
    <tableColumn id="9" name="Субсчет" dataDxfId="518"/>
    <tableColumn id="10" name="Сумма" dataDxfId="517"/>
    <tableColumn id="11" name="№ документа" dataDxfId="516"/>
    <tableColumn id="12" name="№ корректирующего документа" dataDxfId="515"/>
    <tableColumn id="13" name="Ставка налога" dataDxfId="51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13" dataDxfId="511" headerRowBorderDxfId="512" tableBorderDxfId="510" totalsRowBorderDxfId="509">
  <autoFilter ref="A2:L3">
    <filterColumn colId="9"/>
    <filterColumn colId="10"/>
    <filterColumn colId="11"/>
  </autoFilter>
  <tableColumns count="12">
    <tableColumn id="1" name="Ssylka" dataDxfId="508"/>
    <tableColumn id="2" name="nom_vkl" dataDxfId="507"/>
    <tableColumn id="3" name="nom_ips" dataDxfId="506"/>
    <tableColumn id="4" name="ФИО" dataDxfId="505"/>
    <tableColumn id="5" name="Бух.счет" dataDxfId="504"/>
    <tableColumn id="6" name="Код вычета" dataDxfId="503"/>
    <tableColumn id="7" name="Период с" dataDxfId="502"/>
    <tableColumn id="8" name="Период по" dataDxfId="501"/>
    <tableColumn id="9" name="Период с_x000a_(БИТ)" dataDxfId="500"/>
    <tableColumn id="10" name="Период по_x000a_(БИТ)" dataDxfId="499"/>
    <tableColumn id="11" name="Сумма" dataDxfId="498"/>
    <tableColumn id="12" name="Применение вычета в движении" dataDxfId="4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96" dataDxfId="494" headerRowBorderDxfId="495" tableBorderDxfId="493" totalsRowBorderDxfId="492">
  <autoFilter ref="A2:K3">
    <filterColumn colId="9"/>
    <filterColumn colId="10"/>
  </autoFilter>
  <tableColumns count="11">
    <tableColumn id="1" name="Ssylka" dataDxfId="491"/>
    <tableColumn id="2" name="nom_vkl" dataDxfId="490"/>
    <tableColumn id="3" name="nom_ips" dataDxfId="489"/>
    <tableColumn id="4" name="ФИО" dataDxfId="488"/>
    <tableColumn id="5" name="Бух.счет" dataDxfId="487"/>
    <tableColumn id="6" name="Код вычета" dataDxfId="486"/>
    <tableColumn id="7" name="Период с" dataDxfId="485"/>
    <tableColumn id="8" name="Период по" dataDxfId="484"/>
    <tableColumn id="9" name="Сумма по движению" dataDxfId="483"/>
    <tableColumn id="10" name="Расчетная сумма по БИТ" dataDxfId="482"/>
    <tableColumn id="11" name="Расчетная сумма по БИТ_x000a_по счету" dataDxfId="48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80" dataDxfId="478" headerRowBorderDxfId="479" tableBorderDxfId="477" totalsRowBorderDxfId="476">
  <autoFilter ref="A2:K3">
    <filterColumn colId="9"/>
    <filterColumn colId="10"/>
  </autoFilter>
  <tableColumns count="11">
    <tableColumn id="1" name="Ssylka" dataDxfId="475"/>
    <tableColumn id="2" name="nom_vkl" dataDxfId="474"/>
    <tableColumn id="3" name="nom_ips" dataDxfId="473"/>
    <tableColumn id="4" name="ФИО" dataDxfId="472"/>
    <tableColumn id="5" name="Тип дохода" dataDxfId="471"/>
    <tableColumn id="6" name="Месяц" dataDxfId="470"/>
    <tableColumn id="7" name="Shifr_schet" dataDxfId="469"/>
    <tableColumn id="8" name="Код вычета_x000a_(ручн)" dataDxfId="468"/>
    <tableColumn id="9" name="Сумма вычета" dataDxfId="467"/>
    <tableColumn id="10" name="Наличие записей в SP_OGR_PV" dataDxfId="466"/>
    <tableColumn id="11" name="Наличие записей в BIT" dataDxfId="4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64" dataDxfId="462" headerRowBorderDxfId="463" tableBorderDxfId="461" totalsRowBorderDxfId="460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59"/>
    <tableColumn id="2" name="Ошибка" dataDxfId="458"/>
    <tableColumn id="3" name="ИД контрагента" dataDxfId="457"/>
    <tableColumn id="4" name="Фамилия" dataDxfId="456"/>
    <tableColumn id="5" name="Имя" dataDxfId="455"/>
    <tableColumn id="6" name="Отчество" dataDxfId="454"/>
    <tableColumn id="7" name="Дата рождения" dataDxfId="453"/>
    <tableColumn id="8" name="ИНН" dataDxfId="452"/>
    <tableColumn id="9" name="Гражданство" dataDxfId="451"/>
    <tableColumn id="10" name="Резидент" dataDxfId="450"/>
    <tableColumn id="11" name="Код УЛ" dataDxfId="449"/>
    <tableColumn id="12" name="Серия и номер УЛ" dataDxfId="448"/>
    <tableColumn id="13" name="№ справки" dataDxfId="447"/>
    <tableColumn id="19" name="ИНН2" dataDxfId="446"/>
    <tableColumn id="14" name="Гражданство2" dataDxfId="445"/>
    <tableColumn id="15" name="Резидент2" dataDxfId="444"/>
    <tableColumn id="16" name="Код УЛ2" dataDxfId="443"/>
    <tableColumn id="17" name="Серия и номер УЛ3" dataDxfId="44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41" dataDxfId="439" headerRowBorderDxfId="440" tableBorderDxfId="438" totalsRowBorderDxfId="43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36"/>
    <tableColumn id="14" name="Имя файла" dataDxfId="435"/>
    <tableColumn id="1" name="Количество справок" dataDxfId="434"/>
    <tableColumn id="16" name="Фамилия с" dataDxfId="433"/>
    <tableColumn id="17" name="Фамилия по" dataDxfId="432"/>
    <tableColumn id="2" name="№ справки с" dataDxfId="431"/>
    <tableColumn id="3" name="№ справки по" dataDxfId="430"/>
    <tableColumn id="25" name="Признак справки" dataDxfId="42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28" headerRowBorderDxfId="427" tableBorderDxfId="426" totalsRowBorderDxfId="425">
  <autoFilter ref="A7:G8"/>
  <tableColumns count="7">
    <tableColumn id="1" name="№_x000a_справки" totalsRowLabel="Итог" dataDxfId="424" totalsRowDxfId="423"/>
    <tableColumn id="2" name="Фамилия" dataDxfId="422" totalsRowDxfId="421"/>
    <tableColumn id="3" name="UI_PERSON" dataDxfId="420" totalsRowDxfId="419"/>
    <tableColumn id="4" name="Резидент" dataDxfId="418" totalsRowDxfId="417"/>
    <tableColumn id="5" name="Гражданство" dataDxfId="416" totalsRowDxfId="415"/>
    <tableColumn id="6" name="Задолженность" totalsRowFunction="sum" dataDxfId="414" totalsRowDxfId="413"/>
    <tableColumn id="7" name="Коррекция №" totalsRowFunction="count" dataDxfId="412" totalsRowDxfId="4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10" dataDxfId="409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08"/>
    <tableColumn id="14" name="2" dataDxfId="407"/>
    <tableColumn id="1" name="3" dataDxfId="406"/>
    <tableColumn id="16" name="4" dataDxfId="405"/>
    <tableColumn id="17" name="5" dataDxfId="404"/>
    <tableColumn id="2" name="6" dataDxfId="403"/>
    <tableColumn id="3" name="7" dataDxfId="402"/>
    <tableColumn id="25" name="8" dataDxfId="401"/>
    <tableColumn id="18" name="9" dataDxfId="400"/>
    <tableColumn id="19" name="10" dataDxfId="399"/>
    <tableColumn id="20" name="11" dataDxfId="398"/>
    <tableColumn id="21" name="12" dataDxfId="397"/>
    <tableColumn id="22" name="13" dataDxfId="396"/>
    <tableColumn id="23" name="14" dataDxfId="395"/>
    <tableColumn id="24" name="15" dataDxfId="394"/>
    <tableColumn id="26" name="16" dataDxfId="393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92" dataDxfId="390" totalsRowDxfId="388" headerRowBorderDxfId="391" tableBorderDxfId="389">
  <autoFilter ref="A2:I3"/>
  <tableColumns count="9">
    <tableColumn id="1" name="Таблица" totalsRowLabel="Итог" dataDxfId="387" totalsRowDxfId="386"/>
    <tableColumn id="3" name="SSYLKA" dataDxfId="385" totalsRowDxfId="384"/>
    <tableColumn id="4" name="Тип дохода" dataDxfId="383" totalsRowDxfId="382"/>
    <tableColumn id="5" name="Фамилия" dataDxfId="381" totalsRowDxfId="380"/>
    <tableColumn id="6" name="Имя" dataDxfId="379" totalsRowDxfId="378"/>
    <tableColumn id="8" name="Отчество" dataDxfId="377" totalsRowDxfId="376"/>
    <tableColumn id="9" name="ДР" dataDxfId="375" totalsRowDxfId="374"/>
    <tableColumn id="10" name="SSYLKA_REAL" dataDxfId="373" totalsRowDxfId="372"/>
    <tableColumn id="11" name="UI_PERSON" dataDxfId="371" totalsRowDxfId="37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48" tableBorderDxfId="26">
  <autoFilter ref="A2:G3"/>
  <tableColumns count="7">
    <tableColumn id="1" name="gf_person" dataDxfId="25"/>
    <tableColumn id="2" name="FND_x000a_SSYLKA" dataDxfId="24"/>
    <tableColumn id="3" name="NOM_VKL" dataDxfId="23"/>
    <tableColumn id="4" name="NOM_IPS" dataDxfId="22"/>
    <tableColumn id="6" name="ФИО" dataDxfId="21"/>
    <tableColumn id="7" name="Дата_x000a_рождения" dataDxfId="20"/>
    <tableColumn id="8" name="Гражданство" dataDxfId="19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47">
  <autoFilter ref="A6:I7">
    <filterColumn colId="0"/>
    <filterColumn colId="7"/>
    <filterColumn colId="8"/>
  </autoFilter>
  <tableColumns count="9">
    <tableColumn id="1" name="Дата регистрации" dataDxfId="33"/>
    <tableColumn id="2" name="Период с" dataDxfId="32"/>
    <tableColumn id="3" name="Период по" dataDxfId="31"/>
    <tableColumn id="4" name="Код вычета" dataDxfId="30"/>
    <tableColumn id="6" name="Сумма" dataDxfId="4"/>
    <tableColumn id="7" name="Описание" dataDxfId="29"/>
    <tableColumn id="8" name="Лимит дохода" dataDxfId="3"/>
    <tableColumn id="5" name="tdappid" dataDxfId="28"/>
    <tableColumn id="9" name="rid" dataDxfId="27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41">
  <autoFilter ref="A10:G11">
    <filterColumn colId="5"/>
    <filterColumn colId="6"/>
  </autoFilter>
  <tableColumns count="7">
    <tableColumn id="2" name="Период с" dataDxfId="46"/>
    <tableColumn id="3" name="Период по" dataDxfId="45"/>
    <tableColumn id="4" name="Shifr_schet" dataDxfId="44"/>
    <tableColumn id="7" name="Описваание" dataDxfId="17"/>
    <tableColumn id="8" name="Описание" dataDxfId="18"/>
    <tableColumn id="5" name="tdappid" dataDxfId="43"/>
    <tableColumn id="9" name="rid" dataDxfId="4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4">
  <autoFilter ref="A14:G15">
    <filterColumn colId="6"/>
  </autoFilter>
  <tableColumns count="7">
    <tableColumn id="1" name="Дата операции" dataDxfId="40"/>
    <tableColumn id="2" name="Тип движения" dataDxfId="39"/>
    <tableColumn id="3" name="SHIFR_SCHET" dataDxfId="38"/>
    <tableColumn id="4" name="Сумма" dataDxfId="2"/>
    <tableColumn id="6" name="Документ" dataDxfId="37"/>
    <tableColumn id="7" name="Корректирующий документ" dataDxfId="36"/>
    <tableColumn id="10" name="Субсчет" dataDxfId="35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16">
  <autoFilter ref="A19:D20"/>
  <tableColumns count="4">
    <tableColumn id="1" name="Дата операции" dataDxfId="15"/>
    <tableColumn id="2" name="SHIFR_SCHET" dataDxfId="14"/>
    <tableColumn id="3" name="Код вычета" dataDxfId="13"/>
    <tableColumn id="4" name="Сумма" dataDxfId="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5" dataDxfId="6" headerRowBorderDxfId="11" tableBorderDxfId="12">
  <autoFilter ref="A23:E24"/>
  <tableColumns count="5">
    <tableColumn id="1" name="Тип дохода" dataDxfId="10"/>
    <tableColumn id="2" name="Месяц" dataDxfId="9"/>
    <tableColumn id="3" name="Код вычета" dataDxfId="8"/>
    <tableColumn id="4" name="Сумма" dataDxfId="0"/>
    <tableColumn id="5" name="Номер корректировки" dataDxfId="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69" tableBorderDxfId="368" totalsRowBorderDxfId="367">
  <autoFilter ref="A2:B16"/>
  <tableColumns count="2">
    <tableColumn id="1" name="Key" totalsRowLabel="Итог" totalsRowDxfId="366"/>
    <tableColumn id="2" name="Value" totalsRowFunction="count" totalsRowDxfId="36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6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4" totalsRowShown="0">
  <autoFilter ref="AF2:AL34">
    <filterColumn colId="5"/>
    <filterColumn colId="6"/>
  </autoFilter>
  <tableColumns count="7">
    <tableColumn id="1" name="Program" dataDxfId="36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350" dataDxfId="349">
  <autoFilter ref="A6:O7">
    <filterColumn colId="0"/>
    <filterColumn colId="9"/>
    <filterColumn colId="10"/>
    <filterColumn colId="11"/>
    <filterColumn colId="12"/>
  </autoFilter>
  <tableColumns count="15">
    <tableColumn id="21" name="1" dataDxfId="348" totalsRowDxfId="347"/>
    <tableColumn id="1" name="2" totalsRowLabel="Итог" dataDxfId="346" totalsRowDxfId="345"/>
    <tableColumn id="3" name="3" dataDxfId="344" totalsRowDxfId="343"/>
    <tableColumn id="4" name="4" dataDxfId="342" totalsRowDxfId="341"/>
    <tableColumn id="6" name="6" dataDxfId="340" totalsRowDxfId="339"/>
    <tableColumn id="8" name="7" dataDxfId="338" totalsRowDxfId="337"/>
    <tableColumn id="9" name="8" dataDxfId="336" totalsRowDxfId="335"/>
    <tableColumn id="10" name="9" dataDxfId="334" totalsRowDxfId="333"/>
    <tableColumn id="11" name="10" dataDxfId="332" totalsRowDxfId="331"/>
    <tableColumn id="17" name="11" dataDxfId="330" totalsRowDxfId="329"/>
    <tableColumn id="16" name="12" dataDxfId="328" totalsRowDxfId="327"/>
    <tableColumn id="7" name="13" dataDxfId="326" totalsRowDxfId="325"/>
    <tableColumn id="2" name="14" dataDxfId="324" totalsRowDxfId="323"/>
    <tableColumn id="14" name="15" dataDxfId="322" totalsRowDxfId="321"/>
    <tableColumn id="12" name="16" dataDxfId="320" totalsRowDxfId="31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318" dataDxfId="317">
  <autoFilter ref="A14:O15"/>
  <tableColumns count="15">
    <tableColumn id="21" name="1" dataDxfId="316" totalsRowDxfId="315"/>
    <tableColumn id="1" name="2" totalsRowLabel="Итог" dataDxfId="314" totalsRowDxfId="313"/>
    <tableColumn id="3" name="3" dataDxfId="312" totalsRowDxfId="311"/>
    <tableColumn id="4" name="4" dataDxfId="310" totalsRowDxfId="309"/>
    <tableColumn id="6" name="6" dataDxfId="308" totalsRowDxfId="307"/>
    <tableColumn id="8" name="7" dataDxfId="306" totalsRowDxfId="305"/>
    <tableColumn id="9" name="8" dataDxfId="304" totalsRowDxfId="303"/>
    <tableColumn id="10" name="9" dataDxfId="302" totalsRowDxfId="301"/>
    <tableColumn id="11" name="10" dataDxfId="300" totalsRowDxfId="299"/>
    <tableColumn id="17" name="11" dataDxfId="298" totalsRowDxfId="297"/>
    <tableColumn id="16" name="12" dataDxfId="296" totalsRowDxfId="295"/>
    <tableColumn id="7" name="13" dataDxfId="294" totalsRowDxfId="293"/>
    <tableColumn id="2" name="14" dataDxfId="292" totalsRowDxfId="291"/>
    <tableColumn id="14" name="15" dataDxfId="290" totalsRowDxfId="289"/>
    <tableColumn id="12" name="16" dataDxfId="288" totalsRowDxfId="28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86" dataDxfId="285">
  <autoFilter ref="A22:O23"/>
  <tableColumns count="15">
    <tableColumn id="21" name="1" dataDxfId="284" totalsRowDxfId="283"/>
    <tableColumn id="1" name="2" totalsRowLabel="Итог" dataDxfId="282" totalsRowDxfId="281"/>
    <tableColumn id="3" name="3" dataDxfId="280" totalsRowDxfId="279"/>
    <tableColumn id="4" name="4" dataDxfId="278" totalsRowDxfId="277"/>
    <tableColumn id="6" name="6" dataDxfId="276" totalsRowDxfId="275"/>
    <tableColumn id="8" name="7" dataDxfId="274" totalsRowDxfId="273"/>
    <tableColumn id="9" name="8" dataDxfId="272" totalsRowDxfId="271"/>
    <tableColumn id="10" name="9" dataDxfId="270" totalsRowDxfId="269"/>
    <tableColumn id="11" name="10" dataDxfId="268" totalsRowDxfId="267"/>
    <tableColumn id="17" name="11" dataDxfId="266" totalsRowDxfId="265"/>
    <tableColumn id="16" name="12" dataDxfId="264" totalsRowDxfId="263"/>
    <tableColumn id="7" name="13" dataDxfId="262" totalsRowDxfId="261"/>
    <tableColumn id="2" name="14" dataDxfId="260" totalsRowDxfId="259"/>
    <tableColumn id="14" name="15" dataDxfId="258" totalsRowDxfId="257"/>
    <tableColumn id="12" name="16" dataDxfId="256" totalsRowDxfId="255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254" dataDxfId="253" tableBorderDxfId="252">
  <tableColumns count="1">
    <tableColumn id="1" name="Столбец1" dataDxfId="251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250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49"/>
    <tableColumn id="20" name="ID справки" dataDxfId="248"/>
    <tableColumn id="15" name="№ справки" dataDxfId="247"/>
    <tableColumn id="16" name="№ коррекции" dataDxfId="246"/>
    <tableColumn id="1" name="GF_PERSON" dataDxfId="245"/>
    <tableColumn id="2" name="FND_x000a_SSYLKA" dataDxfId="244"/>
    <tableColumn id="17" name="NOM_VKL" dataDxfId="243"/>
    <tableColumn id="18" name="NOM_IPS" dataDxfId="242"/>
    <tableColumn id="4" name="Показатель" dataDxfId="241"/>
    <tableColumn id="5" name="Код показателя" dataDxfId="240"/>
    <tableColumn id="6" name="Сумма" dataDxfId="239"/>
    <tableColumn id="21" name="Месяц" dataDxfId="238"/>
    <tableColumn id="22" name="ФИО" dataDxfId="237"/>
    <tableColumn id="7" name="Описание" dataDxfId="236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L5" totalsRowShown="0" headerRowDxfId="235" dataDxfId="233" headerRowBorderDxfId="234" tableBorderDxfId="232" totalsRowBorderDxfId="231">
  <autoFilter ref="A4:L5">
    <filterColumn colId="1"/>
    <filterColumn colId="8"/>
    <filterColumn colId="9"/>
    <filterColumn colId="10"/>
    <filterColumn colId="11"/>
  </autoFilter>
  <tableColumns count="12">
    <tableColumn id="5" name="1" dataDxfId="230"/>
    <tableColumn id="3" name="2" dataDxfId="229"/>
    <tableColumn id="2" name="3" dataDxfId="228"/>
    <tableColumn id="6" name="4" dataDxfId="227"/>
    <tableColumn id="7" name="5" dataDxfId="226"/>
    <tableColumn id="10" name="6" dataDxfId="225"/>
    <tableColumn id="11" name="7" dataDxfId="224"/>
    <tableColumn id="12" name="8" dataDxfId="223"/>
    <tableColumn id="1" name="9" dataDxfId="222"/>
    <tableColumn id="4" name="10" dataDxfId="221"/>
    <tableColumn id="9" name="12" dataDxfId="220"/>
    <tableColumn id="8" name="11" dataDxfId="21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218" headerRowBorderDxfId="217" tableBorderDxfId="216" headerRowCellStyle="Обычный 4">
  <autoFilter ref="B6:D7"/>
  <tableColumns count="3">
    <tableColumn id="1" name="100" dataDxfId="215" dataCellStyle="Обычный 4"/>
    <tableColumn id="2" name="130" dataDxfId="214" dataCellStyle="Обычный 4"/>
    <tableColumn id="3" name="140" dataDxfId="213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12" dataDxfId="211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10" dataDxfId="209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208" dataDxfId="207" tableBorderDxfId="206" totalsRowBorderDxfId="205">
  <tableColumns count="4">
    <tableColumn id="1" name="Столбец1" headerRowDxfId="204" dataDxfId="203" dataCellStyle="Обычный 4"/>
    <tableColumn id="2" name="Столбец2" headerRowDxfId="202" dataDxfId="201" headerRowCellStyle="Обычный 4" dataCellStyle="Обычный 4"/>
    <tableColumn id="3" name="Столбец3" headerRowDxfId="200" dataDxfId="199"/>
    <tableColumn id="4" name="Столбец4" headerRowDxfId="198" dataDxfId="197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96" dataDxfId="195">
  <tableColumns count="8">
    <tableColumn id="1" name="Столбец1" totalsRowLabel="Итого:" headerRowDxfId="194" dataDxfId="193" totalsRowDxfId="192"/>
    <tableColumn id="2" name="Столбец2" headerRowDxfId="191" dataDxfId="190" totalsRowDxfId="189"/>
    <tableColumn id="3" name="Столбец3" totalsRowFunction="sum" headerRowDxfId="188" dataDxfId="187" totalsRowDxfId="186"/>
    <tableColumn id="4" name="Столбец4" totalsRowFunction="sum" headerRowDxfId="185" dataDxfId="184" totalsRowDxfId="183"/>
    <tableColumn id="5" name="Столбец5" totalsRowFunction="sum" headerRowDxfId="182" dataDxfId="181" totalsRowDxfId="180"/>
    <tableColumn id="6" name="Столбец6" totalsRowFunction="sum" headerRowDxfId="179" dataDxfId="178" totalsRowDxfId="177"/>
    <tableColumn id="7" name="Столбец7" totalsRowFunction="sum" headerRowDxfId="176" dataDxfId="175" totalsRowDxfId="174"/>
    <tableColumn id="8" name="Столбец8" totalsRowFunction="sum" headerRowDxfId="173" dataDxfId="172" totalsRowDxfId="171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70" totalsRowDxfId="169"/>
    <tableColumn id="4" name="Столбец2" dataDxfId="168"/>
    <tableColumn id="5" name="итог" dataDxfId="16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66"/>
    <tableColumn id="2" name="Столбец2"/>
    <tableColumn id="3" name="Столбец3" totalsRowFunction="sum" headerRowDxfId="165" dataDxfId="164" totalsRowDxfId="16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6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61"/>
    <tableColumn id="5" name="Налог удержанный" totalsRowFunction="sum" dataDxfId="160"/>
    <tableColumn id="6" name="Разница" totalsRowFunction="sum" dataDxfId="15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158" headerRowBorderDxfId="157" tableBorderDxfId="156" totalsRowBorderDxfId="155">
  <autoFilter ref="A1:D2">
    <filterColumn colId="2"/>
    <filterColumn colId="3"/>
  </autoFilter>
  <tableColumns count="4">
    <tableColumn id="1" name="ФИО" dataDxfId="154"/>
    <tableColumn id="5" name="Дата рождения" dataDxfId="153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152" headerRowBorderDxfId="151" tableBorderDxfId="150" totalsRowBorderDxfId="14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8"/>
    <tableColumn id="6" name="Имя" dataDxfId="147"/>
    <tableColumn id="4" name="Отчество" dataDxfId="146"/>
    <tableColumn id="5" name="Дата рождения" dataDxfId="145"/>
    <tableColumn id="3" name="ИНН" dataDxfId="144"/>
    <tableColumn id="1" name="Участник/Не участник" dataDxfId="143"/>
    <tableColumn id="2" name="Доход" dataDxfId="142"/>
    <tableColumn id="8" name="Пенсионные схемы" dataDxfId="141"/>
    <tableColumn id="9" name="Типы дохода" dataDxfId="14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139" dataDxfId="138">
  <autoFilter ref="A7:I8">
    <filterColumn colId="3"/>
  </autoFilter>
  <tableColumns count="9">
    <tableColumn id="3" name="№ справки" dataDxfId="137"/>
    <tableColumn id="4" name="№ корр" dataDxfId="136"/>
    <tableColumn id="5" name="Ставка налога" dataDxfId="135"/>
    <tableColumn id="7" name="Годовой доход" dataDxfId="134"/>
    <tableColumn id="6" name="Облагаемый доход" dataDxfId="133"/>
    <tableColumn id="8" name="Налог исчисленный" dataDxfId="132"/>
    <tableColumn id="9" name="Налог удержанный" dataDxfId="131"/>
    <tableColumn id="10" name="Переплата" dataDxfId="130"/>
    <tableColumn id="11" name="Недоплата" dataDxfId="129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128" dataDxfId="127">
  <autoFilter ref="A12:F13"/>
  <tableColumns count="6">
    <tableColumn id="3" name="№ справки" dataDxfId="126"/>
    <tableColumn id="4" name="№ корр" dataDxfId="125"/>
    <tableColumn id="5" name="Ставка налога" dataDxfId="124"/>
    <tableColumn id="6" name="Код вычета" dataDxfId="123"/>
    <tableColumn id="7" name="Сумма предоставленная" dataDxfId="122"/>
    <tableColumn id="8" name="Сумма использованная" dataDxfId="12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120" dataDxfId="119">
  <autoFilter ref="A16:G17">
    <filterColumn colId="6"/>
  </autoFilter>
  <tableColumns count="7">
    <tableColumn id="3" name="№ справки" dataDxfId="118"/>
    <tableColumn id="4" name="№ корр" dataDxfId="117"/>
    <tableColumn id="5" name="Ставка налога" dataDxfId="116"/>
    <tableColumn id="6" name="Код дохода" dataDxfId="115"/>
    <tableColumn id="7" name="Сумма дохода" dataDxfId="114"/>
    <tableColumn id="8" name="Код вычета" dataDxfId="113"/>
    <tableColumn id="1" name="Сумма вычета" dataDxfId="112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111">
  <autoFilter ref="A5:I6">
    <filterColumn colId="5"/>
  </autoFilter>
  <tableColumns count="9">
    <tableColumn id="1" name="Контрагент ID" totalsRowLabel="Итог" dataDxfId="110" totalsRowDxfId="109"/>
    <tableColumn id="2" name="Фамилия" dataDxfId="108" totalsRowDxfId="107"/>
    <tableColumn id="3" name="Имя" dataDxfId="106" totalsRowDxfId="105"/>
    <tableColumn id="4" name="Отчество" dataDxfId="104" totalsRowDxfId="103"/>
    <tableColumn id="5" name="Ставка" dataDxfId="102" totalsRowDxfId="101"/>
    <tableColumn id="9" name="Количество счетов" dataDxfId="100" totalsRowDxfId="99"/>
    <tableColumn id="6" name="Исчисленный налог" dataDxfId="98" totalsRowDxfId="97"/>
    <tableColumn id="7" name="Удержанный налог" dataDxfId="96" totalsRowDxfId="95"/>
    <tableColumn id="8" name="Недоплата" totalsRowFunction="sum" dataDxfId="94" totalsRowDxfId="9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9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91" totalsRowDxfId="90"/>
    <tableColumn id="2" name="Фамилия" dataDxfId="89" totalsRowDxfId="88"/>
    <tableColumn id="3" name="Имя" dataDxfId="87" totalsRowDxfId="86"/>
    <tableColumn id="4" name="Отчество" dataDxfId="85" totalsRowDxfId="84"/>
    <tableColumn id="9" name="SSYLKA" dataDxfId="83" totalsRowDxfId="82"/>
    <tableColumn id="10" name="Вкладчик" dataDxfId="81" totalsRowDxfId="80"/>
    <tableColumn id="11" name="ИПС" dataDxfId="79" totalsRowDxfId="78"/>
    <tableColumn id="12" name="Пенс.схема" dataDxfId="77" totalsRowDxfId="76"/>
    <tableColumn id="14" name="Счет дохода" dataDxfId="75" totalsRowDxfId="74"/>
    <tableColumn id="5" name="Счет налога" dataDxfId="73" totalsRowDxfId="72"/>
    <tableColumn id="16" name="Доход" dataDxfId="71" totalsRowDxfId="70"/>
    <tableColumn id="15" name="Вычет" dataDxfId="69" totalsRowDxfId="68"/>
    <tableColumn id="13" name="Налог" dataDxfId="67" totalsRowDxfId="66"/>
    <tableColumn id="18" name="Удержано налога" dataDxfId="65" totalsRowDxfId="64"/>
    <tableColumn id="17" name="Исчислено налога" dataDxfId="63" totalsRowDxfId="62"/>
    <tableColumn id="8" name="Недоплата2" totalsRowFunction="sum" dataDxfId="61" totalsRowDxfId="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4" t="s">
        <v>248</v>
      </c>
      <c r="B1" s="295"/>
      <c r="C1" s="295"/>
      <c r="D1" s="295"/>
      <c r="E1" s="295"/>
      <c r="F1" s="295"/>
      <c r="G1" s="295"/>
      <c r="H1" s="295"/>
      <c r="I1" s="295"/>
      <c r="J1" s="295"/>
    </row>
    <row r="2" spans="1:10" ht="31.5" customHeight="1">
      <c r="A2" s="292" t="s">
        <v>4</v>
      </c>
      <c r="B2" s="292"/>
      <c r="C2" s="292"/>
      <c r="D2" s="292"/>
      <c r="E2" s="292"/>
      <c r="F2" s="293" t="s">
        <v>23</v>
      </c>
      <c r="G2" s="293"/>
      <c r="H2" s="293"/>
      <c r="I2" s="293"/>
      <c r="J2" s="29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6" t="s">
        <v>248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31.5" customHeight="1">
      <c r="A2" s="301" t="s">
        <v>4</v>
      </c>
      <c r="B2" s="302"/>
      <c r="C2" s="302"/>
      <c r="D2" s="302"/>
      <c r="E2" s="302"/>
      <c r="F2" s="302"/>
      <c r="G2" s="302"/>
      <c r="H2" s="302"/>
      <c r="I2" s="303"/>
      <c r="J2" s="304" t="s">
        <v>23</v>
      </c>
      <c r="K2" s="305"/>
      <c r="L2" s="305"/>
      <c r="M2" s="305"/>
      <c r="N2" s="305"/>
      <c r="O2" s="305"/>
      <c r="P2" s="306"/>
    </row>
    <row r="3" spans="1:16" ht="24" customHeight="1">
      <c r="A3" s="307" t="s">
        <v>0</v>
      </c>
      <c r="B3" s="309" t="s">
        <v>29</v>
      </c>
      <c r="C3" s="309" t="s">
        <v>3</v>
      </c>
      <c r="D3" s="309" t="s">
        <v>30</v>
      </c>
      <c r="E3" s="311" t="s">
        <v>5</v>
      </c>
      <c r="F3" s="312"/>
      <c r="G3" s="313"/>
      <c r="H3" s="311" t="s">
        <v>6</v>
      </c>
      <c r="I3" s="314"/>
      <c r="J3" s="315" t="s">
        <v>28</v>
      </c>
      <c r="K3" s="315" t="s">
        <v>32</v>
      </c>
      <c r="L3" s="297" t="s">
        <v>5</v>
      </c>
      <c r="M3" s="298"/>
      <c r="N3" s="299"/>
      <c r="O3" s="297" t="s">
        <v>6</v>
      </c>
      <c r="P3" s="300"/>
    </row>
    <row r="4" spans="1:16" ht="38.25" customHeight="1">
      <c r="A4" s="308"/>
      <c r="B4" s="310"/>
      <c r="C4" s="310"/>
      <c r="D4" s="31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6"/>
      <c r="K4" s="31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6" t="s">
        <v>249</v>
      </c>
      <c r="B1" s="296"/>
      <c r="C1" s="296"/>
      <c r="D1" s="296"/>
      <c r="E1" s="296"/>
      <c r="F1" s="296"/>
      <c r="G1" s="296"/>
      <c r="H1" s="296"/>
      <c r="I1" s="29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7" t="s">
        <v>250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</row>
    <row r="2" spans="1:18" ht="31.5" customHeight="1">
      <c r="A2" s="292" t="s">
        <v>59</v>
      </c>
      <c r="B2" s="292"/>
      <c r="C2" s="292"/>
      <c r="D2" s="292"/>
      <c r="E2" s="292" t="s">
        <v>58</v>
      </c>
      <c r="F2" s="292"/>
      <c r="G2" s="292"/>
      <c r="H2" s="292"/>
      <c r="I2" s="292"/>
      <c r="J2" s="292"/>
      <c r="K2" s="318" t="s">
        <v>52</v>
      </c>
      <c r="L2" s="318" t="s">
        <v>53</v>
      </c>
      <c r="M2" s="318" t="s">
        <v>38</v>
      </c>
      <c r="N2" s="318" t="s">
        <v>54</v>
      </c>
      <c r="O2" s="292" t="s">
        <v>60</v>
      </c>
      <c r="P2" s="292"/>
      <c r="Q2" s="292"/>
      <c r="R2" s="29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8"/>
      <c r="L3" s="318"/>
      <c r="M3" s="318"/>
      <c r="N3" s="31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1" t="s">
        <v>292</v>
      </c>
      <c r="B1" s="322"/>
      <c r="C1" s="322"/>
      <c r="D1" s="322"/>
      <c r="E1" s="322"/>
      <c r="F1" s="322"/>
      <c r="G1" s="322"/>
      <c r="H1" s="322"/>
    </row>
    <row r="2" spans="1:8" ht="15.75" customHeight="1">
      <c r="A2" s="326"/>
      <c r="B2" s="326"/>
      <c r="C2" s="326"/>
      <c r="D2" s="326"/>
      <c r="E2" s="326"/>
      <c r="F2" s="326"/>
      <c r="G2" s="326"/>
      <c r="H2" s="326"/>
    </row>
    <row r="3" spans="1:8" ht="27" customHeight="1">
      <c r="A3" s="323" t="s">
        <v>267</v>
      </c>
      <c r="B3" s="323"/>
      <c r="C3" s="323"/>
      <c r="D3" s="117"/>
      <c r="E3" s="323" t="s">
        <v>268</v>
      </c>
      <c r="F3" s="323"/>
      <c r="G3" s="323"/>
      <c r="H3" s="3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4" t="s">
        <v>283</v>
      </c>
      <c r="B18" s="324"/>
      <c r="C18" s="324"/>
      <c r="D18" s="119"/>
      <c r="E18" s="324" t="s">
        <v>284</v>
      </c>
      <c r="F18" s="324"/>
      <c r="G18" s="324"/>
      <c r="H18" s="324"/>
    </row>
    <row r="19" spans="1:8" ht="14.25" customHeight="1">
      <c r="A19" s="324"/>
      <c r="B19" s="324"/>
      <c r="C19" s="324"/>
      <c r="D19" s="118"/>
      <c r="E19" s="325" t="s">
        <v>269</v>
      </c>
      <c r="F19" s="325"/>
      <c r="G19" s="325" t="s">
        <v>270</v>
      </c>
      <c r="H19" s="3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9" t="s">
        <v>299</v>
      </c>
      <c r="B41" s="320"/>
      <c r="D41" s="117"/>
    </row>
    <row r="42" spans="1:8">
      <c r="A42" s="319"/>
      <c r="B42" s="3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1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9" width="13.42578125" style="257" customWidth="1"/>
    <col min="10" max="16384" width="9.140625" style="257"/>
  </cols>
  <sheetData>
    <row r="1" spans="1:12" ht="40.5" customHeight="1">
      <c r="A1" s="317" t="s">
        <v>595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</row>
    <row r="2" spans="1:12" ht="6" customHeight="1">
      <c r="A2" s="288"/>
      <c r="B2" s="288"/>
      <c r="C2" s="288"/>
      <c r="D2" s="288"/>
      <c r="E2" s="288"/>
      <c r="F2" s="288"/>
      <c r="G2" s="288"/>
      <c r="H2" s="242"/>
      <c r="I2" s="242"/>
      <c r="J2" s="242"/>
      <c r="K2" s="242"/>
      <c r="L2" s="242"/>
    </row>
    <row r="3" spans="1:12" ht="45" customHeight="1">
      <c r="A3" s="243" t="s">
        <v>329</v>
      </c>
      <c r="B3" s="243" t="s">
        <v>62</v>
      </c>
      <c r="C3" s="244" t="s">
        <v>491</v>
      </c>
      <c r="D3" s="244" t="s">
        <v>490</v>
      </c>
      <c r="E3" s="244" t="s">
        <v>97</v>
      </c>
      <c r="F3" s="244" t="s">
        <v>586</v>
      </c>
      <c r="G3" s="244" t="s">
        <v>592</v>
      </c>
      <c r="H3" s="244" t="s">
        <v>593</v>
      </c>
      <c r="I3" s="244" t="s">
        <v>594</v>
      </c>
    </row>
    <row r="4" spans="1:12">
      <c r="A4" s="277" t="s">
        <v>590</v>
      </c>
      <c r="B4" s="163"/>
      <c r="C4" s="163"/>
      <c r="D4" s="163"/>
      <c r="E4" s="266"/>
      <c r="F4" s="163"/>
      <c r="G4" s="166"/>
      <c r="H4" s="166"/>
      <c r="I4" s="166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7" width="17.140625" style="257" customWidth="1"/>
    <col min="8" max="8" width="14.140625" style="257" customWidth="1"/>
    <col min="9" max="9" width="9" style="257" customWidth="1"/>
    <col min="10" max="10" width="13.42578125" style="257" customWidth="1"/>
    <col min="11" max="16384" width="9.140625" style="257"/>
  </cols>
  <sheetData>
    <row r="1" spans="1:15" ht="40.5" customHeight="1">
      <c r="A1" s="317" t="s">
        <v>585</v>
      </c>
      <c r="B1" s="317"/>
      <c r="C1" s="317"/>
      <c r="D1" s="317"/>
      <c r="E1" s="317"/>
      <c r="F1" s="317"/>
      <c r="G1" s="317"/>
      <c r="H1" s="317"/>
      <c r="I1" s="317"/>
      <c r="J1" s="317"/>
      <c r="K1" s="242"/>
      <c r="L1" s="242"/>
      <c r="M1" s="242"/>
      <c r="N1" s="242"/>
    </row>
    <row r="2" spans="1:15" ht="6" customHeight="1">
      <c r="A2" s="287"/>
      <c r="B2" s="287"/>
      <c r="C2" s="287"/>
      <c r="D2" s="287"/>
      <c r="E2" s="287"/>
      <c r="F2" s="287"/>
      <c r="G2" s="287"/>
      <c r="H2" s="287"/>
      <c r="I2" s="242"/>
      <c r="J2" s="242"/>
      <c r="K2" s="242"/>
      <c r="L2" s="242"/>
      <c r="M2" s="242"/>
      <c r="N2" s="242"/>
    </row>
    <row r="3" spans="1:15" ht="16.5" customHeight="1" thickBot="1">
      <c r="A3" s="327"/>
      <c r="B3" s="328"/>
      <c r="C3" s="328"/>
      <c r="D3" s="328"/>
      <c r="E3" s="328"/>
      <c r="F3" s="328"/>
      <c r="G3" s="329"/>
      <c r="H3" s="327" t="s">
        <v>472</v>
      </c>
      <c r="I3" s="329"/>
      <c r="J3" s="290"/>
      <c r="K3" s="287"/>
      <c r="L3" s="242"/>
      <c r="M3" s="242"/>
      <c r="N3" s="242"/>
      <c r="O3" s="242"/>
    </row>
    <row r="4" spans="1:15" ht="45" customHeight="1" thickTop="1">
      <c r="A4" s="243" t="s">
        <v>329</v>
      </c>
      <c r="B4" s="243" t="s">
        <v>62</v>
      </c>
      <c r="C4" s="244" t="s">
        <v>491</v>
      </c>
      <c r="D4" s="244" t="s">
        <v>490</v>
      </c>
      <c r="E4" s="244" t="s">
        <v>97</v>
      </c>
      <c r="F4" s="244" t="s">
        <v>586</v>
      </c>
      <c r="G4" s="244" t="s">
        <v>494</v>
      </c>
      <c r="H4" s="244" t="s">
        <v>587</v>
      </c>
      <c r="I4" s="244" t="s">
        <v>365</v>
      </c>
      <c r="J4" s="245" t="s">
        <v>588</v>
      </c>
    </row>
    <row r="5" spans="1:15">
      <c r="A5" s="277" t="s">
        <v>582</v>
      </c>
      <c r="B5" s="163"/>
      <c r="C5" s="163"/>
      <c r="D5" s="163"/>
      <c r="E5" s="266"/>
      <c r="F5" s="163"/>
      <c r="G5" s="163"/>
      <c r="H5" s="166"/>
      <c r="I5" s="166"/>
      <c r="J5" s="166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542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540</v>
      </c>
      <c r="B6" s="331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78"/>
      <c r="E8" s="278"/>
      <c r="F8" s="271"/>
      <c r="G8" s="166"/>
      <c r="H8" s="166"/>
      <c r="I8" s="166"/>
      <c r="J8" s="163"/>
      <c r="K8" s="163"/>
      <c r="L8" s="165"/>
    </row>
    <row r="11" spans="1:18">
      <c r="A11" s="331" t="s">
        <v>539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77" t="s">
        <v>528</v>
      </c>
      <c r="B13" s="163"/>
      <c r="C13" s="163"/>
      <c r="D13" s="278"/>
      <c r="E13" s="271"/>
      <c r="F13" s="271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17" t="s">
        <v>521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75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73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17" t="s">
        <v>513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73"/>
      <c r="J3" s="273"/>
      <c r="K3" s="274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7" t="s">
        <v>468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4" t="s">
        <v>418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U1" t="s">
        <v>419</v>
      </c>
    </row>
    <row r="2" spans="1:21" ht="18" customHeight="1">
      <c r="A2" s="333" t="s">
        <v>419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4" t="e">
        <f>report_year-1</f>
        <v>#VALUE!</v>
      </c>
      <c r="N2" s="334"/>
      <c r="O2" s="334"/>
      <c r="P2" s="334"/>
      <c r="Q2" s="334"/>
      <c r="R2" s="334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7" t="s">
        <v>400</v>
      </c>
      <c r="B1" s="317"/>
      <c r="C1" s="317"/>
      <c r="D1" s="317"/>
      <c r="E1" s="317"/>
      <c r="F1" s="317"/>
      <c r="G1" s="317"/>
      <c r="H1" s="317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17" t="s">
        <v>410</v>
      </c>
      <c r="B6" s="317"/>
      <c r="C6" s="317"/>
      <c r="D6" s="317"/>
      <c r="E6" s="317"/>
      <c r="F6" s="317"/>
      <c r="G6" s="317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4" t="s">
        <v>391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</row>
    <row r="2" spans="1:16" ht="18" customHeight="1">
      <c r="A2" s="335" t="s">
        <v>392</v>
      </c>
      <c r="B2" s="335"/>
      <c r="C2" s="335"/>
      <c r="D2" s="335"/>
      <c r="E2" s="335"/>
      <c r="F2" s="335"/>
      <c r="G2" s="335"/>
      <c r="H2" s="335" t="s">
        <v>393</v>
      </c>
      <c r="I2" s="335"/>
      <c r="J2" s="335"/>
      <c r="K2" s="335"/>
      <c r="L2" s="335"/>
      <c r="M2" s="335"/>
      <c r="N2" s="335"/>
      <c r="O2" s="335"/>
      <c r="P2" s="335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6" t="s">
        <v>457</v>
      </c>
      <c r="B1" s="336"/>
      <c r="C1" s="336"/>
      <c r="D1" s="336"/>
      <c r="E1" s="336"/>
      <c r="F1" s="336"/>
      <c r="G1" s="336"/>
      <c r="H1" s="336"/>
      <c r="I1" s="336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7" customWidth="1"/>
    <col min="2" max="2" width="15.285156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7" t="s">
        <v>489</v>
      </c>
      <c r="B1" s="317"/>
      <c r="C1" s="317"/>
      <c r="D1" s="317"/>
      <c r="E1" s="317"/>
      <c r="F1" s="317"/>
      <c r="G1" s="317"/>
      <c r="H1" s="317"/>
      <c r="I1" s="242"/>
      <c r="J1" s="242"/>
    </row>
    <row r="2" spans="1:10" ht="24" customHeight="1">
      <c r="A2" s="394" t="s">
        <v>509</v>
      </c>
      <c r="B2" s="394" t="s">
        <v>430</v>
      </c>
      <c r="C2" s="394" t="s">
        <v>490</v>
      </c>
      <c r="D2" s="395" t="s">
        <v>491</v>
      </c>
      <c r="E2" s="395" t="s">
        <v>97</v>
      </c>
      <c r="F2" s="396" t="s">
        <v>431</v>
      </c>
      <c r="G2" s="395" t="s">
        <v>414</v>
      </c>
    </row>
    <row r="3" spans="1:10">
      <c r="A3" s="405" t="s">
        <v>477</v>
      </c>
      <c r="B3" s="277"/>
      <c r="C3" s="277"/>
      <c r="D3" s="277"/>
      <c r="E3" s="284"/>
      <c r="F3" s="385"/>
      <c r="G3" s="385"/>
    </row>
    <row r="4" spans="1:10" ht="15.75" thickBot="1">
      <c r="A4" s="258"/>
      <c r="B4" s="258"/>
      <c r="C4" s="258"/>
      <c r="D4" s="258"/>
      <c r="E4" s="258"/>
      <c r="F4" s="258"/>
      <c r="G4" s="258"/>
      <c r="H4" s="258"/>
    </row>
    <row r="5" spans="1:10" ht="30" customHeight="1">
      <c r="A5" s="390" t="s">
        <v>503</v>
      </c>
      <c r="B5" s="391"/>
      <c r="C5" s="391"/>
      <c r="D5" s="391"/>
      <c r="E5" s="391"/>
      <c r="F5" s="391"/>
      <c r="G5" s="391"/>
      <c r="H5" s="391"/>
      <c r="I5" s="392"/>
    </row>
    <row r="6" spans="1:10" ht="25.5">
      <c r="A6" s="393" t="s">
        <v>598</v>
      </c>
      <c r="B6" s="394" t="s">
        <v>492</v>
      </c>
      <c r="C6" s="394" t="s">
        <v>493</v>
      </c>
      <c r="D6" s="395" t="s">
        <v>494</v>
      </c>
      <c r="E6" s="395" t="s">
        <v>40</v>
      </c>
      <c r="F6" s="396" t="s">
        <v>495</v>
      </c>
      <c r="G6" s="395" t="s">
        <v>496</v>
      </c>
      <c r="H6" s="395" t="s">
        <v>497</v>
      </c>
      <c r="I6" s="397" t="s">
        <v>498</v>
      </c>
    </row>
    <row r="7" spans="1:10" ht="15.75" thickBot="1">
      <c r="A7" s="398" t="s">
        <v>478</v>
      </c>
      <c r="B7" s="399" t="s">
        <v>478</v>
      </c>
      <c r="C7" s="399"/>
      <c r="D7" s="400"/>
      <c r="E7" s="409"/>
      <c r="F7" s="401"/>
      <c r="G7" s="402" t="s">
        <v>191</v>
      </c>
      <c r="H7" s="403"/>
      <c r="I7" s="404"/>
    </row>
    <row r="8" spans="1:10" ht="16.5" customHeight="1"/>
    <row r="9" spans="1:10" ht="30" customHeight="1">
      <c r="A9" s="337" t="s">
        <v>506</v>
      </c>
      <c r="B9" s="337"/>
      <c r="C9" s="337"/>
      <c r="D9" s="337"/>
      <c r="E9" s="337"/>
      <c r="F9" s="337"/>
      <c r="G9" s="337"/>
    </row>
    <row r="10" spans="1:10">
      <c r="A10" s="243" t="s">
        <v>492</v>
      </c>
      <c r="B10" s="243" t="s">
        <v>493</v>
      </c>
      <c r="C10" s="244" t="s">
        <v>470</v>
      </c>
      <c r="D10" s="406" t="s">
        <v>599</v>
      </c>
      <c r="E10" s="245" t="s">
        <v>495</v>
      </c>
      <c r="F10" s="244" t="s">
        <v>497</v>
      </c>
      <c r="G10" s="244" t="s">
        <v>498</v>
      </c>
    </row>
    <row r="11" spans="1:10">
      <c r="A11" s="386" t="s">
        <v>479</v>
      </c>
      <c r="B11" s="265"/>
      <c r="C11" s="165"/>
      <c r="D11" s="388"/>
      <c r="E11" s="272"/>
      <c r="F11" s="163"/>
      <c r="G11" s="163"/>
    </row>
    <row r="13" spans="1:10" ht="30" customHeight="1">
      <c r="A13" s="338" t="s">
        <v>504</v>
      </c>
      <c r="B13" s="338"/>
      <c r="C13" s="338"/>
      <c r="D13" s="338"/>
      <c r="E13" s="338"/>
      <c r="F13" s="338"/>
      <c r="G13" s="338"/>
    </row>
    <row r="14" spans="1:10" ht="26.25" thickBot="1">
      <c r="A14" s="243" t="s">
        <v>35</v>
      </c>
      <c r="B14" s="243" t="s">
        <v>499</v>
      </c>
      <c r="C14" s="267" t="s">
        <v>586</v>
      </c>
      <c r="D14" s="244" t="s">
        <v>40</v>
      </c>
      <c r="E14" s="244" t="s">
        <v>500</v>
      </c>
      <c r="F14" s="244" t="s">
        <v>501</v>
      </c>
      <c r="G14" s="244" t="s">
        <v>39</v>
      </c>
    </row>
    <row r="15" spans="1:10" ht="15.75" thickTop="1">
      <c r="A15" s="387" t="s">
        <v>480</v>
      </c>
      <c r="B15" s="271"/>
      <c r="C15" s="265"/>
      <c r="D15" s="166"/>
      <c r="E15" s="270"/>
      <c r="F15" s="266"/>
      <c r="G15" s="266"/>
    </row>
    <row r="18" spans="1:5" ht="38.25" customHeight="1">
      <c r="A18" s="407" t="s">
        <v>476</v>
      </c>
      <c r="B18" s="407"/>
      <c r="C18" s="407"/>
      <c r="D18" s="407"/>
      <c r="E18" s="407"/>
    </row>
    <row r="19" spans="1:5" ht="15.75" thickBot="1">
      <c r="A19" s="267" t="s">
        <v>35</v>
      </c>
      <c r="B19" s="267" t="s">
        <v>586</v>
      </c>
      <c r="C19" s="291" t="s">
        <v>494</v>
      </c>
      <c r="D19" s="291" t="s">
        <v>40</v>
      </c>
    </row>
    <row r="20" spans="1:5" ht="15.75" thickTop="1">
      <c r="A20" s="384" t="s">
        <v>596</v>
      </c>
      <c r="B20" s="269"/>
      <c r="C20" s="269"/>
      <c r="D20" s="410"/>
    </row>
    <row r="22" spans="1:5" ht="32.25" customHeight="1">
      <c r="A22" s="338" t="s">
        <v>505</v>
      </c>
      <c r="B22" s="338"/>
      <c r="C22" s="338"/>
      <c r="D22" s="338"/>
      <c r="E22" s="338"/>
    </row>
    <row r="23" spans="1:5" ht="15.75" thickBot="1">
      <c r="A23" s="267" t="s">
        <v>3</v>
      </c>
      <c r="B23" s="267" t="s">
        <v>57</v>
      </c>
      <c r="C23" s="268" t="s">
        <v>494</v>
      </c>
      <c r="D23" s="268" t="s">
        <v>40</v>
      </c>
      <c r="E23" s="408" t="s">
        <v>502</v>
      </c>
    </row>
    <row r="24" spans="1:5" ht="15.75" thickTop="1">
      <c r="A24" s="269" t="s">
        <v>481</v>
      </c>
      <c r="B24" s="269"/>
      <c r="C24" s="269"/>
      <c r="D24" s="410"/>
      <c r="E24" s="389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A34" workbookViewId="0">
      <selection activeCell="G73" sqref="G7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9" t="s">
        <v>115</v>
      </c>
      <c r="B1" s="339"/>
      <c r="D1" s="340" t="s">
        <v>116</v>
      </c>
      <c r="E1" s="340"/>
      <c r="G1" s="340" t="s">
        <v>111</v>
      </c>
      <c r="H1" s="340"/>
      <c r="I1" s="340"/>
      <c r="J1" s="340"/>
      <c r="K1" s="340"/>
      <c r="L1" s="340"/>
      <c r="M1" s="285"/>
      <c r="O1" s="340" t="s">
        <v>106</v>
      </c>
      <c r="P1" s="340"/>
      <c r="Q1" s="340"/>
      <c r="R1" s="340"/>
      <c r="S1" s="340"/>
      <c r="T1" s="340"/>
      <c r="U1" s="340"/>
      <c r="W1" s="340" t="s">
        <v>112</v>
      </c>
      <c r="X1" s="340"/>
      <c r="Z1" s="340" t="s">
        <v>103</v>
      </c>
      <c r="AA1" s="340"/>
      <c r="AB1" s="340"/>
      <c r="AC1" s="340"/>
      <c r="AD1" s="340"/>
      <c r="AF1" s="340" t="s">
        <v>143</v>
      </c>
      <c r="AG1" s="340"/>
      <c r="AH1" s="340"/>
      <c r="AI1" s="340"/>
      <c r="AJ1" s="340"/>
      <c r="AK1" s="340"/>
      <c r="AL1" s="340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1" t="s">
        <v>245</v>
      </c>
      <c r="BG1" s="341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575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benefit_no_distribute_amounts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573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574</v>
      </c>
      <c r="D9" s="247" t="s">
        <v>432</v>
      </c>
      <c r="E9" s="258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574</v>
      </c>
      <c r="D10" s="257" t="s">
        <v>579</v>
      </c>
      <c r="E10" s="258" t="s">
        <v>581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s="258" t="s">
        <v>591</v>
      </c>
      <c r="E11" s="258" t="s">
        <v>590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s="257" t="s">
        <v>583</v>
      </c>
      <c r="E12" s="258" t="s">
        <v>582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597</v>
      </c>
      <c r="D13" s="247" t="s">
        <v>432</v>
      </c>
      <c r="E13" s="177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2018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Z15" s="258" t="s">
        <v>581</v>
      </c>
      <c r="AA15" s="258" t="s">
        <v>161</v>
      </c>
      <c r="AB15" s="258" t="s">
        <v>141</v>
      </c>
      <c r="AC15" s="258"/>
      <c r="AD15" s="258" t="s">
        <v>580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Z16" s="258" t="s">
        <v>600</v>
      </c>
      <c r="AA16" s="258" t="s">
        <v>161</v>
      </c>
      <c r="AB16" s="258" t="s">
        <v>141</v>
      </c>
      <c r="AC16" s="258"/>
      <c r="AD16" s="258" t="s">
        <v>601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258" t="s">
        <v>475</v>
      </c>
      <c r="X28" s="258" t="s">
        <v>596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177" t="s">
        <v>475</v>
      </c>
      <c r="X29" s="177" t="s">
        <v>481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528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248" t="s">
        <v>432</v>
      </c>
      <c r="E31" s="177" t="s">
        <v>433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535</v>
      </c>
      <c r="AF31" s="289" t="s">
        <v>581</v>
      </c>
      <c r="AG31" s="257" t="s">
        <v>162</v>
      </c>
      <c r="AH31" s="257" t="s">
        <v>147</v>
      </c>
      <c r="AI31" s="257"/>
      <c r="AJ31" s="257"/>
      <c r="AK31" s="257">
        <v>2000</v>
      </c>
      <c r="AL31" s="257" t="s">
        <v>141</v>
      </c>
    </row>
    <row r="32" spans="4:38">
      <c r="D32" s="177" t="s">
        <v>359</v>
      </c>
      <c r="E32" s="177" t="s">
        <v>360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529</v>
      </c>
      <c r="X32" s="258" t="s">
        <v>541</v>
      </c>
      <c r="AF32" s="289" t="s">
        <v>581</v>
      </c>
      <c r="AG32" s="258" t="s">
        <v>340</v>
      </c>
      <c r="AH32" s="258" t="s">
        <v>148</v>
      </c>
      <c r="AI32" s="258" t="s">
        <v>549</v>
      </c>
      <c r="AJ32" s="258" t="s">
        <v>141</v>
      </c>
      <c r="AK32" s="258">
        <v>4</v>
      </c>
      <c r="AL32" s="258" t="s">
        <v>140</v>
      </c>
    </row>
    <row r="33" spans="4:38">
      <c r="D33" s="177" t="s">
        <v>389</v>
      </c>
      <c r="E33" s="177" t="s">
        <v>373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541</v>
      </c>
      <c r="AF33" s="45" t="s">
        <v>600</v>
      </c>
      <c r="AG33" s="257" t="s">
        <v>162</v>
      </c>
      <c r="AH33" s="257" t="s">
        <v>147</v>
      </c>
      <c r="AI33" s="257"/>
      <c r="AJ33" s="257"/>
      <c r="AK33" s="257">
        <v>2000</v>
      </c>
      <c r="AL33" s="257" t="s">
        <v>141</v>
      </c>
    </row>
    <row r="34" spans="4:38">
      <c r="D34" s="177" t="s">
        <v>390</v>
      </c>
      <c r="E34" s="177" t="s">
        <v>383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547</v>
      </c>
      <c r="AF34" s="45" t="s">
        <v>600</v>
      </c>
      <c r="AG34" s="258" t="s">
        <v>340</v>
      </c>
      <c r="AH34" s="258" t="s">
        <v>148</v>
      </c>
      <c r="AI34" s="258" t="s">
        <v>549</v>
      </c>
      <c r="AJ34" s="258" t="s">
        <v>141</v>
      </c>
      <c r="AK34" s="258">
        <v>4</v>
      </c>
      <c r="AL34" s="258" t="s">
        <v>140</v>
      </c>
    </row>
    <row r="35" spans="4:38">
      <c r="D35" s="177" t="s">
        <v>464</v>
      </c>
      <c r="E35" s="177" t="s">
        <v>429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556</v>
      </c>
    </row>
    <row r="36" spans="4:38">
      <c r="D36" s="258" t="s">
        <v>527</v>
      </c>
      <c r="E36" s="258" t="s">
        <v>525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  <c r="W36" s="258" t="s">
        <v>545</v>
      </c>
      <c r="X36" s="258" t="s">
        <v>560</v>
      </c>
    </row>
    <row r="37" spans="4:38">
      <c r="D37" s="258" t="s">
        <v>567</v>
      </c>
      <c r="E37" s="258" t="s">
        <v>566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38">
      <c r="D38" s="258" t="s">
        <v>465</v>
      </c>
      <c r="E38" s="177" t="s">
        <v>466</v>
      </c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38">
      <c r="D39" s="258" t="s">
        <v>510</v>
      </c>
      <c r="E39" s="258" t="s">
        <v>511</v>
      </c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38">
      <c r="D40" s="258" t="s">
        <v>518</v>
      </c>
      <c r="E40" s="258" t="s">
        <v>519</v>
      </c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38">
      <c r="D41" s="258" t="s">
        <v>564</v>
      </c>
      <c r="E41" s="258" t="s">
        <v>452</v>
      </c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38">
      <c r="D42" s="258"/>
      <c r="E42" s="258"/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38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/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38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/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38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8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38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38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38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258" t="s">
        <v>596</v>
      </c>
      <c r="P51" s="258" t="s">
        <v>190</v>
      </c>
      <c r="Q51" s="258" t="s">
        <v>596</v>
      </c>
      <c r="R51" s="257" t="s">
        <v>128</v>
      </c>
      <c r="S51" s="258" t="s">
        <v>379</v>
      </c>
      <c r="T51" s="257" t="s">
        <v>126</v>
      </c>
      <c r="U51" s="257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177" t="s">
        <v>481</v>
      </c>
      <c r="P52" s="177" t="s">
        <v>190</v>
      </c>
      <c r="Q52" s="177" t="s">
        <v>481</v>
      </c>
      <c r="R52" t="s">
        <v>128</v>
      </c>
      <c r="S52" s="177" t="s">
        <v>379</v>
      </c>
      <c r="T52" t="s">
        <v>126</v>
      </c>
      <c r="U52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511</v>
      </c>
      <c r="P53" s="258" t="s">
        <v>511</v>
      </c>
      <c r="Q53" s="258" t="s">
        <v>512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519</v>
      </c>
      <c r="P54" s="258" t="s">
        <v>519</v>
      </c>
      <c r="Q54" s="258" t="s">
        <v>520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525</v>
      </c>
      <c r="P55" s="258" t="s">
        <v>429</v>
      </c>
      <c r="Q55" s="258" t="s">
        <v>462</v>
      </c>
      <c r="R55" s="257" t="s">
        <v>128</v>
      </c>
      <c r="S55" s="258" t="s">
        <v>379</v>
      </c>
      <c r="T55" s="257" t="s">
        <v>126</v>
      </c>
      <c r="U55" s="257" t="s">
        <v>134</v>
      </c>
    </row>
    <row r="56" spans="7:21">
      <c r="G56" s="258" t="s">
        <v>437</v>
      </c>
      <c r="H56" s="258" t="s">
        <v>104</v>
      </c>
      <c r="I56" s="258" t="s">
        <v>566</v>
      </c>
      <c r="J56" s="258"/>
      <c r="K56" s="258"/>
      <c r="L56" s="258"/>
      <c r="M56" s="258"/>
      <c r="O56" s="258" t="s">
        <v>529</v>
      </c>
      <c r="P56" s="258" t="s">
        <v>529</v>
      </c>
      <c r="Q56" s="258" t="s">
        <v>530</v>
      </c>
      <c r="R56" s="258" t="s">
        <v>128</v>
      </c>
      <c r="S56" s="258" t="s">
        <v>379</v>
      </c>
      <c r="T56" s="258"/>
      <c r="U56" s="257" t="s">
        <v>118</v>
      </c>
    </row>
    <row r="57" spans="7:21">
      <c r="G57" s="177" t="s">
        <v>451</v>
      </c>
      <c r="H57" s="177" t="s">
        <v>105</v>
      </c>
      <c r="I57" s="177" t="s">
        <v>440</v>
      </c>
      <c r="J57" s="177"/>
      <c r="K57" s="177" t="s">
        <v>451</v>
      </c>
      <c r="L57" s="177"/>
      <c r="M57" s="258"/>
      <c r="O57" s="258" t="s">
        <v>528</v>
      </c>
      <c r="P57" s="258" t="s">
        <v>190</v>
      </c>
      <c r="Q57" s="258" t="s">
        <v>528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104</v>
      </c>
      <c r="I58" s="177" t="s">
        <v>452</v>
      </c>
      <c r="J58" s="177"/>
      <c r="K58" s="177"/>
      <c r="L58" s="177"/>
      <c r="M58" s="258"/>
      <c r="O58" s="258" t="s">
        <v>535</v>
      </c>
      <c r="P58" s="258" t="s">
        <v>190</v>
      </c>
      <c r="Q58" s="258" t="s">
        <v>535</v>
      </c>
      <c r="R58" s="257" t="s">
        <v>128</v>
      </c>
      <c r="S58" s="258" t="s">
        <v>379</v>
      </c>
      <c r="T58" s="257" t="s">
        <v>126</v>
      </c>
      <c r="U58" s="257" t="s">
        <v>134</v>
      </c>
    </row>
    <row r="59" spans="7:21">
      <c r="G59" s="177" t="s">
        <v>429</v>
      </c>
      <c r="H59" s="177" t="s">
        <v>104</v>
      </c>
      <c r="I59" s="177" t="s">
        <v>429</v>
      </c>
      <c r="J59" s="177"/>
      <c r="K59" s="177"/>
      <c r="L59" s="177"/>
      <c r="M59" s="258"/>
      <c r="O59" s="258" t="s">
        <v>541</v>
      </c>
      <c r="P59" s="258"/>
      <c r="Q59" s="258"/>
      <c r="R59" s="258"/>
      <c r="S59" s="258" t="s">
        <v>379</v>
      </c>
      <c r="T59" s="257" t="s">
        <v>126</v>
      </c>
      <c r="U59" s="258" t="s">
        <v>304</v>
      </c>
    </row>
    <row r="60" spans="7:21">
      <c r="G60" s="177" t="s">
        <v>466</v>
      </c>
      <c r="H60" s="177" t="s">
        <v>104</v>
      </c>
      <c r="I60" s="177" t="s">
        <v>466</v>
      </c>
      <c r="J60" s="177"/>
      <c r="K60" s="177"/>
      <c r="L60" s="177"/>
      <c r="M60" s="258"/>
      <c r="O60" s="258" t="s">
        <v>545</v>
      </c>
      <c r="P60" s="258" t="s">
        <v>545</v>
      </c>
      <c r="Q60" s="258" t="s">
        <v>546</v>
      </c>
      <c r="R60" s="257" t="s">
        <v>128</v>
      </c>
      <c r="S60" s="258" t="s">
        <v>379</v>
      </c>
      <c r="T60" s="258"/>
      <c r="U60" s="257" t="s">
        <v>118</v>
      </c>
    </row>
    <row r="61" spans="7:21">
      <c r="G61" s="177" t="s">
        <v>475</v>
      </c>
      <c r="H61" s="177" t="s">
        <v>104</v>
      </c>
      <c r="I61" s="177" t="s">
        <v>475</v>
      </c>
      <c r="J61" s="177"/>
      <c r="K61" s="177"/>
      <c r="L61" s="177"/>
      <c r="M61" s="258"/>
      <c r="O61" s="258" t="s">
        <v>541</v>
      </c>
      <c r="P61" s="258"/>
      <c r="Q61" s="258"/>
      <c r="R61" s="258"/>
      <c r="S61" s="258" t="s">
        <v>379</v>
      </c>
      <c r="T61" s="258" t="s">
        <v>126</v>
      </c>
      <c r="U61" s="258" t="s">
        <v>304</v>
      </c>
    </row>
    <row r="62" spans="7:21">
      <c r="G62" s="258" t="s">
        <v>511</v>
      </c>
      <c r="H62" s="258" t="s">
        <v>104</v>
      </c>
      <c r="I62" s="258" t="s">
        <v>511</v>
      </c>
      <c r="J62" s="258"/>
      <c r="K62" s="258"/>
      <c r="L62" s="258"/>
      <c r="M62" s="258"/>
      <c r="O62" s="258" t="s">
        <v>547</v>
      </c>
      <c r="P62" s="258" t="s">
        <v>190</v>
      </c>
      <c r="Q62" s="258" t="s">
        <v>547</v>
      </c>
      <c r="R62" s="257" t="s">
        <v>128</v>
      </c>
      <c r="S62" s="258" t="s">
        <v>379</v>
      </c>
      <c r="T62" s="257" t="s">
        <v>126</v>
      </c>
      <c r="U62" s="257" t="s">
        <v>134</v>
      </c>
    </row>
    <row r="63" spans="7:21">
      <c r="G63" s="258" t="s">
        <v>519</v>
      </c>
      <c r="H63" s="258" t="s">
        <v>104</v>
      </c>
      <c r="I63" s="258" t="s">
        <v>519</v>
      </c>
      <c r="J63" s="258"/>
      <c r="K63" s="258"/>
      <c r="L63" s="258"/>
      <c r="M63" s="258"/>
      <c r="O63" s="258" t="s">
        <v>556</v>
      </c>
      <c r="P63" s="258" t="s">
        <v>190</v>
      </c>
      <c r="Q63" s="258" t="s">
        <v>556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525</v>
      </c>
      <c r="H64" s="258" t="s">
        <v>104</v>
      </c>
      <c r="I64" s="258" t="s">
        <v>525</v>
      </c>
      <c r="J64" s="258"/>
      <c r="K64" s="258"/>
      <c r="L64" s="258"/>
      <c r="M64" s="258"/>
      <c r="O64" s="258" t="s">
        <v>560</v>
      </c>
      <c r="P64" s="258" t="s">
        <v>190</v>
      </c>
      <c r="Q64" s="258" t="s">
        <v>560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529</v>
      </c>
      <c r="H65" s="258" t="s">
        <v>104</v>
      </c>
      <c r="I65" s="258" t="s">
        <v>529</v>
      </c>
      <c r="J65" s="258"/>
      <c r="K65" s="258"/>
      <c r="L65" s="258"/>
      <c r="M65" s="258"/>
      <c r="O65" s="258" t="s">
        <v>566</v>
      </c>
      <c r="P65" s="258" t="s">
        <v>566</v>
      </c>
      <c r="Q65" s="258" t="s">
        <v>572</v>
      </c>
      <c r="R65" s="258" t="s">
        <v>128</v>
      </c>
      <c r="S65" s="258" t="s">
        <v>379</v>
      </c>
      <c r="T65" s="258" t="s">
        <v>126</v>
      </c>
      <c r="U65" s="258" t="s">
        <v>134</v>
      </c>
    </row>
    <row r="66" spans="7:21">
      <c r="G66" s="258" t="s">
        <v>545</v>
      </c>
      <c r="H66" s="258" t="s">
        <v>104</v>
      </c>
      <c r="I66" s="258" t="s">
        <v>545</v>
      </c>
      <c r="J66" s="258"/>
      <c r="K66" s="258"/>
      <c r="L66" s="258"/>
      <c r="M66" s="258"/>
      <c r="O66" s="258" t="s">
        <v>582</v>
      </c>
      <c r="P66" s="258" t="s">
        <v>582</v>
      </c>
      <c r="Q66" s="258" t="s">
        <v>584</v>
      </c>
      <c r="R66" s="258" t="s">
        <v>128</v>
      </c>
      <c r="S66" s="258" t="s">
        <v>379</v>
      </c>
      <c r="T66" s="258" t="s">
        <v>126</v>
      </c>
      <c r="U66" s="258" t="s">
        <v>134</v>
      </c>
    </row>
    <row r="67" spans="7:21">
      <c r="G67" s="258" t="s">
        <v>452</v>
      </c>
      <c r="H67" s="258" t="s">
        <v>104</v>
      </c>
      <c r="I67" s="258" t="s">
        <v>452</v>
      </c>
      <c r="J67" s="258"/>
      <c r="K67" s="258"/>
      <c r="L67" s="258"/>
      <c r="M67" s="258"/>
      <c r="O67" s="258" t="s">
        <v>590</v>
      </c>
      <c r="P67" s="258" t="s">
        <v>590</v>
      </c>
      <c r="Q67" s="258" t="s">
        <v>591</v>
      </c>
      <c r="R67" s="258" t="s">
        <v>128</v>
      </c>
      <c r="S67" s="258" t="s">
        <v>379</v>
      </c>
      <c r="T67" s="258" t="s">
        <v>126</v>
      </c>
      <c r="U67" s="258" t="s">
        <v>134</v>
      </c>
    </row>
    <row r="68" spans="7:21">
      <c r="G68" s="258" t="s">
        <v>566</v>
      </c>
      <c r="H68" s="258" t="s">
        <v>104</v>
      </c>
      <c r="I68" s="258" t="s">
        <v>566</v>
      </c>
      <c r="J68" s="258"/>
      <c r="K68" s="258"/>
      <c r="L68" s="258"/>
      <c r="M68" s="258"/>
    </row>
    <row r="69" spans="7:21">
      <c r="G69" s="258" t="s">
        <v>581</v>
      </c>
      <c r="H69" s="258" t="s">
        <v>105</v>
      </c>
      <c r="I69" s="258" t="s">
        <v>581</v>
      </c>
      <c r="J69" s="258"/>
      <c r="K69" s="258"/>
      <c r="L69" s="258"/>
      <c r="M69" s="258"/>
    </row>
    <row r="70" spans="7:21">
      <c r="G70" s="258" t="s">
        <v>582</v>
      </c>
      <c r="H70" s="258" t="s">
        <v>104</v>
      </c>
      <c r="I70" s="258" t="s">
        <v>582</v>
      </c>
      <c r="J70" s="258"/>
      <c r="K70" s="258"/>
      <c r="L70" s="258"/>
      <c r="M70" s="258"/>
    </row>
    <row r="71" spans="7:21">
      <c r="G71" s="258" t="s">
        <v>590</v>
      </c>
      <c r="H71" s="258" t="s">
        <v>104</v>
      </c>
      <c r="I71" s="258" t="s">
        <v>590</v>
      </c>
      <c r="J71" s="258"/>
      <c r="K71" s="258"/>
      <c r="L71" s="258"/>
      <c r="M71" s="258"/>
    </row>
    <row r="72" spans="7:21">
      <c r="G72" s="258" t="s">
        <v>600</v>
      </c>
      <c r="H72" s="258" t="s">
        <v>105</v>
      </c>
      <c r="I72" s="258" t="s">
        <v>600</v>
      </c>
      <c r="J72" s="258"/>
      <c r="K72" s="258"/>
      <c r="L72" s="258"/>
      <c r="M72" s="258"/>
    </row>
    <row r="73" spans="7:21">
      <c r="G73" s="258" t="s">
        <v>600</v>
      </c>
      <c r="H73" s="258" t="s">
        <v>104</v>
      </c>
      <c r="I73" s="258" t="s">
        <v>590</v>
      </c>
      <c r="J73" s="258"/>
      <c r="K73" s="258"/>
      <c r="L73" s="258"/>
      <c r="M73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AH3:AH34">
      <formula1>INDIRECT("Direction[Code]")</formula1>
    </dataValidation>
    <dataValidation type="list" allowBlank="1" showInputMessage="1" showErrorMessage="1" sqref="AJ3:AJ34 AL3:AL34">
      <formula1>INDIRECT("YesNo[Code]")</formula1>
    </dataValidation>
    <dataValidation type="whole" allowBlank="1" showInputMessage="1" showErrorMessage="1" sqref="AK3:AK34">
      <formula1>1</formula1>
      <formula2>32767</formula2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6" t="s">
        <v>346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185"/>
    </row>
    <row r="3" spans="1:15" ht="15" customHeight="1">
      <c r="A3" s="349" t="s">
        <v>355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</row>
    <row r="4" spans="1:15" ht="37.5" customHeight="1">
      <c r="A4" s="342" t="s">
        <v>329</v>
      </c>
      <c r="B4" s="342" t="s">
        <v>347</v>
      </c>
      <c r="C4" s="344" t="s">
        <v>350</v>
      </c>
      <c r="D4" s="345"/>
      <c r="E4" s="342" t="s">
        <v>97</v>
      </c>
      <c r="F4" s="344" t="s">
        <v>576</v>
      </c>
      <c r="G4" s="346"/>
      <c r="H4" s="346"/>
      <c r="I4" s="346"/>
      <c r="J4" s="344" t="s">
        <v>577</v>
      </c>
      <c r="K4" s="346"/>
      <c r="L4" s="346"/>
      <c r="M4" s="346"/>
      <c r="N4" s="342" t="s">
        <v>351</v>
      </c>
      <c r="O4" s="347" t="s">
        <v>352</v>
      </c>
    </row>
    <row r="5" spans="1:15" ht="33.75" customHeight="1">
      <c r="A5" s="343"/>
      <c r="B5" s="343"/>
      <c r="C5" s="184" t="s">
        <v>348</v>
      </c>
      <c r="D5" s="184" t="s">
        <v>349</v>
      </c>
      <c r="E5" s="343"/>
      <c r="F5" s="286" t="s">
        <v>1</v>
      </c>
      <c r="G5" s="286" t="s">
        <v>2</v>
      </c>
      <c r="H5" s="286" t="s">
        <v>82</v>
      </c>
      <c r="I5" s="286" t="s">
        <v>69</v>
      </c>
      <c r="J5" s="286" t="s">
        <v>1</v>
      </c>
      <c r="K5" s="286" t="s">
        <v>2</v>
      </c>
      <c r="L5" s="286" t="s">
        <v>82</v>
      </c>
      <c r="M5" s="286" t="s">
        <v>69</v>
      </c>
      <c r="N5" s="343"/>
      <c r="O5" s="348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0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5"/>
      <c r="O7" s="265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49" t="s">
        <v>356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</row>
    <row r="12" spans="1:15" s="257" customFormat="1" ht="37.5" customHeight="1">
      <c r="A12" s="342" t="s">
        <v>329</v>
      </c>
      <c r="B12" s="342" t="s">
        <v>347</v>
      </c>
      <c r="C12" s="344" t="s">
        <v>350</v>
      </c>
      <c r="D12" s="345"/>
      <c r="E12" s="342" t="s">
        <v>97</v>
      </c>
      <c r="F12" s="344" t="s">
        <v>576</v>
      </c>
      <c r="G12" s="346"/>
      <c r="H12" s="346"/>
      <c r="I12" s="346"/>
      <c r="J12" s="344" t="s">
        <v>578</v>
      </c>
      <c r="K12" s="346"/>
      <c r="L12" s="346"/>
      <c r="M12" s="346"/>
      <c r="N12" s="342" t="s">
        <v>351</v>
      </c>
      <c r="O12" s="347" t="s">
        <v>352</v>
      </c>
    </row>
    <row r="13" spans="1:15" s="257" customFormat="1" ht="33.75" customHeight="1">
      <c r="A13" s="343"/>
      <c r="B13" s="343"/>
      <c r="C13" s="184" t="s">
        <v>348</v>
      </c>
      <c r="D13" s="184"/>
      <c r="E13" s="343"/>
      <c r="F13" s="286" t="s">
        <v>1</v>
      </c>
      <c r="G13" s="286" t="s">
        <v>2</v>
      </c>
      <c r="H13" s="286" t="s">
        <v>82</v>
      </c>
      <c r="I13" s="286" t="s">
        <v>69</v>
      </c>
      <c r="J13" s="286" t="s">
        <v>1</v>
      </c>
      <c r="K13" s="286" t="s">
        <v>2</v>
      </c>
      <c r="L13" s="286" t="s">
        <v>82</v>
      </c>
      <c r="M13" s="286" t="s">
        <v>69</v>
      </c>
      <c r="N13" s="343"/>
      <c r="O13" s="348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0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5"/>
      <c r="O15" s="265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49" t="s">
        <v>358</v>
      </c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</row>
    <row r="20" spans="1:15" s="257" customFormat="1" ht="37.5" customHeight="1">
      <c r="A20" s="342" t="s">
        <v>329</v>
      </c>
      <c r="B20" s="342" t="s">
        <v>347</v>
      </c>
      <c r="C20" s="344" t="s">
        <v>350</v>
      </c>
      <c r="D20" s="345"/>
      <c r="E20" s="342" t="s">
        <v>97</v>
      </c>
      <c r="F20" s="344" t="s">
        <v>576</v>
      </c>
      <c r="G20" s="346"/>
      <c r="H20" s="346"/>
      <c r="I20" s="346"/>
      <c r="J20" s="344" t="s">
        <v>578</v>
      </c>
      <c r="K20" s="346"/>
      <c r="L20" s="346"/>
      <c r="M20" s="346"/>
      <c r="N20" s="342" t="s">
        <v>351</v>
      </c>
      <c r="O20" s="347" t="s">
        <v>352</v>
      </c>
    </row>
    <row r="21" spans="1:15" s="257" customFormat="1" ht="33.75" customHeight="1">
      <c r="A21" s="343"/>
      <c r="B21" s="343"/>
      <c r="C21" s="184" t="s">
        <v>348</v>
      </c>
      <c r="D21" s="184"/>
      <c r="E21" s="343"/>
      <c r="F21" s="286" t="s">
        <v>1</v>
      </c>
      <c r="G21" s="286" t="s">
        <v>2</v>
      </c>
      <c r="H21" s="286" t="s">
        <v>82</v>
      </c>
      <c r="I21" s="286" t="s">
        <v>69</v>
      </c>
      <c r="J21" s="286" t="s">
        <v>1</v>
      </c>
      <c r="K21" s="286" t="s">
        <v>2</v>
      </c>
      <c r="L21" s="286" t="s">
        <v>82</v>
      </c>
      <c r="M21" s="286" t="s">
        <v>69</v>
      </c>
      <c r="N21" s="343"/>
      <c r="O21" s="348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0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5"/>
      <c r="O23" s="265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N12:N13"/>
    <mergeCell ref="O12:O13"/>
    <mergeCell ref="A12:A13"/>
    <mergeCell ref="E12:E13"/>
    <mergeCell ref="A20:A21"/>
    <mergeCell ref="N4:N5"/>
    <mergeCell ref="O4:O5"/>
    <mergeCell ref="B4:B5"/>
    <mergeCell ref="C4:D4"/>
    <mergeCell ref="E4:E5"/>
    <mergeCell ref="F4:I4"/>
    <mergeCell ref="J4:M4"/>
    <mergeCell ref="B20:B21"/>
    <mergeCell ref="C20:D20"/>
    <mergeCell ref="E20:E21"/>
    <mergeCell ref="F20:I20"/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</mergeCells>
  <conditionalFormatting sqref="J7">
    <cfRule type="expression" dxfId="362" priority="14">
      <formula>F7&lt;&gt;J7</formula>
    </cfRule>
  </conditionalFormatting>
  <conditionalFormatting sqref="K7">
    <cfRule type="expression" dxfId="361" priority="11">
      <formula>G7&lt;&gt;K7</formula>
    </cfRule>
  </conditionalFormatting>
  <conditionalFormatting sqref="L7">
    <cfRule type="expression" dxfId="360" priority="10">
      <formula>H7&lt;&gt;L7</formula>
    </cfRule>
  </conditionalFormatting>
  <conditionalFormatting sqref="M7">
    <cfRule type="expression" dxfId="359" priority="9">
      <formula>I7&lt;&gt;M7</formula>
    </cfRule>
  </conditionalFormatting>
  <conditionalFormatting sqref="J15">
    <cfRule type="expression" dxfId="358" priority="8">
      <formula>F15&lt;&gt;J15</formula>
    </cfRule>
  </conditionalFormatting>
  <conditionalFormatting sqref="K15">
    <cfRule type="expression" dxfId="357" priority="7">
      <formula>G15&lt;&gt;K15</formula>
    </cfRule>
  </conditionalFormatting>
  <conditionalFormatting sqref="L15">
    <cfRule type="expression" dxfId="356" priority="6">
      <formula>H15&lt;&gt;L15</formula>
    </cfRule>
  </conditionalFormatting>
  <conditionalFormatting sqref="M15">
    <cfRule type="expression" dxfId="355" priority="5">
      <formula>I15&lt;&gt;M15</formula>
    </cfRule>
  </conditionalFormatting>
  <conditionalFormatting sqref="J23">
    <cfRule type="expression" dxfId="354" priority="4">
      <formula>F23&lt;&gt;J23</formula>
    </cfRule>
  </conditionalFormatting>
  <conditionalFormatting sqref="K23">
    <cfRule type="expression" dxfId="353" priority="3">
      <formula>G23&lt;&gt;K23</formula>
    </cfRule>
  </conditionalFormatting>
  <conditionalFormatting sqref="L23">
    <cfRule type="expression" dxfId="352" priority="2">
      <formula>H23&lt;&gt;L23</formula>
    </cfRule>
  </conditionalFormatting>
  <conditionalFormatting sqref="M23">
    <cfRule type="expression" dxfId="351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591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53"/>
      <c r="B8" s="353"/>
      <c r="C8" s="353"/>
      <c r="D8" s="353"/>
      <c r="E8" s="353"/>
    </row>
    <row r="9" spans="1:6" ht="97.5" customHeight="1">
      <c r="A9" s="44"/>
      <c r="B9" s="354" t="s">
        <v>589</v>
      </c>
      <c r="C9" s="355"/>
      <c r="D9" s="355"/>
      <c r="E9" s="44"/>
    </row>
    <row r="10" spans="1:6" s="43" customFormat="1" ht="14.25" customHeight="1">
      <c r="A10" s="353"/>
      <c r="B10" s="353"/>
      <c r="C10" s="353"/>
      <c r="D10" s="353"/>
      <c r="E10" s="353"/>
    </row>
    <row r="11" spans="1:6" hidden="1">
      <c r="A11" s="350"/>
      <c r="B11" s="351"/>
      <c r="C11" s="351"/>
      <c r="D11" s="351"/>
      <c r="E11" s="3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17" t="s">
        <v>568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84" t="s">
        <v>566</v>
      </c>
      <c r="B3" s="282"/>
      <c r="C3" s="282"/>
      <c r="D3" s="282"/>
      <c r="E3" s="266"/>
      <c r="F3" s="266"/>
      <c r="G3" s="266"/>
      <c r="H3" s="266"/>
      <c r="I3" s="271"/>
      <c r="J3" s="163"/>
      <c r="K3" s="166"/>
      <c r="L3" s="165"/>
      <c r="M3" s="272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7" t="s">
        <v>249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</row>
    <row r="2" spans="1:12" ht="44.25" customHeight="1">
      <c r="A2" s="356" t="s">
        <v>327</v>
      </c>
      <c r="B2" s="356"/>
      <c r="C2" s="356"/>
      <c r="D2" s="356" t="s">
        <v>58</v>
      </c>
      <c r="E2" s="356"/>
      <c r="F2" s="356" t="s">
        <v>62</v>
      </c>
      <c r="G2" s="356" t="s">
        <v>52</v>
      </c>
      <c r="H2" s="356" t="s">
        <v>328</v>
      </c>
      <c r="I2" s="356" t="s">
        <v>329</v>
      </c>
      <c r="J2" s="356" t="s">
        <v>3</v>
      </c>
      <c r="K2" s="356" t="s">
        <v>325</v>
      </c>
      <c r="L2" s="3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56"/>
      <c r="G3" s="356" t="s">
        <v>41</v>
      </c>
      <c r="H3" s="356" t="s">
        <v>325</v>
      </c>
      <c r="I3" s="356"/>
      <c r="J3" s="356"/>
      <c r="K3" s="356"/>
      <c r="L3" s="3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4" t="s">
        <v>251</v>
      </c>
      <c r="B1" s="294"/>
      <c r="C1" s="294"/>
      <c r="D1" s="29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7" t="s">
        <v>252</v>
      </c>
      <c r="B1" s="358"/>
      <c r="C1" s="358"/>
      <c r="D1" s="358"/>
      <c r="E1" s="358"/>
    </row>
    <row r="2" spans="1:6" ht="19.5" customHeight="1">
      <c r="A2" s="359" t="s">
        <v>181</v>
      </c>
      <c r="B2" s="360"/>
      <c r="C2" s="360"/>
      <c r="D2" s="360"/>
      <c r="E2" s="3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0" t="s">
        <v>185</v>
      </c>
      <c r="E8" s="34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0" t="s">
        <v>187</v>
      </c>
      <c r="E11" s="34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62" t="s">
        <v>253</v>
      </c>
      <c r="B1" s="363"/>
      <c r="C1" s="363"/>
      <c r="D1" s="363"/>
      <c r="E1" s="363"/>
      <c r="F1" s="363"/>
      <c r="G1" s="363"/>
      <c r="H1" s="3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9" t="s">
        <v>194</v>
      </c>
      <c r="F7" s="369"/>
      <c r="G7" s="369"/>
      <c r="H7" s="3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70" t="s">
        <v>200</v>
      </c>
      <c r="F11" s="370"/>
      <c r="G11" s="370"/>
      <c r="H11" s="370"/>
    </row>
    <row r="12" spans="1:8">
      <c r="C12" s="53"/>
      <c r="D12" s="85"/>
      <c r="E12" s="366" t="s">
        <v>201</v>
      </c>
      <c r="F12" s="367"/>
      <c r="G12" s="368"/>
      <c r="H12" s="3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65" t="s">
        <v>219</v>
      </c>
      <c r="B22" s="365"/>
      <c r="C22" s="365"/>
      <c r="D22" s="365"/>
      <c r="E22" s="365"/>
      <c r="F22" s="3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6" t="s">
        <v>254</v>
      </c>
      <c r="B1" s="336"/>
      <c r="C1" s="336"/>
      <c r="D1" s="336"/>
      <c r="E1" s="336"/>
      <c r="F1" s="336"/>
      <c r="G1" s="336"/>
      <c r="H1" s="336"/>
      <c r="I1" s="33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548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555</v>
      </c>
      <c r="B6" s="331"/>
      <c r="C6" s="331"/>
      <c r="D6" s="331"/>
      <c r="E6" s="331"/>
      <c r="F6" s="331"/>
      <c r="G6" s="331"/>
      <c r="H6" s="331"/>
      <c r="I6" s="331"/>
      <c r="J6" s="280"/>
      <c r="K6" s="280"/>
      <c r="L6" s="280"/>
      <c r="M6" s="280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2" t="s">
        <v>547</v>
      </c>
      <c r="B8" s="265"/>
      <c r="C8" s="165"/>
      <c r="D8" s="166"/>
      <c r="E8" s="166"/>
      <c r="F8" s="166"/>
      <c r="G8" s="166"/>
      <c r="H8" s="166"/>
      <c r="I8" s="166"/>
    </row>
    <row r="11" spans="1:18">
      <c r="A11" s="331" t="s">
        <v>557</v>
      </c>
      <c r="B11" s="331"/>
      <c r="C11" s="331"/>
      <c r="D11" s="331"/>
      <c r="E11" s="331"/>
      <c r="F11" s="331"/>
      <c r="G11" s="280"/>
      <c r="H11" s="280"/>
      <c r="I11" s="280"/>
      <c r="J11" s="280"/>
      <c r="K11" s="280"/>
      <c r="L11" s="280"/>
      <c r="M11" s="280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2" t="s">
        <v>556</v>
      </c>
      <c r="B13" s="265"/>
      <c r="C13" s="165"/>
      <c r="D13" s="165"/>
      <c r="E13" s="283"/>
      <c r="F13" s="283"/>
    </row>
    <row r="15" spans="1:18">
      <c r="A15" s="331" t="s">
        <v>561</v>
      </c>
      <c r="B15" s="331"/>
      <c r="C15" s="331"/>
      <c r="D15" s="331"/>
      <c r="E15" s="331"/>
      <c r="F15" s="331"/>
      <c r="G15" s="331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2" t="s">
        <v>560</v>
      </c>
      <c r="B17" s="265"/>
      <c r="C17" s="165"/>
      <c r="D17" s="165"/>
      <c r="E17" s="283"/>
      <c r="F17" s="279"/>
      <c r="G17" s="283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72" t="s">
        <v>534</v>
      </c>
      <c r="B1" s="373"/>
      <c r="C1" s="373"/>
      <c r="D1" s="373"/>
      <c r="E1" s="373"/>
      <c r="F1" s="373"/>
      <c r="G1" s="373"/>
      <c r="H1" s="373"/>
      <c r="I1" s="373"/>
    </row>
    <row r="2" spans="1:9" ht="15.75">
      <c r="A2" s="112"/>
    </row>
    <row r="3" spans="1:9" ht="31.5" customHeight="1">
      <c r="A3" s="371" t="s">
        <v>262</v>
      </c>
      <c r="B3" s="371"/>
      <c r="C3" s="371"/>
      <c r="D3" s="371"/>
      <c r="E3" s="371"/>
      <c r="F3" s="371"/>
      <c r="G3" s="371"/>
      <c r="H3" s="37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72" t="s">
        <v>263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</row>
    <row r="2" spans="1:16" ht="15.75">
      <c r="A2" s="112"/>
      <c r="F2" s="112"/>
      <c r="G2" s="112"/>
      <c r="H2" s="112"/>
      <c r="I2" s="112"/>
    </row>
    <row r="3" spans="1:16" ht="31.5" customHeight="1">
      <c r="A3" s="374" t="s">
        <v>262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76" t="s">
        <v>310</v>
      </c>
      <c r="L4" s="376"/>
      <c r="M4" s="376"/>
      <c r="N4" s="377" t="s">
        <v>311</v>
      </c>
      <c r="O4" s="378"/>
      <c r="P4" s="37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6" t="s">
        <v>363</v>
      </c>
      <c r="B1" s="336"/>
      <c r="C1" s="336"/>
      <c r="D1" s="336"/>
      <c r="E1" s="336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80" t="s">
        <v>370</v>
      </c>
      <c r="B8" s="380"/>
      <c r="C8" s="380"/>
      <c r="D8" s="380"/>
      <c r="E8" s="380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81" t="s">
        <v>381</v>
      </c>
      <c r="B19" s="382"/>
      <c r="C19" s="382"/>
      <c r="D19" s="382"/>
      <c r="E19" s="383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31</vt:i4>
      </vt:variant>
    </vt:vector>
  </HeadingPairs>
  <TitlesOfParts>
    <vt:vector size="62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2018-03-08T08:25:03Z</dcterms:modified>
</cp:coreProperties>
</file>