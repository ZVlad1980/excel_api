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6" activeTab="1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error_report" sheetId="299" state="hidden" r:id="rId7"/>
    <sheet name="f2_vych_diff_periods" sheetId="403" state="hidden" r:id="rId8"/>
    <sheet name="f2_vych_diff_amounts" sheetId="400" state="hidden" r:id="rId9"/>
    <sheet name="f2_load_vych_errors" sheetId="321" state="hidden" r:id="rId10"/>
    <sheet name="f2_arh_spravki_errors" sheetId="298" state="hidden" r:id="rId11"/>
    <sheet name="f2_arh_batch_xml_head" sheetId="297" state="hidden" r:id="rId12"/>
    <sheet name="f2_ndfl_nalplat_pers" sheetId="295" state="hidden" r:id="rId13"/>
    <sheet name="f2_enumarate_error" sheetId="320" state="hidden" r:id="rId14"/>
    <sheet name="f2_load_vych_person" sheetId="332" state="hidden" r:id="rId15"/>
    <sheet name="Settings" sheetId="103" state="hidden" r:id="rId16"/>
    <sheet name="Отчеты" sheetId="6" r:id="rId17"/>
    <sheet name="synch_error_report" sheetId="283" state="hidden" r:id="rId18"/>
    <sheet name="ndfl6_part2" sheetId="249" state="hidden" r:id="rId19"/>
    <sheet name="ndfl6_part1_general" sheetId="71" state="hidden" r:id="rId20"/>
    <sheet name="ndfl6_part1_rates" sheetId="69" state="hidden" r:id="rId21"/>
    <sheet name="funds_employees" sheetId="73" state="hidden" r:id="rId22"/>
    <sheet name="funds_employees_report" sheetId="123" state="hidden" r:id="rId23"/>
    <sheet name="ndfl6_part1" sheetId="248" state="hidden" r:id="rId24"/>
    <sheet name="f2_ndfl_person_report" sheetId="474" state="hidden" r:id="rId25"/>
    <sheet name="tax_diff_report" sheetId="271" state="hidden" r:id="rId26"/>
    <sheet name="tax_diff_det_report" sheetId="282" state="hidden" r:id="rId27"/>
    <sheet name="cmp_f2ndfl_f6" sheetId="294" state="hidden" r:id="rId28"/>
    <sheet name="cmp_f2ndfl_pers" sheetId="28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4">f2_ndfl_person_report!$B$4</definedName>
    <definedName name="FIO">dv_sr_detail_report!$B$4</definedName>
    <definedName name="GF_PERSON" localSheetId="24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5">Settings!$B$16</definedName>
    <definedName name="report_year" localSheetId="15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1">[1]Отчеты!$C$2</definedName>
    <definedName name="ReportSelected" localSheetId="10">[1]Отчеты!$C$2</definedName>
    <definedName name="ReportSelected" localSheetId="6">[1]Отчеты!$C$2</definedName>
    <definedName name="ReportSelected" localSheetId="9">[1]Отчеты!$C$2</definedName>
    <definedName name="ReportSelected" localSheetId="14">[1]Отчеты!$C$2</definedName>
    <definedName name="ReportSelected" localSheetId="12">[1]Отчеты!$C$2</definedName>
    <definedName name="ReportSelected" localSheetId="8">[1]Отчеты!$C$2</definedName>
    <definedName name="ReportSelected" localSheetId="7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<sst xmlns="http://schemas.openxmlformats.org/spreadsheetml/2006/main" count="1772" uniqueCount="579">
  <si>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</si>
  <si>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</si>
  <si>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</si>
  <si>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</si>
  <si>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</si>
  <si>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</si>
  <si>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</si>
  <si>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</si>
  <si>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</si>
  <si>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</si>
  <si>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</si>
  <si>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</si>
  <si>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</si>
  <si>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</si>
  <si>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</si>
  <si>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</si>
  <si>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</si>
  <si>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</si>
  <si>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</si>
  <si>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</si>
  <si>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</si>
  <si>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</si>
  <si>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</si>
  <si>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</si>
  <si>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</si>
  <si>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</si>
  <si>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</si>
  <si>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</si>
  <si>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</si>
  <si>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</si>
  <si>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</si>
  <si>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</si>
  <si>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</si>
  <si>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</si>
  <si>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</si>
  <si>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</si>
  <si>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</si>
  <si>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</si>
  <si>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</si>
  <si>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</si>
  <si>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</si>
  <si>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</si>
  <si>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</si>
  <si>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</si>
  <si>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</si>
  <si>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</si>
  <si>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</si>
  <si>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</si>
  <si>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</si>
  <si>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</si>
  <si>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</si>
  <si>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</si>
  <si>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</si>
  <si>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</si>
  <si>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</si>
  <si>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</si>
  <si>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</si>
  <si>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</si>
  <si>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</si>
  <si>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</si>
  <si>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</si>
  <si>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</si>
  <si>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</si>
  <si>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</si>
  <si>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</si>
  <si>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</si>
  <si>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</si>
  <si>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</si>
  <si>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</si>
  <si>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</si>
  <si>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</si>
  <si>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</si>
  <si>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</si>
  <si>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</si>
  <si>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</si>
  <si>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</si>
  <si>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</si>
  <si>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</si>
  <si>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</si>
  <si>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</si>
  <si>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</si>
  <si>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</si>
  <si>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</si>
  <si>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</si>
  <si>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</si>
  <si>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</si>
  <si>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</si>
  <si>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</si>
  <si>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</si>
  <si>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</si>
  <si>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</si>
  <si>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</si>
  <si>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</si>
  <si>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</si>
  <si>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</si>
  <si>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</si>
  <si>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</si>
  <si>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</si>
  <si>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</si>
  <si>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</si>
  <si>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</si>
  <si>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</si>
  <si>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</si>
  <si>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</si>
  <si>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</si>
  <si>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</si>
  <si>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</si>
  <si>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</si>
  <si>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</si>
  <si>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</si>
  <si>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</si>
  <si>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</si>
  <si>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</si>
  <si>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</si>
  <si>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</si>
  <si>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</si>
  <si>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</si>
  <si>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</si>
  <si>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</si>
  <si>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</si>
  <si>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</si>
  <si>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</si>
  <si>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</si>
  <si>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</si>
  <si>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</si>
  <si>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</si>
  <si>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</si>
  <si>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</si>
  <si>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</si>
  <si>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</si>
  <si>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</si>
  <si>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</si>
  <si>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</si>
  <si>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</si>
  <si>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</si>
  <si>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</si>
  <si>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</si>
  <si>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</si>
  <si>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</si>
  <si>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</si>
  <si>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</si>
  <si>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</si>
  <si>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</si>
  <si>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</si>
  <si>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</si>
  <si>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</si>
  <si>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</si>
  <si>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</si>
  <si>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</si>
  <si>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</si>
  <si>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</si>
  <si>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</si>
  <si>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</si>
  <si>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</si>
  <si>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</si>
  <si>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</si>
  <si>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</si>
  <si>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</si>
  <si>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</si>
  <si>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</si>
  <si>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</si>
  <si>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</si>
  <si>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</si>
  <si>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</si>
  <si>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</si>
  <si>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</si>
  <si>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</si>
  <si>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</si>
  <si>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</si>
  <si>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</si>
  <si>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</si>
  <si>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</si>
  <si>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</si>
  <si>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</si>
  <si>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</si>
  <si>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</si>
  <si>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</si>
  <si>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</si>
  <si>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</si>
  <si>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</si>
  <si>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</si>
  <si>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</si>
  <si>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</si>
  <si>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</si>
  <si>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</si>
  <si>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</si>
  <si>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</si>
  <si>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</si>
  <si>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</si>
  <si>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</si>
  <si>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</si>
  <si>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</si>
  <si>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</si>
  <si>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</si>
  <si>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</si>
  <si>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</si>
  <si>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</si>
  <si>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</si>
  <si>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</si>
  <si>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</si>
  <si>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</si>
  <si>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</si>
  <si>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</si>
  <si>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</si>
  <si>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</si>
  <si>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</si>
  <si>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</si>
  <si>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</si>
  <si>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</si>
  <si>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</si>
  <si>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</si>
  <si>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</si>
  <si>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</si>
  <si>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</si>
  <si>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</si>
  <si>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</si>
  <si>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</si>
  <si>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</si>
  <si>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</si>
  <si>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</si>
  <si>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</si>
  <si>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</si>
  <si>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</si>
  <si>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</si>
  <si>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</si>
  <si>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</si>
  <si>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</si>
  <si>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</si>
  <si>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</si>
  <si>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</si>
  <si>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</si>
  <si>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</si>
  <si>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</si>
  <si>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</si>
  <si>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</si>
  <si>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</si>
  <si>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</si>
  <si>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</si>
  <si>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</si>
  <si>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</si>
  <si>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</si>
  <si>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</si>
  <si>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</si>
  <si>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</si>
  <si>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</si>
  <si>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</si>
  <si>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</si>
  <si>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</si>
  <si>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</si>
  <si>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</si>
  <si>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</si>
  <si>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</si>
  <si>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</si>
  <si>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</si>
  <si>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</si>
  <si>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</si>
  <si>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</si>
  <si>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</si>
  <si>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</si>
  <si>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</si>
  <si>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</si>
  <si>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</si>
  <si>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</si>
  <si>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</si>
  <si>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</si>
  <si>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</si>
  <si>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</si>
  <si>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</si>
  <si>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</si>
  <si>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</si>
  <si>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</si>
  <si>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</si>
  <si>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</si>
  <si>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</si>
  <si>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</si>
  <si>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</si>
  <si>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</si>
  <si>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</si>
  <si>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</si>
  <si>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</si>
  <si>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</si>
  <si>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</si>
  <si>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</si>
  <si>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</si>
  <si>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</si>
  <si>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</si>
  <si>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</si>
  <si>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</si>
  <si>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</si>
  <si>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</si>
  <si>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</si>
  <si>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</si>
  <si>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</si>
  <si>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</si>
  <si>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</si>
  <si>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</si>
  <si>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</si>
  <si>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</si>
  <si>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</si>
  <si>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</si>
  <si>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</si>
  <si>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</si>
  <si>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</si>
  <si>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</si>
  <si>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</si>
  <si>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</si>
  <si>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</si>
  <si>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</si>
  <si>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</si>
  <si>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</si>
  <si>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</si>
  <si>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</si>
  <si>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</si>
  <si>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</si>
  <si>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</si>
  <si>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</si>
  <si>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</si>
  <si>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</si>
  <si>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</si>
  <si>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</si>
  <si>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</si>
  <si>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</si>
  <si>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</si>
  <si>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</si>
  <si>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</si>
  <si>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</si>
  <si>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</si>
  <si>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</si>
  <si>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</si>
  <si>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</si>
  <si>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</si>
  <si>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</si>
  <si>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</si>
  <si>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</si>
  <si>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</si>
  <si>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</si>
  <si>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</si>
  <si>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</si>
  <si>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</si>
  <si>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</si>
  <si>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</si>
  <si>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</si>
  <si>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</si>
  <si>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</si>
  <si>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</si>
  <si>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</si>
  <si>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</si>
  <si>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</si>
  <si>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</si>
  <si>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</si>
  <si>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</si>
  <si>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</si>
  <si>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</si>
  <si>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</si>
  <si>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</si>
  <si>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</si>
  <si>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</si>
  <si>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</si>
  <si>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</si>
  <si>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</si>
  <si>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</si>
  <si>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</si>
  <si>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</si>
  <si>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</si>
  <si>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</si>
  <si>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</si>
  <si>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</si>
  <si>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</si>
  <si>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</si>
  <si>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</si>
  <si>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</si>
  <si>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</si>
  <si>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</si>
  <si>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</si>
  <si>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</si>
  <si>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</si>
  <si>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</si>
  <si>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</si>
  <si>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</si>
  <si>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</si>
  <si>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</si>
  <si>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</si>
  <si>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</si>
  <si>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</si>
  <si>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</si>
  <si>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</si>
  <si>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</si>
  <si>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</si>
  <si>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</si>
  <si>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</si>
  <si>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</si>
  <si>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</si>
  <si>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</si>
  <si>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</si>
  <si>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</si>
  <si>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</si>
  <si>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</si>
  <si>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</si>
  <si>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</si>
  <si>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</si>
  <si>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</si>
  <si>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</si>
  <si>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</si>
  <si>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</si>
  <si>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</si>
  <si>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</si>
  <si>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</si>
  <si>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</si>
  <si>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</si>
  <si>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</si>
  <si>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</si>
  <si>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</si>
  <si>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</si>
  <si>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</si>
  <si>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</si>
  <si>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</si>
  <si>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</si>
  <si>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</si>
  <si>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</si>
  <si>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</si>
  <si>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</si>
  <si>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</si>
  <si>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</si>
  <si>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</si>
  <si>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</si>
  <si>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</si>
  <si>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</si>
  <si>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</si>
  <si>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</si>
  <si>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</si>
  <si>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</si>
  <si>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</si>
  <si>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</si>
  <si>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</si>
  <si>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</si>
  <si>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</si>
  <si>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</si>
  <si>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</si>
  <si>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</si>
  <si>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</si>
  <si>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</si>
  <si>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</si>
  <si>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</si>
  <si>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</si>
  <si>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</si>
  <si>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</si>
  <si>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</si>
  <si>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</si>
  <si>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</si>
  <si>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</si>
  <si>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</si>
  <si>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</si>
  <si>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</si>
  <si>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</si>
  <si>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</si>
  <si>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</si>
  <si>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</si>
  <si>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</si>
  <si>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</si>
  <si>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</si>
  <si>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</si>
  <si>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</si>
  <si>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</si>
  <si>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</si>
  <si>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</si>
  <si>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</si>
  <si>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</si>
  <si>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</si>
  <si>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</si>
  <si>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</si>
  <si>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</si>
  <si>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</si>
  <si>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</si>
  <si>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</si>
  <si>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</si>
  <si>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</si>
  <si>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</si>
  <si>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</si>
  <si>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</si>
  <si>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</si>
  <si>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</si>
  <si>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</si>
  <si>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</si>
  <si>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</si>
  <si>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</si>
  <si>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</si>
  <si>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</si>
  <si>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</si>
  <si>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</si>
  <si>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</si>
  <si>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</si>
  <si>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</si>
  <si>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</si>
  <si>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</si>
  <si>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</si>
  <si>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</si>
  <si>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</si>
  <si>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</si>
  <si>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</si>
  <si>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</si>
  <si>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</si>
  <si>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</si>
  <si>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</si>
  <si>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</si>
  <si>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</si>
  <si>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</si>
  <si>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</si>
  <si>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</si>
  <si>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</si>
  <si>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</si>
  <si>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</si>
  <si>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</si>
  <si>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</si>
  <si>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</si>
  <si>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</si>
  <si>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</si>
  <si>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</si>
  <si>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</si>
  <si>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</si>
  <si>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</si>
  <si>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</si>
  <si>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</si>
  <si>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</si>
  <si>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</si>
  <si>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</si>
  <si>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</si>
  <si>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</si>
  <si>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</si>
  <si>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</si>
  <si>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</si>
  <si>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</si>
  <si>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</si>
  <si>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</si>
  <si>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</si>
  <si>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</si>
  <si>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</si>
  <si>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</si>
  <si>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</si>
  <si>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</si>
  <si>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</si>
  <si>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</si>
  <si>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</si>
  <si>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</si>
  <si>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</si>
  <si>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</si>
  <si>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</si>
  <si>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</si>
  <si>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</si>
  <si>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</si>
  <si>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</si>
  <si>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</si>
  <si>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</si>
  <si>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</si>
  <si>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</si>
  <si>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</si>
  <si>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</si>
  <si>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</si>
  <si>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</si>
  <si>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</si>
  <si>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</si>
  <si>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</si>
  <si>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</si>
  <si>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</si>
  <si>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</si>
  <si>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</si>
  <si>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</si>
  <si>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</si>
  <si>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</si>
  <si>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</si>
  <si>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</si>
  <si>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</si>
  <si>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</si>
  <si>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</si>
  <si>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</si>
  <si>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</si>
  <si>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</si>
  <si>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01.01.2017</t>
  </si>
  <si>
    <t>31.12.2017</t>
  </si>
  <si>
    <t>2НДФЛ Файлы XML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</si>
</sst>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86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85" dataDxfId="583" headerRowBorderDxfId="584" tableBorderDxfId="582" totalsRowBorderDxfId="581">
  <autoFilter ref="A4:J5"/>
  <tableColumns count="10">
    <tableColumn id="1" name="1" dataDxfId="580"/>
    <tableColumn id="2" name="2" dataDxfId="579"/>
    <tableColumn id="5" name="3" dataDxfId="578"/>
    <tableColumn id="6" name="4" dataDxfId="577"/>
    <tableColumn id="7" name="5" dataDxfId="576"/>
    <tableColumn id="10" name="6" dataDxfId="575"/>
    <tableColumn id="11" name="7" dataDxfId="574"/>
    <tableColumn id="12" name="8" dataDxfId="573"/>
    <tableColumn id="13" name="9" dataDxfId="572"/>
    <tableColumn id="14" name="10" dataDxfId="5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70" dataDxfId="568" headerRowBorderDxfId="569" tableBorderDxfId="567" totalsRowBorderDxfId="566">
  <autoFilter ref="A5:P6"/>
  <tableColumns count="16">
    <tableColumn id="1" name="1" dataDxfId="565"/>
    <tableColumn id="2" name="2" dataDxfId="564"/>
    <tableColumn id="3" name="3" dataDxfId="563"/>
    <tableColumn id="4" name="4" dataDxfId="562"/>
    <tableColumn id="5" name="5" dataDxfId="561"/>
    <tableColumn id="6" name="6" dataDxfId="560"/>
    <tableColumn id="7" name="7" dataDxfId="559"/>
    <tableColumn id="8" name="8" dataDxfId="558"/>
    <tableColumn id="9" name="9" dataDxfId="557"/>
    <tableColumn id="10" name="10" dataDxfId="556"/>
    <tableColumn id="11" name="11" dataDxfId="555"/>
    <tableColumn id="12" name="12" dataDxfId="554"/>
    <tableColumn id="13" name="13" dataDxfId="553"/>
    <tableColumn id="14" name="14" dataDxfId="552"/>
    <tableColumn id="15" name="15" dataDxfId="551"/>
    <tableColumn id="16" name="16" dataDxfId="5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49" dataDxfId="547" headerRowBorderDxfId="548" tableBorderDxfId="546" totalsRowBorderDxfId="545">
  <autoFilter ref="A3:I4">
    <filterColumn colId="1"/>
  </autoFilter>
  <tableColumns count="9">
    <tableColumn id="1" name="1" dataDxfId="544"/>
    <tableColumn id="3" name="2" dataDxfId="543"/>
    <tableColumn id="2" name="3" dataDxfId="542"/>
    <tableColumn id="5" name="4" dataDxfId="541"/>
    <tableColumn id="6" name="5" dataDxfId="540"/>
    <tableColumn id="7" name="6" dataDxfId="539"/>
    <tableColumn id="10" name="7" dataDxfId="538"/>
    <tableColumn id="11" name="8" dataDxfId="537"/>
    <tableColumn id="12" name="9" dataDxfId="5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35" dataDxfId="533" headerRowBorderDxfId="534" tableBorderDxfId="532" totalsRowBorderDxfId="531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30"/>
    <tableColumn id="20" name="2" dataDxfId="529"/>
    <tableColumn id="19" name="3" dataDxfId="528"/>
    <tableColumn id="18" name="4" dataDxfId="527"/>
    <tableColumn id="17" name="5" dataDxfId="526"/>
    <tableColumn id="23" name="6" dataDxfId="525"/>
    <tableColumn id="22" name="7" dataDxfId="524"/>
    <tableColumn id="21" name="8" dataDxfId="523"/>
    <tableColumn id="28" name="9" dataDxfId="522"/>
    <tableColumn id="29" name="10" dataDxfId="521"/>
    <tableColumn id="27" name="11" dataDxfId="520"/>
    <tableColumn id="26" name="12" dataDxfId="519"/>
    <tableColumn id="25" name="13" dataDxfId="518"/>
    <tableColumn id="5" name="14" dataDxfId="517"/>
    <tableColumn id="4" name="15" dataDxfId="516"/>
    <tableColumn id="3" name="16" dataDxfId="515"/>
    <tableColumn id="2" name="17" dataDxfId="514"/>
    <tableColumn id="24" name="18" dataDxfId="5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11" totalsRowDxfId="510">
  <tableColumns count="3">
    <tableColumn id="1" name="ВИД ВЫПЛАТЫ" totalsRowLabel="Итого" dataDxfId="509" totalsRowDxfId="508" dataCellStyle="Обычный 5"/>
    <tableColumn id="2" name="13%" totalsRowFunction="sum" dataDxfId="507" totalsRowDxfId="506" dataCellStyle="Обычный 5"/>
    <tableColumn id="3" name="30%" totalsRowFunction="sum" dataDxfId="505" totalsRowDxfId="504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03" dataDxfId="501" headerRowBorderDxfId="502" headerRowCellStyle="Обычный 5" dataCellStyle="Обычный 5">
  <tableColumns count="4">
    <tableColumn id="1" name="Сумма по ставкам" totalsRowFunction="sum" dataDxfId="500" totalsRowDxfId="499" dataCellStyle="Обычный 5"/>
    <tableColumn id="2" name="13%" dataDxfId="498" totalsRowDxfId="497" dataCellStyle="Обычный 5">
      <calculatedColumnFormula>B31+#REF!-Таблица42[[#This Row],[13%]]</calculatedColumnFormula>
    </tableColumn>
    <tableColumn id="3" name="30%" dataDxfId="496" totalsRowDxfId="495" dataCellStyle="Обычный 5"/>
    <tableColumn id="4" name="Расхождение по ставкам" dataDxfId="494" totalsRowDxfId="493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92" totalsRowDxfId="490" headerRowBorderDxfId="491" headerRowCellStyle="Обычный 5">
  <tableColumns count="8">
    <tableColumn id="1" name="ВИД ВЫПЛАТЫ" totalsRowLabel="Итого по ставке" dataDxfId="489" totalsRowDxfId="488" dataCellStyle="Обычный 5"/>
    <tableColumn id="2" name="13%" totalsRowFunction="sum" dataDxfId="487" totalsRowDxfId="486" dataCellStyle="Обычный 5"/>
    <tableColumn id="3" name="30%" totalsRowFunction="sum" dataDxfId="485" totalsRowDxfId="484" dataCellStyle="Обычный 5"/>
    <tableColumn id="4" name="Столбец1" totalsRowDxfId="483" dataCellStyle="Обычный 5"/>
    <tableColumn id="5" name="без исправлений" dataDxfId="482" totalsRowDxfId="481" dataCellStyle="Обычный 5"/>
    <tableColumn id="6" name="с корректоровкой" dataDxfId="480" totalsRowDxfId="479" dataCellStyle="Обычный 5"/>
    <tableColumn id="7" name="без исправлений2" dataDxfId="478" totalsRowDxfId="477" dataCellStyle="Обычный 5"/>
    <tableColumn id="8" name="с корректоровкой3" dataDxfId="476" totalsRowDxfId="475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474" dataDxfId="473">
  <autoFilter ref="A7:L8">
    <filterColumn colId="4"/>
    <filterColumn colId="11"/>
  </autoFilter>
  <tableColumns count="12">
    <tableColumn id="2" name="SSYLKA_FL" dataDxfId="472"/>
    <tableColumn id="3" name="NOM_VKL" dataDxfId="471"/>
    <tableColumn id="4" name="NOM_IPS" dataDxfId="470"/>
    <tableColumn id="5" name="Дата операции" dataDxfId="469"/>
    <tableColumn id="7" name="Дата документа" dataDxfId="468"/>
    <tableColumn id="6" name="Тип дохода" dataDxfId="467"/>
    <tableColumn id="8" name="Вычет" dataDxfId="466"/>
    <tableColumn id="9" name="Доход" dataDxfId="465"/>
    <tableColumn id="10" name="Налог" dataDxfId="464"/>
    <tableColumn id="11" name="№ документа" dataDxfId="463"/>
    <tableColumn id="12" name="№ корректируемого документа" dataDxfId="462"/>
    <tableColumn id="13" name="Ставка налога" dataDxfId="461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60" dataDxfId="459">
  <autoFilter ref="A12:L13"/>
  <tableColumns count="12">
    <tableColumn id="2" name="SSYLKA_FL" dataDxfId="458"/>
    <tableColumn id="3" name="NOM_VKL" dataDxfId="457"/>
    <tableColumn id="4" name="NOM_IPS" dataDxfId="456"/>
    <tableColumn id="5" name="Дата" dataDxfId="455"/>
    <tableColumn id="6" name="Тип дохода" dataDxfId="454"/>
    <tableColumn id="7" name="Тип операции" dataDxfId="453"/>
    <tableColumn id="8" name="Счет" dataDxfId="452"/>
    <tableColumn id="9" name="Субсчет" dataDxfId="451"/>
    <tableColumn id="10" name="Сумма" dataDxfId="450"/>
    <tableColumn id="11" name="№ документа" dataDxfId="449"/>
    <tableColumn id="12" name="№ корректирующего документа" dataDxfId="448"/>
    <tableColumn id="13" name="Ставка налога" dataDxfId="44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46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7" name="Таблица54138105108" displayName="Таблица54138105108" ref="A2:L3" totalsRowShown="0" headerRowDxfId="445" dataDxfId="443" headerRowBorderDxfId="444" tableBorderDxfId="442" totalsRowBorderDxfId="441">
  <autoFilter ref="A2:L3">
    <filterColumn colId="9"/>
    <filterColumn colId="10"/>
    <filterColumn colId="11"/>
  </autoFilter>
  <tableColumns count="12">
    <tableColumn id="1" name="Ssylka" dataDxfId="440"/>
    <tableColumn id="2" name="nom_vkl" dataDxfId="439"/>
    <tableColumn id="3" name="nom_ips" dataDxfId="438"/>
    <tableColumn id="4" name="ФИО" dataDxfId="437"/>
    <tableColumn id="5" name="Бух.счет" dataDxfId="436"/>
    <tableColumn id="6" name="Код вычета" dataDxfId="435"/>
    <tableColumn id="7" name="Период с" dataDxfId="434"/>
    <tableColumn id="8" name="Период по" dataDxfId="433"/>
    <tableColumn id="9" name="Период с_x000a_(БИТ)" dataDxfId="432"/>
    <tableColumn id="10" name="Период по_x000a_(БИТ)" dataDxfId="431"/>
    <tableColumn id="11" name="Сумма" dataDxfId="430"/>
    <tableColumn id="12" name="Применение вычета в движении" dataDxfId="4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4" name="Таблица54138105" displayName="Таблица54138105" ref="A2:K3" totalsRowShown="0" headerRowDxfId="428" dataDxfId="426" headerRowBorderDxfId="427" tableBorderDxfId="425" totalsRowBorderDxfId="424">
  <autoFilter ref="A2:K3">
    <filterColumn colId="9"/>
    <filterColumn colId="10"/>
  </autoFilter>
  <tableColumns count="11">
    <tableColumn id="1" name="Ssylka" dataDxfId="423"/>
    <tableColumn id="2" name="nom_vkl" dataDxfId="422"/>
    <tableColumn id="3" name="nom_ips" dataDxfId="421"/>
    <tableColumn id="4" name="ФИО" dataDxfId="420"/>
    <tableColumn id="5" name="Бух.счет" dataDxfId="419"/>
    <tableColumn id="6" name="Код вычета" dataDxfId="418"/>
    <tableColumn id="7" name="Период с" dataDxfId="417"/>
    <tableColumn id="8" name="Период по" dataDxfId="416"/>
    <tableColumn id="9" name="Сумма по движению" dataDxfId="415"/>
    <tableColumn id="10" name="Расчетная сумма по БИТ" dataDxfId="414"/>
    <tableColumn id="11" name="Расчетная сумма по БИТ_x000a_по счету" dataDxfId="41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7" name="Таблица54138" displayName="Таблица54138" ref="A2:K3" totalsRowShown="0" headerRowDxfId="412" dataDxfId="410" headerRowBorderDxfId="411" tableBorderDxfId="409" totalsRowBorderDxfId="408">
  <autoFilter ref="A2:K3">
    <filterColumn colId="9"/>
    <filterColumn colId="10"/>
  </autoFilter>
  <tableColumns count="11">
    <tableColumn id="1" name="Ssylka" dataDxfId="407"/>
    <tableColumn id="2" name="nom_vkl" dataDxfId="406"/>
    <tableColumn id="3" name="nom_ips" dataDxfId="405"/>
    <tableColumn id="4" name="ФИО" dataDxfId="404"/>
    <tableColumn id="5" name="Тип дохода" dataDxfId="403"/>
    <tableColumn id="6" name="Месяц" dataDxfId="402"/>
    <tableColumn id="7" name="Shifr_schet" dataDxfId="401"/>
    <tableColumn id="8" name="Код вычета_x000a_(ручн)" dataDxfId="400"/>
    <tableColumn id="9" name="Сумма вычета" dataDxfId="399"/>
    <tableColumn id="10" name="Наличие записей в SP_OGR_PV" dataDxfId="398"/>
    <tableColumn id="11" name="Наличие записей в BIT" dataDxfId="3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0" name="Таблица541" displayName="Таблица541" ref="A3:R4" totalsRowShown="0" headerRowDxfId="396" dataDxfId="394" headerRowBorderDxfId="395" tableBorderDxfId="393" totalsRowBorderDxfId="392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91"/>
    <tableColumn id="2" name="Ошибка" dataDxfId="390"/>
    <tableColumn id="3" name="ИД контрагента" dataDxfId="389"/>
    <tableColumn id="4" name="Фамилия" dataDxfId="388"/>
    <tableColumn id="5" name="Имя" dataDxfId="387"/>
    <tableColumn id="6" name="Отчество" dataDxfId="386"/>
    <tableColumn id="7" name="Дата рождения" dataDxfId="385"/>
    <tableColumn id="8" name="ИНН" dataDxfId="384"/>
    <tableColumn id="9" name="Гражданство" dataDxfId="383"/>
    <tableColumn id="10" name="Резидент" dataDxfId="382"/>
    <tableColumn id="11" name="Код УЛ" dataDxfId="381"/>
    <tableColumn id="12" name="Серия и номер УЛ" dataDxfId="380"/>
    <tableColumn id="13" name="№ справки" dataDxfId="379"/>
    <tableColumn id="19" name="ИНН2" dataDxfId="378"/>
    <tableColumn id="14" name="Гражданство2" dataDxfId="377"/>
    <tableColumn id="15" name="Резидент2" dataDxfId="376"/>
    <tableColumn id="16" name="Код УЛ2" dataDxfId="375"/>
    <tableColumn id="17" name="Серия и номер УЛ3" dataDxfId="37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Таблица444493347" displayName="Таблица444493347" ref="A2:H3" totalsRowShown="0" headerRowDxfId="373" dataDxfId="371" headerRowBorderDxfId="372" tableBorderDxfId="370" totalsRowBorderDxfId="369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68"/>
    <tableColumn id="14" name="Имя файла" dataDxfId="367"/>
    <tableColumn id="1" name="Количество справок" dataDxfId="366"/>
    <tableColumn id="16" name="Фамилия с" dataDxfId="365"/>
    <tableColumn id="17" name="Фамилия по" dataDxfId="364"/>
    <tableColumn id="2" name="№ справки с" dataDxfId="363"/>
    <tableColumn id="3" name="№ справки по" dataDxfId="362"/>
    <tableColumn id="25" name="Признак справки" dataDxfId="361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39" name="Таблица3348" displayName="Таблица3348" ref="A7:G9" totalsRowCount="1" headerRowDxfId="360" headerRowBorderDxfId="359" tableBorderDxfId="358" totalsRowBorderDxfId="357">
  <autoFilter ref="A7:G8"/>
  <tableColumns count="7">
    <tableColumn id="1" name="№_x000a_справки" totalsRowLabel="Итог" dataDxfId="356" totalsRowDxfId="355"/>
    <tableColumn id="2" name="Фамилия" dataDxfId="354" totalsRowDxfId="353"/>
    <tableColumn id="3" name="UI_PERSON" dataDxfId="352" totalsRowDxfId="351"/>
    <tableColumn id="4" name="Резидент" dataDxfId="350" totalsRowDxfId="349"/>
    <tableColumn id="5" name="Гражданство" dataDxfId="348" totalsRowDxfId="347"/>
    <tableColumn id="6" name="Задолженность" totalsRowFunction="sum" dataDxfId="346" totalsRowDxfId="345"/>
    <tableColumn id="7" name="Коррекция №" totalsRowFunction="count" dataDxfId="344" totalsRowDxfId="34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36" name="Таблица44449" displayName="Таблица44449" ref="A4:P5" totalsRowShown="0" headerRowDxfId="342" dataDxfId="34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40"/>
    <tableColumn id="14" name="2" dataDxfId="339"/>
    <tableColumn id="1" name="3" dataDxfId="338"/>
    <tableColumn id="16" name="4" dataDxfId="337"/>
    <tableColumn id="17" name="5" dataDxfId="336"/>
    <tableColumn id="2" name="6" dataDxfId="335"/>
    <tableColumn id="3" name="7" dataDxfId="334"/>
    <tableColumn id="25" name="8" dataDxfId="333"/>
    <tableColumn id="18" name="9" dataDxfId="332"/>
    <tableColumn id="19" name="10" dataDxfId="331"/>
    <tableColumn id="20" name="11" dataDxfId="330"/>
    <tableColumn id="21" name="12" dataDxfId="329"/>
    <tableColumn id="22" name="13" dataDxfId="328"/>
    <tableColumn id="23" name="14" dataDxfId="327"/>
    <tableColumn id="24" name="15" dataDxfId="326"/>
    <tableColumn id="26" name="16" dataDxfId="325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57" name="Таблица354258" displayName="Таблица354258" ref="A2:I3" headerRowDxfId="324" dataDxfId="322" totalsRowDxfId="320" headerRowBorderDxfId="323" tableBorderDxfId="321">
  <autoFilter ref="A2:I3"/>
  <tableColumns count="9">
    <tableColumn id="1" name="Таблица" totalsRowLabel="Итог" dataDxfId="319" totalsRowDxfId="318"/>
    <tableColumn id="3" name="SSYLKA" dataDxfId="317" totalsRowDxfId="316"/>
    <tableColumn id="4" name="Тип дохода" dataDxfId="315" totalsRowDxfId="314"/>
    <tableColumn id="5" name="Фамилия" dataDxfId="313" totalsRowDxfId="312"/>
    <tableColumn id="6" name="Имя" dataDxfId="311" totalsRowDxfId="310"/>
    <tableColumn id="8" name="Отчество" dataDxfId="309" totalsRowDxfId="308"/>
    <tableColumn id="9" name="ДР" dataDxfId="307" totalsRowDxfId="306"/>
    <tableColumn id="10" name="SSYLKA_REAL" dataDxfId="305" totalsRowDxfId="304"/>
    <tableColumn id="11" name="UI_PERSON" dataDxfId="303" totalsRowDxfId="30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01"/>
    <tableColumn id="2" name="FND_x000a_SSYLKA" dataDxfId="300"/>
    <tableColumn id="3" name="NOM_VKL" dataDxfId="299"/>
    <tableColumn id="4" name="NOM_IPS" dataDxfId="298"/>
    <tableColumn id="6" name="ФИО" dataDxfId="297"/>
    <tableColumn id="7" name="Дата_x000a_рождения" dataDxfId="296"/>
    <tableColumn id="8" name="Гражданство" dataDxfId="295"/>
    <tableColumn id="5" name="Столбец1" dataDxfId="294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1" name="Таблица4405152" displayName="Таблица4405152" ref="A7:H8" totalsRowShown="0" dataDxfId="293">
  <autoFilter ref="A7:H8">
    <filterColumn colId="6"/>
    <filterColumn colId="7"/>
  </autoFilter>
  <tableColumns count="8">
    <tableColumn id="2" name="Период с" dataDxfId="292"/>
    <tableColumn id="3" name="Период по" dataDxfId="291"/>
    <tableColumn id="4" name="Код вычета" dataDxfId="290"/>
    <tableColumn id="6" name="Сумма" dataDxfId="289"/>
    <tableColumn id="7" name="Описание" dataDxfId="288"/>
    <tableColumn id="8" name="Лимит дохода" dataDxfId="287"/>
    <tableColumn id="5" name="tdappid" dataDxfId="286"/>
    <tableColumn id="9" name="rid" dataDxfId="285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5" name="Таблица440515256" displayName="Таблица440515256" ref="A11:H12" totalsRowShown="0" dataDxfId="284">
  <autoFilter ref="A11:H12">
    <filterColumn colId="6"/>
    <filterColumn colId="7"/>
  </autoFilter>
  <tableColumns count="8">
    <tableColumn id="2" name="Период с" dataDxfId="283"/>
    <tableColumn id="3" name="Период по" dataDxfId="282"/>
    <tableColumn id="4" name="Shifr_schet" dataDxfId="281"/>
    <tableColumn id="6" name="Сумма" dataDxfId="280"/>
    <tableColumn id="7" name="Описание" dataDxfId="279"/>
    <tableColumn id="8" name="Лимит дохода" dataDxfId="278"/>
    <tableColumn id="5" name="tdappid" dataDxfId="277"/>
    <tableColumn id="9" name="rid" dataDxfId="27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6" name="Таблица44051525657" displayName="Таблица44051525657" ref="A15:G16" totalsRowShown="0" dataDxfId="275">
  <autoFilter ref="A15:G16">
    <filterColumn colId="6"/>
  </autoFilter>
  <tableColumns count="7">
    <tableColumn id="1" name="Дата операции" dataDxfId="274"/>
    <tableColumn id="2" name="Тип движения" dataDxfId="273"/>
    <tableColumn id="3" name="Счет" dataDxfId="272"/>
    <tableColumn id="4" name="Сумма" dataDxfId="271"/>
    <tableColumn id="6" name="Документ" dataDxfId="270"/>
    <tableColumn id="7" name="Корректирующий документ" dataDxfId="269"/>
    <tableColumn id="10" name="Субсчет" dataDxfId="268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9" name="Menu" displayName="Menu" ref="D2:E36" totalsRowShown="0">
  <autoFilter ref="D2:E3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0" name="Actions" displayName="Actions" ref="G2:L65" totalsRowShown="0">
  <autoFilter ref="G2:L65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2" name="Reports" displayName="Reports" ref="N2:T64" totalsRowShown="0">
  <autoFilter ref="N2:T6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4" name="GeneralOptions" displayName="GeneralOptions" ref="A2:B16" headerRowBorderDxfId="267" tableBorderDxfId="266" totalsRowBorderDxfId="265">
  <autoFilter ref="A2:B16"/>
  <tableColumns count="2">
    <tableColumn id="1" name="Key" totalsRowLabel="Итог" totalsRowDxfId="264"/>
    <tableColumn id="2" name="Value" totalsRowFunction="count" totalsRowDxfId="2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7" name="ActionTypes" displayName="ActionTypes" ref="AM2:AM4" totalsRowShown="0" tableBorderDxfId="262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261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16" name="Таблица16" displayName="Таблица16" ref="C3:C6" totalsRowShown="0" headerRowDxfId="260" dataDxfId="259" tableBorderDxfId="258">
  <tableColumns count="1">
    <tableColumn id="1" name="Столбец1" dataDxfId="257"/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id="34" name="Таблица2435" displayName="Таблица2435" ref="A4:L5" totalsRowShown="0" headerRowDxfId="256" dataDxfId="254" headerRowBorderDxfId="255" tableBorderDxfId="253" totalsRowBorderDxfId="252">
  <autoFilter ref="A4:L5">
    <filterColumn colId="1"/>
    <filterColumn colId="8"/>
    <filterColumn colId="9"/>
    <filterColumn colId="10"/>
    <filterColumn colId="11"/>
  </autoFilter>
  <tableColumns count="12">
    <tableColumn id="5" name="1" dataDxfId="251"/>
    <tableColumn id="3" name="2" dataDxfId="250"/>
    <tableColumn id="2" name="3" dataDxfId="249"/>
    <tableColumn id="6" name="4" dataDxfId="248"/>
    <tableColumn id="7" name="5" dataDxfId="247"/>
    <tableColumn id="10" name="6" dataDxfId="246"/>
    <tableColumn id="11" name="7" dataDxfId="245"/>
    <tableColumn id="12" name="8" dataDxfId="244"/>
    <tableColumn id="1" name="9" dataDxfId="243"/>
    <tableColumn id="4" name="10" dataDxfId="242"/>
    <tableColumn id="9" name="12" dataDxfId="241"/>
    <tableColumn id="8" name="11" dataDxfId="24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Таблица26" displayName="Таблица26" ref="B6:D7" totalsRowShown="0" headerRowDxfId="239" headerRowBorderDxfId="238" tableBorderDxfId="237" headerRowCellStyle="Обычный 4">
  <autoFilter ref="B6:D7"/>
  <tableColumns count="3">
    <tableColumn id="1" name="100" dataDxfId="236" dataCellStyle="Обычный 4"/>
    <tableColumn id="2" name="130" dataDxfId="235" dataCellStyle="Обычный 4"/>
    <tableColumn id="3" name="140" dataDxfId="234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33" dataDxfId="232"/>
  </tableColumns>
  <tableStyleInfo showFirstColumn="0" showLastColumn="0" showRowStripes="0" showColumnStripes="0"/>
</table>
</file>

<file path=xl/tables/table4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31" dataDxfId="230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4" name="Таблица4" displayName="Таблица4" ref="B5:E5" headerRowCount="0" totalsRowShown="0" headerRowDxfId="229" dataDxfId="228" tableBorderDxfId="227" totalsRowBorderDxfId="226">
  <tableColumns count="4">
    <tableColumn id="1" name="Столбец1" headerRowDxfId="225" dataDxfId="224" dataCellStyle="Обычный 4"/>
    <tableColumn id="2" name="Столбец2" headerRowDxfId="223" dataDxfId="222" headerRowCellStyle="Обычный 4" dataCellStyle="Обычный 4"/>
    <tableColumn id="3" name="Столбец3" headerRowDxfId="221" dataDxfId="220"/>
    <tableColumn id="4" name="Столбец4" headerRowDxfId="219" dataDxfId="218" headerRowCellStyle="Обычный 4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29" name="Таблица29" displayName="Таблица29" ref="A4:H5" headerRowCount="0" totalsRowCount="1" headerRowDxfId="217" dataDxfId="216">
  <tableColumns count="8">
    <tableColumn id="1" name="Столбец1" totalsRowLabel="Итого:" headerRowDxfId="215" dataDxfId="214" totalsRowDxfId="213"/>
    <tableColumn id="2" name="Столбец2" headerRowDxfId="212" dataDxfId="211" totalsRowDxfId="210"/>
    <tableColumn id="3" name="Столбец3" totalsRowFunction="sum" headerRowDxfId="209" dataDxfId="208" totalsRowDxfId="207"/>
    <tableColumn id="4" name="Столбец4" totalsRowFunction="sum" headerRowDxfId="206" dataDxfId="205" totalsRowDxfId="204"/>
    <tableColumn id="5" name="Столбец5" totalsRowFunction="sum" headerRowDxfId="203" dataDxfId="202" totalsRowDxfId="201"/>
    <tableColumn id="6" name="Столбец6" totalsRowFunction="sum" headerRowDxfId="200" dataDxfId="199" totalsRowDxfId="198"/>
    <tableColumn id="7" name="Столбец7" totalsRowFunction="sum" headerRowDxfId="197" dataDxfId="196" totalsRowDxfId="195"/>
    <tableColumn id="8" name="Столбец8" totalsRowFunction="sum" headerRowDxfId="194" dataDxfId="193" totalsRowDxfId="192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91" totalsRowDxfId="190"/>
    <tableColumn id="4" name="Столбец2" dataDxfId="189"/>
    <tableColumn id="5" name="итог" dataDxfId="18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87"/>
    <tableColumn id="2" name="Столбец2"/>
    <tableColumn id="3" name="Столбец3" totalsRowFunction="sum" headerRowDxfId="186" dataDxfId="185" totalsRowDxfId="184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47" name="Таблица47" displayName="Таблица47" ref="A23:F25" totalsRowCount="1" headerRowDxfId="183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82"/>
    <tableColumn id="5" name="Налог удержанный" totalsRowFunction="sum" dataDxfId="181"/>
    <tableColumn id="6" name="Разница" totalsRowFunction="sum" dataDxfId="18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8" name="Таблица8" displayName="Таблица8" ref="A1:D2" insertRow="1" totalsRowShown="0" headerRowDxfId="179" headerRowBorderDxfId="178" tableBorderDxfId="177" totalsRowBorderDxfId="176">
  <autoFilter ref="A1:D2">
    <filterColumn colId="2"/>
    <filterColumn colId="3"/>
  </autoFilter>
  <tableColumns count="4">
    <tableColumn id="1" name="ФИО" dataDxfId="175"/>
    <tableColumn id="5" name="Дата рождения" dataDxfId="174"/>
    <tableColumn id="2" name="Снилс"/>
    <tableColumn id="3" name="ИНН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5" name="Таблица8526" displayName="Таблица8526" ref="A2:I3" totalsRowShown="0" headerRowDxfId="173" headerRowBorderDxfId="172" tableBorderDxfId="171" totalsRowBorderDxfId="170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69"/>
    <tableColumn id="6" name="Имя" dataDxfId="168"/>
    <tableColumn id="4" name="Отчество" dataDxfId="167"/>
    <tableColumn id="5" name="Дата рождения" dataDxfId="166"/>
    <tableColumn id="3" name="ИНН" dataDxfId="165"/>
    <tableColumn id="1" name="Участник/Не участник" dataDxfId="164"/>
    <tableColumn id="2" name="Доход" dataDxfId="163"/>
    <tableColumn id="8" name="Пенсионные схемы" dataDxfId="162"/>
    <tableColumn id="9" name="Типы дохода" dataDxfId="16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101" name="Таблица44047102" displayName="Таблица44047102" ref="A7:I8" totalsRowShown="0" headerRowDxfId="160" dataDxfId="159">
  <autoFilter ref="A7:I8">
    <filterColumn colId="3"/>
  </autoFilter>
  <tableColumns count="9">
    <tableColumn id="3" name="№ справки" dataDxfId="158"/>
    <tableColumn id="4" name="№ корр" dataDxfId="157"/>
    <tableColumn id="5" name="Ставка налога" dataDxfId="156"/>
    <tableColumn id="7" name="Годовой доход" dataDxfId="155"/>
    <tableColumn id="6" name="Облагаемый доход" dataDxfId="154"/>
    <tableColumn id="8" name="Налог исчисленный" dataDxfId="153"/>
    <tableColumn id="9" name="Налог удержанный" dataDxfId="152"/>
    <tableColumn id="10" name="Переплата" dataDxfId="151"/>
    <tableColumn id="11" name="Недоплата" dataDxfId="150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2" name="Таблица4404762103122123" displayName="Таблица4404762103122123" ref="A12:F13" totalsRowShown="0" headerRowDxfId="149" dataDxfId="148">
  <autoFilter ref="A12:F13"/>
  <tableColumns count="6">
    <tableColumn id="3" name="№ справки" dataDxfId="147"/>
    <tableColumn id="4" name="№ корр" dataDxfId="146"/>
    <tableColumn id="5" name="Ставка налога" dataDxfId="145"/>
    <tableColumn id="6" name="Код вычета" dataDxfId="144"/>
    <tableColumn id="7" name="Сумма предоставленная" dataDxfId="143"/>
    <tableColumn id="8" name="Сумма использованная" dataDxfId="142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5" name="Таблица4404762103122123126" displayName="Таблица4404762103122123126" ref="A16:G17" totalsRowShown="0" headerRowDxfId="141" dataDxfId="140">
  <autoFilter ref="A16:G17">
    <filterColumn colId="6"/>
  </autoFilter>
  <tableColumns count="7">
    <tableColumn id="3" name="№ справки" dataDxfId="139"/>
    <tableColumn id="4" name="№ корр" dataDxfId="138"/>
    <tableColumn id="5" name="Ставка налога" dataDxfId="137"/>
    <tableColumn id="6" name="Код дохода" dataDxfId="136"/>
    <tableColumn id="7" name="Сумма дохода" dataDxfId="135"/>
    <tableColumn id="8" name="Код вычета" dataDxfId="134"/>
    <tableColumn id="1" name="Сумма вычета" dataDxfId="133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8" t="s">
        <v>248</v>
      </c>
      <c r="B1" s="299"/>
      <c r="C1" s="299"/>
      <c r="D1" s="299"/>
      <c r="E1" s="299"/>
      <c r="F1" s="299"/>
      <c r="G1" s="299"/>
      <c r="H1" s="299"/>
      <c r="I1" s="299"/>
      <c r="J1" s="299"/>
    </row>
    <row r="2" spans="1:10" ht="31.5" customHeight="1">
      <c r="A2" s="296" t="s">
        <v>4</v>
      </c>
      <c r="B2" s="296"/>
      <c r="C2" s="296"/>
      <c r="D2" s="296"/>
      <c r="E2" s="296"/>
      <c r="F2" s="297" t="s">
        <v>23</v>
      </c>
      <c r="G2" s="297"/>
      <c r="H2" s="297"/>
      <c r="I2" s="297"/>
      <c r="J2" s="297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00" t="s">
        <v>248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</row>
    <row r="2" spans="1:16" ht="31.5" customHeight="1">
      <c r="A2" s="305" t="s">
        <v>4</v>
      </c>
      <c r="B2" s="306"/>
      <c r="C2" s="306"/>
      <c r="D2" s="306"/>
      <c r="E2" s="306"/>
      <c r="F2" s="306"/>
      <c r="G2" s="306"/>
      <c r="H2" s="306"/>
      <c r="I2" s="307"/>
      <c r="J2" s="308" t="s">
        <v>23</v>
      </c>
      <c r="K2" s="309"/>
      <c r="L2" s="309"/>
      <c r="M2" s="309"/>
      <c r="N2" s="309"/>
      <c r="O2" s="309"/>
      <c r="P2" s="310"/>
    </row>
    <row r="3" spans="1:16" ht="24" customHeight="1">
      <c r="A3" s="311" t="s">
        <v>0</v>
      </c>
      <c r="B3" s="313" t="s">
        <v>29</v>
      </c>
      <c r="C3" s="313" t="s">
        <v>3</v>
      </c>
      <c r="D3" s="313" t="s">
        <v>30</v>
      </c>
      <c r="E3" s="315" t="s">
        <v>5</v>
      </c>
      <c r="F3" s="316"/>
      <c r="G3" s="317"/>
      <c r="H3" s="315" t="s">
        <v>6</v>
      </c>
      <c r="I3" s="318"/>
      <c r="J3" s="319" t="s">
        <v>28</v>
      </c>
      <c r="K3" s="319" t="s">
        <v>32</v>
      </c>
      <c r="L3" s="301" t="s">
        <v>5</v>
      </c>
      <c r="M3" s="302"/>
      <c r="N3" s="303"/>
      <c r="O3" s="301" t="s">
        <v>6</v>
      </c>
      <c r="P3" s="304"/>
    </row>
    <row r="4" spans="1:16" ht="38.25" customHeight="1">
      <c r="A4" s="312"/>
      <c r="B4" s="314"/>
      <c r="C4" s="314"/>
      <c r="D4" s="314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20"/>
      <c r="K4" s="320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00" t="s">
        <v>249</v>
      </c>
      <c r="B1" s="300"/>
      <c r="C1" s="300"/>
      <c r="D1" s="300"/>
      <c r="E1" s="300"/>
      <c r="F1" s="300"/>
      <c r="G1" s="300"/>
      <c r="H1" s="300"/>
      <c r="I1" s="300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21" t="s">
        <v>250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  <c r="Q1" s="321"/>
      <c r="R1" s="321"/>
    </row>
    <row r="2" spans="1:18" ht="31.5" customHeight="1">
      <c r="A2" s="296" t="s">
        <v>59</v>
      </c>
      <c r="B2" s="296"/>
      <c r="C2" s="296"/>
      <c r="D2" s="296"/>
      <c r="E2" s="296" t="s">
        <v>58</v>
      </c>
      <c r="F2" s="296"/>
      <c r="G2" s="296"/>
      <c r="H2" s="296"/>
      <c r="I2" s="296"/>
      <c r="J2" s="296"/>
      <c r="K2" s="322" t="s">
        <v>52</v>
      </c>
      <c r="L2" s="322" t="s">
        <v>53</v>
      </c>
      <c r="M2" s="322" t="s">
        <v>38</v>
      </c>
      <c r="N2" s="322" t="s">
        <v>54</v>
      </c>
      <c r="O2" s="296" t="s">
        <v>60</v>
      </c>
      <c r="P2" s="296"/>
      <c r="Q2" s="296"/>
      <c r="R2" s="296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2"/>
      <c r="L3" s="322"/>
      <c r="M3" s="322"/>
      <c r="N3" s="322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5" t="s">
        <v>292</v>
      </c>
      <c r="B1" s="326"/>
      <c r="C1" s="326"/>
      <c r="D1" s="326"/>
      <c r="E1" s="326"/>
      <c r="F1" s="326"/>
      <c r="G1" s="326"/>
      <c r="H1" s="326"/>
    </row>
    <row r="2" spans="1:8" ht="15.75" customHeight="1">
      <c r="A2" s="330"/>
      <c r="B2" s="330"/>
      <c r="C2" s="330"/>
      <c r="D2" s="330"/>
      <c r="E2" s="330"/>
      <c r="F2" s="330"/>
      <c r="G2" s="330"/>
      <c r="H2" s="330"/>
    </row>
    <row r="3" spans="1:8" ht="27" customHeight="1">
      <c r="A3" s="327" t="s">
        <v>267</v>
      </c>
      <c r="B3" s="327"/>
      <c r="C3" s="327"/>
      <c r="D3" s="117"/>
      <c r="E3" s="327" t="s">
        <v>268</v>
      </c>
      <c r="F3" s="327"/>
      <c r="G3" s="327"/>
      <c r="H3" s="327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8" t="s">
        <v>283</v>
      </c>
      <c r="B18" s="328"/>
      <c r="C18" s="328"/>
      <c r="D18" s="119"/>
      <c r="E18" s="328" t="s">
        <v>284</v>
      </c>
      <c r="F18" s="328"/>
      <c r="G18" s="328"/>
      <c r="H18" s="328"/>
    </row>
    <row r="19" spans="1:8" ht="14.25" customHeight="1">
      <c r="A19" s="328"/>
      <c r="B19" s="328"/>
      <c r="C19" s="328"/>
      <c r="D19" s="118"/>
      <c r="E19" s="329" t="s">
        <v>269</v>
      </c>
      <c r="F19" s="329"/>
      <c r="G19" s="329" t="s">
        <v>270</v>
      </c>
      <c r="H19" s="329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3" t="s">
        <v>299</v>
      </c>
      <c r="B41" s="324"/>
      <c r="D41" s="117"/>
    </row>
    <row r="42" spans="1:8">
      <c r="A42" s="323"/>
      <c r="B42" s="324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12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62" customWidth="1"/>
    <col min="2" max="2" width="12.140625" style="262" customWidth="1"/>
    <col min="3" max="4" width="10.140625" style="262" customWidth="1"/>
    <col min="5" max="6" width="13.85546875" style="262" customWidth="1"/>
    <col min="7" max="7" width="17.140625" style="262" customWidth="1"/>
    <col min="8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21" t="s">
        <v>554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293" t="s">
        <v>555</v>
      </c>
      <c r="B3" s="331"/>
      <c r="C3" s="331"/>
      <c r="D3" s="331"/>
      <c r="E3" s="331"/>
      <c r="F3" s="331"/>
      <c r="G3" s="331"/>
      <c r="H3" s="292"/>
      <c r="I3" s="292"/>
      <c r="J3" s="292"/>
      <c r="K3" s="292"/>
      <c r="L3" s="292"/>
      <c r="M3" s="292"/>
      <c r="N3" s="292"/>
    </row>
    <row r="4" spans="1:18">
      <c r="A4" s="293" t="s">
        <v>556</v>
      </c>
      <c r="B4" s="333"/>
      <c r="C4" s="333"/>
      <c r="D4" s="333"/>
      <c r="E4" s="333"/>
      <c r="F4" s="333"/>
      <c r="G4" s="333"/>
      <c r="H4" s="292"/>
      <c r="I4" s="292"/>
      <c r="J4" s="292"/>
      <c r="K4" s="292"/>
      <c r="L4" s="292"/>
      <c r="M4" s="292"/>
      <c r="N4" s="292"/>
    </row>
    <row r="5" spans="1:18" ht="9" customHeight="1"/>
    <row r="6" spans="1:18">
      <c r="A6" s="332" t="s">
        <v>552</v>
      </c>
      <c r="B6" s="332"/>
      <c r="C6" s="332"/>
      <c r="D6" s="332"/>
      <c r="E6" s="332"/>
      <c r="F6" s="332"/>
      <c r="G6" s="332"/>
      <c r="H6" s="332"/>
      <c r="I6" s="332"/>
      <c r="J6" s="332"/>
      <c r="K6" s="332"/>
      <c r="L6" s="332"/>
      <c r="M6" s="332"/>
    </row>
    <row r="7" spans="1:18" ht="45" customHeight="1">
      <c r="A7" s="246" t="s">
        <v>543</v>
      </c>
      <c r="B7" s="246" t="s">
        <v>502</v>
      </c>
      <c r="C7" s="247" t="s">
        <v>503</v>
      </c>
      <c r="D7" s="247" t="s">
        <v>35</v>
      </c>
      <c r="E7" s="247" t="s">
        <v>548</v>
      </c>
      <c r="F7" s="247" t="s">
        <v>3</v>
      </c>
      <c r="G7" s="247" t="s">
        <v>2</v>
      </c>
      <c r="H7" s="248" t="s">
        <v>1</v>
      </c>
      <c r="I7" s="249" t="s">
        <v>309</v>
      </c>
      <c r="J7" s="247" t="s">
        <v>544</v>
      </c>
      <c r="K7" s="246" t="s">
        <v>549</v>
      </c>
      <c r="L7" s="246" t="s">
        <v>545</v>
      </c>
    </row>
    <row r="8" spans="1:18">
      <c r="A8" s="263" t="s">
        <v>547</v>
      </c>
      <c r="B8" s="163"/>
      <c r="C8" s="163"/>
      <c r="D8" s="290"/>
      <c r="E8" s="290"/>
      <c r="F8" s="282"/>
      <c r="G8" s="166"/>
      <c r="H8" s="166"/>
      <c r="I8" s="166"/>
      <c r="J8" s="163"/>
      <c r="K8" s="163"/>
      <c r="L8" s="165"/>
    </row>
    <row r="11" spans="1:18">
      <c r="A11" s="332" t="s">
        <v>551</v>
      </c>
      <c r="B11" s="332"/>
      <c r="C11" s="332"/>
      <c r="D11" s="332"/>
      <c r="E11" s="332"/>
      <c r="F11" s="332"/>
      <c r="G11" s="332"/>
      <c r="H11" s="332"/>
      <c r="I11" s="332"/>
      <c r="J11" s="332"/>
      <c r="K11" s="332"/>
      <c r="L11" s="332"/>
      <c r="M11" s="332"/>
    </row>
    <row r="12" spans="1:18" ht="45" customHeight="1">
      <c r="A12" s="246" t="s">
        <v>543</v>
      </c>
      <c r="B12" s="246" t="s">
        <v>502</v>
      </c>
      <c r="C12" s="247" t="s">
        <v>503</v>
      </c>
      <c r="D12" s="247" t="s">
        <v>47</v>
      </c>
      <c r="E12" s="247" t="s">
        <v>3</v>
      </c>
      <c r="F12" s="247" t="s">
        <v>326</v>
      </c>
      <c r="G12" s="247" t="s">
        <v>38</v>
      </c>
      <c r="H12" s="248" t="s">
        <v>39</v>
      </c>
      <c r="I12" s="249" t="s">
        <v>40</v>
      </c>
      <c r="J12" s="247" t="s">
        <v>544</v>
      </c>
      <c r="K12" s="246" t="s">
        <v>550</v>
      </c>
      <c r="L12" s="246" t="s">
        <v>545</v>
      </c>
    </row>
    <row r="13" spans="1:18">
      <c r="A13" s="289" t="s">
        <v>540</v>
      </c>
      <c r="B13" s="163"/>
      <c r="C13" s="163"/>
      <c r="D13" s="290"/>
      <c r="E13" s="282"/>
      <c r="F13" s="282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21" t="s">
        <v>432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244"/>
      <c r="N1" s="244"/>
      <c r="O1" s="244"/>
      <c r="P1" s="244"/>
      <c r="Q1" s="244"/>
      <c r="R1" s="244"/>
    </row>
    <row r="2" spans="1:18" ht="45" customHeight="1">
      <c r="A2" s="245" t="s">
        <v>433</v>
      </c>
      <c r="B2" s="246" t="s">
        <v>434</v>
      </c>
      <c r="C2" s="246" t="s">
        <v>435</v>
      </c>
      <c r="D2" s="247" t="s">
        <v>100</v>
      </c>
      <c r="E2" s="247" t="s">
        <v>416</v>
      </c>
      <c r="F2" s="247" t="s">
        <v>63</v>
      </c>
      <c r="G2" s="247" t="s">
        <v>64</v>
      </c>
      <c r="H2" s="247" t="s">
        <v>65</v>
      </c>
      <c r="I2" s="248" t="s">
        <v>436</v>
      </c>
      <c r="J2" s="249" t="s">
        <v>437</v>
      </c>
      <c r="K2" s="247" t="s">
        <v>438</v>
      </c>
      <c r="L2" s="250" t="s">
        <v>439</v>
      </c>
      <c r="M2" s="246" t="s">
        <v>325</v>
      </c>
    </row>
    <row r="3" spans="1:18">
      <c r="A3" t="s">
        <v>440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21" t="s">
        <v>533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2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534</v>
      </c>
      <c r="J2" s="264" t="s">
        <v>535</v>
      </c>
      <c r="K2" s="269" t="s">
        <v>40</v>
      </c>
      <c r="L2" s="260" t="s">
        <v>536</v>
      </c>
    </row>
    <row r="3" spans="1:12">
      <c r="A3" s="287" t="s">
        <v>531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21" t="s">
        <v>525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1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527</v>
      </c>
      <c r="J2" s="269" t="s">
        <v>528</v>
      </c>
      <c r="K2" s="260" t="s">
        <v>529</v>
      </c>
    </row>
    <row r="3" spans="1:11">
      <c r="A3" s="257" t="s">
        <v>523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21" t="s">
        <v>479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</row>
    <row r="2" spans="1:11" ht="65.25" customHeight="1">
      <c r="A2" s="237" t="s">
        <v>480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481</v>
      </c>
      <c r="H2" s="238" t="s">
        <v>482</v>
      </c>
      <c r="I2" s="238" t="s">
        <v>483</v>
      </c>
      <c r="J2" s="239" t="s">
        <v>485</v>
      </c>
      <c r="K2" s="260" t="s">
        <v>486</v>
      </c>
    </row>
    <row r="3" spans="1:11">
      <c r="A3" s="257" t="s">
        <v>477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8" t="s">
        <v>420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U1" t="s">
        <v>421</v>
      </c>
    </row>
    <row r="2" spans="1:21" ht="18" customHeight="1">
      <c r="A2" s="334" t="s">
        <v>421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5" t="e">
        <f>report_year-1</f>
        <v>#VALUE!</v>
      </c>
      <c r="N2" s="335"/>
      <c r="O2" s="335"/>
      <c r="P2" s="335"/>
      <c r="Q2" s="335"/>
      <c r="R2" s="335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61" t="s">
        <v>494</v>
      </c>
      <c r="N3" s="261" t="s">
        <v>426</v>
      </c>
      <c r="O3" s="261" t="s">
        <v>427</v>
      </c>
      <c r="P3" s="261" t="s">
        <v>428</v>
      </c>
      <c r="Q3" s="261" t="s">
        <v>429</v>
      </c>
      <c r="R3" s="261" t="s">
        <v>430</v>
      </c>
    </row>
    <row r="4" spans="1:21">
      <c r="A4" s="29" t="s">
        <v>538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21" t="s">
        <v>402</v>
      </c>
      <c r="B1" s="321"/>
      <c r="C1" s="321"/>
      <c r="D1" s="321"/>
      <c r="E1" s="321"/>
      <c r="F1" s="321"/>
      <c r="G1" s="321"/>
      <c r="H1" s="321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21" t="s">
        <v>412</v>
      </c>
      <c r="B6" s="321"/>
      <c r="C6" s="321"/>
      <c r="D6" s="321"/>
      <c r="E6" s="321"/>
      <c r="F6" s="321"/>
      <c r="G6" s="321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8" t="s">
        <v>393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8" customHeight="1">
      <c r="A2" s="336" t="s">
        <v>394</v>
      </c>
      <c r="B2" s="336"/>
      <c r="C2" s="336"/>
      <c r="D2" s="336"/>
      <c r="E2" s="336"/>
      <c r="F2" s="336"/>
      <c r="G2" s="336"/>
      <c r="H2" s="336" t="s">
        <v>395</v>
      </c>
      <c r="I2" s="336"/>
      <c r="J2" s="336"/>
      <c r="K2" s="336"/>
      <c r="L2" s="336"/>
      <c r="M2" s="336"/>
      <c r="N2" s="336"/>
      <c r="O2" s="336"/>
      <c r="P2" s="336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7" t="s">
        <v>468</v>
      </c>
      <c r="B1" s="337"/>
      <c r="C1" s="337"/>
      <c r="D1" s="337"/>
      <c r="E1" s="337"/>
      <c r="F1" s="337"/>
      <c r="G1" s="337"/>
      <c r="H1" s="337"/>
      <c r="I1" s="337"/>
      <c r="J1" s="187"/>
    </row>
    <row r="2" spans="1:10" ht="39.75" customHeight="1">
      <c r="A2" s="33" t="s">
        <v>470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471</v>
      </c>
      <c r="H2" s="47" t="s">
        <v>472</v>
      </c>
      <c r="I2" s="34" t="s">
        <v>414</v>
      </c>
    </row>
    <row r="3" spans="1:10">
      <c r="A3" s="240" t="s">
        <v>467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21" t="s">
        <v>501</v>
      </c>
      <c r="B1" s="321"/>
      <c r="C1" s="321"/>
      <c r="D1" s="321"/>
      <c r="E1" s="321"/>
      <c r="F1" s="321"/>
      <c r="G1" s="321"/>
      <c r="H1" s="321"/>
      <c r="I1" s="244"/>
      <c r="J1" s="244"/>
    </row>
    <row r="2" spans="1:10" ht="24" customHeight="1">
      <c r="A2" s="246" t="s">
        <v>521</v>
      </c>
      <c r="B2" s="246" t="s">
        <v>434</v>
      </c>
      <c r="C2" s="246" t="s">
        <v>502</v>
      </c>
      <c r="D2" s="247" t="s">
        <v>503</v>
      </c>
      <c r="E2" s="247" t="s">
        <v>97</v>
      </c>
      <c r="F2" s="248" t="s">
        <v>436</v>
      </c>
      <c r="G2" s="247" t="s">
        <v>416</v>
      </c>
      <c r="H2" s="278" t="s">
        <v>135</v>
      </c>
    </row>
    <row r="3" spans="1:10">
      <c r="A3" s="271" t="s">
        <v>489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39" t="s">
        <v>515</v>
      </c>
      <c r="B6" s="339"/>
      <c r="C6" s="339"/>
      <c r="D6" s="339"/>
      <c r="E6" s="339"/>
      <c r="F6" s="339"/>
      <c r="G6" s="339"/>
      <c r="H6" s="339"/>
    </row>
    <row r="7" spans="1:10">
      <c r="A7" s="246" t="s">
        <v>504</v>
      </c>
      <c r="B7" s="246" t="s">
        <v>505</v>
      </c>
      <c r="C7" s="247" t="s">
        <v>506</v>
      </c>
      <c r="D7" s="247" t="s">
        <v>40</v>
      </c>
      <c r="E7" s="248" t="s">
        <v>507</v>
      </c>
      <c r="F7" s="247" t="s">
        <v>508</v>
      </c>
      <c r="G7" s="247" t="s">
        <v>509</v>
      </c>
      <c r="H7" s="247" t="s">
        <v>510</v>
      </c>
    </row>
    <row r="8" spans="1:10">
      <c r="A8" s="272" t="s">
        <v>490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38" t="s">
        <v>518</v>
      </c>
      <c r="B10" s="339"/>
      <c r="C10" s="339"/>
      <c r="D10" s="339"/>
      <c r="E10" s="339"/>
      <c r="F10" s="339"/>
      <c r="G10" s="339"/>
      <c r="H10" s="339"/>
    </row>
    <row r="11" spans="1:10">
      <c r="A11" s="246" t="s">
        <v>504</v>
      </c>
      <c r="B11" s="246" t="s">
        <v>505</v>
      </c>
      <c r="C11" s="247" t="s">
        <v>481</v>
      </c>
      <c r="D11" s="247" t="s">
        <v>40</v>
      </c>
      <c r="E11" s="248" t="s">
        <v>507</v>
      </c>
      <c r="F11" s="247" t="s">
        <v>508</v>
      </c>
      <c r="G11" s="247" t="s">
        <v>509</v>
      </c>
      <c r="H11" s="247" t="s">
        <v>510</v>
      </c>
    </row>
    <row r="12" spans="1:10">
      <c r="A12" s="270" t="s">
        <v>491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39" t="s">
        <v>516</v>
      </c>
      <c r="B14" s="339"/>
      <c r="C14" s="339"/>
      <c r="D14" s="339"/>
      <c r="E14" s="339"/>
      <c r="F14" s="339"/>
      <c r="G14" s="339"/>
    </row>
    <row r="15" spans="1:10" ht="25.5">
      <c r="A15" s="246" t="s">
        <v>35</v>
      </c>
      <c r="B15" s="246" t="s">
        <v>511</v>
      </c>
      <c r="C15" s="246" t="s">
        <v>38</v>
      </c>
      <c r="D15" s="247" t="s">
        <v>40</v>
      </c>
      <c r="E15" s="247" t="s">
        <v>512</v>
      </c>
      <c r="F15" s="247" t="s">
        <v>513</v>
      </c>
      <c r="G15" s="247" t="s">
        <v>39</v>
      </c>
    </row>
    <row r="16" spans="1:10">
      <c r="A16" s="270" t="s">
        <v>492</v>
      </c>
      <c r="B16" s="282"/>
      <c r="C16" s="272"/>
      <c r="D16" s="115"/>
      <c r="E16" s="280"/>
      <c r="F16" s="273"/>
      <c r="G16" s="273"/>
    </row>
    <row r="18" spans="1:5" ht="30" customHeight="1">
      <c r="A18" s="339" t="s">
        <v>517</v>
      </c>
      <c r="B18" s="339"/>
      <c r="C18" s="339"/>
      <c r="D18" s="339"/>
      <c r="E18" s="339"/>
    </row>
    <row r="19" spans="1:5" ht="15.75" thickBot="1">
      <c r="A19" s="274" t="s">
        <v>3</v>
      </c>
      <c r="B19" s="274" t="s">
        <v>57</v>
      </c>
      <c r="C19" s="275" t="s">
        <v>506</v>
      </c>
      <c r="D19" s="275" t="s">
        <v>40</v>
      </c>
      <c r="E19" s="274" t="s">
        <v>514</v>
      </c>
    </row>
    <row r="20" spans="1:5" ht="15.75" thickTop="1">
      <c r="A20" s="276" t="s">
        <v>493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ettings"/>
  <dimension ref="A1:BH65"/>
  <sheetViews>
    <sheetView topLeftCell="A13" workbookViewId="0">
      <selection activeCell="D37" sqref="D3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40" t="s">
        <v>115</v>
      </c>
      <c r="B1" s="340"/>
      <c r="D1" s="341" t="s">
        <v>116</v>
      </c>
      <c r="E1" s="341"/>
      <c r="G1" s="341" t="s">
        <v>111</v>
      </c>
      <c r="H1" s="341"/>
      <c r="I1" s="341"/>
      <c r="J1" s="341"/>
      <c r="K1" s="341"/>
      <c r="L1" s="341"/>
      <c r="N1" s="341" t="s">
        <v>106</v>
      </c>
      <c r="O1" s="341"/>
      <c r="P1" s="341"/>
      <c r="Q1" s="341"/>
      <c r="R1" s="341"/>
      <c r="S1" s="341"/>
      <c r="T1" s="341"/>
      <c r="V1" s="341" t="s">
        <v>112</v>
      </c>
      <c r="W1" s="341"/>
      <c r="Y1" s="341" t="s">
        <v>103</v>
      </c>
      <c r="Z1" s="341"/>
      <c r="AA1" s="341"/>
      <c r="AB1" s="341"/>
      <c r="AC1" s="341"/>
      <c r="AE1" s="341" t="s">
        <v>143</v>
      </c>
      <c r="AF1" s="341"/>
      <c r="AG1" s="341"/>
      <c r="AH1" s="341"/>
      <c r="AI1" s="341"/>
      <c r="AJ1" s="341"/>
      <c r="AK1" s="341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42" t="s">
        <v>245</v>
      </c>
      <c r="BF1" s="342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443</v>
      </c>
      <c r="L2" t="s">
        <v>465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464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3" t="s">
        <v>561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f2_arh_batch_xml_head</v>
      </c>
      <c r="D6" s="252" t="s">
        <v>441</v>
      </c>
      <c r="E6" s="177" t="s">
        <v>442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3" t="s">
        <v>562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561</v>
      </c>
    </row>
    <row r="7" spans="1:60">
      <c r="A7" s="39" t="s">
        <v>149</v>
      </c>
      <c r="B7" s="263"/>
      <c r="D7" t="s">
        <v>445</v>
      </c>
      <c r="E7" s="177" t="s">
        <v>446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3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576</v>
      </c>
      <c r="D8" t="s">
        <v>474</v>
      </c>
      <c r="E8" s="177" t="s">
        <v>461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577</v>
      </c>
      <c r="D9" s="252" t="s">
        <v>441</v>
      </c>
      <c r="E9" s="177" t="s">
        <v>442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3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3" t="s">
        <v>577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464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444</v>
      </c>
      <c r="B11" s="263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447</v>
      </c>
      <c r="Z11" s="177" t="s">
        <v>161</v>
      </c>
      <c r="AA11" s="177" t="s">
        <v>141</v>
      </c>
      <c r="AB11" s="177"/>
      <c r="AC11" s="177" t="s">
        <v>448</v>
      </c>
      <c r="AE11" s="46" t="s">
        <v>180</v>
      </c>
      <c r="AF11" s="177" t="s">
        <v>340</v>
      </c>
      <c r="AG11" s="6" t="s">
        <v>148</v>
      </c>
      <c r="AH11" s="263" t="s">
        <v>561</v>
      </c>
      <c r="AI11" s="6" t="s">
        <v>141</v>
      </c>
      <c r="AJ11" s="6">
        <v>4</v>
      </c>
      <c r="AK11" s="6" t="s">
        <v>140</v>
      </c>
    </row>
    <row r="12" spans="1:60">
      <c r="A12" s="177" t="s">
        <v>452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449</v>
      </c>
      <c r="Z12" s="177" t="s">
        <v>161</v>
      </c>
      <c r="AA12" s="177" t="s">
        <v>141</v>
      </c>
      <c r="AB12" s="177"/>
      <c r="AC12" s="263" t="s">
        <v>450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495</v>
      </c>
      <c r="B13" s="263" t="s">
        <v>521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3" t="s">
        <v>497</v>
      </c>
      <c r="Z13" s="263" t="s">
        <v>161</v>
      </c>
      <c r="AA13" s="263" t="s">
        <v>141</v>
      </c>
      <c r="AB13" s="263"/>
      <c r="AC13" s="263" t="s">
        <v>498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496</v>
      </c>
      <c r="B14" s="263">
        <v>2359657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3" t="s">
        <v>519</v>
      </c>
      <c r="Z14" s="263" t="s">
        <v>161</v>
      </c>
      <c r="AA14" s="263" t="s">
        <v>141</v>
      </c>
      <c r="AB14" s="263"/>
      <c r="AC14" s="263" t="s">
        <v>520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3" t="s">
        <v>561</v>
      </c>
      <c r="B15" s="263">
        <v>2017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3" t="s">
        <v>561</v>
      </c>
      <c r="AI15" s="177" t="s">
        <v>141</v>
      </c>
      <c r="AJ15" s="177">
        <v>4</v>
      </c>
      <c r="AK15" s="177" t="s">
        <v>140</v>
      </c>
    </row>
    <row r="16" spans="1:60">
      <c r="A16" s="263" t="s">
        <v>562</v>
      </c>
      <c r="B16" s="263">
        <v>12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3" t="s">
        <v>562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3" t="s">
        <v>561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447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447</v>
      </c>
      <c r="AF20" s="177" t="s">
        <v>451</v>
      </c>
      <c r="AG20" s="177" t="s">
        <v>148</v>
      </c>
      <c r="AH20" s="177" t="s">
        <v>454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447</v>
      </c>
      <c r="AF21" s="177" t="s">
        <v>340</v>
      </c>
      <c r="AG21" s="177" t="s">
        <v>148</v>
      </c>
      <c r="AH21" s="263" t="s">
        <v>561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462</v>
      </c>
      <c r="W22" s="177" t="s">
        <v>411</v>
      </c>
      <c r="AE22" s="45" t="s">
        <v>447</v>
      </c>
      <c r="AF22" s="177" t="s">
        <v>342</v>
      </c>
      <c r="AG22" s="177" t="s">
        <v>148</v>
      </c>
      <c r="AH22" s="263" t="s">
        <v>562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462</v>
      </c>
      <c r="W23" s="177" t="s">
        <v>419</v>
      </c>
      <c r="AE23" s="45" t="s">
        <v>449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487</v>
      </c>
      <c r="W24" s="177" t="s">
        <v>489</v>
      </c>
      <c r="AE24" s="45" t="s">
        <v>449</v>
      </c>
      <c r="AF24" s="177" t="s">
        <v>453</v>
      </c>
      <c r="AG24" s="177" t="s">
        <v>148</v>
      </c>
      <c r="AH24" s="177" t="s">
        <v>444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487</v>
      </c>
      <c r="W25" s="177" t="s">
        <v>490</v>
      </c>
      <c r="AE25" s="45" t="s">
        <v>449</v>
      </c>
      <c r="AF25" s="177" t="s">
        <v>451</v>
      </c>
      <c r="AG25" s="177" t="s">
        <v>148</v>
      </c>
      <c r="AH25" s="177" t="s">
        <v>454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487</v>
      </c>
      <c r="W26" s="177" t="s">
        <v>491</v>
      </c>
      <c r="AE26" s="45" t="s">
        <v>449</v>
      </c>
      <c r="AF26" s="177" t="s">
        <v>340</v>
      </c>
      <c r="AG26" s="177" t="s">
        <v>148</v>
      </c>
      <c r="AH26" s="263" t="s">
        <v>561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441</v>
      </c>
      <c r="E27" s="177" t="s">
        <v>442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487</v>
      </c>
      <c r="W27" s="177" t="s">
        <v>492</v>
      </c>
      <c r="AE27" s="45" t="s">
        <v>497</v>
      </c>
      <c r="AF27" s="263" t="s">
        <v>499</v>
      </c>
      <c r="AG27" s="263" t="s">
        <v>148</v>
      </c>
      <c r="AH27" s="263" t="s">
        <v>495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487</v>
      </c>
      <c r="W28" s="177" t="s">
        <v>493</v>
      </c>
      <c r="AE28" s="45" t="s">
        <v>497</v>
      </c>
      <c r="AF28" s="262" t="s">
        <v>500</v>
      </c>
      <c r="AG28" s="263" t="s">
        <v>148</v>
      </c>
      <c r="AH28" s="263" t="s">
        <v>496</v>
      </c>
      <c r="AI28" t="s">
        <v>141</v>
      </c>
      <c r="AJ28">
        <v>512</v>
      </c>
      <c r="AK28" s="263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3" t="s">
        <v>541</v>
      </c>
      <c r="W29" s="263" t="s">
        <v>540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3" t="s">
        <v>541</v>
      </c>
      <c r="W30" s="263" t="s">
        <v>547</v>
      </c>
    </row>
    <row r="31" spans="4:37">
      <c r="D31" s="177" t="s">
        <v>475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3" t="s">
        <v>541</v>
      </c>
      <c r="W31" s="263" t="s">
        <v>553</v>
      </c>
    </row>
    <row r="32" spans="4:37">
      <c r="D32" s="263" t="s">
        <v>539</v>
      </c>
      <c r="E32" s="263" t="s">
        <v>537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3" t="s">
        <v>557</v>
      </c>
      <c r="W32" s="263" t="s">
        <v>553</v>
      </c>
    </row>
    <row r="33" spans="4:23">
      <c r="D33" s="263" t="s">
        <v>476</v>
      </c>
      <c r="E33" s="177" t="s">
        <v>477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3" t="s">
        <v>557</v>
      </c>
      <c r="W33" s="263" t="s">
        <v>559</v>
      </c>
    </row>
    <row r="34" spans="4:23">
      <c r="D34" s="263" t="s">
        <v>522</v>
      </c>
      <c r="E34" s="263" t="s">
        <v>523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3" t="s">
        <v>557</v>
      </c>
      <c r="W34" s="263" t="s">
        <v>568</v>
      </c>
    </row>
    <row r="35" spans="4:23">
      <c r="D35" s="263" t="s">
        <v>530</v>
      </c>
      <c r="E35" s="263" t="s">
        <v>531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3" t="s">
        <v>557</v>
      </c>
      <c r="W35" s="263" t="s">
        <v>572</v>
      </c>
    </row>
    <row r="36" spans="4:23">
      <c r="D36" s="263" t="s">
        <v>578</v>
      </c>
      <c r="E36" s="263" t="s">
        <v>462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455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440</v>
      </c>
      <c r="O40" s="177" t="s">
        <v>440</v>
      </c>
      <c r="P40" s="177" t="s">
        <v>457</v>
      </c>
      <c r="Q40" s="177" t="s">
        <v>128</v>
      </c>
      <c r="R40" s="177" t="s">
        <v>380</v>
      </c>
      <c r="S40" s="177" t="s">
        <v>126</v>
      </c>
      <c r="T40" s="177" t="s">
        <v>134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462</v>
      </c>
      <c r="O41" s="177" t="s">
        <v>462</v>
      </c>
      <c r="P41" s="177" t="s">
        <v>463</v>
      </c>
      <c r="Q41" t="s">
        <v>128</v>
      </c>
      <c r="R41" s="177"/>
      <c r="T41" t="s">
        <v>118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411</v>
      </c>
      <c r="O42" s="177" t="s">
        <v>190</v>
      </c>
      <c r="P42" s="177" t="s">
        <v>411</v>
      </c>
      <c r="Q42" t="s">
        <v>128</v>
      </c>
      <c r="R42" s="177" t="s">
        <v>380</v>
      </c>
      <c r="S42" t="s">
        <v>126</v>
      </c>
      <c r="T42" t="s">
        <v>134</v>
      </c>
    </row>
    <row r="43" spans="4:23">
      <c r="G43" s="177" t="s">
        <v>466</v>
      </c>
      <c r="H43" s="45" t="s">
        <v>105</v>
      </c>
      <c r="I43" s="45" t="s">
        <v>447</v>
      </c>
      <c r="J43" s="45"/>
      <c r="K43" s="45"/>
      <c r="L43" s="45"/>
      <c r="N43" s="177" t="s">
        <v>419</v>
      </c>
      <c r="O43" s="177" t="s">
        <v>190</v>
      </c>
      <c r="P43" s="177" t="s">
        <v>419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177" t="s">
        <v>466</v>
      </c>
      <c r="H44" s="45" t="s">
        <v>104</v>
      </c>
      <c r="I44" s="45" t="s">
        <v>401</v>
      </c>
      <c r="J44" t="s">
        <v>464</v>
      </c>
      <c r="L44" s="45" t="s">
        <v>447</v>
      </c>
      <c r="N44" s="177" t="s">
        <v>467</v>
      </c>
      <c r="O44" s="177" t="s">
        <v>467</v>
      </c>
      <c r="P44" s="177" t="s">
        <v>469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446</v>
      </c>
      <c r="H45" s="45" t="s">
        <v>105</v>
      </c>
      <c r="I45" s="45" t="s">
        <v>449</v>
      </c>
      <c r="J45" s="45"/>
      <c r="K45" s="45" t="s">
        <v>456</v>
      </c>
      <c r="L45" s="45"/>
      <c r="N45" s="177" t="s">
        <v>431</v>
      </c>
      <c r="O45" s="177" t="s">
        <v>431</v>
      </c>
      <c r="P45" s="177" t="s">
        <v>473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446</v>
      </c>
      <c r="H46" s="177" t="s">
        <v>104</v>
      </c>
      <c r="I46" s="177" t="s">
        <v>440</v>
      </c>
      <c r="K46" s="177"/>
      <c r="L46" s="45" t="s">
        <v>456</v>
      </c>
      <c r="N46" s="177" t="s">
        <v>477</v>
      </c>
      <c r="O46" s="177" t="s">
        <v>477</v>
      </c>
      <c r="P46" s="177" t="s">
        <v>478</v>
      </c>
      <c r="Q46" s="177" t="s">
        <v>128</v>
      </c>
      <c r="R46" s="177" t="s">
        <v>380</v>
      </c>
      <c r="S46" s="177" t="s">
        <v>126</v>
      </c>
      <c r="T46" s="177" t="s">
        <v>134</v>
      </c>
    </row>
    <row r="47" spans="4:23">
      <c r="G47" s="177" t="s">
        <v>446</v>
      </c>
      <c r="H47" s="177" t="s">
        <v>105</v>
      </c>
      <c r="I47" s="177" t="s">
        <v>449</v>
      </c>
      <c r="J47" s="177"/>
      <c r="K47" s="177" t="s">
        <v>458</v>
      </c>
      <c r="L47" s="177"/>
      <c r="N47" s="177" t="s">
        <v>487</v>
      </c>
      <c r="O47" s="177" t="s">
        <v>487</v>
      </c>
      <c r="P47" s="177" t="s">
        <v>488</v>
      </c>
      <c r="Q47" s="177" t="s">
        <v>128</v>
      </c>
      <c r="R47" s="177" t="s">
        <v>380</v>
      </c>
      <c r="S47" s="177"/>
      <c r="T47" t="s">
        <v>118</v>
      </c>
    </row>
    <row r="48" spans="4:23">
      <c r="G48" s="177" t="s">
        <v>446</v>
      </c>
      <c r="H48" s="177" t="s">
        <v>104</v>
      </c>
      <c r="I48" s="177" t="s">
        <v>477</v>
      </c>
      <c r="K48" s="177"/>
      <c r="L48" s="177"/>
      <c r="N48" s="263" t="s">
        <v>489</v>
      </c>
      <c r="O48" s="263" t="s">
        <v>190</v>
      </c>
      <c r="P48" s="263" t="s">
        <v>489</v>
      </c>
      <c r="Q48" s="262" t="s">
        <v>128</v>
      </c>
      <c r="R48" s="263" t="s">
        <v>380</v>
      </c>
      <c r="S48" s="262" t="s">
        <v>126</v>
      </c>
      <c r="T48" s="262" t="s">
        <v>134</v>
      </c>
    </row>
    <row r="49" spans="7:20">
      <c r="G49" s="177" t="s">
        <v>446</v>
      </c>
      <c r="H49" s="177" t="s">
        <v>104</v>
      </c>
      <c r="I49" s="177" t="s">
        <v>361</v>
      </c>
      <c r="K49" s="177"/>
      <c r="L49" s="177"/>
      <c r="N49" s="177" t="s">
        <v>490</v>
      </c>
      <c r="O49" s="177" t="s">
        <v>190</v>
      </c>
      <c r="P49" s="177" t="s">
        <v>490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446</v>
      </c>
      <c r="H50" s="177" t="s">
        <v>104</v>
      </c>
      <c r="I50" s="177" t="s">
        <v>374</v>
      </c>
      <c r="J50" t="s">
        <v>464</v>
      </c>
      <c r="K50" s="177"/>
      <c r="L50" s="177" t="s">
        <v>458</v>
      </c>
      <c r="N50" s="177" t="s">
        <v>491</v>
      </c>
      <c r="O50" s="177" t="s">
        <v>190</v>
      </c>
      <c r="P50" s="177" t="s">
        <v>491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446</v>
      </c>
      <c r="H51" s="177" t="s">
        <v>105</v>
      </c>
      <c r="I51" s="177" t="s">
        <v>449</v>
      </c>
      <c r="J51" s="177"/>
      <c r="K51" s="177" t="s">
        <v>459</v>
      </c>
      <c r="L51" s="177"/>
      <c r="N51" s="177" t="s">
        <v>492</v>
      </c>
      <c r="O51" s="177" t="s">
        <v>190</v>
      </c>
      <c r="P51" s="177" t="s">
        <v>492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446</v>
      </c>
      <c r="H52" s="177" t="s">
        <v>104</v>
      </c>
      <c r="I52" s="177" t="s">
        <v>467</v>
      </c>
      <c r="K52" s="177"/>
      <c r="L52" s="177"/>
      <c r="N52" s="177" t="s">
        <v>493</v>
      </c>
      <c r="O52" s="177" t="s">
        <v>190</v>
      </c>
      <c r="P52" s="177" t="s">
        <v>493</v>
      </c>
      <c r="Q52" t="s">
        <v>128</v>
      </c>
      <c r="R52" s="177" t="s">
        <v>380</v>
      </c>
      <c r="S52" t="s">
        <v>126</v>
      </c>
      <c r="T52" t="s">
        <v>134</v>
      </c>
    </row>
    <row r="53" spans="7:20">
      <c r="G53" s="177" t="s">
        <v>446</v>
      </c>
      <c r="H53" s="177" t="s">
        <v>104</v>
      </c>
      <c r="I53" s="177" t="s">
        <v>431</v>
      </c>
      <c r="J53" t="s">
        <v>464</v>
      </c>
      <c r="K53" s="177"/>
      <c r="L53" s="177" t="s">
        <v>459</v>
      </c>
      <c r="N53" s="263" t="s">
        <v>523</v>
      </c>
      <c r="O53" s="263" t="s">
        <v>523</v>
      </c>
      <c r="P53" s="263" t="s">
        <v>524</v>
      </c>
      <c r="Q53" s="262" t="s">
        <v>128</v>
      </c>
      <c r="R53" s="263" t="s">
        <v>380</v>
      </c>
      <c r="S53" s="262" t="s">
        <v>126</v>
      </c>
      <c r="T53" s="262" t="s">
        <v>134</v>
      </c>
    </row>
    <row r="54" spans="7:20">
      <c r="G54" s="177" t="s">
        <v>446</v>
      </c>
      <c r="H54" s="177" t="s">
        <v>105</v>
      </c>
      <c r="I54" s="177" t="s">
        <v>449</v>
      </c>
      <c r="J54" s="177"/>
      <c r="K54" s="177" t="s">
        <v>460</v>
      </c>
      <c r="L54" s="177"/>
      <c r="N54" s="263" t="s">
        <v>531</v>
      </c>
      <c r="O54" s="263" t="s">
        <v>531</v>
      </c>
      <c r="P54" s="263" t="s">
        <v>532</v>
      </c>
      <c r="Q54" s="262" t="s">
        <v>128</v>
      </c>
      <c r="R54" s="263" t="s">
        <v>380</v>
      </c>
      <c r="S54" s="262" t="s">
        <v>126</v>
      </c>
      <c r="T54" s="262" t="s">
        <v>134</v>
      </c>
    </row>
    <row r="55" spans="7:20">
      <c r="G55" s="177" t="s">
        <v>461</v>
      </c>
      <c r="H55" s="177" t="s">
        <v>105</v>
      </c>
      <c r="I55" s="177" t="s">
        <v>449</v>
      </c>
      <c r="J55" s="177"/>
      <c r="K55" s="177" t="s">
        <v>461</v>
      </c>
      <c r="L55" s="177"/>
      <c r="N55" s="263" t="s">
        <v>537</v>
      </c>
      <c r="O55" s="263" t="s">
        <v>431</v>
      </c>
      <c r="P55" s="263" t="s">
        <v>473</v>
      </c>
      <c r="Q55" s="262" t="s">
        <v>128</v>
      </c>
      <c r="R55" s="263" t="s">
        <v>380</v>
      </c>
      <c r="S55" s="262" t="s">
        <v>126</v>
      </c>
      <c r="T55" s="262" t="s">
        <v>134</v>
      </c>
    </row>
    <row r="56" spans="7:20">
      <c r="G56" s="177" t="s">
        <v>461</v>
      </c>
      <c r="H56" s="177" t="s">
        <v>104</v>
      </c>
      <c r="I56" s="177" t="s">
        <v>462</v>
      </c>
      <c r="J56" s="177"/>
      <c r="K56" s="177"/>
      <c r="L56" s="177"/>
      <c r="N56" s="263" t="s">
        <v>541</v>
      </c>
      <c r="O56" s="263" t="s">
        <v>541</v>
      </c>
      <c r="P56" s="263" t="s">
        <v>542</v>
      </c>
      <c r="Q56" s="263" t="s">
        <v>128</v>
      </c>
      <c r="R56" s="263" t="s">
        <v>380</v>
      </c>
      <c r="S56" s="263"/>
      <c r="T56" s="262" t="s">
        <v>118</v>
      </c>
    </row>
    <row r="57" spans="7:20">
      <c r="G57" s="177" t="s">
        <v>431</v>
      </c>
      <c r="H57" s="177" t="s">
        <v>104</v>
      </c>
      <c r="I57" s="177" t="s">
        <v>431</v>
      </c>
      <c r="J57" s="177"/>
      <c r="K57" s="177"/>
      <c r="L57" s="177"/>
      <c r="N57" s="263" t="s">
        <v>540</v>
      </c>
      <c r="O57" s="263" t="s">
        <v>190</v>
      </c>
      <c r="P57" s="263" t="s">
        <v>540</v>
      </c>
      <c r="Q57" s="262" t="s">
        <v>128</v>
      </c>
      <c r="R57" s="263" t="s">
        <v>380</v>
      </c>
      <c r="S57" s="262" t="s">
        <v>126</v>
      </c>
      <c r="T57" s="262" t="s">
        <v>134</v>
      </c>
    </row>
    <row r="58" spans="7:20">
      <c r="G58" s="177" t="s">
        <v>477</v>
      </c>
      <c r="H58" s="177" t="s">
        <v>104</v>
      </c>
      <c r="I58" s="177" t="s">
        <v>477</v>
      </c>
      <c r="J58" s="177"/>
      <c r="K58" s="177"/>
      <c r="L58" s="177"/>
      <c r="N58" s="263" t="s">
        <v>547</v>
      </c>
      <c r="O58" s="263" t="s">
        <v>190</v>
      </c>
      <c r="P58" s="263" t="s">
        <v>547</v>
      </c>
      <c r="Q58" s="262" t="s">
        <v>128</v>
      </c>
      <c r="R58" s="263" t="s">
        <v>380</v>
      </c>
      <c r="S58" s="262" t="s">
        <v>126</v>
      </c>
      <c r="T58" s="262" t="s">
        <v>134</v>
      </c>
    </row>
    <row r="59" spans="7:20">
      <c r="G59" s="177" t="s">
        <v>487</v>
      </c>
      <c r="H59" s="177" t="s">
        <v>104</v>
      </c>
      <c r="I59" s="177" t="s">
        <v>487</v>
      </c>
      <c r="J59" s="177"/>
      <c r="K59" s="177"/>
      <c r="L59" s="177"/>
      <c r="N59" s="263" t="s">
        <v>553</v>
      </c>
      <c r="O59" s="263"/>
      <c r="P59" s="263"/>
      <c r="Q59" s="263"/>
      <c r="R59" s="263" t="s">
        <v>380</v>
      </c>
      <c r="S59" s="262" t="s">
        <v>126</v>
      </c>
      <c r="T59" s="263" t="s">
        <v>304</v>
      </c>
    </row>
    <row r="60" spans="7:20">
      <c r="G60" s="263" t="s">
        <v>523</v>
      </c>
      <c r="H60" s="263" t="s">
        <v>104</v>
      </c>
      <c r="I60" s="263" t="s">
        <v>523</v>
      </c>
      <c r="J60" s="263"/>
      <c r="K60" s="263"/>
      <c r="L60" s="263"/>
      <c r="N60" s="263" t="s">
        <v>557</v>
      </c>
      <c r="O60" s="263" t="s">
        <v>557</v>
      </c>
      <c r="P60" s="263" t="s">
        <v>558</v>
      </c>
      <c r="Q60" s="262" t="s">
        <v>128</v>
      </c>
      <c r="R60" s="263" t="s">
        <v>380</v>
      </c>
      <c r="S60" s="263"/>
      <c r="T60" s="262" t="s">
        <v>118</v>
      </c>
    </row>
    <row r="61" spans="7:20">
      <c r="G61" s="263" t="s">
        <v>531</v>
      </c>
      <c r="H61" s="263" t="s">
        <v>104</v>
      </c>
      <c r="I61" s="263" t="s">
        <v>531</v>
      </c>
      <c r="J61" s="263"/>
      <c r="K61" s="263"/>
      <c r="L61" s="263"/>
      <c r="N61" s="263" t="s">
        <v>553</v>
      </c>
      <c r="O61" s="263"/>
      <c r="P61" s="263"/>
      <c r="Q61" s="263"/>
      <c r="R61" s="263" t="s">
        <v>380</v>
      </c>
      <c r="S61" s="263" t="s">
        <v>126</v>
      </c>
      <c r="T61" s="263" t="s">
        <v>304</v>
      </c>
    </row>
    <row r="62" spans="7:20">
      <c r="G62" s="263" t="s">
        <v>537</v>
      </c>
      <c r="H62" s="263" t="s">
        <v>104</v>
      </c>
      <c r="I62" s="263" t="s">
        <v>537</v>
      </c>
      <c r="J62" s="263"/>
      <c r="K62" s="263"/>
      <c r="L62" s="263"/>
      <c r="N62" s="263" t="s">
        <v>559</v>
      </c>
      <c r="O62" s="263" t="s">
        <v>190</v>
      </c>
      <c r="P62" s="263" t="s">
        <v>559</v>
      </c>
      <c r="Q62" s="262" t="s">
        <v>128</v>
      </c>
      <c r="R62" s="263" t="s">
        <v>380</v>
      </c>
      <c r="S62" s="262" t="s">
        <v>126</v>
      </c>
      <c r="T62" s="262" t="s">
        <v>134</v>
      </c>
    </row>
    <row r="63" spans="7:20">
      <c r="G63" s="263" t="s">
        <v>541</v>
      </c>
      <c r="H63" s="263" t="s">
        <v>104</v>
      </c>
      <c r="I63" s="263" t="s">
        <v>541</v>
      </c>
      <c r="J63" s="263"/>
      <c r="K63" s="263"/>
      <c r="L63" s="263"/>
      <c r="N63" s="263" t="s">
        <v>568</v>
      </c>
      <c r="O63" s="263" t="s">
        <v>190</v>
      </c>
      <c r="P63" s="263" t="s">
        <v>568</v>
      </c>
      <c r="Q63" s="263" t="s">
        <v>128</v>
      </c>
      <c r="R63" s="263" t="s">
        <v>380</v>
      </c>
      <c r="S63" s="263" t="s">
        <v>126</v>
      </c>
      <c r="T63" s="263" t="s">
        <v>134</v>
      </c>
    </row>
    <row r="64" spans="7:20">
      <c r="G64" s="263" t="s">
        <v>557</v>
      </c>
      <c r="H64" s="263" t="s">
        <v>104</v>
      </c>
      <c r="I64" s="263" t="s">
        <v>557</v>
      </c>
      <c r="J64" s="263"/>
      <c r="K64" s="263"/>
      <c r="L64" s="263"/>
      <c r="N64" s="263" t="s">
        <v>572</v>
      </c>
      <c r="O64" s="263" t="s">
        <v>190</v>
      </c>
      <c r="P64" s="263" t="s">
        <v>572</v>
      </c>
      <c r="Q64" s="263" t="s">
        <v>128</v>
      </c>
      <c r="R64" s="263" t="s">
        <v>380</v>
      </c>
      <c r="S64" s="263" t="s">
        <v>126</v>
      </c>
      <c r="T64" s="263" t="s">
        <v>134</v>
      </c>
    </row>
    <row r="65" spans="7:12">
      <c r="G65" s="263" t="s">
        <v>462</v>
      </c>
      <c r="H65" s="263" t="s">
        <v>104</v>
      </c>
      <c r="I65" s="263" t="s">
        <v>462</v>
      </c>
      <c r="J65" s="263"/>
      <c r="K65" s="263"/>
      <c r="L65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5">
      <formula1>INDIRECT("AfterAction")</formula1>
    </dataValidation>
    <dataValidation type="list" allowBlank="1" showInputMessage="1" showErrorMessage="1" sqref="H3:H65">
      <formula1>INDIRECT("ActionTypes[Code]")</formula1>
    </dataValidation>
    <dataValidation type="list" allowBlank="1" showInputMessage="1" showErrorMessage="1" sqref="Q3:Q64">
      <formula1>INDIRECT("CreateModes[Code]")</formula1>
    </dataValidation>
    <dataValidation type="list" allowBlank="1" showInputMessage="1" showErrorMessage="1" sqref="T3:T64">
      <formula1>INDIRECT("ReportTypes[Code]")</formula1>
    </dataValidation>
    <dataValidation type="list" allowBlank="1" showInputMessage="1" showErrorMessage="1" sqref="S3:S64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578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6"/>
      <c r="B8" s="346"/>
      <c r="C8" s="346"/>
      <c r="D8" s="346"/>
      <c r="E8" s="346"/>
    </row>
    <row r="9" spans="1:6" ht="97.5" customHeight="1">
      <c r="A9" s="44"/>
      <c r="B9" s="347" t="s">
        <v>484</v>
      </c>
      <c r="C9" s="348"/>
      <c r="D9" s="348"/>
      <c r="E9" s="44"/>
    </row>
    <row r="10" spans="1:6" s="43" customFormat="1" ht="14.25" customHeight="1">
      <c r="A10" s="346"/>
      <c r="B10" s="346"/>
      <c r="C10" s="346"/>
      <c r="D10" s="346"/>
      <c r="E10" s="346"/>
    </row>
    <row r="11" spans="1:6" hidden="1">
      <c r="A11" s="343"/>
      <c r="B11" s="344"/>
      <c r="C11" s="344"/>
      <c r="D11" s="344"/>
      <c r="E11" s="345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21" t="s">
        <v>249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</row>
    <row r="2" spans="1:12" ht="44.25" customHeight="1">
      <c r="A2" s="349" t="s">
        <v>327</v>
      </c>
      <c r="B2" s="349"/>
      <c r="C2" s="349"/>
      <c r="D2" s="349" t="s">
        <v>58</v>
      </c>
      <c r="E2" s="349"/>
      <c r="F2" s="349" t="s">
        <v>62</v>
      </c>
      <c r="G2" s="349" t="s">
        <v>52</v>
      </c>
      <c r="H2" s="349" t="s">
        <v>328</v>
      </c>
      <c r="I2" s="349" t="s">
        <v>329</v>
      </c>
      <c r="J2" s="349" t="s">
        <v>3</v>
      </c>
      <c r="K2" s="349" t="s">
        <v>325</v>
      </c>
      <c r="L2" s="349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9"/>
      <c r="G3" s="349" t="s">
        <v>41</v>
      </c>
      <c r="H3" s="349" t="s">
        <v>325</v>
      </c>
      <c r="I3" s="349"/>
      <c r="J3" s="349"/>
      <c r="K3" s="349"/>
      <c r="L3" s="349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8" t="s">
        <v>251</v>
      </c>
      <c r="B1" s="298"/>
      <c r="C1" s="298"/>
      <c r="D1" s="298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0" t="s">
        <v>252</v>
      </c>
      <c r="B1" s="351"/>
      <c r="C1" s="351"/>
      <c r="D1" s="351"/>
      <c r="E1" s="351"/>
    </row>
    <row r="2" spans="1:6" ht="19.5" customHeight="1">
      <c r="A2" s="352" t="s">
        <v>181</v>
      </c>
      <c r="B2" s="353"/>
      <c r="C2" s="353"/>
      <c r="D2" s="353"/>
      <c r="E2" s="354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41" t="s">
        <v>185</v>
      </c>
      <c r="E8" s="341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41" t="s">
        <v>187</v>
      </c>
      <c r="E11" s="341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5" t="s">
        <v>253</v>
      </c>
      <c r="B1" s="356"/>
      <c r="C1" s="356"/>
      <c r="D1" s="356"/>
      <c r="E1" s="356"/>
      <c r="F1" s="356"/>
      <c r="G1" s="356"/>
      <c r="H1" s="356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2" t="s">
        <v>194</v>
      </c>
      <c r="F7" s="362"/>
      <c r="G7" s="362"/>
      <c r="H7" s="362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3" t="s">
        <v>200</v>
      </c>
      <c r="F11" s="363"/>
      <c r="G11" s="363"/>
      <c r="H11" s="363"/>
    </row>
    <row r="12" spans="1:8">
      <c r="C12" s="53"/>
      <c r="D12" s="85"/>
      <c r="E12" s="359" t="s">
        <v>201</v>
      </c>
      <c r="F12" s="360"/>
      <c r="G12" s="361"/>
      <c r="H12" s="357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7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8" t="s">
        <v>219</v>
      </c>
      <c r="B22" s="358"/>
      <c r="C22" s="358"/>
      <c r="D22" s="358"/>
      <c r="E22" s="358"/>
      <c r="F22" s="358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7" t="s">
        <v>254</v>
      </c>
      <c r="B1" s="337"/>
      <c r="C1" s="337"/>
      <c r="D1" s="337"/>
      <c r="E1" s="337"/>
      <c r="F1" s="337"/>
      <c r="G1" s="337"/>
      <c r="H1" s="337"/>
      <c r="I1" s="337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62" customWidth="1"/>
    <col min="2" max="2" width="12.140625" style="262" customWidth="1"/>
    <col min="3" max="3" width="10.140625" style="262" customWidth="1"/>
    <col min="4" max="9" width="19.7109375" style="262" customWidth="1"/>
    <col min="10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21" t="s">
        <v>560</v>
      </c>
      <c r="B1" s="321"/>
      <c r="C1" s="321"/>
      <c r="D1" s="321"/>
      <c r="E1" s="321"/>
      <c r="F1" s="321"/>
      <c r="G1" s="321"/>
      <c r="H1" s="321"/>
      <c r="I1" s="321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293" t="s">
        <v>555</v>
      </c>
      <c r="B3" s="331"/>
      <c r="C3" s="331"/>
      <c r="D3" s="331"/>
      <c r="E3" s="331"/>
      <c r="F3" s="331"/>
      <c r="G3" s="331"/>
      <c r="H3" s="292"/>
      <c r="I3" s="292"/>
      <c r="J3" s="292"/>
      <c r="K3" s="292"/>
      <c r="L3" s="292"/>
      <c r="M3" s="292"/>
      <c r="N3" s="292"/>
    </row>
    <row r="4" spans="1:18">
      <c r="A4" s="293" t="s">
        <v>556</v>
      </c>
      <c r="B4" s="333"/>
      <c r="C4" s="333"/>
      <c r="D4" s="333"/>
      <c r="E4" s="333"/>
      <c r="F4" s="333"/>
      <c r="G4" s="333"/>
      <c r="H4" s="292"/>
      <c r="I4" s="292"/>
      <c r="J4" s="292"/>
      <c r="K4" s="292"/>
      <c r="L4" s="292"/>
      <c r="M4" s="292"/>
      <c r="N4" s="292"/>
    </row>
    <row r="5" spans="1:18" ht="9" customHeight="1"/>
    <row r="6" spans="1:18">
      <c r="A6" s="332" t="s">
        <v>567</v>
      </c>
      <c r="B6" s="332"/>
      <c r="C6" s="332"/>
      <c r="D6" s="332"/>
      <c r="E6" s="332"/>
      <c r="F6" s="332"/>
      <c r="G6" s="332"/>
      <c r="H6" s="332"/>
      <c r="I6" s="332"/>
      <c r="J6" s="292"/>
      <c r="K6" s="292"/>
      <c r="L6" s="292"/>
      <c r="M6" s="292"/>
    </row>
    <row r="7" spans="1:18" ht="45" customHeight="1">
      <c r="A7" s="246" t="s">
        <v>494</v>
      </c>
      <c r="B7" s="247" t="s">
        <v>563</v>
      </c>
      <c r="C7" s="246" t="s">
        <v>545</v>
      </c>
      <c r="D7" s="247" t="s">
        <v>564</v>
      </c>
      <c r="E7" s="247" t="s">
        <v>565</v>
      </c>
      <c r="F7" s="247" t="s">
        <v>82</v>
      </c>
      <c r="G7" s="248" t="s">
        <v>69</v>
      </c>
      <c r="H7" s="249" t="s">
        <v>566</v>
      </c>
      <c r="I7" s="247" t="s">
        <v>260</v>
      </c>
    </row>
    <row r="8" spans="1:18">
      <c r="A8" s="294" t="s">
        <v>559</v>
      </c>
      <c r="B8" s="272"/>
      <c r="C8" s="165"/>
      <c r="D8" s="166"/>
      <c r="E8" s="166"/>
      <c r="F8" s="166"/>
      <c r="G8" s="166"/>
      <c r="H8" s="166"/>
      <c r="I8" s="166"/>
    </row>
    <row r="11" spans="1:18">
      <c r="A11" s="332" t="s">
        <v>569</v>
      </c>
      <c r="B11" s="332"/>
      <c r="C11" s="332"/>
      <c r="D11" s="332"/>
      <c r="E11" s="332"/>
      <c r="F11" s="332"/>
      <c r="G11" s="292"/>
      <c r="H11" s="292"/>
      <c r="I11" s="292"/>
      <c r="J11" s="292"/>
      <c r="K11" s="292"/>
      <c r="L11" s="292"/>
      <c r="M11" s="292"/>
    </row>
    <row r="12" spans="1:18" ht="45" customHeight="1">
      <c r="A12" s="246" t="s">
        <v>494</v>
      </c>
      <c r="B12" s="247" t="s">
        <v>563</v>
      </c>
      <c r="C12" s="246" t="s">
        <v>545</v>
      </c>
      <c r="D12" s="248" t="s">
        <v>506</v>
      </c>
      <c r="E12" s="249" t="s">
        <v>571</v>
      </c>
      <c r="F12" s="249" t="s">
        <v>570</v>
      </c>
    </row>
    <row r="13" spans="1:18">
      <c r="A13" s="294" t="s">
        <v>568</v>
      </c>
      <c r="B13" s="272"/>
      <c r="C13" s="165"/>
      <c r="D13" s="165"/>
      <c r="E13" s="295"/>
      <c r="F13" s="295"/>
    </row>
    <row r="15" spans="1:18">
      <c r="A15" s="332" t="s">
        <v>573</v>
      </c>
      <c r="B15" s="332"/>
      <c r="C15" s="332"/>
      <c r="D15" s="332"/>
      <c r="E15" s="332"/>
      <c r="F15" s="332"/>
      <c r="G15" s="332"/>
    </row>
    <row r="16" spans="1:18" ht="25.5">
      <c r="A16" s="246" t="s">
        <v>494</v>
      </c>
      <c r="B16" s="247" t="s">
        <v>563</v>
      </c>
      <c r="C16" s="246" t="s">
        <v>545</v>
      </c>
      <c r="D16" s="248" t="s">
        <v>574</v>
      </c>
      <c r="E16" s="249" t="s">
        <v>575</v>
      </c>
      <c r="F16" s="249" t="s">
        <v>506</v>
      </c>
      <c r="G16" s="249" t="s">
        <v>483</v>
      </c>
    </row>
    <row r="17" spans="1:7">
      <c r="A17" s="294" t="s">
        <v>572</v>
      </c>
      <c r="B17" s="272"/>
      <c r="C17" s="165"/>
      <c r="D17" s="165"/>
      <c r="E17" s="295"/>
      <c r="F17" s="291"/>
      <c r="G17" s="295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5" t="s">
        <v>546</v>
      </c>
      <c r="B1" s="366"/>
      <c r="C1" s="366"/>
      <c r="D1" s="366"/>
      <c r="E1" s="366"/>
      <c r="F1" s="366"/>
      <c r="G1" s="366"/>
      <c r="H1" s="366"/>
      <c r="I1" s="366"/>
    </row>
    <row r="2" spans="1:9" ht="15.75">
      <c r="A2" s="112"/>
    </row>
    <row r="3" spans="1:9" ht="31.5" customHeight="1">
      <c r="A3" s="364" t="s">
        <v>262</v>
      </c>
      <c r="B3" s="364"/>
      <c r="C3" s="364"/>
      <c r="D3" s="364"/>
      <c r="E3" s="364"/>
      <c r="F3" s="364"/>
      <c r="G3" s="364"/>
      <c r="H3" s="364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5" t="s">
        <v>263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  <c r="P1" s="365"/>
    </row>
    <row r="2" spans="1:16" ht="15.75">
      <c r="A2" s="112"/>
      <c r="F2" s="112"/>
      <c r="G2" s="112"/>
      <c r="H2" s="112"/>
      <c r="I2" s="112"/>
    </row>
    <row r="3" spans="1:16" ht="31.5" customHeight="1">
      <c r="A3" s="367" t="s">
        <v>262</v>
      </c>
      <c r="B3" s="367"/>
      <c r="C3" s="367"/>
      <c r="D3" s="367"/>
      <c r="E3" s="367"/>
      <c r="F3" s="367"/>
      <c r="G3" s="367"/>
      <c r="H3" s="367"/>
      <c r="I3" s="367"/>
      <c r="J3" s="367"/>
      <c r="K3" s="367"/>
      <c r="L3" s="367"/>
      <c r="M3" s="367"/>
      <c r="N3" s="367"/>
      <c r="O3" s="368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9" t="s">
        <v>310</v>
      </c>
      <c r="L4" s="369"/>
      <c r="M4" s="369"/>
      <c r="N4" s="370" t="s">
        <v>311</v>
      </c>
      <c r="O4" s="371"/>
      <c r="P4" s="372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7" t="s">
        <v>364</v>
      </c>
      <c r="B1" s="337"/>
      <c r="C1" s="337"/>
      <c r="D1" s="337"/>
      <c r="E1" s="337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73" t="s">
        <v>371</v>
      </c>
      <c r="B8" s="373"/>
      <c r="C8" s="373"/>
      <c r="D8" s="373"/>
      <c r="E8" s="373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74" t="s">
        <v>382</v>
      </c>
      <c r="B19" s="375"/>
      <c r="C19" s="375"/>
      <c r="D19" s="375"/>
      <c r="E19" s="376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7" t="s">
        <v>346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187"/>
    </row>
    <row r="3" spans="1:14">
      <c r="A3" s="384" t="s">
        <v>355</v>
      </c>
      <c r="B3" s="384"/>
      <c r="C3" s="384"/>
      <c r="D3" s="384"/>
      <c r="E3" s="384"/>
      <c r="F3" s="384"/>
      <c r="G3" s="384"/>
      <c r="H3" s="384"/>
      <c r="I3" s="384"/>
      <c r="J3" s="384"/>
      <c r="K3" s="384"/>
      <c r="L3" s="384"/>
      <c r="M3" s="384"/>
    </row>
    <row r="4" spans="1:14" ht="37.5" customHeight="1">
      <c r="A4" s="377" t="s">
        <v>347</v>
      </c>
      <c r="B4" s="381" t="s">
        <v>350</v>
      </c>
      <c r="C4" s="382"/>
      <c r="D4" s="377" t="s">
        <v>329</v>
      </c>
      <c r="E4" s="377" t="s">
        <v>97</v>
      </c>
      <c r="F4" s="183" t="s">
        <v>1</v>
      </c>
      <c r="G4" s="183" t="s">
        <v>2</v>
      </c>
      <c r="H4" s="183" t="s">
        <v>82</v>
      </c>
      <c r="I4" s="381" t="s">
        <v>69</v>
      </c>
      <c r="J4" s="383"/>
      <c r="K4" s="382"/>
      <c r="L4" s="377" t="s">
        <v>351</v>
      </c>
      <c r="M4" s="379" t="s">
        <v>352</v>
      </c>
      <c r="N4" s="186"/>
    </row>
    <row r="5" spans="1:14" ht="33.75" customHeight="1">
      <c r="A5" s="378"/>
      <c r="B5" s="185" t="s">
        <v>348</v>
      </c>
      <c r="C5" s="185" t="s">
        <v>349</v>
      </c>
      <c r="D5" s="378"/>
      <c r="E5" s="378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78"/>
      <c r="M5" s="380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84" t="s">
        <v>356</v>
      </c>
      <c r="B11" s="384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</row>
    <row r="12" spans="1:14" ht="37.5" customHeight="1">
      <c r="A12" s="377" t="s">
        <v>347</v>
      </c>
      <c r="B12" s="381" t="s">
        <v>350</v>
      </c>
      <c r="C12" s="382"/>
      <c r="D12" s="377" t="s">
        <v>329</v>
      </c>
      <c r="E12" s="377" t="s">
        <v>97</v>
      </c>
      <c r="F12" s="183" t="s">
        <v>1</v>
      </c>
      <c r="G12" s="183" t="s">
        <v>2</v>
      </c>
      <c r="H12" s="183" t="s">
        <v>82</v>
      </c>
      <c r="I12" s="381" t="s">
        <v>69</v>
      </c>
      <c r="J12" s="383"/>
      <c r="K12" s="382"/>
      <c r="L12" s="377" t="s">
        <v>351</v>
      </c>
      <c r="M12" s="379" t="s">
        <v>352</v>
      </c>
      <c r="N12" s="186"/>
    </row>
    <row r="13" spans="1:14" ht="33.75" customHeight="1">
      <c r="A13" s="378"/>
      <c r="B13" s="185" t="s">
        <v>348</v>
      </c>
      <c r="C13" s="185"/>
      <c r="D13" s="378"/>
      <c r="E13" s="378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78"/>
      <c r="M13" s="380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84" t="s">
        <v>358</v>
      </c>
      <c r="B19" s="384"/>
      <c r="C19" s="384"/>
      <c r="D19" s="384"/>
      <c r="E19" s="384"/>
      <c r="F19" s="384"/>
      <c r="G19" s="384"/>
      <c r="H19" s="384"/>
      <c r="I19" s="384"/>
      <c r="J19" s="384"/>
      <c r="K19" s="384"/>
      <c r="L19" s="384"/>
      <c r="M19" s="384"/>
    </row>
    <row r="20" spans="1:14" ht="37.5" customHeight="1">
      <c r="A20" s="377" t="s">
        <v>347</v>
      </c>
      <c r="B20" s="381" t="s">
        <v>350</v>
      </c>
      <c r="C20" s="382"/>
      <c r="D20" s="377" t="s">
        <v>329</v>
      </c>
      <c r="E20" s="377" t="s">
        <v>97</v>
      </c>
      <c r="F20" s="183" t="s">
        <v>1</v>
      </c>
      <c r="G20" s="183" t="s">
        <v>2</v>
      </c>
      <c r="H20" s="183" t="s">
        <v>82</v>
      </c>
      <c r="I20" s="381" t="s">
        <v>69</v>
      </c>
      <c r="J20" s="383"/>
      <c r="K20" s="382"/>
      <c r="L20" s="377" t="s">
        <v>351</v>
      </c>
      <c r="M20" s="379" t="s">
        <v>352</v>
      </c>
      <c r="N20" s="186"/>
    </row>
    <row r="21" spans="1:14" ht="33.75" customHeight="1">
      <c r="A21" s="378"/>
      <c r="B21" s="185" t="s">
        <v>348</v>
      </c>
      <c r="C21" s="185"/>
      <c r="D21" s="378"/>
      <c r="E21" s="378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78"/>
      <c r="M21" s="380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2018-02-20T05:48:44Z</dcterms:modified>
</cp:coreProperties>
</file>