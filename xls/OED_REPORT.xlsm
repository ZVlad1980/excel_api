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tables/table14.xml" ContentType="application/vnd.openxmlformats-officedocument.spreadsheetml.table+xml"/>
  <Override PartName="/xl/tables/table32.xml" ContentType="application/vnd.openxmlformats-officedocument.spreadsheetml.table+xml"/>
  <Override PartName="/xl/drawings/drawing6.xml" ContentType="application/vnd.openxmlformats-officedocument.drawing+xml"/>
  <Override PartName="/xl/tables/table61.xml" ContentType="application/vnd.openxmlformats-officedocument.spreadsheetml.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tables/table21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tables/table59.xml" ContentType="application/vnd.openxmlformats-officedocument.spreadsheetml.table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tables/table57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drawings/drawing7.xml" ContentType="application/vnd.openxmlformats-officedocument.drawing+xml"/>
  <Override PartName="/xl/tables/table60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drawings/drawing5.xml" ContentType="application/vnd.openxmlformats-officedocument.drawing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tables/table58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tables/table56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30.xml" ContentType="application/vnd.openxmlformats-officedocument.spreadsheetml.table+xml"/>
  <Override PartName="/xl/drawings/drawing4.xml" ContentType="application/vnd.openxmlformats-officedocument.drawing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4" activeTab="14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dv_sr_detail_report" sheetId="404" state="hidden" r:id="rId6"/>
    <sheet name="f2_vych_diff_periods" sheetId="403" state="hidden" r:id="rId7"/>
    <sheet name="f2_vych_diff_amounts" sheetId="400" state="hidden" r:id="rId8"/>
    <sheet name="f2_load_vych_errors" sheetId="321" state="hidden" r:id="rId9"/>
    <sheet name="f2_arh_spravki_errors" sheetId="298" state="hidden" r:id="rId10"/>
    <sheet name="f2_arh_batch_xml_head" sheetId="297" state="hidden" r:id="rId11"/>
    <sheet name="f2_ndfl_nalplat_pers" sheetId="295" state="hidden" r:id="rId12"/>
    <sheet name="f2_enumarate_error" sheetId="320" state="hidden" r:id="rId13"/>
    <sheet name="f2_load_vych_person" sheetId="332" state="hidden" r:id="rId14"/>
    <sheet name="Settings" sheetId="103" r:id="rId15"/>
    <sheet name="Отчеты" sheetId="6" r:id="rId16"/>
    <sheet name="Расхождение НА" sheetId="476" r:id="rId17"/>
    <sheet name="f2_amount_errors" sheetId="299" state="hidden" r:id="rId18"/>
    <sheet name="synch_error_report" sheetId="283" state="hidden" r:id="rId19"/>
    <sheet name="ndfl6_part2" sheetId="249" state="hidden" r:id="rId20"/>
    <sheet name="ndfl6_part1_general" sheetId="71" state="hidden" r:id="rId21"/>
    <sheet name="ndfl6_part1_rates" sheetId="69" state="hidden" r:id="rId22"/>
    <sheet name="funds_employees" sheetId="73" state="hidden" r:id="rId23"/>
    <sheet name="funds_employees_report" sheetId="123" state="hidden" r:id="rId24"/>
    <sheet name="ndfl6_part1" sheetId="248" state="hidden" r:id="rId25"/>
    <sheet name="f2_ndfl_person_report" sheetId="474" state="hidden" r:id="rId26"/>
    <sheet name="tax_diff_report" sheetId="271" state="hidden" r:id="rId27"/>
    <sheet name="tax_diff_det_report" sheetId="282" state="hidden" r:id="rId28"/>
    <sheet name="cmp_f2ndfl_f6" sheetId="294" state="hidden" r:id="rId29"/>
    <sheet name="cmp_f2ndfl_pers" sheetId="284" state="hidden" r:id="rId30"/>
  </sheets>
  <functionGroups/>
  <externalReferences>
    <externalReference r:id="rId31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FIO" localSheetId="25">f2_ndfl_person_report!$B$4</definedName>
    <definedName name="FIO">dv_sr_detail_report!$B$4</definedName>
    <definedName name="GF_PERSON" localSheetId="25">f2_ndfl_person_report!$B$3</definedName>
    <definedName name="GF_PERSON">dv_sr_detail_report!$B$3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month" localSheetId="14">Settings!$B$16</definedName>
    <definedName name="report_year" localSheetId="14">Settings!$B$15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7">[1]Отчеты!$C$2</definedName>
    <definedName name="ReportSelected" localSheetId="10">[1]Отчеты!$C$2</definedName>
    <definedName name="ReportSelected" localSheetId="9">[1]Отчеты!$C$2</definedName>
    <definedName name="ReportSelected" localSheetId="8">[1]Отчеты!$C$2</definedName>
    <definedName name="ReportSelected" localSheetId="13">[1]Отчеты!$C$2</definedName>
    <definedName name="ReportSelected" localSheetId="11">[1]Отчеты!$C$2</definedName>
    <definedName name="ReportSelected" localSheetId="7">[1]Отчеты!$C$2</definedName>
    <definedName name="ReportSelected" localSheetId="6">[1]Отчеты!$C$2</definedName>
    <definedName name="ReportSelected" localSheetId="16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<sst xmlns="http://schemas.openxmlformats.org/spreadsheetml/2006/main" count="2505" uniqueCount="749">
  <si>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</si>
  <si>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</si>
  <si>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</si>
  <si>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</si>
  <si>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</si>
  <si>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</si>
  <si>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</si>
  <si>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</si>
  <si>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</si>
  <si>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</si>
  <si>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</si>
  <si>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</si>
  <si>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</si>
  <si>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</si>
  <si>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</si>
  <si>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</si>
  <si>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</si>
  <si>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</si>
  <si>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</si>
  <si>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</si>
  <si>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</si>
  <si>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</si>
  <si>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</si>
  <si>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</si>
  <si>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</si>
  <si>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</si>
  <si>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</si>
  <si>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</si>
  <si>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</si>
  <si>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</si>
  <si>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</si>
  <si>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</si>
  <si>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</si>
  <si>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</si>
  <si>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</si>
  <si>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</si>
  <si>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</si>
  <si>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</si>
  <si>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</si>
  <si>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</si>
  <si>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</si>
  <si>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</si>
  <si>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</si>
  <si>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</si>
  <si>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</si>
  <si>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</si>
  <si>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</si>
  <si>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</si>
  <si>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</si>
  <si>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</si>
  <si>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</si>
  <si>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</si>
  <si>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</si>
  <si>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</si>
  <si>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</si>
  <si>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</si>
  <si>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</si>
  <si>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</si>
  <si>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</si>
  <si>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</si>
  <si>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</si>
  <si>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</si>
  <si>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</si>
  <si>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</si>
  <si>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</si>
  <si>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</si>
  <si>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</si>
  <si>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</si>
  <si>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</si>
  <si>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</si>
  <si>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</si>
  <si>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</si>
  <si>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</si>
  <si>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</si>
  <si>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</si>
  <si>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</si>
  <si>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</si>
  <si>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</si>
  <si>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</si>
  <si>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</si>
  <si>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</si>
  <si>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</si>
  <si>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</si>
  <si>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</si>
  <si>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</si>
  <si>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</si>
  <si>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</si>
  <si>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</si>
  <si>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</si>
  <si>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</si>
  <si>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</si>
  <si>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</si>
  <si>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</si>
  <si>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</si>
  <si>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</si>
  <si>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</si>
  <si>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</si>
  <si>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</si>
  <si>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</si>
  <si>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</si>
  <si>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</si>
  <si>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</si>
  <si>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</si>
  <si>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</si>
  <si>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</si>
  <si>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</si>
  <si>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</si>
  <si>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</si>
  <si>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</si>
  <si>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</si>
  <si>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</si>
  <si>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</si>
  <si>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</si>
  <si>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</si>
  <si>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</si>
  <si>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</si>
  <si>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</si>
  <si>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</si>
  <si>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</si>
  <si>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</si>
  <si>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</si>
  <si>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</si>
  <si>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</si>
  <si>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</si>
  <si>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</si>
  <si>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</si>
  <si>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</si>
  <si>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</si>
  <si>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</si>
  <si>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</si>
  <si>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</si>
  <si>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</si>
  <si>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</si>
  <si>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</si>
  <si>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</si>
  <si>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</si>
  <si>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</si>
  <si>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</si>
  <si>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</si>
  <si>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</si>
  <si>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</si>
  <si>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</si>
  <si>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</si>
  <si>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</si>
  <si>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</si>
  <si>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</si>
  <si>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</si>
  <si>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</si>
  <si>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</si>
  <si>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</si>
  <si>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</si>
  <si>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</si>
  <si>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</si>
  <si>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</si>
  <si>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</si>
  <si>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</si>
  <si>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</si>
  <si>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</si>
  <si>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</si>
  <si>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</si>
  <si>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</si>
  <si>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</si>
  <si>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</si>
  <si>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</si>
  <si>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</si>
  <si>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</si>
  <si>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</si>
  <si>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</si>
  <si>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</si>
  <si>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</si>
  <si>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</si>
  <si>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</si>
  <si>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</si>
  <si>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</si>
  <si>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</si>
  <si>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</si>
  <si>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</si>
  <si>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</si>
  <si>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</si>
  <si>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</si>
  <si>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</si>
  <si>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</si>
  <si>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</si>
  <si>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</si>
  <si>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</si>
  <si>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</si>
  <si>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</si>
  <si>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</si>
  <si>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</si>
  <si>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</si>
  <si>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</si>
  <si>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</si>
  <si>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</si>
  <si>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</si>
  <si>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</si>
  <si>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</si>
  <si>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</si>
  <si>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</si>
  <si>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</si>
  <si>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</si>
  <si>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</si>
  <si>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</si>
  <si>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</si>
  <si>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</si>
  <si>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</si>
  <si>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</si>
  <si>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</si>
  <si>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</si>
  <si>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</si>
  <si>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</si>
  <si>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</si>
  <si>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</si>
  <si>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</si>
  <si>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</si>
  <si>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</si>
  <si>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</si>
  <si>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</si>
  <si>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</si>
  <si>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</si>
  <si>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</si>
  <si>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</si>
  <si>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</si>
  <si>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</si>
  <si>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</si>
  <si>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</si>
  <si>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</si>
  <si>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</si>
  <si>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</si>
  <si>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</si>
  <si>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</si>
  <si>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</si>
  <si>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</si>
  <si>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</si>
  <si>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</si>
  <si>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</si>
  <si>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</si>
  <si>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</si>
  <si>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</si>
  <si>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</si>
  <si>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</si>
  <si>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</si>
  <si>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</si>
  <si>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</si>
  <si>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</si>
  <si>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</si>
  <si>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</si>
  <si>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</si>
  <si>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</si>
  <si>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</si>
  <si>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</si>
  <si>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</si>
  <si>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</si>
  <si>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</si>
  <si>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</si>
  <si>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</si>
  <si>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</si>
  <si>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</si>
  <si>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</si>
  <si>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</si>
  <si>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</si>
  <si>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</si>
  <si>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</si>
  <si>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</si>
  <si>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</si>
  <si>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</si>
  <si>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</si>
  <si>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</si>
  <si>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</si>
  <si>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</si>
  <si>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</si>
  <si>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</si>
  <si>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</si>
  <si>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</si>
  <si>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</si>
  <si>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</si>
  <si>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</si>
  <si>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</si>
  <si>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</si>
  <si>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</si>
  <si>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</si>
  <si>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</si>
  <si>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</si>
  <si>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</si>
  <si>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</si>
  <si>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</si>
  <si>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</si>
  <si>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</si>
  <si>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</si>
  <si>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</si>
  <si>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</si>
  <si>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</si>
  <si>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</si>
  <si>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</si>
  <si>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</si>
  <si>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</si>
  <si>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</si>
  <si>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</si>
  <si>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</si>
  <si>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</si>
  <si>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</si>
  <si>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</si>
  <si>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</si>
  <si>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</si>
  <si>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</si>
  <si>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</si>
  <si>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</si>
  <si>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</si>
  <si>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</si>
  <si>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</si>
  <si>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</si>
  <si>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</si>
  <si>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</si>
  <si>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</si>
  <si>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</si>
  <si>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</si>
  <si>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</si>
  <si>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</si>
  <si>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</si>
  <si>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</si>
  <si>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</si>
  <si>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</si>
  <si>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</si>
  <si>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</si>
  <si>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</si>
  <si>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</si>
  <si>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</si>
  <si>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</si>
  <si>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</si>
  <si>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</si>
  <si>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</si>
  <si>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</si>
  <si>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</si>
  <si>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</si>
  <si>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</si>
  <si>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</si>
  <si>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</si>
  <si>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</si>
  <si>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</si>
  <si>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</si>
  <si>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</si>
  <si>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</si>
  <si>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</si>
  <si>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</si>
  <si>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p_report_date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</si>
  <si>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</si>
  <si>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</si>
  <si>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</si>
  <si>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</si>
  <si>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</si>
  <si>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</si>
  <si>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</si>
  <si>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</si>
  <si>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</si>
  <si>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</si>
  <si>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</si>
  <si>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</si>
  <si>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</si>
  <si>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</si>
  <si>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</si>
  <si>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</si>
  <si>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</si>
  <si>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</si>
  <si>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</si>
  <si>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</si>
  <si>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</si>
  <si>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</si>
  <si>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</si>
  <si>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</si>
  <si>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</si>
  <si>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</si>
  <si>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</si>
  <si>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</si>
  <si>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</si>
  <si>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</si>
  <si>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</si>
  <si>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</si>
  <si>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</si>
  <si>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</si>
  <si>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</si>
  <si>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</si>
  <si>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</si>
  <si>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</si>
  <si>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</si>
  <si>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</si>
  <si>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</si>
  <si>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</si>
  <si>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</si>
  <si>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</si>
  <si>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</si>
  <si>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</si>
  <si>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</si>
  <si>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</si>
  <si>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</si>
  <si>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</si>
  <si>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</si>
  <si>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</si>
  <si>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</si>
  <si>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</si>
  <si>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</si>
  <si>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</si>
  <si>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</si>
  <si>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</si>
  <si>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</si>
  <si>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</si>
  <si>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</si>
  <si>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</si>
  <si>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</si>
  <si>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</si>
  <si>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</si>
  <si>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</si>
  <si>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</si>
  <si>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</si>
  <si>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</si>
  <si>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</si>
  <si>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</si>
  <si>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</si>
  <si>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</si>
  <si>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</si>
  <si>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</si>
  <si>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</si>
  <si>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</si>
  <si>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</si>
  <si>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</si>
  <si>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</si>
  <si>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</si>
  <si>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</si>
  <si>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</si>
  <si>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</si>
  <si>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</si>
  <si>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</si>
  <si>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</si>
  <si>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</si>
  <si>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t>FND
SSYLKA</t>
  </si>
  <si>
    <t>Дата
рождения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</si>
  <si>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</si>
  <si>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</si>
  <si>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</si>
  <si>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</si>
  <si>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</si>
  <si>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</si>
  <si>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</si>
  <si>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</si>
  <si>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</si>
  <si>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</si>
  <si>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</si>
  <si>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</si>
  <si>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</si>
  <si>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</si>
  <si>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</si>
  <si>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</si>
  <si>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</si>
  <si>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</si>
  <si>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</si>
  <si>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</si>
  <si>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</si>
  <si>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</si>
  <si>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</si>
  <si>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</si>
  <si>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</si>
  <si>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</si>
  <si>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</si>
  <si>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</si>
  <si>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</si>
  <si>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</si>
  <si>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</si>
  <si>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</si>
  <si>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</si>
  <si>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</si>
  <si>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</si>
  <si>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</si>
  <si>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</si>
  <si>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</si>
  <si>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</si>
  <si>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</si>
  <si>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</si>
  <si>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</si>
  <si>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</si>
  <si>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</si>
  <si>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</si>
  <si>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</si>
  <si>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</si>
  <si>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</si>
  <si>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</si>
  <si>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</si>
  <si>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</si>
  <si>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</si>
  <si>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</si>
  <si>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</si>
  <si>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</si>
  <si>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</si>
  <si>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</si>
  <si>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</si>
  <si>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</si>
  <si>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</si>
  <si>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</si>
  <si>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</si>
  <si>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</si>
  <si>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</si>
  <si>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</si>
  <si>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</si>
  <si>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</si>
  <si>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</si>
  <si>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</si>
  <si>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</si>
  <si>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</si>
  <si>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</si>
  <si>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</si>
  <si>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</si>
  <si>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</si>
  <si>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</si>
  <si>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</si>
  <si>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</si>
  <si>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</si>
  <si>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</si>
  <si>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</si>
  <si>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</si>
  <si>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</si>
  <si>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</si>
  <si>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</si>
  <si>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</si>
  <si>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</si>
  <si>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</si>
  <si>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</si>
  <si>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</si>
  <si>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</si>
  <si>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</si>
  <si>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</si>
  <si>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</si>
  <si>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</si>
  <si>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</si>
  <si>
    <t>dv_sr_lspv_detail</t>
  </si>
  <si>
    <t>dv_sr_detail_report</t>
  </si>
  <si>
    <t>Детализация движения средств</t>
  </si>
  <si>
    <t>SSYLKA_FL</t>
  </si>
  <si>
    <t>№ документа</t>
  </si>
  <si>
    <t>Ставка налога</t>
  </si>
  <si>
    <r>
      <rPr>
        <b/>
        <sz val="12"/>
        <rFont val="Arial Cyr"/>
        <charset val="204"/>
      </rPr>
      <t>Расхождение сумм исчисленного и удержанного налогов</t>
    </r>
    <r>
      <rPr>
        <sz val="12"/>
        <rFont val="Arial Cyr"/>
        <charset val="204"/>
      </rPr>
      <t xml:space="preserve">
за период с #START_DATE# по #END_DATE#</t>
    </r>
  </si>
  <si>
    <t>dv_sr_lspv_docs_detail</t>
  </si>
  <si>
    <t>Дата документа</t>
  </si>
  <si>
    <t>№ корректируемого документа</t>
  </si>
  <si>
    <t>№ корректирующего документа</t>
  </si>
  <si>
    <t>DV_SR_LSPV</t>
  </si>
  <si>
    <t>DV_SR_LSPV_DOCS_T</t>
  </si>
  <si>
    <t>gf_person_info</t>
  </si>
  <si>
    <r>
      <rPr>
        <b/>
        <sz val="13"/>
        <color theme="1"/>
        <rFont val="Calibri"/>
        <family val="2"/>
        <charset val="204"/>
        <scheme val="minor"/>
      </rPr>
      <t>Детализация движения средств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</si>
  <si>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GF_PERSON:</t>
  </si>
  <si>
    <t>ФИО:</t>
  </si>
  <si>
    <t>f2_ndfl_person_report</t>
  </si>
  <si>
    <t>2НДФЛ контрагента</t>
  </si>
  <si>
    <t>f2_arh_itogi</t>
  </si>
  <si>
    <r>
      <rPr>
        <b/>
        <sz val="13"/>
        <color theme="1"/>
        <rFont val="Calibri"/>
        <family val="2"/>
        <charset val="204"/>
        <scheme val="minor"/>
      </rPr>
      <t>Данные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</si>
  <si>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report_year</t>
  </si>
  <si>
    <t>report_month</t>
  </si>
  <si>
    <t>№ корр</t>
  </si>
  <si>
    <t>Годовой доход</t>
  </si>
  <si>
    <t>Облагаемый доход</t>
  </si>
  <si>
    <t>Переплата</t>
  </si>
  <si>
    <t>F2NDFL_ARH_ITOGI</t>
  </si>
  <si>
    <t>f2_arh_vych</t>
  </si>
  <si>
    <t>F2NDFL_ARH_VYCH</t>
  </si>
  <si>
    <t>Сумма использованная</t>
  </si>
  <si>
    <t>Сумма предоставленная</t>
  </si>
  <si>
    <t>f2_arh_mes</t>
  </si>
  <si>
    <t>F2NDFL_ARH_MES</t>
  </si>
  <si>
    <t>Код дохода</t>
  </si>
  <si>
    <t>Сумма дохода</t>
  </si>
  <si>
    <t>2НДФЛ Файлы XML</t>
  </si>
  <si>
    <t>p_actual_date</t>
  </si>
  <si>
    <t>f2_amount_errors</t>
  </si>
  <si>
    <t>2НДФЛ Ошибки суммовых показателей</t>
  </si>
  <si>
    <r>
      <rPr>
        <b/>
        <sz val="13"/>
        <color theme="1"/>
        <rFont val="Calibri"/>
        <family val="2"/>
        <charset val="204"/>
        <scheme val="minor"/>
      </rPr>
      <t>Ошибки в суммовых показателях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</si>
  <si>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№ коррекции</t>
  </si>
  <si>
    <t>ID справки</t>
  </si>
  <si>
    <t>Код показателя</t>
  </si>
  <si>
    <t>2НДФЛ Ошибки сумм</t>
  </si>
  <si>
    <t>01.01.2018</t>
  </si>
  <si>
    <t>31.01.2018</t>
  </si>
  <si>
    <t>Расхождение контрагентов
F_NDFL_LOAD_NALPLAT и DV_SR_LSPV_PERS_V
отчетный период: 2018</t>
  </si>
  <si>
    <t>SUCCESSOR</t>
  </si>
  <si>
    <t>Y</t>
  </si>
  <si>
    <t>Перемитина Тамара Ивановна</t>
  </si>
  <si>
    <t>Волкова Ольга Владимировна</t>
  </si>
  <si>
    <t>Галимова Венера Ахметзяновна</t>
  </si>
  <si>
    <t>Леонтьев Александр Николаевич</t>
  </si>
  <si>
    <t>Новичихин Лев Владимирович</t>
  </si>
  <si>
    <t>Круподерова Анна Сергеевна</t>
  </si>
  <si>
    <t>Андриянова Любовь Ивановна</t>
  </si>
  <si>
    <t>Макарова Елена Владимировна</t>
  </si>
  <si>
    <t>Липилина Валентина Николаевна</t>
  </si>
  <si>
    <t>Савенко Иван Иванович</t>
  </si>
  <si>
    <t>Передерий Татьяна Васильевна</t>
  </si>
  <si>
    <t>Данильцев Андрей Александрович</t>
  </si>
  <si>
    <t>Чернов Дмитрий Николаевич</t>
  </si>
  <si>
    <t>Желнова Евгения Васильевна</t>
  </si>
  <si>
    <t>Макарова Людмила Александровна</t>
  </si>
  <si>
    <t>Белова Татьяна Васильевна</t>
  </si>
  <si>
    <t>Бакурова Мария Павловна</t>
  </si>
  <si>
    <t>Черненко Людмила Павловна</t>
  </si>
  <si>
    <t>Крицкий Александр Викторович</t>
  </si>
  <si>
    <t>Родина Лариса Александровна</t>
  </si>
  <si>
    <t>Титова Елена Егоровна</t>
  </si>
  <si>
    <t>Новиков Дмитрий Александрович</t>
  </si>
  <si>
    <t>Глинчевский Эдвард Иванович</t>
  </si>
  <si>
    <t>Усолкина Тамара Михайловна</t>
  </si>
  <si>
    <t>Лейман Нина Владимировна</t>
  </si>
  <si>
    <t>Рыжов Юрий Сергеевич</t>
  </si>
  <si>
    <t>Фадеева Людмила Васильевна</t>
  </si>
  <si>
    <t>Дускаева Эльмира Габдульбаровна</t>
  </si>
  <si>
    <t>Плотникова Алла Федоровна</t>
  </si>
  <si>
    <t>Самарская Александра Владимировна</t>
  </si>
  <si>
    <t>Николаева Наталья Вячеславовна</t>
  </si>
  <si>
    <t>Карабут Николай Александрович</t>
  </si>
  <si>
    <t>Евтух Мария Денисовна</t>
  </si>
  <si>
    <t>Умутян Мира Забитовна</t>
  </si>
  <si>
    <t>Иванова Светлана Ильинична</t>
  </si>
  <si>
    <t>Михайлов Дмитрий Михайлович</t>
  </si>
  <si>
    <t>Мустаева Физия Ханифовна</t>
  </si>
  <si>
    <t>Яшина Надежда Владимировна</t>
  </si>
  <si>
    <t>Шубкин Виктор Алексеевич</t>
  </si>
  <si>
    <t>Савельева Тамара Георгиевна</t>
  </si>
  <si>
    <t>Миронец Эдуард Григорьевич</t>
  </si>
  <si>
    <t>Рябова Анна Петровна</t>
  </si>
  <si>
    <t>Иванова Нина Гавриловна</t>
  </si>
  <si>
    <t>Драгункин Владимир Викторович</t>
  </si>
  <si>
    <t>Тарасова Ирина Федоровна</t>
  </si>
  <si>
    <t>Зайцева Людмила Дмитриевна</t>
  </si>
  <si>
    <t>Солодовникова Маргарита Федоровна</t>
  </si>
  <si>
    <t>Щебуняева Ольга Яковлевна</t>
  </si>
  <si>
    <t>Дурягин Александр Николаевич</t>
  </si>
  <si>
    <t>Купцова Любовь Вячеславовна</t>
  </si>
  <si>
    <t>Малютина Марина Михайловна</t>
  </si>
  <si>
    <t>Ноев Станислав Евгеньевич</t>
  </si>
  <si>
    <t>Стронская Юлия Владимировна</t>
  </si>
  <si>
    <t>Никитина Татьяна Викторовна</t>
  </si>
  <si>
    <t>Соколовв Дмитрий Юрьевич</t>
  </si>
  <si>
    <t>Кочкина Лада Юрьевна</t>
  </si>
  <si>
    <t>Лёвина Тамара Дмитриевна</t>
  </si>
  <si>
    <t>Клюева Екатерина Михайловна</t>
  </si>
  <si>
    <t>Липунцова Валентина Николаевна</t>
  </si>
  <si>
    <t>Набокина Юлия Александровна</t>
  </si>
  <si>
    <t>Чукичева Татьяна Дмитриевна</t>
  </si>
  <si>
    <t>Гавриленко Галина Кузьмовна</t>
  </si>
  <si>
    <t>Ахметшина Завгария Вагизовна</t>
  </si>
  <si>
    <t>Фатхутдинова Нуранья Хуснумовна</t>
  </si>
  <si>
    <t>Андриянова Валентина Павловна</t>
  </si>
  <si>
    <t>Назаренко Виталий Николаевич</t>
  </si>
  <si>
    <t>Мартынова Татьяна Александровна</t>
  </si>
  <si>
    <t>Подшивалов Дмитрий Михайлович</t>
  </si>
  <si>
    <t>Петрова Ирина Сергеевна</t>
  </si>
  <si>
    <t>Пауесов Александр Владимирович</t>
  </si>
  <si>
    <t>Нитипина Тамара Михайловна</t>
  </si>
  <si>
    <t>Ходоровская Татьяна Николаевна</t>
  </si>
  <si>
    <t>Лушникова Анна Георгиевна</t>
  </si>
  <si>
    <t>Оверина Любовь Вениаминовна</t>
  </si>
  <si>
    <t>Ваулин Анатолий Иванович</t>
  </si>
  <si>
    <t>Поповкина Валентина Ивановна</t>
  </si>
  <si>
    <t>Ионова Надежда Васильевна</t>
  </si>
  <si>
    <t>Рослякова Наталия Егоровна</t>
  </si>
  <si>
    <t>Коттова Нина Владимировна</t>
  </si>
  <si>
    <t>Игнатова Ольга Николаевна</t>
  </si>
  <si>
    <t>Семендяева Мария Григорьевна</t>
  </si>
  <si>
    <t>Шахсуваров Гасанага Али Оглы</t>
  </si>
  <si>
    <t>Жевак Юрий Сергеевич</t>
  </si>
  <si>
    <t>Ковалева Анна Георгиевна</t>
  </si>
  <si>
    <t>Чеверева Любовь Викторовна</t>
  </si>
  <si>
    <t>Рубан Татьяна Владимировна</t>
  </si>
  <si>
    <t>Супрун Марина Валерьевна</t>
  </si>
  <si>
    <t>Савичева Ольга Валерьевна</t>
  </si>
  <si>
    <t>Деревягин Владимир Иванович</t>
  </si>
  <si>
    <t>Стрижак Людмила Сергеевна</t>
  </si>
  <si>
    <t>Тищенко Валерий Михайлович</t>
  </si>
  <si>
    <t>Бруквина Инна Витальевна</t>
  </si>
  <si>
    <t>Савельева Наталья Юрьевна</t>
  </si>
  <si>
    <t>Рузанов Алексей Геннадьевич</t>
  </si>
  <si>
    <t>Басова Валентина Ивановна</t>
  </si>
  <si>
    <t>Долгаева Нина Ионовна</t>
  </si>
  <si>
    <t>Кулагина Анастасия Владимировна</t>
  </si>
  <si>
    <t>Морозова Людмила Федоровна</t>
  </si>
  <si>
    <t>Южаков Николай Валерьевич</t>
  </si>
  <si>
    <t>Зименок Татьяна Александровна</t>
  </si>
  <si>
    <t>Авдеев Анатолий Евгеньевич</t>
  </si>
  <si>
    <t>Жукова Евгения Михайловна</t>
  </si>
  <si>
    <t>Карнаухова Марина Юрьевна</t>
  </si>
  <si>
    <t>Федорова Светлана Николаевна</t>
  </si>
  <si>
    <t>Демченко Лариса Ивановна</t>
  </si>
  <si>
    <t>Борисов Денис Борисович</t>
  </si>
  <si>
    <t>Петрова Светлана Александровна</t>
  </si>
  <si>
    <t>Аникина Татьяна Сергеевна</t>
  </si>
  <si>
    <t>Райфикешт Наталья Леонидовна</t>
  </si>
  <si>
    <t>Андреева Татьяна Онуфриевна</t>
  </si>
  <si>
    <t>Дворникова Нина Васильевна</t>
  </si>
  <si>
    <t>Крестьянникова Валентина Ивановна</t>
  </si>
  <si>
    <t>Бородина Ирина Борисовна</t>
  </si>
  <si>
    <t>Иванова Галина Владимировна</t>
  </si>
  <si>
    <t>Лёвкин Алексей Валерьевич</t>
  </si>
  <si>
    <t>Тихонов Вячеслав Николаевич</t>
  </si>
  <si>
    <t>Алексеева Наталья Андреевна</t>
  </si>
  <si>
    <t>Губаева Гульсария Равилевна</t>
  </si>
  <si>
    <t>Дубовцева Ираида Владимировна</t>
  </si>
  <si>
    <t>Ефремова Тамара Сергеевна</t>
  </si>
  <si>
    <t>Манык Сергей Анатольевич</t>
  </si>
  <si>
    <t>Шевелёв Андрей Витальевич</t>
  </si>
  <si>
    <t>Извекова Марина Дмитриевна</t>
  </si>
  <si>
    <t>Екимов Александр Сергеевич</t>
  </si>
  <si>
    <t>Верлис Светлана Валентиновна</t>
  </si>
  <si>
    <t>Боталов Владислав Валерьевич</t>
  </si>
  <si>
    <t>Кольцова Людмила Николаевна</t>
  </si>
  <si>
    <t>Вагенлейтнер Светлана Петровна</t>
  </si>
  <si>
    <t>Семочкина Любовь Михайловна</t>
  </si>
  <si>
    <t>Пасечник Ольга Ефимовна</t>
  </si>
  <si>
    <t>Москалев Олег Юрьевич</t>
  </si>
  <si>
    <t>Киселева Тамара Владимировна</t>
  </si>
  <si>
    <t>Чудина Елена Юрьевна</t>
  </si>
  <si>
    <t>Саликова Любовь Ивановна</t>
  </si>
  <si>
    <t>Марьина Антонина Николаевна</t>
  </si>
  <si>
    <t>Махортова Елена Владимировна</t>
  </si>
  <si>
    <t>Боткова Галина Михайловна</t>
  </si>
  <si>
    <t>Пушнова Елена Сергеевна</t>
  </si>
  <si>
    <t>Шабалина Надежда Петровна</t>
  </si>
  <si>
    <t>Кадралиев Игорь Викторович</t>
  </si>
  <si>
    <t>Макаренко Павел Николаевич</t>
  </si>
  <si>
    <t>Ликсудеев Александр Николаевич</t>
  </si>
  <si>
    <t>Степанченко Людмила Игоревна</t>
  </si>
  <si>
    <t>Полевая Наталья Александровна</t>
  </si>
  <si>
    <t>Шомесов Вадим Михайлович</t>
  </si>
  <si>
    <t>Гусева Ольга Ивановна</t>
  </si>
  <si>
    <t>Гордеева Людмила Николаевна</t>
  </si>
  <si>
    <t>Поповичев Роман Александрович</t>
  </si>
  <si>
    <t>Григорьев Кирилл Константинович</t>
  </si>
  <si>
    <t>Шарафутдинова Ира Каримовна</t>
  </si>
  <si>
    <t>Богданова Нина Алексеевна</t>
  </si>
  <si>
    <t>Люблин Валерий Анатольевич</t>
  </si>
  <si>
    <t>Сандулова Галина Петровна</t>
  </si>
  <si>
    <t>Зорина Людмила Владимировна</t>
  </si>
  <si>
    <t>Маймулин Максим Александрович</t>
  </si>
  <si>
    <t>Болгин Андрей Андреевич</t>
  </si>
  <si>
    <t>Карижский Владимир Андреевич</t>
  </si>
  <si>
    <t>Запорожец Зинаида Александровна</t>
  </si>
  <si>
    <t>Анищенко Вера Федоровна</t>
  </si>
  <si>
    <t>Москвичёва Галина Вячеславовна</t>
  </si>
  <si>
    <t>Тарасенко Андрей Витальевич</t>
  </si>
  <si>
    <t>Янина Юлия Михайловна</t>
  </si>
  <si>
    <t>Шмарёва Ирина Петровна</t>
  </si>
  <si>
    <t>Витюк Марина Владимировна</t>
  </si>
  <si>
    <t>Бровина Александра Николаевна</t>
  </si>
  <si>
    <t>Логвиненко Нина Степановна</t>
  </si>
  <si>
    <t>Попова Светлана Анатольевна</t>
  </si>
  <si>
    <t>Ломака Сергей Николаевич</t>
  </si>
  <si>
    <t>Выполнение приостановлено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</si>
</sst>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4"/>
      <name val="Calibri"/>
      <family val="2"/>
      <charset val="204"/>
      <scheme val="minor"/>
    </font>
    <font>
      <sz val="10"/>
      <color theme="1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 diagonalUp="1" diagonalDown="1">
      <left/>
      <right/>
      <top/>
      <bottom/>
      <diagonal style="thin">
        <color auto="1"/>
      </diagonal>
    </border>
    <border>
      <left/>
      <right/>
      <top/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39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3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0" fontId="0" fillId="0" borderId="43" xfId="0" applyFont="1" applyBorder="1"/>
    <xf numFmtId="1" fontId="0" fillId="0" borderId="21" xfId="0" applyNumberFormat="1" applyFont="1" applyBorder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50" xfId="0" applyBorder="1"/>
    <xf numFmtId="0" fontId="39" fillId="0" borderId="50" xfId="0" applyFont="1" applyBorder="1"/>
    <xf numFmtId="0" fontId="0" fillId="0" borderId="51" xfId="0" applyBorder="1"/>
    <xf numFmtId="0" fontId="0" fillId="0" borderId="0" xfId="0" applyAlignment="1">
      <alignment horizontal="right" vertical="center"/>
    </xf>
    <xf numFmtId="3" fontId="0" fillId="11" borderId="52" xfId="0" applyNumberFormat="1" applyFont="1" applyFill="1" applyBorder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0" fontId="0" fillId="11" borderId="49" xfId="0" applyFont="1" applyFill="1" applyBorder="1" applyAlignment="1">
      <alignment horizontal="righ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7" fillId="0" borderId="0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right" vertical="center"/>
    </xf>
    <xf numFmtId="49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/>
    <xf numFmtId="0" fontId="3" fillId="6" borderId="1" xfId="0" applyFont="1" applyFill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left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  <xf numFmtId="1" fontId="40" fillId="0" borderId="9" xfId="0" applyNumberFormat="1" applyFont="1" applyBorder="1" applyAlignment="1">
      <alignment horizontal="right" vertical="center"/>
    </xf>
    <xf numFmtId="1" fontId="40" fillId="0" borderId="1" xfId="0" applyNumberFormat="1" applyFont="1" applyBorder="1" applyAlignment="1">
      <alignment horizontal="right" vertical="center"/>
    </xf>
    <xf numFmtId="49" fontId="40" fillId="0" borderId="1" xfId="0" applyNumberFormat="1" applyFont="1" applyBorder="1" applyAlignment="1">
      <alignment horizontal="right" vertical="center"/>
    </xf>
    <xf numFmtId="49" fontId="40" fillId="0" borderId="1" xfId="0" applyNumberFormat="1" applyFont="1" applyBorder="1" applyAlignment="1">
      <alignment horizontal="left" vertical="center"/>
    </xf>
    <xf numFmtId="49" fontId="40" fillId="0" borderId="1" xfId="0" applyNumberFormat="1" applyFont="1" applyBorder="1" applyAlignment="1">
      <alignment horizontal="center" vertical="center"/>
    </xf>
    <xf numFmtId="49" fontId="40" fillId="0" borderId="10" xfId="0" applyNumberFormat="1" applyFont="1" applyBorder="1" applyAlignment="1">
      <alignment vertical="center"/>
    </xf>
    <xf numFmtId="1" fontId="40" fillId="0" borderId="17" xfId="0" applyNumberFormat="1" applyFont="1" applyBorder="1" applyAlignment="1">
      <alignment horizontal="right" vertical="center"/>
    </xf>
    <xf numFmtId="1" fontId="40" fillId="0" borderId="6" xfId="0" applyNumberFormat="1" applyFont="1" applyBorder="1" applyAlignment="1">
      <alignment horizontal="right" vertical="center"/>
    </xf>
    <xf numFmtId="49" fontId="40" fillId="0" borderId="6" xfId="0" applyNumberFormat="1" applyFont="1" applyBorder="1" applyAlignment="1">
      <alignment horizontal="right" vertical="center"/>
    </xf>
    <xf numFmtId="49" fontId="40" fillId="0" borderId="6" xfId="0" applyNumberFormat="1" applyFont="1" applyBorder="1" applyAlignment="1">
      <alignment horizontal="left" vertical="center"/>
    </xf>
    <xf numFmtId="49" fontId="40" fillId="0" borderId="6" xfId="0" applyNumberFormat="1" applyFont="1" applyBorder="1" applyAlignment="1">
      <alignment horizontal="center" vertical="center"/>
    </xf>
    <xf numFmtId="49" fontId="40" fillId="0" borderId="18" xfId="0" applyNumberFormat="1" applyFont="1" applyBorder="1" applyAlignment="1">
      <alignment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618"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border diagonalUp="1" diagonalDown="1">
        <left/>
        <right/>
        <top/>
        <bottom/>
        <diagonal style="thin">
          <color auto="1"/>
        </diagonal>
        <vertical/>
        <horizontal/>
      </border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general" vertical="center" textRotation="0" wrapText="0" indent="0" relativeIndent="0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63500</xdr:rowOff>
    </xdr:from>
    <xdr:to>
      <xdr:col>1</xdr:col>
      <xdr:colOff>0</xdr:colOff>
      <xdr:row>0</xdr:row>
      <xdr:rowOff>317500</xdr:rowOff>
    </xdr:to>
    <xdr:sp macro="Processor.repeat" textlink="">
      <xdr:nvSpPr>
        <xdr:cNvPr id="2" name="Выгнутая влево стрелка 1"/>
        <xdr:cNvSpPr/>
      </xdr:nvSpPr>
      <xdr:spPr>
        <a:xfrm>
          <a:off x="127000" y="63500"/>
          <a:ext cx="254000" cy="254000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190500</xdr:colOff>
      <xdr:row>0</xdr:row>
      <xdr:rowOff>63500</xdr:rowOff>
    </xdr:from>
    <xdr:to>
      <xdr:col>2</xdr:col>
      <xdr:colOff>6350</xdr:colOff>
      <xdr:row>0</xdr:row>
      <xdr:rowOff>317500</xdr:rowOff>
    </xdr:to>
    <xdr:sp macro="Processor.continue" textlink="">
      <xdr:nvSpPr>
        <xdr:cNvPr id="3" name="Управляющая кнопка: далее 2"/>
        <xdr:cNvSpPr/>
      </xdr:nvSpPr>
      <xdr:spPr>
        <a:xfrm>
          <a:off x="571500" y="63500"/>
          <a:ext cx="254000" cy="254000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2</xdr:col>
      <xdr:colOff>457200</xdr:colOff>
      <xdr:row>0</xdr:row>
      <xdr:rowOff>514350</xdr:rowOff>
    </xdr:to>
    <xdr:sp macro="[0]!dv_sr_lspv_detail" textlink="">
      <xdr:nvSpPr>
        <xdr:cNvPr id="2" name="Стрелка вправо 1"/>
        <xdr:cNvSpPr/>
      </xdr:nvSpPr>
      <xdr:spPr>
        <a:xfrm>
          <a:off x="161925" y="47625"/>
          <a:ext cx="2686050" cy="466725"/>
        </a:xfrm>
        <a:prstGeom prst="rightArrow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движения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>
        <row r="1">
          <cell r="T1" t="str">
            <v>#ReportYear#</v>
          </cell>
        </row>
      </sheetData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617" dataDxfId="615" headerRowBorderDxfId="616" tableBorderDxfId="614" totalsRowBorderDxfId="613">
  <autoFilter ref="A4:J5"/>
  <tableColumns count="10">
    <tableColumn id="1" name="1" dataDxfId="612"/>
    <tableColumn id="2" name="2" dataDxfId="611"/>
    <tableColumn id="5" name="3" dataDxfId="610"/>
    <tableColumn id="6" name="4" dataDxfId="609"/>
    <tableColumn id="7" name="5" dataDxfId="608"/>
    <tableColumn id="10" name="6" dataDxfId="607"/>
    <tableColumn id="11" name="7" dataDxfId="606"/>
    <tableColumn id="12" name="8" dataDxfId="605"/>
    <tableColumn id="13" name="9" dataDxfId="604"/>
    <tableColumn id="14" name="10" dataDxfId="60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602" dataDxfId="600" headerRowBorderDxfId="601" tableBorderDxfId="599" totalsRowBorderDxfId="598">
  <autoFilter ref="A5:P6"/>
  <tableColumns count="16">
    <tableColumn id="1" name="1" dataDxfId="597"/>
    <tableColumn id="2" name="2" dataDxfId="596"/>
    <tableColumn id="3" name="3" dataDxfId="595"/>
    <tableColumn id="4" name="4" dataDxfId="594"/>
    <tableColumn id="5" name="5" dataDxfId="593"/>
    <tableColumn id="6" name="6" dataDxfId="592"/>
    <tableColumn id="7" name="7" dataDxfId="591"/>
    <tableColumn id="8" name="8" dataDxfId="590"/>
    <tableColumn id="9" name="9" dataDxfId="589"/>
    <tableColumn id="10" name="10" dataDxfId="588"/>
    <tableColumn id="11" name="11" dataDxfId="587"/>
    <tableColumn id="12" name="12" dataDxfId="586"/>
    <tableColumn id="13" name="13" dataDxfId="585"/>
    <tableColumn id="14" name="14" dataDxfId="584"/>
    <tableColumn id="15" name="15" dataDxfId="583"/>
    <tableColumn id="16" name="16" dataDxfId="58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581" dataDxfId="579" headerRowBorderDxfId="580" tableBorderDxfId="578" totalsRowBorderDxfId="577">
  <autoFilter ref="A3:I4">
    <filterColumn colId="1"/>
  </autoFilter>
  <tableColumns count="9">
    <tableColumn id="1" name="1" dataDxfId="576"/>
    <tableColumn id="3" name="2" dataDxfId="575"/>
    <tableColumn id="2" name="3" dataDxfId="574"/>
    <tableColumn id="5" name="4" dataDxfId="573"/>
    <tableColumn id="6" name="5" dataDxfId="572"/>
    <tableColumn id="7" name="6" dataDxfId="571"/>
    <tableColumn id="10" name="7" dataDxfId="570"/>
    <tableColumn id="11" name="8" dataDxfId="569"/>
    <tableColumn id="12" name="9" dataDxfId="56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567" dataDxfId="565" headerRowBorderDxfId="566" tableBorderDxfId="564" totalsRowBorderDxfId="563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562"/>
    <tableColumn id="20" name="2" dataDxfId="561"/>
    <tableColumn id="19" name="3" dataDxfId="560"/>
    <tableColumn id="18" name="4" dataDxfId="559"/>
    <tableColumn id="17" name="5" dataDxfId="558"/>
    <tableColumn id="23" name="6" dataDxfId="557"/>
    <tableColumn id="22" name="7" dataDxfId="556"/>
    <tableColumn id="21" name="8" dataDxfId="555"/>
    <tableColumn id="28" name="9" dataDxfId="554"/>
    <tableColumn id="29" name="10" dataDxfId="553"/>
    <tableColumn id="27" name="11" dataDxfId="552"/>
    <tableColumn id="26" name="12" dataDxfId="551"/>
    <tableColumn id="25" name="13" dataDxfId="550"/>
    <tableColumn id="5" name="14" dataDxfId="549"/>
    <tableColumn id="4" name="15" dataDxfId="548"/>
    <tableColumn id="3" name="16" dataDxfId="547"/>
    <tableColumn id="2" name="17" dataDxfId="546"/>
    <tableColumn id="24" name="18" dataDxfId="5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543" totalsRowDxfId="542">
  <tableColumns count="3">
    <tableColumn id="1" name="ВИД ВЫПЛАТЫ" totalsRowLabel="Итого" dataDxfId="541" totalsRowDxfId="540" dataCellStyle="Обычный 5"/>
    <tableColumn id="2" name="13%" totalsRowFunction="sum" dataDxfId="539" totalsRowDxfId="538" dataCellStyle="Обычный 5"/>
    <tableColumn id="3" name="30%" totalsRowFunction="sum" dataDxfId="537" totalsRowDxfId="536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535" dataDxfId="533" headerRowBorderDxfId="534" headerRowCellStyle="Обычный 5" dataCellStyle="Обычный 5">
  <tableColumns count="4">
    <tableColumn id="1" name="Сумма по ставкам" totalsRowFunction="sum" dataDxfId="532" totalsRowDxfId="531" dataCellStyle="Обычный 5"/>
    <tableColumn id="2" name="13%" dataDxfId="530" totalsRowDxfId="529" dataCellStyle="Обычный 5">
      <calculatedColumnFormula>B31+#REF!-Таблица42[[#This Row],[13%]]</calculatedColumnFormula>
    </tableColumn>
    <tableColumn id="3" name="30%" dataDxfId="528" totalsRowDxfId="527" dataCellStyle="Обычный 5"/>
    <tableColumn id="4" name="Расхождение по ставкам" dataDxfId="526" totalsRowDxfId="525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524" totalsRowDxfId="522" headerRowBorderDxfId="523" headerRowCellStyle="Обычный 5">
  <tableColumns count="8">
    <tableColumn id="1" name="ВИД ВЫПЛАТЫ" totalsRowLabel="Итого по ставке" dataDxfId="521" totalsRowDxfId="520" dataCellStyle="Обычный 5"/>
    <tableColumn id="2" name="13%" totalsRowFunction="sum" dataDxfId="519" totalsRowDxfId="518" dataCellStyle="Обычный 5"/>
    <tableColumn id="3" name="30%" totalsRowFunction="sum" dataDxfId="517" totalsRowDxfId="516" dataCellStyle="Обычный 5"/>
    <tableColumn id="4" name="Столбец1" totalsRowDxfId="515" dataCellStyle="Обычный 5"/>
    <tableColumn id="5" name="без исправлений" dataDxfId="514" totalsRowDxfId="513" dataCellStyle="Обычный 5"/>
    <tableColumn id="6" name="с корректоровкой" dataDxfId="512" totalsRowDxfId="511" dataCellStyle="Обычный 5"/>
    <tableColumn id="7" name="без исправлений2" dataDxfId="510" totalsRowDxfId="509" dataCellStyle="Обычный 5"/>
    <tableColumn id="8" name="с корректоровкой3" dataDxfId="508" totalsRowDxfId="507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6" name="Таблица44047" displayName="Таблица44047" ref="A7:L8" totalsRowShown="0" headerRowDxfId="506" dataDxfId="505">
  <autoFilter ref="A7:L8">
    <filterColumn colId="4"/>
    <filterColumn colId="11"/>
  </autoFilter>
  <tableColumns count="12">
    <tableColumn id="2" name="SSYLKA_FL" dataDxfId="504"/>
    <tableColumn id="3" name="NOM_VKL" dataDxfId="503"/>
    <tableColumn id="4" name="NOM_IPS" dataDxfId="502"/>
    <tableColumn id="5" name="Дата операции" dataDxfId="501"/>
    <tableColumn id="7" name="Дата документа" dataDxfId="500"/>
    <tableColumn id="6" name="Тип дохода" dataDxfId="499"/>
    <tableColumn id="8" name="Вычет" dataDxfId="498"/>
    <tableColumn id="9" name="Доход" dataDxfId="497"/>
    <tableColumn id="10" name="Налог" dataDxfId="496"/>
    <tableColumn id="11" name="№ документа" dataDxfId="495"/>
    <tableColumn id="12" name="№ корректируемого документа" dataDxfId="494"/>
    <tableColumn id="13" name="Ставка налога" dataDxfId="49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61" name="Таблица4404762" displayName="Таблица4404762" ref="A12:L13" totalsRowShown="0" headerRowDxfId="492" dataDxfId="491">
  <autoFilter ref="A12:L13"/>
  <tableColumns count="12">
    <tableColumn id="2" name="SSYLKA_FL" dataDxfId="490"/>
    <tableColumn id="3" name="NOM_VKL" dataDxfId="489"/>
    <tableColumn id="4" name="NOM_IPS" dataDxfId="488"/>
    <tableColumn id="5" name="Дата" dataDxfId="487"/>
    <tableColumn id="6" name="Тип дохода" dataDxfId="486"/>
    <tableColumn id="7" name="Тип операции" dataDxfId="485"/>
    <tableColumn id="8" name="Счет" dataDxfId="484"/>
    <tableColumn id="9" name="Субсчет" dataDxfId="483"/>
    <tableColumn id="10" name="Сумма" dataDxfId="482"/>
    <tableColumn id="11" name="№ документа" dataDxfId="481"/>
    <tableColumn id="12" name="№ корректирующего документа" dataDxfId="480"/>
    <tableColumn id="13" name="Ставка налога" dataDxfId="479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7" name="Таблица54138105108" displayName="Таблица54138105108" ref="A2:L3" totalsRowShown="0" headerRowDxfId="478" dataDxfId="476" headerRowBorderDxfId="477" tableBorderDxfId="475" totalsRowBorderDxfId="474">
  <autoFilter ref="A2:L3">
    <filterColumn colId="9"/>
    <filterColumn colId="10"/>
    <filterColumn colId="11"/>
  </autoFilter>
  <tableColumns count="12">
    <tableColumn id="1" name="Ssylka" dataDxfId="473"/>
    <tableColumn id="2" name="nom_vkl" dataDxfId="472"/>
    <tableColumn id="3" name="nom_ips" dataDxfId="471"/>
    <tableColumn id="4" name="ФИО" dataDxfId="470"/>
    <tableColumn id="5" name="Бух.счет" dataDxfId="469"/>
    <tableColumn id="6" name="Код вычета" dataDxfId="468"/>
    <tableColumn id="7" name="Период с" dataDxfId="467"/>
    <tableColumn id="8" name="Период по" dataDxfId="466"/>
    <tableColumn id="9" name="Период с_x000a_(БИТ)" dataDxfId="465"/>
    <tableColumn id="10" name="Период по_x000a_(БИТ)" dataDxfId="464"/>
    <tableColumn id="11" name="Сумма" dataDxfId="463"/>
    <tableColumn id="12" name="Применение вычета в движении" dataDxfId="46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4" name="Таблица54138105" displayName="Таблица54138105" ref="A2:K3" totalsRowShown="0" headerRowDxfId="461" dataDxfId="459" headerRowBorderDxfId="460" tableBorderDxfId="458" totalsRowBorderDxfId="457">
  <autoFilter ref="A2:K3">
    <filterColumn colId="9"/>
    <filterColumn colId="10"/>
  </autoFilter>
  <tableColumns count="11">
    <tableColumn id="1" name="Ssylka" dataDxfId="456"/>
    <tableColumn id="2" name="nom_vkl" dataDxfId="455"/>
    <tableColumn id="3" name="nom_ips" dataDxfId="454"/>
    <tableColumn id="4" name="ФИО" dataDxfId="453"/>
    <tableColumn id="5" name="Бух.счет" dataDxfId="452"/>
    <tableColumn id="6" name="Код вычета" dataDxfId="451"/>
    <tableColumn id="7" name="Период с" dataDxfId="450"/>
    <tableColumn id="8" name="Период по" dataDxfId="449"/>
    <tableColumn id="9" name="Сумма по движению" dataDxfId="448"/>
    <tableColumn id="10" name="Расчетная сумма по БИТ" dataDxfId="447"/>
    <tableColumn id="11" name="Расчетная сумма по БИТ_x000a_по счету" dataDxfId="44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7" name="Таблица54138" displayName="Таблица54138" ref="A2:K3" totalsRowShown="0" headerRowDxfId="445" dataDxfId="443" headerRowBorderDxfId="444" tableBorderDxfId="442" totalsRowBorderDxfId="441">
  <autoFilter ref="A2:K3">
    <filterColumn colId="9"/>
    <filterColumn colId="10"/>
  </autoFilter>
  <tableColumns count="11">
    <tableColumn id="1" name="Ssylka" dataDxfId="440"/>
    <tableColumn id="2" name="nom_vkl" dataDxfId="439"/>
    <tableColumn id="3" name="nom_ips" dataDxfId="438"/>
    <tableColumn id="4" name="ФИО" dataDxfId="437"/>
    <tableColumn id="5" name="Тип дохода" dataDxfId="436"/>
    <tableColumn id="6" name="Месяц" dataDxfId="435"/>
    <tableColumn id="7" name="Shifr_schet" dataDxfId="434"/>
    <tableColumn id="8" name="Код вычета_x000a_(ручн)" dataDxfId="433"/>
    <tableColumn id="9" name="Сумма вычета" dataDxfId="432"/>
    <tableColumn id="10" name="Наличие записей в SP_OGR_PV" dataDxfId="431"/>
    <tableColumn id="11" name="Наличие записей в BIT" dataDxfId="43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0" name="Таблица541" displayName="Таблица541" ref="A3:R4" totalsRowShown="0" headerRowDxfId="429" dataDxfId="427" headerRowBorderDxfId="428" tableBorderDxfId="426" totalsRowBorderDxfId="425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424"/>
    <tableColumn id="2" name="Ошибка" dataDxfId="423"/>
    <tableColumn id="3" name="ИД контрагента" dataDxfId="422"/>
    <tableColumn id="4" name="Фамилия" dataDxfId="421"/>
    <tableColumn id="5" name="Имя" dataDxfId="420"/>
    <tableColumn id="6" name="Отчество" dataDxfId="419"/>
    <tableColumn id="7" name="Дата рождения" dataDxfId="418"/>
    <tableColumn id="8" name="ИНН" dataDxfId="417"/>
    <tableColumn id="9" name="Гражданство" dataDxfId="416"/>
    <tableColumn id="10" name="Резидент" dataDxfId="415"/>
    <tableColumn id="11" name="Код УЛ" dataDxfId="414"/>
    <tableColumn id="12" name="Серия и номер УЛ" dataDxfId="413"/>
    <tableColumn id="13" name="№ справки" dataDxfId="412"/>
    <tableColumn id="19" name="ИНН2" dataDxfId="411"/>
    <tableColumn id="14" name="Гражданство2" dataDxfId="410"/>
    <tableColumn id="15" name="Резидент2" dataDxfId="409"/>
    <tableColumn id="16" name="Код УЛ2" dataDxfId="408"/>
    <tableColumn id="17" name="Серия и номер УЛ3" dataDxfId="40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8" name="Таблица444493347" displayName="Таблица444493347" ref="A2:H3" totalsRowShown="0" headerRowDxfId="406" dataDxfId="404" headerRowBorderDxfId="405" tableBorderDxfId="403" totalsRowBorderDxfId="402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401"/>
    <tableColumn id="14" name="Имя файла" dataDxfId="400"/>
    <tableColumn id="1" name="Количество справок" dataDxfId="399"/>
    <tableColumn id="16" name="Фамилия с" dataDxfId="398"/>
    <tableColumn id="17" name="Фамилия по" dataDxfId="397"/>
    <tableColumn id="2" name="№ справки с" dataDxfId="396"/>
    <tableColumn id="3" name="№ справки по" dataDxfId="395"/>
    <tableColumn id="25" name="Признак справки" dataDxfId="394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39" name="Таблица3348" displayName="Таблица3348" ref="A7:G9" totalsRowCount="1" headerRowDxfId="393" headerRowBorderDxfId="392" tableBorderDxfId="391" totalsRowBorderDxfId="390">
  <autoFilter ref="A7:G8"/>
  <tableColumns count="7">
    <tableColumn id="1" name="№_x000a_справки" totalsRowLabel="Итог" dataDxfId="389" totalsRowDxfId="388"/>
    <tableColumn id="2" name="Фамилия" dataDxfId="387" totalsRowDxfId="386"/>
    <tableColumn id="3" name="UI_PERSON" dataDxfId="385" totalsRowDxfId="384"/>
    <tableColumn id="4" name="Резидент" dataDxfId="383" totalsRowDxfId="382"/>
    <tableColumn id="5" name="Гражданство" dataDxfId="381" totalsRowDxfId="380"/>
    <tableColumn id="6" name="Задолженность" totalsRowFunction="sum" dataDxfId="379" totalsRowDxfId="378"/>
    <tableColumn id="7" name="Коррекция №" totalsRowFunction="count" dataDxfId="377" totalsRowDxfId="37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6" name="Таблица44449" displayName="Таблица44449" ref="A4:P5" totalsRowShown="0" headerRowDxfId="375" dataDxfId="374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373"/>
    <tableColumn id="14" name="2" dataDxfId="372"/>
    <tableColumn id="1" name="3" dataDxfId="371"/>
    <tableColumn id="16" name="4" dataDxfId="370"/>
    <tableColumn id="17" name="5" dataDxfId="369"/>
    <tableColumn id="2" name="6" dataDxfId="368"/>
    <tableColumn id="3" name="7" dataDxfId="367"/>
    <tableColumn id="25" name="8" dataDxfId="366"/>
    <tableColumn id="18" name="9" dataDxfId="365"/>
    <tableColumn id="19" name="10" dataDxfId="364"/>
    <tableColumn id="20" name="11" dataDxfId="363"/>
    <tableColumn id="21" name="12" dataDxfId="362"/>
    <tableColumn id="22" name="13" dataDxfId="361"/>
    <tableColumn id="23" name="14" dataDxfId="360"/>
    <tableColumn id="24" name="15" dataDxfId="359"/>
    <tableColumn id="26" name="16" dataDxfId="358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57" name="Таблица354258" displayName="Таблица354258" ref="A2:I3" headerRowDxfId="357" dataDxfId="355" totalsRowDxfId="353" headerRowBorderDxfId="356" tableBorderDxfId="354">
  <autoFilter ref="A2:I3"/>
  <tableColumns count="9">
    <tableColumn id="1" name="Таблица" totalsRowLabel="Итог" dataDxfId="352" totalsRowDxfId="351"/>
    <tableColumn id="3" name="SSYLKA" dataDxfId="350" totalsRowDxfId="349"/>
    <tableColumn id="4" name="Тип дохода" dataDxfId="348" totalsRowDxfId="347"/>
    <tableColumn id="5" name="Фамилия" dataDxfId="346" totalsRowDxfId="345"/>
    <tableColumn id="6" name="Имя" dataDxfId="344" totalsRowDxfId="343"/>
    <tableColumn id="8" name="Отчество" dataDxfId="342" totalsRowDxfId="341"/>
    <tableColumn id="9" name="ДР" dataDxfId="340" totalsRowDxfId="339"/>
    <tableColumn id="10" name="SSYLKA_REAL" dataDxfId="338" totalsRowDxfId="337"/>
    <tableColumn id="11" name="UI_PERSON" dataDxfId="336" totalsRowDxfId="33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50" name="Таблица44051" displayName="Таблица44051" ref="A2:H3" totalsRowShown="0">
  <autoFilter ref="A2:H3">
    <filterColumn colId="7"/>
  </autoFilter>
  <tableColumns count="8">
    <tableColumn id="1" name="gf_person" dataDxfId="334"/>
    <tableColumn id="2" name="FND_x000a_SSYLKA" dataDxfId="333"/>
    <tableColumn id="3" name="NOM_VKL" dataDxfId="332"/>
    <tableColumn id="4" name="NOM_IPS" dataDxfId="331"/>
    <tableColumn id="6" name="ФИО" dataDxfId="330"/>
    <tableColumn id="7" name="Дата_x000a_рождения" dataDxfId="329"/>
    <tableColumn id="8" name="Гражданство" dataDxfId="328"/>
    <tableColumn id="5" name="Столбец1" dataDxfId="327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51" name="Таблица4405152" displayName="Таблица4405152" ref="A7:H8" totalsRowShown="0" dataDxfId="326">
  <autoFilter ref="A7:H8">
    <filterColumn colId="6"/>
    <filterColumn colId="7"/>
  </autoFilter>
  <tableColumns count="8">
    <tableColumn id="2" name="Период с" dataDxfId="325"/>
    <tableColumn id="3" name="Период по" dataDxfId="324"/>
    <tableColumn id="4" name="Код вычета" dataDxfId="323"/>
    <tableColumn id="6" name="Сумма" dataDxfId="322"/>
    <tableColumn id="7" name="Описание" dataDxfId="321"/>
    <tableColumn id="8" name="Лимит дохода" dataDxfId="320"/>
    <tableColumn id="5" name="tdappid" dataDxfId="319"/>
    <tableColumn id="9" name="rid" dataDxfId="318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55" name="Таблица440515256" displayName="Таблица440515256" ref="A11:H12" totalsRowShown="0" dataDxfId="317">
  <autoFilter ref="A11:H12">
    <filterColumn colId="6"/>
    <filterColumn colId="7"/>
  </autoFilter>
  <tableColumns count="8">
    <tableColumn id="2" name="Период с" dataDxfId="316"/>
    <tableColumn id="3" name="Период по" dataDxfId="315"/>
    <tableColumn id="4" name="Shifr_schet" dataDxfId="314"/>
    <tableColumn id="6" name="Сумма" dataDxfId="313"/>
    <tableColumn id="7" name="Описание" dataDxfId="312"/>
    <tableColumn id="8" name="Лимит дохода" dataDxfId="311"/>
    <tableColumn id="5" name="tdappid" dataDxfId="310"/>
    <tableColumn id="9" name="rid" dataDxfId="309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6" name="Таблица44051525657" displayName="Таблица44051525657" ref="A15:G16" totalsRowShown="0" dataDxfId="308">
  <autoFilter ref="A15:G16">
    <filterColumn colId="6"/>
  </autoFilter>
  <tableColumns count="7">
    <tableColumn id="1" name="Дата операции" dataDxfId="307"/>
    <tableColumn id="2" name="Тип движения" dataDxfId="306"/>
    <tableColumn id="3" name="Счет" dataDxfId="305"/>
    <tableColumn id="4" name="Сумма" dataDxfId="304"/>
    <tableColumn id="6" name="Документ" dataDxfId="303"/>
    <tableColumn id="7" name="Корректирующий документ" dataDxfId="302"/>
    <tableColumn id="10" name="Субсчет" dataDxfId="301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9" name="Menu" displayName="Menu" ref="D2:E38" totalsRowShown="0">
  <autoFilter ref="D2:E38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0" name="Actions" displayName="Actions" ref="G2:L69" totalsRowShown="0">
  <autoFilter ref="G2:L69">
    <filterColumn colId="3"/>
    <filterColumn colId="4"/>
    <filterColumn colId="5"/>
  </autoFilter>
  <tableColumns count="6">
    <tableColumn id="1" name="Code"/>
    <tableColumn id="2" name="Type"/>
    <tableColumn id="3" name="ActionCode"/>
    <tableColumn id="4" name="AfterAction"/>
    <tableColumn id="8" name="ActionParameter"/>
    <tableColumn id="5" name="Repeat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1" name="Programs" displayName="Programs" ref="Y2:AC14" totalsRowShown="0">
  <autoFilter ref="Y2:AC14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2" name="Reports" displayName="Reports" ref="N2:T65" totalsRowShown="0">
  <autoFilter ref="N2:T65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3" name="SubReports" displayName="SubReports" ref="V2:W35" totalsRowShown="0">
  <autoFilter ref="V2:W35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4" name="GeneralOptions" displayName="GeneralOptions" ref="A2:B16" headerRowBorderDxfId="300" tableBorderDxfId="299" totalsRowBorderDxfId="298">
  <autoFilter ref="A2:B16"/>
  <tableColumns count="2">
    <tableColumn id="1" name="Key" totalsRowLabel="Итог" totalsRowDxfId="297"/>
    <tableColumn id="2" name="Value" totalsRowFunction="count" totalsRowDxfId="296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17" name="ActionTypes" displayName="ActionTypes" ref="AM2:AM4" totalsRowShown="0" tableBorderDxfId="295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8" name="CreateModes" displayName="CreateModes" ref="AO2:AO4" totalsRowShown="0">
  <autoFilter ref="AO2:AO4"/>
  <tableColumns count="1">
    <tableColumn id="1" name="Cod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0" name="ReportTypes" displayName="ReportTypes" ref="AQ2:AQ5" totalsRowShown="0">
  <autoFilter ref="AQ2:AQ5"/>
  <tableColumns count="1">
    <tableColumn id="1" name="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5" name="ProgramTypes" displayName="ProgramTypes" ref="AS2:AS4" totalsRowShown="0">
  <autoFilter ref="AS2:AS4"/>
  <tableColumns count="1">
    <tableColumn id="1" name="Cod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9" name="ParamPurpose" displayName="ParamPurpose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1" name="ReturnTypes" displayName="ReturnTypes" ref="AW2:AW3" totalsRowShown="0">
  <autoFilter ref="AW2:AW3"/>
  <tableColumns count="1">
    <tableColumn id="1" name="Cod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3" name="Direction" displayName="Direction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2" name="Parameters" displayName="Parameters" ref="AE2:AK30" totalsRowShown="0">
  <autoFilter ref="AE2:AK30">
    <filterColumn colId="5"/>
    <filterColumn colId="6"/>
  </autoFilter>
  <tableColumns count="7">
    <tableColumn id="1" name="Program" dataDxfId="294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4" name="YesNo" displayName="YesNo" ref="BA2:BA4" totalsRowShown="0">
  <autoFilter ref="BA2:BA4"/>
  <tableColumns count="1">
    <tableColumn id="1" name="Code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7" name="AfterAction" displayName="AfterAction" ref="BC2:BC4" totalsRowShown="0">
  <autoFilter ref="BC2:BC4"/>
  <tableColumns count="1">
    <tableColumn id="1" name="Cod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7" name="CommonTokens" displayName="CommonTokens" ref="BE2:BF6" totalsRowShown="0">
  <autoFilter ref="BE2:BF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16" name="Таблица16" displayName="Таблица16" ref="C3:C6" totalsRowShown="0" headerRowDxfId="293" dataDxfId="292" tableBorderDxfId="291">
  <tableColumns count="1">
    <tableColumn id="1" name="Столбец1" dataDxfId="290"/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id="53" name="Таблица4444954" displayName="Таблица4444954" ref="A4:P172" totalsRowShown="0" headerRowDxfId="1" dataDxfId="0">
  <autoFilter ref="A4:P172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17"/>
    <tableColumn id="14" name="2" dataDxfId="16"/>
    <tableColumn id="1" name="3" dataDxfId="15"/>
    <tableColumn id="16" name="4" dataDxfId="14"/>
    <tableColumn id="17" name="5" dataDxfId="13"/>
    <tableColumn id="2" name="6" dataDxfId="12"/>
    <tableColumn id="3" name="7" dataDxfId="11"/>
    <tableColumn id="25" name="8" dataDxfId="10"/>
    <tableColumn id="18" name="9" dataDxfId="9"/>
    <tableColumn id="19" name="10" dataDxfId="8"/>
    <tableColumn id="20" name="11" dataDxfId="7"/>
    <tableColumn id="21" name="12" dataDxfId="6"/>
    <tableColumn id="22" name="13" dataDxfId="5"/>
    <tableColumn id="23" name="14" dataDxfId="4"/>
    <tableColumn id="24" name="15" dataDxfId="3"/>
    <tableColumn id="26" name="16" dataDxfId="2"/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id="45" name="Таблица440" displayName="Таблица440" ref="A2:N3" totalsRowShown="0" dataDxfId="289">
  <autoFilter ref="A2:N3">
    <filterColumn colId="0"/>
    <filterColumn colId="1"/>
    <filterColumn colId="2"/>
    <filterColumn colId="3"/>
    <filterColumn colId="6"/>
    <filterColumn colId="7"/>
    <filterColumn colId="11"/>
    <filterColumn colId="12"/>
  </autoFilter>
  <tableColumns count="14">
    <tableColumn id="14" name="Таблица" dataDxfId="288"/>
    <tableColumn id="20" name="ID справки" dataDxfId="287"/>
    <tableColumn id="15" name="№ справки" dataDxfId="286"/>
    <tableColumn id="16" name="№ коррекции" dataDxfId="285"/>
    <tableColumn id="1" name="GF_PERSON" dataDxfId="284"/>
    <tableColumn id="2" name="FND_x000a_SSYLKA" dataDxfId="283"/>
    <tableColumn id="17" name="NOM_VKL" dataDxfId="282"/>
    <tableColumn id="18" name="NOM_IPS" dataDxfId="281"/>
    <tableColumn id="4" name="Показатель" dataDxfId="280"/>
    <tableColumn id="5" name="Код показателя" dataDxfId="279"/>
    <tableColumn id="6" name="Сумма" dataDxfId="278"/>
    <tableColumn id="21" name="Месяц" dataDxfId="277"/>
    <tableColumn id="22" name="ФИО" dataDxfId="276"/>
    <tableColumn id="7" name="Описание" dataDxfId="275"/>
  </tableColumns>
  <tableStyleInfo name="TableStyleMedium9" showFirstColumn="0" showLastColumn="0" showRowStripes="1" showColumnStripes="0"/>
</table>
</file>

<file path=xl/tables/table42.xml><?xml version="1.0" encoding="utf-8"?>
<table xmlns="http://schemas.openxmlformats.org/spreadsheetml/2006/main" id="34" name="Таблица2435" displayName="Таблица2435" ref="A4:L5" totalsRowShown="0" headerRowDxfId="274" dataDxfId="272" headerRowBorderDxfId="273" tableBorderDxfId="271" totalsRowBorderDxfId="270">
  <autoFilter ref="A4:L5">
    <filterColumn colId="1"/>
    <filterColumn colId="8"/>
    <filterColumn colId="9"/>
    <filterColumn colId="10"/>
    <filterColumn colId="11"/>
  </autoFilter>
  <tableColumns count="12">
    <tableColumn id="5" name="1" dataDxfId="269"/>
    <tableColumn id="3" name="2" dataDxfId="268"/>
    <tableColumn id="2" name="3" dataDxfId="267"/>
    <tableColumn id="6" name="4" dataDxfId="266"/>
    <tableColumn id="7" name="5" dataDxfId="265"/>
    <tableColumn id="10" name="6" dataDxfId="264"/>
    <tableColumn id="11" name="7" dataDxfId="263"/>
    <tableColumn id="12" name="8" dataDxfId="262"/>
    <tableColumn id="1" name="9" dataDxfId="261"/>
    <tableColumn id="4" name="10" dataDxfId="260"/>
    <tableColumn id="9" name="12" dataDxfId="259"/>
    <tableColumn id="8" name="11" dataDxfId="258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26" name="Таблица26" displayName="Таблица26" ref="B6:D7" totalsRowShown="0" headerRowDxfId="257" headerRowBorderDxfId="256" tableBorderDxfId="255" headerRowCellStyle="Обычный 4">
  <autoFilter ref="B6:D7"/>
  <tableColumns count="3">
    <tableColumn id="1" name="100" dataDxfId="254" dataCellStyle="Обычный 4"/>
    <tableColumn id="2" name="130" dataDxfId="253" dataCellStyle="Обычный 4"/>
    <tableColumn id="3" name="140" dataDxfId="252" dataCellStyle="Обычный 4"/>
  </tableColumns>
  <tableStyleInfo name="TableStyleLight1" showFirstColumn="0" showLastColumn="0" showRowStripes="0" showColumnStripes="0"/>
</table>
</file>

<file path=xl/tables/table44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51" dataDxfId="250"/>
  </tableColumns>
  <tableStyleInfo showFirstColumn="0" showLastColumn="0" showRowStripes="0" showColumnStripes="0"/>
</table>
</file>

<file path=xl/tables/table45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49" dataDxfId="248"/>
  </tableColumns>
  <tableStyleInfo showFirstColumn="0" showLastColumn="0" showRowStripes="0" showColumnStripes="0"/>
</table>
</file>

<file path=xl/tables/table46.xml><?xml version="1.0" encoding="utf-8"?>
<table xmlns="http://schemas.openxmlformats.org/spreadsheetml/2006/main" id="4" name="Таблица4" displayName="Таблица4" ref="B5:E5" headerRowCount="0" totalsRowShown="0" headerRowDxfId="247" dataDxfId="246" tableBorderDxfId="245" totalsRowBorderDxfId="244">
  <tableColumns count="4">
    <tableColumn id="1" name="Столбец1" headerRowDxfId="243" dataDxfId="242" dataCellStyle="Обычный 4"/>
    <tableColumn id="2" name="Столбец2" headerRowDxfId="241" dataDxfId="240" headerRowCellStyle="Обычный 4" dataCellStyle="Обычный 4"/>
    <tableColumn id="3" name="Столбец3" headerRowDxfId="239" dataDxfId="238"/>
    <tableColumn id="4" name="Столбец4" headerRowDxfId="237" dataDxfId="236" headerRowCellStyle="Обычный 4" dataCellStyle="Обычный 4"/>
  </tableColumns>
  <tableStyleInfo name="TableStyleLight1" showFirstColumn="0" showLastColumn="0" showRowStripes="0" showColumnStripes="0"/>
</table>
</file>

<file path=xl/tables/table47.xml><?xml version="1.0" encoding="utf-8"?>
<table xmlns="http://schemas.openxmlformats.org/spreadsheetml/2006/main" id="29" name="Таблица29" displayName="Таблица29" ref="A4:H5" headerRowCount="0" totalsRowCount="1" headerRowDxfId="235" dataDxfId="234">
  <tableColumns count="8">
    <tableColumn id="1" name="Столбец1" totalsRowLabel="Итого:" headerRowDxfId="233" dataDxfId="232" totalsRowDxfId="231"/>
    <tableColumn id="2" name="Столбец2" headerRowDxfId="230" dataDxfId="229" totalsRowDxfId="228"/>
    <tableColumn id="3" name="Столбец3" totalsRowFunction="sum" headerRowDxfId="227" dataDxfId="226" totalsRowDxfId="225"/>
    <tableColumn id="4" name="Столбец4" totalsRowFunction="sum" headerRowDxfId="224" dataDxfId="223" totalsRowDxfId="222"/>
    <tableColumn id="5" name="Столбец5" totalsRowFunction="sum" headerRowDxfId="221" dataDxfId="220" totalsRowDxfId="219"/>
    <tableColumn id="6" name="Столбец6" totalsRowFunction="sum" headerRowDxfId="218" dataDxfId="217" totalsRowDxfId="216"/>
    <tableColumn id="7" name="Столбец7" totalsRowFunction="sum" headerRowDxfId="215" dataDxfId="214" totalsRowDxfId="213"/>
    <tableColumn id="8" name="Столбец8" totalsRowFunction="sum" headerRowDxfId="212" dataDxfId="211" totalsRowDxfId="210"/>
  </tableColumns>
  <tableStyleInfo name="TableStyleLight1" showFirstColumn="0" showLastColumn="0" showRowStripes="0" showColumnStripes="0"/>
</table>
</file>

<file path=xl/tables/table48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209" totalsRowDxfId="208"/>
    <tableColumn id="4" name="Столбец2" dataDxfId="207"/>
    <tableColumn id="5" name="итог" dataDxfId="206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49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205"/>
    <tableColumn id="2" name="Столбец2"/>
    <tableColumn id="3" name="Столбец3" totalsRowFunction="sum" headerRowDxfId="204" dataDxfId="203" totalsRowDxfId="202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50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51.xml><?xml version="1.0" encoding="utf-8"?>
<table xmlns="http://schemas.openxmlformats.org/spreadsheetml/2006/main" id="47" name="Таблица47" displayName="Таблица47" ref="A23:F25" totalsRowCount="1" headerRowDxfId="201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200"/>
    <tableColumn id="5" name="Налог удержанный" totalsRowFunction="sum" dataDxfId="199"/>
    <tableColumn id="6" name="Разница" totalsRowFunction="sum" dataDxfId="198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8" name="Таблица8" displayName="Таблица8" ref="A1:D2" insertRow="1" totalsRowShown="0" headerRowDxfId="197" headerRowBorderDxfId="196" tableBorderDxfId="195" totalsRowBorderDxfId="194">
  <autoFilter ref="A1:D2">
    <filterColumn colId="2"/>
    <filterColumn colId="3"/>
  </autoFilter>
  <tableColumns count="4">
    <tableColumn id="1" name="ФИО" dataDxfId="193"/>
    <tableColumn id="5" name="Дата рождения" dataDxfId="192"/>
    <tableColumn id="2" name="Снилс"/>
    <tableColumn id="3" name="ИНН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25" name="Таблица8526" displayName="Таблица8526" ref="A2:I3" totalsRowShown="0" headerRowDxfId="191" headerRowBorderDxfId="190" tableBorderDxfId="189" totalsRowBorderDxfId="188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87"/>
    <tableColumn id="6" name="Имя" dataDxfId="186"/>
    <tableColumn id="4" name="Отчество" dataDxfId="185"/>
    <tableColumn id="5" name="Дата рождения" dataDxfId="184"/>
    <tableColumn id="3" name="ИНН" dataDxfId="183"/>
    <tableColumn id="1" name="Участник/Не участник" dataDxfId="182"/>
    <tableColumn id="2" name="Доход" dataDxfId="181"/>
    <tableColumn id="8" name="Пенсионные схемы" dataDxfId="180"/>
    <tableColumn id="9" name="Типы дохода" dataDxfId="179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id="101" name="Таблица44047102" displayName="Таблица44047102" ref="A7:I8" totalsRowShown="0" headerRowDxfId="178" dataDxfId="177">
  <autoFilter ref="A7:I8">
    <filterColumn colId="3"/>
  </autoFilter>
  <tableColumns count="9">
    <tableColumn id="3" name="№ справки" dataDxfId="176"/>
    <tableColumn id="4" name="№ корр" dataDxfId="175"/>
    <tableColumn id="5" name="Ставка налога" dataDxfId="174"/>
    <tableColumn id="7" name="Годовой доход" dataDxfId="173"/>
    <tableColumn id="6" name="Облагаемый доход" dataDxfId="172"/>
    <tableColumn id="8" name="Налог исчисленный" dataDxfId="171"/>
    <tableColumn id="9" name="Налог удержанный" dataDxfId="170"/>
    <tableColumn id="10" name="Переплата" dataDxfId="169"/>
    <tableColumn id="11" name="Недоплата" dataDxfId="168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id="122" name="Таблица4404762103122123" displayName="Таблица4404762103122123" ref="A12:F13" totalsRowShown="0" headerRowDxfId="167" dataDxfId="166">
  <autoFilter ref="A12:F13"/>
  <tableColumns count="6">
    <tableColumn id="3" name="№ справки" dataDxfId="165"/>
    <tableColumn id="4" name="№ корр" dataDxfId="164"/>
    <tableColumn id="5" name="Ставка налога" dataDxfId="163"/>
    <tableColumn id="6" name="Код вычета" dataDxfId="162"/>
    <tableColumn id="7" name="Сумма предоставленная" dataDxfId="161"/>
    <tableColumn id="8" name="Сумма использованная" dataDxfId="160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id="125" name="Таблица4404762103122123126" displayName="Таблица4404762103122123126" ref="A16:G17" totalsRowShown="0" headerRowDxfId="159" dataDxfId="158">
  <autoFilter ref="A16:G17">
    <filterColumn colId="6"/>
  </autoFilter>
  <tableColumns count="7">
    <tableColumn id="3" name="№ справки" dataDxfId="157"/>
    <tableColumn id="4" name="№ корр" dataDxfId="156"/>
    <tableColumn id="5" name="Ставка налога" dataDxfId="155"/>
    <tableColumn id="6" name="Код дохода" dataDxfId="154"/>
    <tableColumn id="7" name="Сумма дохода" dataDxfId="153"/>
    <tableColumn id="8" name="Код вычета" dataDxfId="152"/>
    <tableColumn id="1" name="Сумма вычета" dataDxfId="151"/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id="52" name="Таблица52" displayName="Таблица52" ref="A5:I6" headerRowDxfId="150">
  <autoFilter ref="A5:I6">
    <filterColumn colId="5"/>
  </autoFilter>
  <tableColumns count="9">
    <tableColumn id="1" name="Контрагент ID" totalsRowLabel="Итог" dataDxfId="149" totalsRowDxfId="148"/>
    <tableColumn id="2" name="Фамилия" dataDxfId="147" totalsRowDxfId="146"/>
    <tableColumn id="3" name="Имя" dataDxfId="145" totalsRowDxfId="144"/>
    <tableColumn id="4" name="Отчество" dataDxfId="143" totalsRowDxfId="142"/>
    <tableColumn id="5" name="Ставка" dataDxfId="141" totalsRowDxfId="140"/>
    <tableColumn id="9" name="Количество счетов" dataDxfId="139" totalsRowDxfId="138"/>
    <tableColumn id="6" name="Исчисленный налог" dataDxfId="137" totalsRowDxfId="136"/>
    <tableColumn id="7" name="Удержанный налог" dataDxfId="135" totalsRowDxfId="134"/>
    <tableColumn id="8" name="Недоплата" totalsRowFunction="sum" dataDxfId="133" totalsRowDxfId="132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28" name="Таблица5229" displayName="Таблица5229" ref="A5:P6" headerRowDxfId="131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30" totalsRowDxfId="129"/>
    <tableColumn id="2" name="Фамилия" dataDxfId="128" totalsRowDxfId="127"/>
    <tableColumn id="3" name="Имя" dataDxfId="126" totalsRowDxfId="125"/>
    <tableColumn id="4" name="Отчество" dataDxfId="124" totalsRowDxfId="123"/>
    <tableColumn id="9" name="SSYLKA" dataDxfId="122" totalsRowDxfId="121"/>
    <tableColumn id="10" name="Вкладчик" dataDxfId="120" totalsRowDxfId="119"/>
    <tableColumn id="11" name="ИПС" dataDxfId="118" totalsRowDxfId="117"/>
    <tableColumn id="12" name="Пенс.схема" dataDxfId="116" totalsRowDxfId="115"/>
    <tableColumn id="14" name="Счет дохода" dataDxfId="114" totalsRowDxfId="113"/>
    <tableColumn id="5" name="Счет налога" dataDxfId="112" totalsRowDxfId="111"/>
    <tableColumn id="16" name="Доход" dataDxfId="110" totalsRowDxfId="109"/>
    <tableColumn id="15" name="Вычет" dataDxfId="108" totalsRowDxfId="107"/>
    <tableColumn id="13" name="Налог" dataDxfId="106" totalsRowDxfId="105"/>
    <tableColumn id="18" name="Удержано налога" dataDxfId="104" totalsRowDxfId="103"/>
    <tableColumn id="17" name="Исчислено налога" dataDxfId="102" totalsRowDxfId="101"/>
    <tableColumn id="8" name="Недоплата2" totalsRowFunction="sum" dataDxfId="100" totalsRowDxfId="99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35" name="Таблица35" displayName="Таблица35" ref="A22:M24" totalsRowCount="1" headerRowDxfId="98" dataDxfId="97">
  <autoFilter ref="A22:M23">
    <filterColumn colId="9"/>
    <filterColumn colId="12"/>
  </autoFilter>
  <tableColumns count="13">
    <tableColumn id="1" name="1" totalsRowLabel="Итог" dataDxfId="96" totalsRowDxfId="95"/>
    <tableColumn id="3" name="2" dataDxfId="94" totalsRowDxfId="93"/>
    <tableColumn id="4" name="3" dataDxfId="92" totalsRowDxfId="91"/>
    <tableColumn id="5" name="4" dataDxfId="90" totalsRowDxfId="89"/>
    <tableColumn id="6" name="5" dataDxfId="88" totalsRowDxfId="87"/>
    <tableColumn id="8" name="6" dataDxfId="86" totalsRowDxfId="85"/>
    <tableColumn id="9" name="7" dataDxfId="84" totalsRowDxfId="83"/>
    <tableColumn id="10" name="8" dataDxfId="82" totalsRowDxfId="81"/>
    <tableColumn id="11" name="9" dataDxfId="80" totalsRowDxfId="79"/>
    <tableColumn id="14" name="10" dataDxfId="78" totalsRowDxfId="77"/>
    <tableColumn id="12" name="11" totalsRowFunction="sum" dataDxfId="76" totalsRowDxfId="75"/>
    <tableColumn id="13" name="12" dataDxfId="74" totalsRowDxfId="73"/>
    <tableColumn id="15" name="13" dataDxfId="72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41" name="Таблица3542" displayName="Таблица3542" ref="A6:M8" totalsRowCount="1" headerRowDxfId="71" dataDxfId="70">
  <autoFilter ref="A6:M7"/>
  <tableColumns count="13">
    <tableColumn id="1" name="1" totalsRowLabel="Итог" dataDxfId="69" totalsRowDxfId="68"/>
    <tableColumn id="3" name="2" dataDxfId="67" totalsRowDxfId="66"/>
    <tableColumn id="4" name="3" dataDxfId="65" totalsRowDxfId="64"/>
    <tableColumn id="5" name="4" dataDxfId="63" totalsRowDxfId="62"/>
    <tableColumn id="6" name="5" dataDxfId="61" totalsRowDxfId="60"/>
    <tableColumn id="8" name="6" dataDxfId="59" totalsRowDxfId="58"/>
    <tableColumn id="9" name="7" dataDxfId="57" totalsRowDxfId="56"/>
    <tableColumn id="10" name="8" dataDxfId="55" totalsRowDxfId="54"/>
    <tableColumn id="11" name="9" dataDxfId="53" totalsRowDxfId="52"/>
    <tableColumn id="14" name="10" dataDxfId="51" totalsRowDxfId="50"/>
    <tableColumn id="12" name="11" totalsRowFunction="sum" dataDxfId="49" totalsRowDxfId="48"/>
    <tableColumn id="13" name="12" dataDxfId="47" totalsRowDxfId="46"/>
    <tableColumn id="15" name="13" dataDxfId="45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id="48" name="Таблица3549" displayName="Таблица3549" ref="A14:M16" totalsRowCount="1" headerRowDxfId="44" dataDxfId="43">
  <autoFilter ref="A14:M15"/>
  <tableColumns count="13">
    <tableColumn id="1" name="1" totalsRowLabel="Итог" dataDxfId="42" totalsRowDxfId="41"/>
    <tableColumn id="3" name="2" dataDxfId="40" totalsRowDxfId="39"/>
    <tableColumn id="4" name="3" dataDxfId="38" totalsRowDxfId="37"/>
    <tableColumn id="5" name="4" dataDxfId="36" totalsRowDxfId="35"/>
    <tableColumn id="6" name="5" dataDxfId="34" totalsRowDxfId="33"/>
    <tableColumn id="8" name="6" dataDxfId="32" totalsRowDxfId="31"/>
    <tableColumn id="9" name="7" dataDxfId="30" totalsRowDxfId="29"/>
    <tableColumn id="10" name="8" dataDxfId="28" totalsRowDxfId="27"/>
    <tableColumn id="11" name="9" dataDxfId="26" totalsRowDxfId="25"/>
    <tableColumn id="14" name="10" dataDxfId="24" totalsRowDxfId="23"/>
    <tableColumn id="12" name="11" totalsRowFunction="sum" dataDxfId="22" totalsRowDxfId="21"/>
    <tableColumn id="13" name="12" dataDxfId="20" totalsRowDxfId="19"/>
    <tableColumn id="15" name="13" data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18" Type="http://schemas.openxmlformats.org/officeDocument/2006/relationships/table" Target="../tables/table38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17" Type="http://schemas.openxmlformats.org/officeDocument/2006/relationships/table" Target="../tables/table37.xml"/><Relationship Id="rId2" Type="http://schemas.openxmlformats.org/officeDocument/2006/relationships/table" Target="../tables/table22.xml"/><Relationship Id="rId16" Type="http://schemas.openxmlformats.org/officeDocument/2006/relationships/table" Target="../tables/table36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10" Type="http://schemas.openxmlformats.org/officeDocument/2006/relationships/table" Target="../tables/table30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20.bin"/><Relationship Id="rId4" Type="http://schemas.openxmlformats.org/officeDocument/2006/relationships/table" Target="../tables/table4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21.bin"/><Relationship Id="rId6" Type="http://schemas.openxmlformats.org/officeDocument/2006/relationships/table" Target="../tables/table51.xml"/><Relationship Id="rId5" Type="http://schemas.openxmlformats.org/officeDocument/2006/relationships/table" Target="../tables/table50.xml"/><Relationship Id="rId4" Type="http://schemas.openxmlformats.org/officeDocument/2006/relationships/table" Target="../tables/table4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table" Target="../tables/table54.xml"/><Relationship Id="rId1" Type="http://schemas.openxmlformats.org/officeDocument/2006/relationships/printerSettings" Target="../printerSettings/printerSettings24.bin"/><Relationship Id="rId4" Type="http://schemas.openxmlformats.org/officeDocument/2006/relationships/table" Target="../tables/table5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1.xml"/><Relationship Id="rId2" Type="http://schemas.openxmlformats.org/officeDocument/2006/relationships/table" Target="../tables/table60.xml"/><Relationship Id="rId1" Type="http://schemas.openxmlformats.org/officeDocument/2006/relationships/table" Target="../tables/table5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96" t="s">
        <v>248</v>
      </c>
      <c r="B1" s="297"/>
      <c r="C1" s="297"/>
      <c r="D1" s="297"/>
      <c r="E1" s="297"/>
      <c r="F1" s="297"/>
      <c r="G1" s="297"/>
      <c r="H1" s="297"/>
      <c r="I1" s="297"/>
      <c r="J1" s="297"/>
    </row>
    <row r="2" spans="1:10" ht="31.5" customHeight="1">
      <c r="A2" s="294" t="s">
        <v>4</v>
      </c>
      <c r="B2" s="294"/>
      <c r="C2" s="294"/>
      <c r="D2" s="294"/>
      <c r="E2" s="294"/>
      <c r="F2" s="295" t="s">
        <v>23</v>
      </c>
      <c r="G2" s="295"/>
      <c r="H2" s="295"/>
      <c r="I2" s="295"/>
      <c r="J2" s="295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98" t="s">
        <v>248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</row>
    <row r="2" spans="1:16" ht="31.5" customHeight="1">
      <c r="A2" s="303" t="s">
        <v>4</v>
      </c>
      <c r="B2" s="304"/>
      <c r="C2" s="304"/>
      <c r="D2" s="304"/>
      <c r="E2" s="304"/>
      <c r="F2" s="304"/>
      <c r="G2" s="304"/>
      <c r="H2" s="304"/>
      <c r="I2" s="305"/>
      <c r="J2" s="306" t="s">
        <v>23</v>
      </c>
      <c r="K2" s="307"/>
      <c r="L2" s="307"/>
      <c r="M2" s="307"/>
      <c r="N2" s="307"/>
      <c r="O2" s="307"/>
      <c r="P2" s="308"/>
    </row>
    <row r="3" spans="1:16" ht="24" customHeight="1">
      <c r="A3" s="309" t="s">
        <v>0</v>
      </c>
      <c r="B3" s="311" t="s">
        <v>29</v>
      </c>
      <c r="C3" s="311" t="s">
        <v>3</v>
      </c>
      <c r="D3" s="311" t="s">
        <v>30</v>
      </c>
      <c r="E3" s="313" t="s">
        <v>5</v>
      </c>
      <c r="F3" s="314"/>
      <c r="G3" s="315"/>
      <c r="H3" s="313" t="s">
        <v>6</v>
      </c>
      <c r="I3" s="316"/>
      <c r="J3" s="317" t="s">
        <v>28</v>
      </c>
      <c r="K3" s="317" t="s">
        <v>32</v>
      </c>
      <c r="L3" s="299" t="s">
        <v>5</v>
      </c>
      <c r="M3" s="300"/>
      <c r="N3" s="301"/>
      <c r="O3" s="299" t="s">
        <v>6</v>
      </c>
      <c r="P3" s="302"/>
    </row>
    <row r="4" spans="1:16" ht="38.25" customHeight="1">
      <c r="A4" s="310"/>
      <c r="B4" s="312"/>
      <c r="C4" s="312"/>
      <c r="D4" s="312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18"/>
      <c r="K4" s="318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98" t="s">
        <v>249</v>
      </c>
      <c r="B1" s="298"/>
      <c r="C1" s="298"/>
      <c r="D1" s="298"/>
      <c r="E1" s="298"/>
      <c r="F1" s="298"/>
      <c r="G1" s="298"/>
      <c r="H1" s="298"/>
      <c r="I1" s="298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19" t="s">
        <v>250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</row>
    <row r="2" spans="1:18" ht="31.5" customHeight="1">
      <c r="A2" s="294" t="s">
        <v>59</v>
      </c>
      <c r="B2" s="294"/>
      <c r="C2" s="294"/>
      <c r="D2" s="294"/>
      <c r="E2" s="294" t="s">
        <v>58</v>
      </c>
      <c r="F2" s="294"/>
      <c r="G2" s="294"/>
      <c r="H2" s="294"/>
      <c r="I2" s="294"/>
      <c r="J2" s="294"/>
      <c r="K2" s="320" t="s">
        <v>52</v>
      </c>
      <c r="L2" s="320" t="s">
        <v>53</v>
      </c>
      <c r="M2" s="320" t="s">
        <v>38</v>
      </c>
      <c r="N2" s="320" t="s">
        <v>54</v>
      </c>
      <c r="O2" s="294" t="s">
        <v>60</v>
      </c>
      <c r="P2" s="294"/>
      <c r="Q2" s="294"/>
      <c r="R2" s="294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20"/>
      <c r="L3" s="320"/>
      <c r="M3" s="320"/>
      <c r="N3" s="320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activeCell="B46" sqref="B46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323" t="s">
        <v>292</v>
      </c>
      <c r="B1" s="324"/>
      <c r="C1" s="324"/>
      <c r="D1" s="324"/>
      <c r="E1" s="324"/>
      <c r="F1" s="324"/>
      <c r="G1" s="324"/>
      <c r="H1" s="324"/>
    </row>
    <row r="2" spans="1:8" ht="15.75" customHeight="1">
      <c r="A2" s="328"/>
      <c r="B2" s="328"/>
      <c r="C2" s="328"/>
      <c r="D2" s="328"/>
      <c r="E2" s="328"/>
      <c r="F2" s="328"/>
      <c r="G2" s="328"/>
      <c r="H2" s="328"/>
    </row>
    <row r="3" spans="1:8" ht="27" customHeight="1">
      <c r="A3" s="325" t="s">
        <v>267</v>
      </c>
      <c r="B3" s="325"/>
      <c r="C3" s="325"/>
      <c r="D3" s="117"/>
      <c r="E3" s="325" t="s">
        <v>268</v>
      </c>
      <c r="F3" s="325"/>
      <c r="G3" s="325"/>
      <c r="H3" s="325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26" t="s">
        <v>283</v>
      </c>
      <c r="B18" s="326"/>
      <c r="C18" s="326"/>
      <c r="D18" s="119"/>
      <c r="E18" s="326" t="s">
        <v>284</v>
      </c>
      <c r="F18" s="326"/>
      <c r="G18" s="326"/>
      <c r="H18" s="326"/>
    </row>
    <row r="19" spans="1:8" ht="14.25" customHeight="1">
      <c r="A19" s="326"/>
      <c r="B19" s="326"/>
      <c r="C19" s="326"/>
      <c r="D19" s="118"/>
      <c r="E19" s="327" t="s">
        <v>269</v>
      </c>
      <c r="F19" s="327"/>
      <c r="G19" s="327" t="s">
        <v>270</v>
      </c>
      <c r="H19" s="327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321" t="s">
        <v>299</v>
      </c>
      <c r="B41" s="322"/>
      <c r="D41" s="117"/>
    </row>
    <row r="42" spans="1:8">
      <c r="A42" s="321"/>
      <c r="B42" s="322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544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3"/>
  <dimension ref="A1:R13"/>
  <sheetViews>
    <sheetView zoomScale="145" zoomScaleNormal="145" workbookViewId="0">
      <pane ySplit="5" topLeftCell="A6" activePane="bottomLeft" state="frozen"/>
      <selection pane="bottomLeft" sqref="A1:L1"/>
    </sheetView>
  </sheetViews>
  <sheetFormatPr defaultRowHeight="15"/>
  <cols>
    <col min="1" max="1" width="15.42578125" style="259" customWidth="1"/>
    <col min="2" max="2" width="12.140625" style="259" customWidth="1"/>
    <col min="3" max="4" width="10.140625" style="259" customWidth="1"/>
    <col min="5" max="6" width="13.85546875" style="259" customWidth="1"/>
    <col min="7" max="7" width="17.140625" style="259" customWidth="1"/>
    <col min="8" max="10" width="14.140625" style="259" customWidth="1"/>
    <col min="11" max="11" width="17.140625" style="259" customWidth="1"/>
    <col min="12" max="12" width="15.140625" style="259" customWidth="1"/>
    <col min="13" max="13" width="9" style="259" customWidth="1"/>
    <col min="14" max="16384" width="9.140625" style="259"/>
  </cols>
  <sheetData>
    <row r="1" spans="1:18" ht="40.5" customHeight="1">
      <c r="A1" s="319" t="s">
        <v>544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244"/>
      <c r="N1" s="244"/>
      <c r="O1" s="244"/>
      <c r="P1" s="244"/>
      <c r="Q1" s="244"/>
      <c r="R1" s="244"/>
    </row>
    <row r="2" spans="1:18" ht="9" customHeight="1">
      <c r="A2" s="285"/>
      <c r="B2" s="285"/>
      <c r="C2" s="285"/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44"/>
      <c r="P2" s="244"/>
      <c r="Q2" s="244"/>
      <c r="R2" s="244"/>
    </row>
    <row r="3" spans="1:18">
      <c r="A3" s="290" t="s">
        <v>545</v>
      </c>
      <c r="B3" s="329"/>
      <c r="C3" s="329"/>
      <c r="D3" s="329"/>
      <c r="E3" s="329"/>
      <c r="F3" s="329"/>
      <c r="G3" s="329"/>
      <c r="H3" s="289"/>
      <c r="I3" s="289"/>
      <c r="J3" s="289"/>
      <c r="K3" s="289"/>
      <c r="L3" s="289"/>
      <c r="M3" s="289"/>
      <c r="N3" s="289"/>
    </row>
    <row r="4" spans="1:18">
      <c r="A4" s="290" t="s">
        <v>546</v>
      </c>
      <c r="B4" s="331"/>
      <c r="C4" s="331"/>
      <c r="D4" s="331"/>
      <c r="E4" s="331"/>
      <c r="F4" s="331"/>
      <c r="G4" s="331"/>
      <c r="H4" s="289"/>
      <c r="I4" s="289"/>
      <c r="J4" s="289"/>
      <c r="K4" s="289"/>
      <c r="L4" s="289"/>
      <c r="M4" s="289"/>
      <c r="N4" s="289"/>
    </row>
    <row r="5" spans="1:18" ht="9" customHeight="1"/>
    <row r="6" spans="1:18">
      <c r="A6" s="330" t="s">
        <v>542</v>
      </c>
      <c r="B6" s="330"/>
      <c r="C6" s="330"/>
      <c r="D6" s="330"/>
      <c r="E6" s="330"/>
      <c r="F6" s="330"/>
      <c r="G6" s="330"/>
      <c r="H6" s="330"/>
      <c r="I6" s="330"/>
      <c r="J6" s="330"/>
      <c r="K6" s="330"/>
      <c r="L6" s="330"/>
      <c r="M6" s="330"/>
    </row>
    <row r="7" spans="1:18" ht="45" customHeight="1">
      <c r="A7" s="245" t="s">
        <v>533</v>
      </c>
      <c r="B7" s="245" t="s">
        <v>492</v>
      </c>
      <c r="C7" s="246" t="s">
        <v>493</v>
      </c>
      <c r="D7" s="246" t="s">
        <v>35</v>
      </c>
      <c r="E7" s="246" t="s">
        <v>538</v>
      </c>
      <c r="F7" s="246" t="s">
        <v>3</v>
      </c>
      <c r="G7" s="246" t="s">
        <v>2</v>
      </c>
      <c r="H7" s="247" t="s">
        <v>1</v>
      </c>
      <c r="I7" s="248" t="s">
        <v>309</v>
      </c>
      <c r="J7" s="246" t="s">
        <v>534</v>
      </c>
      <c r="K7" s="245" t="s">
        <v>539</v>
      </c>
      <c r="L7" s="245" t="s">
        <v>535</v>
      </c>
    </row>
    <row r="8" spans="1:18">
      <c r="A8" s="260" t="s">
        <v>537</v>
      </c>
      <c r="B8" s="163"/>
      <c r="C8" s="163"/>
      <c r="D8" s="287"/>
      <c r="E8" s="287"/>
      <c r="F8" s="279"/>
      <c r="G8" s="166"/>
      <c r="H8" s="166"/>
      <c r="I8" s="166"/>
      <c r="J8" s="163"/>
      <c r="K8" s="163"/>
      <c r="L8" s="165"/>
    </row>
    <row r="11" spans="1:18">
      <c r="A11" s="330" t="s">
        <v>541</v>
      </c>
      <c r="B11" s="330"/>
      <c r="C11" s="330"/>
      <c r="D11" s="330"/>
      <c r="E11" s="330"/>
      <c r="F11" s="330"/>
      <c r="G11" s="330"/>
      <c r="H11" s="330"/>
      <c r="I11" s="330"/>
      <c r="J11" s="330"/>
      <c r="K11" s="330"/>
      <c r="L11" s="330"/>
      <c r="M11" s="330"/>
    </row>
    <row r="12" spans="1:18" ht="45" customHeight="1">
      <c r="A12" s="245" t="s">
        <v>533</v>
      </c>
      <c r="B12" s="245" t="s">
        <v>492</v>
      </c>
      <c r="C12" s="246" t="s">
        <v>493</v>
      </c>
      <c r="D12" s="246" t="s">
        <v>47</v>
      </c>
      <c r="E12" s="246" t="s">
        <v>3</v>
      </c>
      <c r="F12" s="246" t="s">
        <v>326</v>
      </c>
      <c r="G12" s="246" t="s">
        <v>38</v>
      </c>
      <c r="H12" s="247" t="s">
        <v>39</v>
      </c>
      <c r="I12" s="248" t="s">
        <v>40</v>
      </c>
      <c r="J12" s="246" t="s">
        <v>534</v>
      </c>
      <c r="K12" s="245" t="s">
        <v>540</v>
      </c>
      <c r="L12" s="245" t="s">
        <v>535</v>
      </c>
    </row>
    <row r="13" spans="1:18">
      <c r="A13" s="286" t="s">
        <v>530</v>
      </c>
      <c r="B13" s="163"/>
      <c r="C13" s="163"/>
      <c r="D13" s="287"/>
      <c r="E13" s="279"/>
      <c r="F13" s="279"/>
      <c r="G13" s="165"/>
      <c r="H13" s="165"/>
      <c r="I13" s="166"/>
      <c r="J13" s="163"/>
      <c r="K13" s="163"/>
      <c r="L13" s="165"/>
    </row>
  </sheetData>
  <mergeCells count="5">
    <mergeCell ref="B3:G3"/>
    <mergeCell ref="A1:L1"/>
    <mergeCell ref="A11:M11"/>
    <mergeCell ref="A6:M6"/>
    <mergeCell ref="B4:G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59" customWidth="1"/>
    <col min="2" max="3" width="7.7109375" style="259" customWidth="1"/>
    <col min="4" max="4" width="46.42578125" style="259" customWidth="1"/>
    <col min="5" max="5" width="12.140625" style="259" customWidth="1"/>
    <col min="6" max="6" width="15.140625" style="259" customWidth="1"/>
    <col min="7" max="10" width="13.140625" style="259" customWidth="1"/>
    <col min="11" max="11" width="10" style="259" customWidth="1"/>
    <col min="12" max="12" width="13.42578125" style="259" customWidth="1"/>
    <col min="13" max="16384" width="9.140625" style="259"/>
  </cols>
  <sheetData>
    <row r="1" spans="1:12" ht="67.5" customHeight="1">
      <c r="A1" s="319" t="s">
        <v>523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</row>
    <row r="2" spans="1:12" ht="60.75" customHeight="1">
      <c r="A2" s="262" t="s">
        <v>471</v>
      </c>
      <c r="B2" s="261" t="s">
        <v>396</v>
      </c>
      <c r="C2" s="261" t="s">
        <v>397</v>
      </c>
      <c r="D2" s="261" t="s">
        <v>97</v>
      </c>
      <c r="E2" s="261" t="s">
        <v>516</v>
      </c>
      <c r="F2" s="261" t="s">
        <v>496</v>
      </c>
      <c r="G2" s="261" t="s">
        <v>494</v>
      </c>
      <c r="H2" s="261" t="s">
        <v>495</v>
      </c>
      <c r="I2" s="261" t="s">
        <v>524</v>
      </c>
      <c r="J2" s="261" t="s">
        <v>525</v>
      </c>
      <c r="K2" s="266" t="s">
        <v>40</v>
      </c>
      <c r="L2" s="257" t="s">
        <v>526</v>
      </c>
    </row>
    <row r="3" spans="1:12">
      <c r="A3" s="284" t="s">
        <v>521</v>
      </c>
      <c r="B3" s="255"/>
      <c r="C3" s="255"/>
      <c r="D3" s="263"/>
      <c r="E3" s="264"/>
      <c r="F3" s="264"/>
      <c r="G3" s="264"/>
      <c r="H3" s="264"/>
      <c r="I3" s="264"/>
      <c r="J3" s="264"/>
      <c r="K3" s="282"/>
      <c r="L3" s="265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59" customWidth="1"/>
    <col min="2" max="3" width="7.7109375" style="259" customWidth="1"/>
    <col min="4" max="4" width="46.42578125" style="259" customWidth="1"/>
    <col min="5" max="5" width="12.140625" style="259" customWidth="1"/>
    <col min="6" max="6" width="15.140625" style="259" customWidth="1"/>
    <col min="7" max="8" width="12.7109375" style="259" customWidth="1"/>
    <col min="9" max="9" width="19.5703125" style="259" customWidth="1"/>
    <col min="10" max="11" width="10" style="259" customWidth="1"/>
    <col min="12" max="16384" width="9.140625" style="259"/>
  </cols>
  <sheetData>
    <row r="1" spans="1:11" ht="92.25" customHeight="1">
      <c r="A1" s="319" t="s">
        <v>515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</row>
    <row r="2" spans="1:11" ht="60.75" customHeight="1">
      <c r="A2" s="262" t="s">
        <v>471</v>
      </c>
      <c r="B2" s="261" t="s">
        <v>396</v>
      </c>
      <c r="C2" s="261" t="s">
        <v>397</v>
      </c>
      <c r="D2" s="261" t="s">
        <v>97</v>
      </c>
      <c r="E2" s="261" t="s">
        <v>516</v>
      </c>
      <c r="F2" s="261" t="s">
        <v>496</v>
      </c>
      <c r="G2" s="261" t="s">
        <v>494</v>
      </c>
      <c r="H2" s="261" t="s">
        <v>495</v>
      </c>
      <c r="I2" s="261" t="s">
        <v>517</v>
      </c>
      <c r="J2" s="266" t="s">
        <v>518</v>
      </c>
      <c r="K2" s="257" t="s">
        <v>519</v>
      </c>
    </row>
    <row r="3" spans="1:11">
      <c r="A3" s="254" t="s">
        <v>513</v>
      </c>
      <c r="B3" s="255"/>
      <c r="C3" s="255"/>
      <c r="D3" s="263"/>
      <c r="E3" s="264"/>
      <c r="F3" s="264"/>
      <c r="G3" s="264"/>
      <c r="H3" s="264"/>
      <c r="I3" s="282"/>
      <c r="J3" s="282"/>
      <c r="K3" s="28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19" t="s">
        <v>470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</row>
    <row r="2" spans="1:11" ht="65.25" customHeight="1">
      <c r="A2" s="237" t="s">
        <v>471</v>
      </c>
      <c r="B2" s="238" t="s">
        <v>396</v>
      </c>
      <c r="C2" s="238" t="s">
        <v>397</v>
      </c>
      <c r="D2" s="238" t="s">
        <v>97</v>
      </c>
      <c r="E2" s="238" t="s">
        <v>3</v>
      </c>
      <c r="F2" s="238" t="s">
        <v>57</v>
      </c>
      <c r="G2" s="238" t="s">
        <v>472</v>
      </c>
      <c r="H2" s="238" t="s">
        <v>473</v>
      </c>
      <c r="I2" s="238" t="s">
        <v>474</v>
      </c>
      <c r="J2" s="239" t="s">
        <v>475</v>
      </c>
      <c r="K2" s="257" t="s">
        <v>476</v>
      </c>
    </row>
    <row r="3" spans="1:11">
      <c r="A3" s="254" t="s">
        <v>468</v>
      </c>
      <c r="B3" s="255"/>
      <c r="C3" s="255"/>
      <c r="D3" s="241"/>
      <c r="E3" s="241"/>
      <c r="F3" s="242"/>
      <c r="G3" s="252"/>
      <c r="H3" s="252"/>
      <c r="I3" s="256"/>
      <c r="J3" s="242"/>
      <c r="K3" s="24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296" t="s">
        <v>420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U1" t="s">
        <v>421</v>
      </c>
    </row>
    <row r="2" spans="1:21" ht="18" customHeight="1">
      <c r="A2" s="332" t="s">
        <v>421</v>
      </c>
      <c r="B2" s="332"/>
      <c r="C2" s="332"/>
      <c r="D2" s="332"/>
      <c r="E2" s="332"/>
      <c r="F2" s="332"/>
      <c r="G2" s="332"/>
      <c r="H2" s="332"/>
      <c r="I2" s="332"/>
      <c r="J2" s="332"/>
      <c r="K2" s="332"/>
      <c r="L2" s="332"/>
      <c r="M2" s="333" t="e">
        <f>report_year-1</f>
        <v>#VALUE!</v>
      </c>
      <c r="N2" s="333"/>
      <c r="O2" s="333"/>
      <c r="P2" s="333"/>
      <c r="Q2" s="333"/>
      <c r="R2" s="333"/>
    </row>
    <row r="3" spans="1:21" ht="31.5" customHeight="1">
      <c r="A3" s="213" t="s">
        <v>422</v>
      </c>
      <c r="B3" s="213" t="s">
        <v>325</v>
      </c>
      <c r="C3" s="213" t="s">
        <v>423</v>
      </c>
      <c r="D3" s="213" t="s">
        <v>63</v>
      </c>
      <c r="E3" s="213" t="s">
        <v>64</v>
      </c>
      <c r="F3" s="213" t="s">
        <v>65</v>
      </c>
      <c r="G3" s="213" t="s">
        <v>98</v>
      </c>
      <c r="H3" s="213" t="s">
        <v>100</v>
      </c>
      <c r="I3" s="213" t="s">
        <v>416</v>
      </c>
      <c r="J3" s="213" t="s">
        <v>415</v>
      </c>
      <c r="K3" s="213" t="s">
        <v>424</v>
      </c>
      <c r="L3" s="213" t="s">
        <v>425</v>
      </c>
      <c r="M3" s="258" t="s">
        <v>484</v>
      </c>
      <c r="N3" s="258" t="s">
        <v>426</v>
      </c>
      <c r="O3" s="258" t="s">
        <v>427</v>
      </c>
      <c r="P3" s="258" t="s">
        <v>428</v>
      </c>
      <c r="Q3" s="258" t="s">
        <v>429</v>
      </c>
      <c r="R3" s="258" t="s">
        <v>430</v>
      </c>
    </row>
    <row r="4" spans="1:21">
      <c r="A4" s="29" t="s">
        <v>528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19" t="s">
        <v>402</v>
      </c>
      <c r="B1" s="319"/>
      <c r="C1" s="319"/>
      <c r="D1" s="319"/>
      <c r="E1" s="319"/>
      <c r="F1" s="319"/>
      <c r="G1" s="319"/>
      <c r="H1" s="319"/>
    </row>
    <row r="2" spans="1:8" ht="25.5">
      <c r="A2" s="221" t="s">
        <v>403</v>
      </c>
      <c r="B2" s="222" t="s">
        <v>404</v>
      </c>
      <c r="C2" s="222" t="s">
        <v>405</v>
      </c>
      <c r="D2" s="222" t="s">
        <v>406</v>
      </c>
      <c r="E2" s="222" t="s">
        <v>407</v>
      </c>
      <c r="F2" s="222" t="s">
        <v>408</v>
      </c>
      <c r="G2" s="222" t="s">
        <v>409</v>
      </c>
      <c r="H2" s="223" t="s">
        <v>410</v>
      </c>
    </row>
    <row r="3" spans="1:8">
      <c r="A3" s="224" t="s">
        <v>411</v>
      </c>
      <c r="B3" s="225"/>
      <c r="C3" s="226"/>
      <c r="D3" s="227"/>
      <c r="E3" s="227"/>
      <c r="F3" s="228"/>
      <c r="G3" s="227"/>
      <c r="H3" s="229"/>
    </row>
    <row r="6" spans="1:8" ht="47.25" customHeight="1">
      <c r="A6" s="319" t="s">
        <v>412</v>
      </c>
      <c r="B6" s="319"/>
      <c r="C6" s="319"/>
      <c r="D6" s="319"/>
      <c r="E6" s="319"/>
      <c r="F6" s="319"/>
      <c r="G6" s="319"/>
    </row>
    <row r="7" spans="1:8" ht="25.5">
      <c r="A7" s="221" t="s">
        <v>413</v>
      </c>
      <c r="B7" s="222" t="s">
        <v>63</v>
      </c>
      <c r="C7" s="222" t="s">
        <v>414</v>
      </c>
      <c r="D7" s="222" t="s">
        <v>415</v>
      </c>
      <c r="E7" s="222" t="s">
        <v>416</v>
      </c>
      <c r="F7" s="230" t="s">
        <v>417</v>
      </c>
      <c r="G7" s="222" t="s">
        <v>418</v>
      </c>
    </row>
    <row r="8" spans="1:8">
      <c r="A8" s="231" t="s">
        <v>419</v>
      </c>
      <c r="B8" s="225"/>
      <c r="C8" s="228"/>
      <c r="D8" s="228"/>
      <c r="E8" s="232"/>
      <c r="F8" s="233"/>
      <c r="G8" s="229"/>
    </row>
    <row r="9" spans="1:8">
      <c r="A9" s="231" t="s">
        <v>218</v>
      </c>
      <c r="B9" s="234"/>
      <c r="C9" s="235"/>
      <c r="D9" s="235"/>
      <c r="E9" s="235"/>
      <c r="F9" s="233">
        <f>SUBTOTAL(109,[Задолженность])</f>
        <v>0</v>
      </c>
      <c r="G9" s="236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96" t="s">
        <v>393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</row>
    <row r="2" spans="1:16" ht="18" customHeight="1">
      <c r="A2" s="334" t="s">
        <v>394</v>
      </c>
      <c r="B2" s="334"/>
      <c r="C2" s="334"/>
      <c r="D2" s="334"/>
      <c r="E2" s="334"/>
      <c r="F2" s="334"/>
      <c r="G2" s="334"/>
      <c r="H2" s="334" t="s">
        <v>395</v>
      </c>
      <c r="I2" s="334"/>
      <c r="J2" s="334"/>
      <c r="K2" s="334"/>
      <c r="L2" s="334"/>
      <c r="M2" s="334"/>
      <c r="N2" s="334"/>
      <c r="O2" s="334"/>
      <c r="P2" s="334"/>
    </row>
    <row r="3" spans="1:16" ht="31.5" customHeight="1">
      <c r="A3" s="213" t="s">
        <v>396</v>
      </c>
      <c r="B3" s="213" t="s">
        <v>397</v>
      </c>
      <c r="C3" s="213" t="s">
        <v>329</v>
      </c>
      <c r="D3" s="213" t="s">
        <v>398</v>
      </c>
      <c r="E3" s="213" t="s">
        <v>399</v>
      </c>
      <c r="F3" s="213" t="s">
        <v>1</v>
      </c>
      <c r="G3" s="213" t="s">
        <v>97</v>
      </c>
      <c r="H3" s="213" t="s">
        <v>400</v>
      </c>
      <c r="I3" s="213" t="s">
        <v>396</v>
      </c>
      <c r="J3" s="213" t="s">
        <v>397</v>
      </c>
      <c r="K3" s="213" t="s">
        <v>329</v>
      </c>
      <c r="L3" s="213" t="s">
        <v>398</v>
      </c>
      <c r="M3" s="213" t="s">
        <v>399</v>
      </c>
      <c r="N3" s="213" t="s">
        <v>1</v>
      </c>
      <c r="O3" s="213" t="s">
        <v>97</v>
      </c>
      <c r="P3" s="213" t="s">
        <v>400</v>
      </c>
    </row>
    <row r="4" spans="1:16">
      <c r="A4" s="214" t="s">
        <v>7</v>
      </c>
      <c r="B4" s="214" t="s">
        <v>8</v>
      </c>
      <c r="C4" s="214" t="s">
        <v>9</v>
      </c>
      <c r="D4" s="214" t="s">
        <v>10</v>
      </c>
      <c r="E4" s="214" t="s">
        <v>11</v>
      </c>
      <c r="F4" s="214" t="s">
        <v>12</v>
      </c>
      <c r="G4" s="214" t="s">
        <v>13</v>
      </c>
      <c r="H4" s="214" t="s">
        <v>14</v>
      </c>
      <c r="I4" s="214" t="s">
        <v>15</v>
      </c>
      <c r="J4" s="214" t="s">
        <v>16</v>
      </c>
      <c r="K4" s="214" t="s">
        <v>17</v>
      </c>
      <c r="L4" s="214" t="s">
        <v>18</v>
      </c>
      <c r="M4" s="214" t="s">
        <v>19</v>
      </c>
      <c r="N4" s="214" t="s">
        <v>20</v>
      </c>
      <c r="O4" s="214" t="s">
        <v>21</v>
      </c>
      <c r="P4" s="215" t="s">
        <v>24</v>
      </c>
    </row>
    <row r="5" spans="1:16">
      <c r="A5" s="216" t="s">
        <v>401</v>
      </c>
      <c r="B5" s="216"/>
      <c r="C5" s="217"/>
      <c r="D5" s="217"/>
      <c r="E5" s="218"/>
      <c r="F5" s="219"/>
      <c r="G5" s="218"/>
      <c r="H5" s="218"/>
      <c r="I5" s="217"/>
      <c r="J5" s="217"/>
      <c r="K5" s="217"/>
      <c r="L5" s="217"/>
      <c r="M5" s="218"/>
      <c r="N5" s="219"/>
      <c r="O5" s="218"/>
      <c r="P5" s="220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35" t="s">
        <v>459</v>
      </c>
      <c r="B1" s="335"/>
      <c r="C1" s="335"/>
      <c r="D1" s="335"/>
      <c r="E1" s="335"/>
      <c r="F1" s="335"/>
      <c r="G1" s="335"/>
      <c r="H1" s="335"/>
      <c r="I1" s="335"/>
      <c r="J1" s="187"/>
    </row>
    <row r="2" spans="1:10" ht="39.75" customHeight="1">
      <c r="A2" s="33" t="s">
        <v>461</v>
      </c>
      <c r="B2" s="47" t="s">
        <v>62</v>
      </c>
      <c r="C2" s="251" t="s">
        <v>3</v>
      </c>
      <c r="D2" s="47" t="s">
        <v>63</v>
      </c>
      <c r="E2" s="47" t="s">
        <v>64</v>
      </c>
      <c r="F2" s="47" t="s">
        <v>65</v>
      </c>
      <c r="G2" s="47" t="s">
        <v>462</v>
      </c>
      <c r="H2" s="47" t="s">
        <v>463</v>
      </c>
      <c r="I2" s="34" t="s">
        <v>414</v>
      </c>
    </row>
    <row r="3" spans="1:10">
      <c r="A3" s="240" t="s">
        <v>458</v>
      </c>
      <c r="B3" s="252"/>
      <c r="C3" s="242"/>
      <c r="D3" s="241"/>
      <c r="E3" s="241"/>
      <c r="F3" s="241"/>
      <c r="G3" s="242"/>
      <c r="H3" s="252"/>
      <c r="I3" s="253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6"/>
  <dimension ref="A1:J20"/>
  <sheetViews>
    <sheetView zoomScale="145" zoomScaleNormal="145" workbookViewId="0">
      <pane ySplit="4" topLeftCell="A5" activePane="bottomLeft" state="frozen"/>
      <selection pane="bottomLeft" activeCell="A2" sqref="A2:XFD3"/>
    </sheetView>
  </sheetViews>
  <sheetFormatPr defaultRowHeight="15"/>
  <cols>
    <col min="1" max="2" width="12.42578125" style="259" customWidth="1"/>
    <col min="3" max="4" width="13.85546875" style="259" customWidth="1"/>
    <col min="5" max="5" width="39" style="259" customWidth="1"/>
    <col min="6" max="7" width="17.140625" style="259" customWidth="1"/>
    <col min="8" max="8" width="14" style="259" customWidth="1"/>
    <col min="9" max="16384" width="9.140625" style="259"/>
  </cols>
  <sheetData>
    <row r="1" spans="1:10" ht="36" customHeight="1">
      <c r="A1" s="319" t="s">
        <v>491</v>
      </c>
      <c r="B1" s="319"/>
      <c r="C1" s="319"/>
      <c r="D1" s="319"/>
      <c r="E1" s="319"/>
      <c r="F1" s="319"/>
      <c r="G1" s="319"/>
      <c r="H1" s="319"/>
      <c r="I1" s="244"/>
      <c r="J1" s="244"/>
    </row>
    <row r="2" spans="1:10" ht="24" customHeight="1">
      <c r="A2" s="245" t="s">
        <v>511</v>
      </c>
      <c r="B2" s="245" t="s">
        <v>432</v>
      </c>
      <c r="C2" s="245" t="s">
        <v>492</v>
      </c>
      <c r="D2" s="246" t="s">
        <v>493</v>
      </c>
      <c r="E2" s="246" t="s">
        <v>97</v>
      </c>
      <c r="F2" s="247" t="s">
        <v>433</v>
      </c>
      <c r="G2" s="246" t="s">
        <v>416</v>
      </c>
      <c r="H2" s="275" t="s">
        <v>135</v>
      </c>
    </row>
    <row r="3" spans="1:10">
      <c r="A3" s="268" t="s">
        <v>479</v>
      </c>
      <c r="B3" s="163"/>
      <c r="C3" s="163"/>
      <c r="D3" s="163"/>
      <c r="E3" s="114"/>
      <c r="F3" s="269"/>
      <c r="G3" s="269"/>
      <c r="H3" s="274"/>
    </row>
    <row r="4" spans="1:10" ht="15.75" thickBot="1">
      <c r="A4" s="276"/>
      <c r="B4" s="276"/>
      <c r="C4" s="276"/>
      <c r="D4" s="276"/>
      <c r="E4" s="276"/>
      <c r="F4" s="276"/>
      <c r="G4" s="276"/>
      <c r="H4" s="276"/>
    </row>
    <row r="5" spans="1:10" ht="19.5" customHeight="1" thickTop="1"/>
    <row r="6" spans="1:10" ht="30" customHeight="1">
      <c r="A6" s="337" t="s">
        <v>505</v>
      </c>
      <c r="B6" s="337"/>
      <c r="C6" s="337"/>
      <c r="D6" s="337"/>
      <c r="E6" s="337"/>
      <c r="F6" s="337"/>
      <c r="G6" s="337"/>
      <c r="H6" s="337"/>
    </row>
    <row r="7" spans="1:10">
      <c r="A7" s="245" t="s">
        <v>494</v>
      </c>
      <c r="B7" s="245" t="s">
        <v>495</v>
      </c>
      <c r="C7" s="246" t="s">
        <v>496</v>
      </c>
      <c r="D7" s="246" t="s">
        <v>40</v>
      </c>
      <c r="E7" s="247" t="s">
        <v>497</v>
      </c>
      <c r="F7" s="246" t="s">
        <v>498</v>
      </c>
      <c r="G7" s="246" t="s">
        <v>499</v>
      </c>
      <c r="H7" s="246" t="s">
        <v>500</v>
      </c>
    </row>
    <row r="8" spans="1:10">
      <c r="A8" s="269" t="s">
        <v>480</v>
      </c>
      <c r="B8" s="269"/>
      <c r="C8" s="165"/>
      <c r="D8" s="278"/>
      <c r="E8" s="280"/>
      <c r="F8" s="166" t="s">
        <v>191</v>
      </c>
      <c r="G8" s="163"/>
      <c r="H8" s="163"/>
    </row>
    <row r="9" spans="1:10" ht="16.5" customHeight="1"/>
    <row r="10" spans="1:10" ht="30" customHeight="1">
      <c r="A10" s="336" t="s">
        <v>508</v>
      </c>
      <c r="B10" s="337"/>
      <c r="C10" s="337"/>
      <c r="D10" s="337"/>
      <c r="E10" s="337"/>
      <c r="F10" s="337"/>
      <c r="G10" s="337"/>
      <c r="H10" s="337"/>
    </row>
    <row r="11" spans="1:10">
      <c r="A11" s="245" t="s">
        <v>494</v>
      </c>
      <c r="B11" s="245" t="s">
        <v>495</v>
      </c>
      <c r="C11" s="246" t="s">
        <v>472</v>
      </c>
      <c r="D11" s="246" t="s">
        <v>40</v>
      </c>
      <c r="E11" s="247" t="s">
        <v>497</v>
      </c>
      <c r="F11" s="246" t="s">
        <v>498</v>
      </c>
      <c r="G11" s="246" t="s">
        <v>499</v>
      </c>
      <c r="H11" s="246" t="s">
        <v>500</v>
      </c>
    </row>
    <row r="12" spans="1:10">
      <c r="A12" s="267" t="s">
        <v>481</v>
      </c>
      <c r="B12" s="269"/>
      <c r="C12" s="165"/>
      <c r="D12" s="115"/>
      <c r="E12" s="280"/>
      <c r="F12" s="166" t="s">
        <v>191</v>
      </c>
      <c r="G12" s="163"/>
      <c r="H12" s="163"/>
    </row>
    <row r="14" spans="1:10" ht="30" customHeight="1">
      <c r="A14" s="337" t="s">
        <v>506</v>
      </c>
      <c r="B14" s="337"/>
      <c r="C14" s="337"/>
      <c r="D14" s="337"/>
      <c r="E14" s="337"/>
      <c r="F14" s="337"/>
      <c r="G14" s="337"/>
    </row>
    <row r="15" spans="1:10" ht="25.5">
      <c r="A15" s="245" t="s">
        <v>35</v>
      </c>
      <c r="B15" s="245" t="s">
        <v>501</v>
      </c>
      <c r="C15" s="245" t="s">
        <v>38</v>
      </c>
      <c r="D15" s="246" t="s">
        <v>40</v>
      </c>
      <c r="E15" s="246" t="s">
        <v>502</v>
      </c>
      <c r="F15" s="246" t="s">
        <v>503</v>
      </c>
      <c r="G15" s="246" t="s">
        <v>39</v>
      </c>
    </row>
    <row r="16" spans="1:10">
      <c r="A16" s="267" t="s">
        <v>482</v>
      </c>
      <c r="B16" s="279"/>
      <c r="C16" s="269"/>
      <c r="D16" s="115"/>
      <c r="E16" s="277"/>
      <c r="F16" s="270"/>
      <c r="G16" s="270"/>
    </row>
    <row r="18" spans="1:5" ht="30" customHeight="1">
      <c r="A18" s="337" t="s">
        <v>507</v>
      </c>
      <c r="B18" s="337"/>
      <c r="C18" s="337"/>
      <c r="D18" s="337"/>
      <c r="E18" s="337"/>
    </row>
    <row r="19" spans="1:5" ht="15.75" thickBot="1">
      <c r="A19" s="271" t="s">
        <v>3</v>
      </c>
      <c r="B19" s="271" t="s">
        <v>57</v>
      </c>
      <c r="C19" s="272" t="s">
        <v>496</v>
      </c>
      <c r="D19" s="272" t="s">
        <v>40</v>
      </c>
      <c r="E19" s="271" t="s">
        <v>504</v>
      </c>
    </row>
    <row r="20" spans="1:5" ht="15.75" thickTop="1">
      <c r="A20" s="273" t="s">
        <v>483</v>
      </c>
      <c r="B20" s="273"/>
      <c r="C20" s="273"/>
      <c r="D20" s="278"/>
      <c r="E20" s="281"/>
    </row>
  </sheetData>
  <mergeCells count="5">
    <mergeCell ref="A10:H10"/>
    <mergeCell ref="A6:H6"/>
    <mergeCell ref="A1:H1"/>
    <mergeCell ref="A14:G14"/>
    <mergeCell ref="A18:E18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ettings"/>
  <dimension ref="A1:BH69"/>
  <sheetViews>
    <sheetView tabSelected="1" topLeftCell="Z1" workbookViewId="0">
      <selection activeCell="AK23" sqref="AK23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0.85546875" customWidth="1"/>
    <col min="14" max="14" width="30.7109375" bestFit="1" customWidth="1"/>
    <col min="15" max="15" width="32.42578125" bestFit="1" customWidth="1"/>
    <col min="16" max="16" width="34.7109375" customWidth="1"/>
    <col min="17" max="18" width="16.7109375" customWidth="1"/>
    <col min="19" max="19" width="13.85546875" customWidth="1"/>
    <col min="20" max="20" width="13.5703125" bestFit="1" customWidth="1"/>
    <col min="21" max="21" width="23" customWidth="1"/>
    <col min="22" max="22" width="30.7109375" bestFit="1" customWidth="1"/>
    <col min="23" max="23" width="27.140625" bestFit="1" customWidth="1"/>
    <col min="24" max="24" width="19.7109375" bestFit="1" customWidth="1"/>
    <col min="25" max="27" width="17.85546875" customWidth="1"/>
    <col min="28" max="28" width="34" bestFit="1" customWidth="1"/>
    <col min="29" max="29" width="36" bestFit="1" customWidth="1"/>
    <col min="30" max="30" width="19.7109375" bestFit="1" customWidth="1"/>
    <col min="31" max="31" width="18.5703125" bestFit="1" customWidth="1"/>
    <col min="32" max="32" width="14.140625" bestFit="1" customWidth="1"/>
    <col min="33" max="33" width="11.42578125" bestFit="1" customWidth="1"/>
    <col min="34" max="34" width="12.85546875" bestFit="1" customWidth="1"/>
    <col min="35" max="35" width="11.42578125" bestFit="1" customWidth="1"/>
    <col min="36" max="36" width="6.85546875" bestFit="1" customWidth="1"/>
    <col min="37" max="37" width="9.28515625" bestFit="1" customWidth="1"/>
    <col min="38" max="39" width="11.85546875" bestFit="1" customWidth="1"/>
    <col min="40" max="41" width="13.140625" bestFit="1" customWidth="1"/>
    <col min="42" max="43" width="12.140625" bestFit="1" customWidth="1"/>
    <col min="44" max="44" width="13.7109375" bestFit="1" customWidth="1"/>
    <col min="45" max="45" width="7.5703125" customWidth="1"/>
    <col min="46" max="46" width="14" bestFit="1" customWidth="1"/>
    <col min="47" max="47" width="7.5703125" customWidth="1"/>
    <col min="48" max="48" width="12.140625" bestFit="1" customWidth="1"/>
    <col min="49" max="49" width="7.5703125" customWidth="1"/>
    <col min="50" max="50" width="13.5703125" customWidth="1"/>
    <col min="51" max="51" width="7.5703125" customWidth="1"/>
    <col min="54" max="54" width="11.28515625" bestFit="1" customWidth="1"/>
    <col min="56" max="57" width="12.140625" customWidth="1"/>
    <col min="58" max="58" width="11.5703125" bestFit="1" customWidth="1"/>
  </cols>
  <sheetData>
    <row r="1" spans="1:60" ht="29.25" customHeight="1">
      <c r="A1" s="338" t="s">
        <v>115</v>
      </c>
      <c r="B1" s="338"/>
      <c r="D1" s="339" t="s">
        <v>116</v>
      </c>
      <c r="E1" s="339"/>
      <c r="G1" s="339" t="s">
        <v>111</v>
      </c>
      <c r="H1" s="339"/>
      <c r="I1" s="339"/>
      <c r="J1" s="339"/>
      <c r="K1" s="339"/>
      <c r="L1" s="339"/>
      <c r="N1" s="339" t="s">
        <v>106</v>
      </c>
      <c r="O1" s="339"/>
      <c r="P1" s="339"/>
      <c r="Q1" s="339"/>
      <c r="R1" s="339"/>
      <c r="S1" s="339"/>
      <c r="T1" s="339"/>
      <c r="V1" s="339" t="s">
        <v>112</v>
      </c>
      <c r="W1" s="339"/>
      <c r="Y1" s="339" t="s">
        <v>103</v>
      </c>
      <c r="Z1" s="339"/>
      <c r="AA1" s="339"/>
      <c r="AB1" s="339"/>
      <c r="AC1" s="339"/>
      <c r="AE1" s="339" t="s">
        <v>143</v>
      </c>
      <c r="AF1" s="339"/>
      <c r="AG1" s="339"/>
      <c r="AH1" s="339"/>
      <c r="AI1" s="339"/>
      <c r="AJ1" s="339"/>
      <c r="AK1" s="339"/>
      <c r="AM1" s="38" t="s">
        <v>129</v>
      </c>
      <c r="AO1" s="38" t="s">
        <v>131</v>
      </c>
      <c r="AQ1" s="38" t="s">
        <v>133</v>
      </c>
      <c r="AS1" s="38" t="s">
        <v>142</v>
      </c>
      <c r="AU1" s="38" t="s">
        <v>151</v>
      </c>
      <c r="AW1" s="38" t="s">
        <v>152</v>
      </c>
      <c r="AY1" s="38" t="s">
        <v>144</v>
      </c>
      <c r="BA1" s="38" t="s">
        <v>157</v>
      </c>
      <c r="BC1" s="38" t="s">
        <v>164</v>
      </c>
      <c r="BE1" s="340" t="s">
        <v>245</v>
      </c>
      <c r="BF1" s="340"/>
    </row>
    <row r="2" spans="1:60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436</v>
      </c>
      <c r="L2" t="s">
        <v>457</v>
      </c>
      <c r="N2" t="s">
        <v>107</v>
      </c>
      <c r="O2" t="s">
        <v>31</v>
      </c>
      <c r="P2" t="s">
        <v>95</v>
      </c>
      <c r="Q2" t="s">
        <v>130</v>
      </c>
      <c r="R2" t="s">
        <v>379</v>
      </c>
      <c r="S2" t="s">
        <v>125</v>
      </c>
      <c r="T2" t="s">
        <v>117</v>
      </c>
      <c r="V2" t="s">
        <v>107</v>
      </c>
      <c r="W2" t="s">
        <v>113</v>
      </c>
      <c r="Y2" t="s">
        <v>107</v>
      </c>
      <c r="Z2" t="s">
        <v>123</v>
      </c>
      <c r="AA2" t="s">
        <v>139</v>
      </c>
      <c r="AB2" t="s">
        <v>145</v>
      </c>
      <c r="AC2" t="s">
        <v>127</v>
      </c>
      <c r="AE2" t="s">
        <v>125</v>
      </c>
      <c r="AF2" t="s">
        <v>153</v>
      </c>
      <c r="AG2" t="s">
        <v>144</v>
      </c>
      <c r="AH2" t="s">
        <v>154</v>
      </c>
      <c r="AI2" t="s">
        <v>155</v>
      </c>
      <c r="AJ2" t="s">
        <v>160</v>
      </c>
      <c r="AK2" t="s">
        <v>163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107</v>
      </c>
      <c r="BE2" t="s">
        <v>136</v>
      </c>
      <c r="BF2" t="s">
        <v>114</v>
      </c>
    </row>
    <row r="3" spans="1:60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N3" t="s">
        <v>27</v>
      </c>
      <c r="O3" t="s">
        <v>27</v>
      </c>
      <c r="P3" t="s">
        <v>25</v>
      </c>
      <c r="Q3" t="s">
        <v>128</v>
      </c>
      <c r="R3" t="s">
        <v>380</v>
      </c>
      <c r="S3" t="s">
        <v>126</v>
      </c>
      <c r="T3" t="s">
        <v>134</v>
      </c>
      <c r="V3" t="s">
        <v>119</v>
      </c>
      <c r="W3" t="s">
        <v>137</v>
      </c>
      <c r="Y3" s="6" t="s">
        <v>170</v>
      </c>
      <c r="Z3" t="s">
        <v>124</v>
      </c>
      <c r="AA3" t="s">
        <v>141</v>
      </c>
      <c r="AC3" t="s">
        <v>172</v>
      </c>
      <c r="AE3" s="6" t="s">
        <v>126</v>
      </c>
      <c r="AF3" t="s">
        <v>162</v>
      </c>
      <c r="AG3" t="s">
        <v>147</v>
      </c>
      <c r="AJ3">
        <v>2000</v>
      </c>
      <c r="AK3" t="s">
        <v>141</v>
      </c>
      <c r="AM3" s="36" t="s">
        <v>104</v>
      </c>
      <c r="AO3" t="s">
        <v>128</v>
      </c>
      <c r="AQ3" t="s">
        <v>134</v>
      </c>
      <c r="AS3" t="s">
        <v>124</v>
      </c>
      <c r="AU3" t="s">
        <v>150</v>
      </c>
      <c r="AW3" t="s">
        <v>146</v>
      </c>
      <c r="AY3" t="s">
        <v>148</v>
      </c>
      <c r="BA3" t="s">
        <v>141</v>
      </c>
      <c r="BC3" t="s">
        <v>165</v>
      </c>
      <c r="BE3" t="s">
        <v>246</v>
      </c>
      <c r="BF3" t="s">
        <v>158</v>
      </c>
    </row>
    <row r="4" spans="1:60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N4" t="s">
        <v>33</v>
      </c>
      <c r="O4" t="s">
        <v>33</v>
      </c>
      <c r="P4" t="s">
        <v>34</v>
      </c>
      <c r="Q4" t="s">
        <v>128</v>
      </c>
      <c r="R4" t="s">
        <v>380</v>
      </c>
      <c r="S4" t="s">
        <v>126</v>
      </c>
      <c r="T4" t="s">
        <v>134</v>
      </c>
      <c r="V4" t="s">
        <v>119</v>
      </c>
      <c r="W4" s="6" t="s">
        <v>188</v>
      </c>
      <c r="Y4" s="6" t="s">
        <v>126</v>
      </c>
      <c r="Z4" t="s">
        <v>161</v>
      </c>
      <c r="AA4" t="s">
        <v>141</v>
      </c>
      <c r="AB4" t="s">
        <v>146</v>
      </c>
      <c r="AC4" s="6" t="s">
        <v>242</v>
      </c>
      <c r="AD4" s="6"/>
      <c r="AE4" s="45" t="s">
        <v>126</v>
      </c>
      <c r="AF4" s="6" t="s">
        <v>156</v>
      </c>
      <c r="AG4" s="6" t="s">
        <v>148</v>
      </c>
      <c r="AH4" s="6" t="s">
        <v>149</v>
      </c>
      <c r="AI4" s="6" t="s">
        <v>141</v>
      </c>
      <c r="AJ4" s="6">
        <v>40</v>
      </c>
      <c r="AK4" s="6" t="s">
        <v>140</v>
      </c>
      <c r="AM4" s="37" t="s">
        <v>105</v>
      </c>
      <c r="AO4" t="s">
        <v>132</v>
      </c>
      <c r="AQ4" t="s">
        <v>118</v>
      </c>
      <c r="AS4" t="s">
        <v>161</v>
      </c>
      <c r="AY4" t="s">
        <v>147</v>
      </c>
      <c r="BA4" t="s">
        <v>140</v>
      </c>
      <c r="BC4" s="177" t="s">
        <v>456</v>
      </c>
      <c r="BE4" t="s">
        <v>247</v>
      </c>
      <c r="BF4" t="s">
        <v>159</v>
      </c>
    </row>
    <row r="5" spans="1:60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N5" t="s">
        <v>43</v>
      </c>
      <c r="O5" t="s">
        <v>43</v>
      </c>
      <c r="P5" t="s">
        <v>44</v>
      </c>
      <c r="Q5" t="s">
        <v>128</v>
      </c>
      <c r="R5" t="s">
        <v>380</v>
      </c>
      <c r="S5" t="s">
        <v>126</v>
      </c>
      <c r="T5" t="s">
        <v>134</v>
      </c>
      <c r="V5" t="s">
        <v>119</v>
      </c>
      <c r="W5" s="6" t="s">
        <v>189</v>
      </c>
      <c r="Y5" s="6" t="s">
        <v>166</v>
      </c>
      <c r="Z5" t="s">
        <v>124</v>
      </c>
      <c r="AA5" t="s">
        <v>140</v>
      </c>
      <c r="AB5" s="6"/>
      <c r="AC5" t="s">
        <v>167</v>
      </c>
      <c r="AE5" s="45" t="s">
        <v>126</v>
      </c>
      <c r="AF5" s="177" t="s">
        <v>340</v>
      </c>
      <c r="AG5" s="6" t="s">
        <v>148</v>
      </c>
      <c r="AH5" s="260" t="s">
        <v>551</v>
      </c>
      <c r="AI5" s="6" t="s">
        <v>141</v>
      </c>
      <c r="AJ5" s="6">
        <v>4</v>
      </c>
      <c r="AK5" s="6" t="s">
        <v>140</v>
      </c>
      <c r="AQ5" s="6" t="s">
        <v>304</v>
      </c>
      <c r="BE5" s="177" t="s">
        <v>345</v>
      </c>
      <c r="BF5" s="177" t="s">
        <v>344</v>
      </c>
    </row>
    <row r="6" spans="1:60">
      <c r="A6" s="6" t="s">
        <v>122</v>
      </c>
      <c r="B6" s="6" t="str">
        <f>VLOOKUP(ReportSelected,Menu[],2,FALSE)</f>
        <v>f2_create_all</v>
      </c>
      <c r="D6" s="249" t="s">
        <v>434</v>
      </c>
      <c r="E6" s="177" t="s">
        <v>435</v>
      </c>
      <c r="G6" t="s">
        <v>43</v>
      </c>
      <c r="H6" t="s">
        <v>104</v>
      </c>
      <c r="I6" t="s">
        <v>43</v>
      </c>
      <c r="N6" t="s">
        <v>66</v>
      </c>
      <c r="O6" t="s">
        <v>66</v>
      </c>
      <c r="P6" t="s">
        <v>67</v>
      </c>
      <c r="Q6" t="s">
        <v>128</v>
      </c>
      <c r="R6" t="s">
        <v>380</v>
      </c>
      <c r="S6" t="s">
        <v>126</v>
      </c>
      <c r="T6" t="s">
        <v>134</v>
      </c>
      <c r="V6" s="6" t="s">
        <v>77</v>
      </c>
      <c r="W6" s="6" t="s">
        <v>138</v>
      </c>
      <c r="Y6" s="6" t="s">
        <v>171</v>
      </c>
      <c r="Z6" t="s">
        <v>161</v>
      </c>
      <c r="AA6" t="s">
        <v>141</v>
      </c>
      <c r="AB6" s="6"/>
      <c r="AC6" s="6" t="s">
        <v>243</v>
      </c>
      <c r="AE6" s="45" t="s">
        <v>126</v>
      </c>
      <c r="AF6" s="177" t="s">
        <v>342</v>
      </c>
      <c r="AG6" s="6" t="s">
        <v>148</v>
      </c>
      <c r="AH6" s="260" t="s">
        <v>552</v>
      </c>
      <c r="AI6" s="6" t="s">
        <v>141</v>
      </c>
      <c r="AJ6" s="6">
        <v>2</v>
      </c>
      <c r="AK6" s="6" t="s">
        <v>140</v>
      </c>
      <c r="BE6" s="259" t="s">
        <v>341</v>
      </c>
      <c r="BF6" s="259" t="s">
        <v>551</v>
      </c>
    </row>
    <row r="7" spans="1:60">
      <c r="A7" s="39" t="s">
        <v>149</v>
      </c>
      <c r="B7" s="260"/>
      <c r="D7" t="s">
        <v>438</v>
      </c>
      <c r="E7" s="177" t="s">
        <v>439</v>
      </c>
      <c r="G7" t="s">
        <v>66</v>
      </c>
      <c r="H7" t="s">
        <v>104</v>
      </c>
      <c r="I7" t="s">
        <v>66</v>
      </c>
      <c r="N7" t="s">
        <v>119</v>
      </c>
      <c r="O7" t="s">
        <v>119</v>
      </c>
      <c r="P7" t="s">
        <v>76</v>
      </c>
      <c r="Q7" t="s">
        <v>128</v>
      </c>
      <c r="R7" t="s">
        <v>380</v>
      </c>
      <c r="T7" t="s">
        <v>118</v>
      </c>
      <c r="V7" s="6" t="s">
        <v>77</v>
      </c>
      <c r="W7" s="6" t="s">
        <v>209</v>
      </c>
      <c r="Y7" s="6" t="s">
        <v>180</v>
      </c>
      <c r="Z7" t="s">
        <v>161</v>
      </c>
      <c r="AA7" t="s">
        <v>141</v>
      </c>
      <c r="AB7" s="6"/>
      <c r="AC7" s="6" t="s">
        <v>244</v>
      </c>
      <c r="AE7" s="45" t="s">
        <v>126</v>
      </c>
      <c r="AF7" s="177" t="s">
        <v>343</v>
      </c>
      <c r="AG7" s="177" t="s">
        <v>148</v>
      </c>
      <c r="AH7" s="260" t="s">
        <v>344</v>
      </c>
      <c r="AI7" s="177" t="s">
        <v>141</v>
      </c>
      <c r="AJ7" s="177">
        <v>10</v>
      </c>
      <c r="AK7" s="177" t="s">
        <v>140</v>
      </c>
    </row>
    <row r="8" spans="1:60">
      <c r="A8" s="177" t="s">
        <v>158</v>
      </c>
      <c r="B8" s="180" t="s">
        <v>575</v>
      </c>
      <c r="D8" t="s">
        <v>465</v>
      </c>
      <c r="E8" s="177" t="s">
        <v>453</v>
      </c>
      <c r="G8" t="s">
        <v>119</v>
      </c>
      <c r="H8" t="s">
        <v>104</v>
      </c>
      <c r="I8" t="s">
        <v>119</v>
      </c>
      <c r="N8" t="s">
        <v>77</v>
      </c>
      <c r="O8" t="s">
        <v>77</v>
      </c>
      <c r="P8" t="s">
        <v>78</v>
      </c>
      <c r="Q8" t="s">
        <v>128</v>
      </c>
      <c r="R8" t="s">
        <v>380</v>
      </c>
      <c r="T8" t="s">
        <v>118</v>
      </c>
      <c r="V8" s="6" t="s">
        <v>77</v>
      </c>
      <c r="W8" s="6" t="s">
        <v>210</v>
      </c>
      <c r="Y8" s="6" t="s">
        <v>301</v>
      </c>
      <c r="Z8" s="6" t="s">
        <v>124</v>
      </c>
      <c r="AA8" s="6" t="s">
        <v>141</v>
      </c>
      <c r="AB8" s="6"/>
      <c r="AC8" s="6" t="s">
        <v>302</v>
      </c>
      <c r="AE8" s="6" t="s">
        <v>171</v>
      </c>
      <c r="AF8" t="s">
        <v>162</v>
      </c>
      <c r="AG8" t="s">
        <v>147</v>
      </c>
      <c r="AJ8">
        <v>2000</v>
      </c>
      <c r="AK8" t="s">
        <v>141</v>
      </c>
      <c r="BH8" s="108"/>
    </row>
    <row r="9" spans="1:60">
      <c r="A9" s="177" t="s">
        <v>159</v>
      </c>
      <c r="B9" s="260" t="s">
        <v>576</v>
      </c>
      <c r="D9" s="249" t="s">
        <v>434</v>
      </c>
      <c r="E9" s="177" t="s">
        <v>435</v>
      </c>
      <c r="G9" t="s">
        <v>77</v>
      </c>
      <c r="H9" t="s">
        <v>104</v>
      </c>
      <c r="I9" t="s">
        <v>77</v>
      </c>
      <c r="N9" t="s">
        <v>178</v>
      </c>
      <c r="O9" t="s">
        <v>176</v>
      </c>
      <c r="P9" t="s">
        <v>96</v>
      </c>
      <c r="Q9" t="s">
        <v>128</v>
      </c>
      <c r="R9" t="s">
        <v>380</v>
      </c>
      <c r="S9" t="s">
        <v>126</v>
      </c>
      <c r="T9" t="s">
        <v>134</v>
      </c>
      <c r="V9" s="6" t="s">
        <v>77</v>
      </c>
      <c r="W9" s="6" t="s">
        <v>214</v>
      </c>
      <c r="Y9" s="6" t="s">
        <v>332</v>
      </c>
      <c r="Z9" s="6" t="s">
        <v>161</v>
      </c>
      <c r="AA9" s="6" t="s">
        <v>141</v>
      </c>
      <c r="AB9" s="6"/>
      <c r="AC9" s="6" t="s">
        <v>333</v>
      </c>
      <c r="AE9" s="6" t="s">
        <v>171</v>
      </c>
      <c r="AF9" s="6" t="s">
        <v>169</v>
      </c>
      <c r="AG9" s="6" t="s">
        <v>148</v>
      </c>
      <c r="AH9" s="260" t="s">
        <v>344</v>
      </c>
      <c r="AI9" s="6" t="s">
        <v>141</v>
      </c>
      <c r="AJ9" s="6">
        <v>10</v>
      </c>
      <c r="AK9" s="6" t="s">
        <v>140</v>
      </c>
    </row>
    <row r="10" spans="1:60">
      <c r="A10" s="177" t="s">
        <v>344</v>
      </c>
      <c r="B10" s="260" t="s">
        <v>576</v>
      </c>
      <c r="D10" t="s">
        <v>25</v>
      </c>
      <c r="E10" t="s">
        <v>27</v>
      </c>
      <c r="G10" t="s">
        <v>108</v>
      </c>
      <c r="H10" t="s">
        <v>104</v>
      </c>
      <c r="I10" t="s">
        <v>177</v>
      </c>
      <c r="J10" t="s">
        <v>456</v>
      </c>
      <c r="N10" t="s">
        <v>177</v>
      </c>
      <c r="O10" t="s">
        <v>94</v>
      </c>
      <c r="P10" t="s">
        <v>96</v>
      </c>
      <c r="Q10" t="s">
        <v>128</v>
      </c>
      <c r="R10" t="s">
        <v>380</v>
      </c>
      <c r="S10" s="6"/>
      <c r="T10" t="s">
        <v>134</v>
      </c>
      <c r="V10" s="6" t="s">
        <v>77</v>
      </c>
      <c r="W10" s="6" t="s">
        <v>216</v>
      </c>
      <c r="Y10" s="6" t="s">
        <v>337</v>
      </c>
      <c r="Z10" t="s">
        <v>161</v>
      </c>
      <c r="AA10" t="s">
        <v>141</v>
      </c>
      <c r="AB10" s="6"/>
      <c r="AC10" s="6" t="s">
        <v>338</v>
      </c>
      <c r="AE10" s="46" t="s">
        <v>180</v>
      </c>
      <c r="AF10" t="s">
        <v>162</v>
      </c>
      <c r="AG10" t="s">
        <v>147</v>
      </c>
      <c r="AJ10">
        <v>2000</v>
      </c>
      <c r="AK10" t="s">
        <v>141</v>
      </c>
      <c r="BE10" s="260"/>
      <c r="BF10" s="260"/>
    </row>
    <row r="11" spans="1:60">
      <c r="A11" s="177" t="s">
        <v>437</v>
      </c>
      <c r="B11" s="260"/>
      <c r="D11" t="s">
        <v>34</v>
      </c>
      <c r="E11" t="s">
        <v>33</v>
      </c>
      <c r="G11" t="s">
        <v>108</v>
      </c>
      <c r="H11" t="s">
        <v>105</v>
      </c>
      <c r="I11" t="s">
        <v>166</v>
      </c>
      <c r="N11" s="6" t="s">
        <v>188</v>
      </c>
      <c r="O11" s="6" t="s">
        <v>190</v>
      </c>
      <c r="P11" s="6" t="s">
        <v>188</v>
      </c>
      <c r="Q11" t="s">
        <v>128</v>
      </c>
      <c r="R11" t="s">
        <v>380</v>
      </c>
      <c r="S11" t="s">
        <v>126</v>
      </c>
      <c r="T11" t="s">
        <v>134</v>
      </c>
      <c r="V11" s="6" t="s">
        <v>238</v>
      </c>
      <c r="W11" s="6" t="s">
        <v>236</v>
      </c>
      <c r="Y11" s="177" t="s">
        <v>440</v>
      </c>
      <c r="Z11" s="177" t="s">
        <v>161</v>
      </c>
      <c r="AA11" s="177" t="s">
        <v>141</v>
      </c>
      <c r="AB11" s="177"/>
      <c r="AC11" s="177" t="s">
        <v>441</v>
      </c>
      <c r="AE11" s="46" t="s">
        <v>180</v>
      </c>
      <c r="AF11" s="177" t="s">
        <v>340</v>
      </c>
      <c r="AG11" s="6" t="s">
        <v>148</v>
      </c>
      <c r="AH11" s="260" t="s">
        <v>551</v>
      </c>
      <c r="AI11" s="6" t="s">
        <v>141</v>
      </c>
      <c r="AJ11" s="6">
        <v>4</v>
      </c>
      <c r="AK11" s="6" t="s">
        <v>140</v>
      </c>
    </row>
    <row r="12" spans="1:60">
      <c r="A12" s="177" t="s">
        <v>445</v>
      </c>
      <c r="B12" s="177">
        <v>1</v>
      </c>
      <c r="D12" t="s">
        <v>67</v>
      </c>
      <c r="E12" t="s">
        <v>66</v>
      </c>
      <c r="G12" t="s">
        <v>168</v>
      </c>
      <c r="H12" t="s">
        <v>105</v>
      </c>
      <c r="I12" t="s">
        <v>170</v>
      </c>
      <c r="N12" s="6" t="s">
        <v>189</v>
      </c>
      <c r="O12" s="6" t="s">
        <v>190</v>
      </c>
      <c r="P12" s="6" t="s">
        <v>189</v>
      </c>
      <c r="Q12" t="s">
        <v>128</v>
      </c>
      <c r="R12" t="s">
        <v>380</v>
      </c>
      <c r="S12" t="s">
        <v>126</v>
      </c>
      <c r="T12" t="s">
        <v>134</v>
      </c>
      <c r="V12" s="6" t="s">
        <v>266</v>
      </c>
      <c r="W12" s="6" t="s">
        <v>303</v>
      </c>
      <c r="Y12" s="177" t="s">
        <v>442</v>
      </c>
      <c r="Z12" s="177" t="s">
        <v>161</v>
      </c>
      <c r="AA12" s="177" t="s">
        <v>141</v>
      </c>
      <c r="AB12" s="177"/>
      <c r="AC12" s="260" t="s">
        <v>443</v>
      </c>
      <c r="AE12" s="145" t="s">
        <v>301</v>
      </c>
      <c r="AF12" t="s">
        <v>162</v>
      </c>
      <c r="AG12" s="6" t="s">
        <v>147</v>
      </c>
      <c r="AH12" s="6"/>
      <c r="AI12" s="6"/>
      <c r="AJ12">
        <v>2000</v>
      </c>
      <c r="AK12" t="s">
        <v>141</v>
      </c>
    </row>
    <row r="13" spans="1:60">
      <c r="A13" s="260" t="s">
        <v>485</v>
      </c>
      <c r="B13" s="260" t="s">
        <v>511</v>
      </c>
      <c r="D13" t="s">
        <v>256</v>
      </c>
      <c r="E13" s="6" t="s">
        <v>257</v>
      </c>
      <c r="G13" t="s">
        <v>168</v>
      </c>
      <c r="H13" t="s">
        <v>105</v>
      </c>
      <c r="I13" t="s">
        <v>171</v>
      </c>
      <c r="N13" t="s">
        <v>137</v>
      </c>
      <c r="O13" s="6" t="s">
        <v>190</v>
      </c>
      <c r="P13" t="s">
        <v>137</v>
      </c>
      <c r="Q13" t="s">
        <v>128</v>
      </c>
      <c r="R13" t="s">
        <v>380</v>
      </c>
      <c r="S13" t="s">
        <v>126</v>
      </c>
      <c r="T13" t="s">
        <v>134</v>
      </c>
      <c r="V13" s="177" t="s">
        <v>361</v>
      </c>
      <c r="W13" s="177" t="s">
        <v>354</v>
      </c>
      <c r="Y13" s="260" t="s">
        <v>487</v>
      </c>
      <c r="Z13" s="260" t="s">
        <v>161</v>
      </c>
      <c r="AA13" s="260" t="s">
        <v>141</v>
      </c>
      <c r="AB13" s="260"/>
      <c r="AC13" s="260" t="s">
        <v>488</v>
      </c>
      <c r="AE13" s="145" t="s">
        <v>301</v>
      </c>
      <c r="AF13" s="6" t="s">
        <v>156</v>
      </c>
      <c r="AG13" s="6" t="s">
        <v>148</v>
      </c>
      <c r="AH13" s="6" t="s">
        <v>149</v>
      </c>
      <c r="AI13" s="6" t="s">
        <v>141</v>
      </c>
      <c r="AJ13" s="6">
        <v>40</v>
      </c>
      <c r="AK13" s="6" t="s">
        <v>140</v>
      </c>
    </row>
    <row r="14" spans="1:60">
      <c r="A14" s="260" t="s">
        <v>486</v>
      </c>
      <c r="B14" s="260">
        <v>1327325</v>
      </c>
      <c r="D14" t="s">
        <v>265</v>
      </c>
      <c r="E14" s="6" t="s">
        <v>301</v>
      </c>
      <c r="G14" t="s">
        <v>168</v>
      </c>
      <c r="H14" t="s">
        <v>104</v>
      </c>
      <c r="I14" t="s">
        <v>178</v>
      </c>
      <c r="N14" t="s">
        <v>138</v>
      </c>
      <c r="O14" s="6" t="s">
        <v>190</v>
      </c>
      <c r="P14" s="6" t="s">
        <v>138</v>
      </c>
      <c r="Q14" t="s">
        <v>128</v>
      </c>
      <c r="R14" t="s">
        <v>380</v>
      </c>
      <c r="S14" t="s">
        <v>126</v>
      </c>
      <c r="T14" t="s">
        <v>134</v>
      </c>
      <c r="V14" s="177" t="s">
        <v>361</v>
      </c>
      <c r="W14" s="177" t="s">
        <v>357</v>
      </c>
      <c r="Y14" s="260" t="s">
        <v>509</v>
      </c>
      <c r="Z14" s="260" t="s">
        <v>161</v>
      </c>
      <c r="AA14" s="260" t="s">
        <v>141</v>
      </c>
      <c r="AB14" s="260"/>
      <c r="AC14" s="260" t="s">
        <v>510</v>
      </c>
      <c r="AE14" s="176" t="s">
        <v>332</v>
      </c>
      <c r="AF14" t="s">
        <v>162</v>
      </c>
      <c r="AG14" t="s">
        <v>147</v>
      </c>
      <c r="AJ14">
        <v>2000</v>
      </c>
      <c r="AK14" t="s">
        <v>141</v>
      </c>
    </row>
    <row r="15" spans="1:60">
      <c r="A15" s="260" t="s">
        <v>551</v>
      </c>
      <c r="B15" s="260">
        <v>2018</v>
      </c>
      <c r="D15" s="6" t="s">
        <v>240</v>
      </c>
      <c r="E15" s="6" t="s">
        <v>241</v>
      </c>
      <c r="G15" t="s">
        <v>109</v>
      </c>
      <c r="H15" t="s">
        <v>104</v>
      </c>
      <c r="I15" t="s">
        <v>178</v>
      </c>
      <c r="N15" s="6" t="s">
        <v>209</v>
      </c>
      <c r="O15" s="6" t="s">
        <v>190</v>
      </c>
      <c r="P15" s="6" t="s">
        <v>209</v>
      </c>
      <c r="Q15" t="s">
        <v>128</v>
      </c>
      <c r="R15" t="s">
        <v>380</v>
      </c>
      <c r="S15" t="s">
        <v>126</v>
      </c>
      <c r="T15" t="s">
        <v>134</v>
      </c>
      <c r="V15" s="177" t="s">
        <v>361</v>
      </c>
      <c r="W15" s="177" t="s">
        <v>363</v>
      </c>
      <c r="AE15" s="176" t="s">
        <v>332</v>
      </c>
      <c r="AF15" s="177" t="s">
        <v>340</v>
      </c>
      <c r="AG15" s="177" t="s">
        <v>148</v>
      </c>
      <c r="AH15" s="260" t="s">
        <v>551</v>
      </c>
      <c r="AI15" s="177" t="s">
        <v>141</v>
      </c>
      <c r="AJ15" s="177">
        <v>4</v>
      </c>
      <c r="AK15" s="177" t="s">
        <v>140</v>
      </c>
    </row>
    <row r="16" spans="1:60">
      <c r="A16" s="260" t="s">
        <v>552</v>
      </c>
      <c r="B16" s="260">
        <v>1</v>
      </c>
      <c r="D16" s="6" t="s">
        <v>224</v>
      </c>
      <c r="E16" t="s">
        <v>225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N16" s="6" t="s">
        <v>210</v>
      </c>
      <c r="O16" s="6" t="s">
        <v>190</v>
      </c>
      <c r="P16" s="6" t="s">
        <v>210</v>
      </c>
      <c r="Q16" t="s">
        <v>128</v>
      </c>
      <c r="R16" t="s">
        <v>380</v>
      </c>
      <c r="S16" t="s">
        <v>126</v>
      </c>
      <c r="T16" t="s">
        <v>134</v>
      </c>
      <c r="V16" s="177" t="s">
        <v>374</v>
      </c>
      <c r="W16" s="177" t="s">
        <v>376</v>
      </c>
      <c r="AE16" s="176" t="s">
        <v>332</v>
      </c>
      <c r="AF16" s="177" t="s">
        <v>342</v>
      </c>
      <c r="AG16" s="177" t="s">
        <v>148</v>
      </c>
      <c r="AH16" s="260" t="s">
        <v>552</v>
      </c>
      <c r="AI16" s="177" t="s">
        <v>141</v>
      </c>
      <c r="AJ16" s="177">
        <v>2</v>
      </c>
      <c r="AK16" s="177" t="s">
        <v>140</v>
      </c>
    </row>
    <row r="17" spans="4:37">
      <c r="D17" t="s">
        <v>76</v>
      </c>
      <c r="E17" t="s">
        <v>119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N17" s="6" t="s">
        <v>214</v>
      </c>
      <c r="O17" s="6" t="s">
        <v>190</v>
      </c>
      <c r="P17" s="6" t="s">
        <v>214</v>
      </c>
      <c r="Q17" t="s">
        <v>128</v>
      </c>
      <c r="R17" t="s">
        <v>380</v>
      </c>
      <c r="S17" t="s">
        <v>126</v>
      </c>
      <c r="T17" t="s">
        <v>134</v>
      </c>
      <c r="V17" s="177" t="s">
        <v>374</v>
      </c>
      <c r="W17" s="177" t="s">
        <v>375</v>
      </c>
      <c r="AE17" s="45" t="s">
        <v>337</v>
      </c>
      <c r="AF17" t="s">
        <v>162</v>
      </c>
      <c r="AG17" t="s">
        <v>147</v>
      </c>
      <c r="AJ17">
        <v>2000</v>
      </c>
      <c r="AK17" t="s">
        <v>141</v>
      </c>
    </row>
    <row r="18" spans="4:37">
      <c r="D18" t="s">
        <v>78</v>
      </c>
      <c r="E18" t="s">
        <v>77</v>
      </c>
      <c r="G18" s="6" t="s">
        <v>225</v>
      </c>
      <c r="H18" t="s">
        <v>104</v>
      </c>
      <c r="I18" t="s">
        <v>77</v>
      </c>
      <c r="J18" s="6"/>
      <c r="K18" s="177"/>
      <c r="L18" s="177"/>
      <c r="N18" s="6" t="s">
        <v>216</v>
      </c>
      <c r="O18" s="6" t="s">
        <v>190</v>
      </c>
      <c r="P18" s="6" t="s">
        <v>216</v>
      </c>
      <c r="Q18" t="s">
        <v>128</v>
      </c>
      <c r="R18" t="s">
        <v>380</v>
      </c>
      <c r="S18" t="s">
        <v>126</v>
      </c>
      <c r="T18" t="s">
        <v>134</v>
      </c>
      <c r="V18" s="177" t="s">
        <v>374</v>
      </c>
      <c r="W18" s="177" t="s">
        <v>377</v>
      </c>
      <c r="AE18" s="45" t="s">
        <v>337</v>
      </c>
      <c r="AF18" s="177" t="s">
        <v>340</v>
      </c>
      <c r="AG18" s="177" t="s">
        <v>148</v>
      </c>
      <c r="AH18" s="260" t="s">
        <v>551</v>
      </c>
      <c r="AI18" s="177" t="s">
        <v>141</v>
      </c>
      <c r="AJ18" s="177">
        <v>4</v>
      </c>
      <c r="AK18" s="177" t="s">
        <v>140</v>
      </c>
    </row>
    <row r="19" spans="4:37">
      <c r="D19" s="6" t="s">
        <v>237</v>
      </c>
      <c r="E19" s="6" t="s">
        <v>238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N19" s="6" t="s">
        <v>238</v>
      </c>
      <c r="O19" s="6" t="s">
        <v>238</v>
      </c>
      <c r="P19" s="6" t="s">
        <v>239</v>
      </c>
      <c r="Q19" t="s">
        <v>128</v>
      </c>
      <c r="R19" t="s">
        <v>380</v>
      </c>
      <c r="T19" t="s">
        <v>118</v>
      </c>
      <c r="V19" s="177" t="s">
        <v>385</v>
      </c>
      <c r="W19" s="177" t="s">
        <v>386</v>
      </c>
      <c r="AE19" s="45" t="s">
        <v>440</v>
      </c>
      <c r="AF19" t="s">
        <v>162</v>
      </c>
      <c r="AG19" t="s">
        <v>147</v>
      </c>
      <c r="AH19" s="177"/>
      <c r="AI19" s="177"/>
      <c r="AJ19">
        <v>2000</v>
      </c>
      <c r="AK19" t="s">
        <v>141</v>
      </c>
    </row>
    <row r="20" spans="4:37">
      <c r="D20" t="s">
        <v>120</v>
      </c>
      <c r="E20" t="s">
        <v>108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N20" s="6" t="s">
        <v>236</v>
      </c>
      <c r="O20" s="6" t="s">
        <v>190</v>
      </c>
      <c r="P20" s="6" t="s">
        <v>236</v>
      </c>
      <c r="Q20" t="s">
        <v>128</v>
      </c>
      <c r="R20" t="s">
        <v>380</v>
      </c>
      <c r="S20" t="s">
        <v>126</v>
      </c>
      <c r="T20" t="s">
        <v>134</v>
      </c>
      <c r="V20" s="177" t="s">
        <v>385</v>
      </c>
      <c r="W20" s="177" t="s">
        <v>387</v>
      </c>
      <c r="AE20" s="45" t="s">
        <v>440</v>
      </c>
      <c r="AF20" s="177" t="s">
        <v>444</v>
      </c>
      <c r="AG20" s="177" t="s">
        <v>148</v>
      </c>
      <c r="AH20" s="177" t="s">
        <v>447</v>
      </c>
      <c r="AI20" s="177" t="s">
        <v>141</v>
      </c>
      <c r="AJ20" s="177">
        <v>3</v>
      </c>
      <c r="AK20" s="177" t="s">
        <v>140</v>
      </c>
    </row>
    <row r="21" spans="4:37">
      <c r="D21" t="s">
        <v>93</v>
      </c>
      <c r="E21" t="s">
        <v>109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N21" s="6" t="s">
        <v>257</v>
      </c>
      <c r="O21" t="s">
        <v>257</v>
      </c>
      <c r="P21" s="6" t="s">
        <v>255</v>
      </c>
      <c r="Q21" t="s">
        <v>128</v>
      </c>
      <c r="R21" t="s">
        <v>380</v>
      </c>
      <c r="S21" t="s">
        <v>126</v>
      </c>
      <c r="T21" t="s">
        <v>134</v>
      </c>
      <c r="V21" s="177" t="s">
        <v>385</v>
      </c>
      <c r="W21" s="177" t="s">
        <v>377</v>
      </c>
      <c r="AE21" s="45" t="s">
        <v>440</v>
      </c>
      <c r="AF21" s="177" t="s">
        <v>340</v>
      </c>
      <c r="AG21" s="177" t="s">
        <v>148</v>
      </c>
      <c r="AH21" s="260" t="s">
        <v>551</v>
      </c>
      <c r="AI21" s="177" t="s">
        <v>141</v>
      </c>
      <c r="AJ21" s="177">
        <v>4</v>
      </c>
      <c r="AK21" s="177" t="s">
        <v>140</v>
      </c>
    </row>
    <row r="22" spans="4:37">
      <c r="D22" s="6" t="s">
        <v>315</v>
      </c>
      <c r="E22" s="6" t="s">
        <v>312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N22" s="6" t="s">
        <v>266</v>
      </c>
      <c r="O22" s="6" t="s">
        <v>266</v>
      </c>
      <c r="P22" s="6" t="s">
        <v>265</v>
      </c>
      <c r="Q22" t="s">
        <v>128</v>
      </c>
      <c r="R22" t="s">
        <v>380</v>
      </c>
      <c r="S22" t="s">
        <v>126</v>
      </c>
      <c r="T22" t="s">
        <v>118</v>
      </c>
      <c r="V22" s="177" t="s">
        <v>454</v>
      </c>
      <c r="W22" s="177" t="s">
        <v>411</v>
      </c>
      <c r="AE22" s="45" t="s">
        <v>440</v>
      </c>
      <c r="AF22" s="177" t="s">
        <v>342</v>
      </c>
      <c r="AG22" s="177" t="s">
        <v>148</v>
      </c>
      <c r="AH22" s="260" t="s">
        <v>552</v>
      </c>
      <c r="AI22" s="177" t="s">
        <v>141</v>
      </c>
      <c r="AJ22" s="177">
        <v>20</v>
      </c>
      <c r="AK22" s="177" t="s">
        <v>140</v>
      </c>
    </row>
    <row r="23" spans="4:37">
      <c r="D23" s="6" t="s">
        <v>313</v>
      </c>
      <c r="E23" s="6" t="s">
        <v>316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N23" s="6" t="s">
        <v>303</v>
      </c>
      <c r="O23" s="6"/>
      <c r="P23" s="6"/>
      <c r="R23" t="s">
        <v>380</v>
      </c>
      <c r="S23" t="s">
        <v>126</v>
      </c>
      <c r="T23" s="6" t="s">
        <v>304</v>
      </c>
      <c r="V23" s="177" t="s">
        <v>454</v>
      </c>
      <c r="W23" s="177" t="s">
        <v>419</v>
      </c>
      <c r="AE23" s="45" t="s">
        <v>440</v>
      </c>
      <c r="AF23" s="260" t="s">
        <v>567</v>
      </c>
      <c r="AG23" s="260" t="s">
        <v>148</v>
      </c>
      <c r="AH23" s="260" t="s">
        <v>344</v>
      </c>
      <c r="AI23" s="260" t="s">
        <v>141</v>
      </c>
      <c r="AJ23" s="260">
        <v>20</v>
      </c>
      <c r="AK23" s="260" t="s">
        <v>140</v>
      </c>
    </row>
    <row r="24" spans="4:37">
      <c r="D24" s="6" t="s">
        <v>331</v>
      </c>
      <c r="E24" s="6" t="s">
        <v>332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N24" s="6" t="s">
        <v>312</v>
      </c>
      <c r="O24" t="s">
        <v>312</v>
      </c>
      <c r="P24" s="6" t="s">
        <v>314</v>
      </c>
      <c r="Q24" t="s">
        <v>128</v>
      </c>
      <c r="R24" t="s">
        <v>380</v>
      </c>
      <c r="S24" t="s">
        <v>126</v>
      </c>
      <c r="T24" t="s">
        <v>134</v>
      </c>
      <c r="V24" s="177" t="s">
        <v>477</v>
      </c>
      <c r="W24" s="177" t="s">
        <v>479</v>
      </c>
      <c r="AE24" s="45" t="s">
        <v>442</v>
      </c>
      <c r="AF24" t="s">
        <v>162</v>
      </c>
      <c r="AG24" t="s">
        <v>147</v>
      </c>
      <c r="AJ24">
        <v>2000</v>
      </c>
      <c r="AK24" t="s">
        <v>141</v>
      </c>
    </row>
    <row r="25" spans="4:37">
      <c r="D25" s="6" t="s">
        <v>323</v>
      </c>
      <c r="E25" s="6" t="s">
        <v>324</v>
      </c>
      <c r="G25" s="6" t="s">
        <v>301</v>
      </c>
      <c r="H25" s="6" t="s">
        <v>104</v>
      </c>
      <c r="I25" s="6" t="s">
        <v>266</v>
      </c>
      <c r="N25" s="6" t="s">
        <v>316</v>
      </c>
      <c r="O25" s="6" t="s">
        <v>312</v>
      </c>
      <c r="P25" s="6" t="s">
        <v>314</v>
      </c>
      <c r="Q25" s="6" t="s">
        <v>128</v>
      </c>
      <c r="R25" s="177" t="s">
        <v>380</v>
      </c>
      <c r="S25" s="6" t="s">
        <v>126</v>
      </c>
      <c r="T25" s="6" t="s">
        <v>134</v>
      </c>
      <c r="V25" s="177" t="s">
        <v>477</v>
      </c>
      <c r="W25" s="177" t="s">
        <v>480</v>
      </c>
      <c r="AE25" s="45" t="s">
        <v>442</v>
      </c>
      <c r="AF25" s="177" t="s">
        <v>446</v>
      </c>
      <c r="AG25" s="177" t="s">
        <v>148</v>
      </c>
      <c r="AH25" s="177" t="s">
        <v>437</v>
      </c>
      <c r="AI25" s="177" t="s">
        <v>141</v>
      </c>
      <c r="AJ25" s="177">
        <v>40</v>
      </c>
      <c r="AK25" s="177" t="s">
        <v>140</v>
      </c>
    </row>
    <row r="26" spans="4:37">
      <c r="D26" s="6" t="s">
        <v>336</v>
      </c>
      <c r="E26" s="6" t="s">
        <v>337</v>
      </c>
      <c r="G26" s="6" t="s">
        <v>307</v>
      </c>
      <c r="H26" t="s">
        <v>104</v>
      </c>
      <c r="I26" t="s">
        <v>33</v>
      </c>
      <c r="J26" s="6"/>
      <c r="K26" s="177"/>
      <c r="L26" s="177"/>
      <c r="N26" s="6" t="s">
        <v>324</v>
      </c>
      <c r="O26" s="6" t="s">
        <v>324</v>
      </c>
      <c r="P26" s="6" t="s">
        <v>323</v>
      </c>
      <c r="Q26" s="6" t="s">
        <v>128</v>
      </c>
      <c r="R26" s="177" t="s">
        <v>380</v>
      </c>
      <c r="S26" s="6" t="s">
        <v>126</v>
      </c>
      <c r="T26" s="6" t="s">
        <v>134</v>
      </c>
      <c r="V26" s="177" t="s">
        <v>477</v>
      </c>
      <c r="W26" s="177" t="s">
        <v>481</v>
      </c>
      <c r="AE26" s="45" t="s">
        <v>442</v>
      </c>
      <c r="AF26" s="177" t="s">
        <v>444</v>
      </c>
      <c r="AG26" s="177" t="s">
        <v>148</v>
      </c>
      <c r="AH26" s="177" t="s">
        <v>447</v>
      </c>
      <c r="AI26" s="177" t="s">
        <v>141</v>
      </c>
      <c r="AJ26" s="177">
        <v>3</v>
      </c>
      <c r="AK26" s="177" t="s">
        <v>140</v>
      </c>
    </row>
    <row r="27" spans="4:37">
      <c r="D27" s="250" t="s">
        <v>434</v>
      </c>
      <c r="E27" s="177" t="s">
        <v>435</v>
      </c>
      <c r="G27" s="6" t="s">
        <v>307</v>
      </c>
      <c r="H27" t="s">
        <v>104</v>
      </c>
      <c r="I27" t="s">
        <v>27</v>
      </c>
      <c r="N27" s="6" t="s">
        <v>334</v>
      </c>
      <c r="O27" s="6" t="s">
        <v>312</v>
      </c>
      <c r="P27" s="6" t="s">
        <v>314</v>
      </c>
      <c r="Q27" s="6" t="s">
        <v>128</v>
      </c>
      <c r="R27" s="177" t="s">
        <v>380</v>
      </c>
      <c r="S27" s="6" t="s">
        <v>126</v>
      </c>
      <c r="T27" s="6" t="s">
        <v>134</v>
      </c>
      <c r="V27" s="177" t="s">
        <v>477</v>
      </c>
      <c r="W27" s="177" t="s">
        <v>482</v>
      </c>
      <c r="AE27" s="45" t="s">
        <v>442</v>
      </c>
      <c r="AF27" s="177" t="s">
        <v>340</v>
      </c>
      <c r="AG27" s="177" t="s">
        <v>148</v>
      </c>
      <c r="AH27" s="260" t="s">
        <v>551</v>
      </c>
      <c r="AI27" s="177" t="s">
        <v>141</v>
      </c>
      <c r="AJ27" s="177">
        <v>4</v>
      </c>
      <c r="AK27" s="177" t="s">
        <v>140</v>
      </c>
    </row>
    <row r="28" spans="4:37">
      <c r="D28" s="177" t="s">
        <v>360</v>
      </c>
      <c r="E28" s="177" t="s">
        <v>361</v>
      </c>
      <c r="G28" s="6" t="s">
        <v>307</v>
      </c>
      <c r="H28" t="s">
        <v>104</v>
      </c>
      <c r="I28" t="s">
        <v>66</v>
      </c>
      <c r="N28" s="177" t="s">
        <v>361</v>
      </c>
      <c r="O28" s="177" t="s">
        <v>361</v>
      </c>
      <c r="P28" s="177" t="s">
        <v>362</v>
      </c>
      <c r="Q28" s="177" t="s">
        <v>128</v>
      </c>
      <c r="R28" s="177" t="s">
        <v>380</v>
      </c>
      <c r="S28" s="177"/>
      <c r="T28" t="s">
        <v>118</v>
      </c>
      <c r="V28" s="177" t="s">
        <v>477</v>
      </c>
      <c r="W28" s="177" t="s">
        <v>483</v>
      </c>
      <c r="AE28" s="45" t="s">
        <v>442</v>
      </c>
      <c r="AF28" s="260" t="s">
        <v>567</v>
      </c>
      <c r="AG28" s="260" t="s">
        <v>148</v>
      </c>
      <c r="AH28" s="260" t="s">
        <v>344</v>
      </c>
      <c r="AI28" s="260" t="s">
        <v>141</v>
      </c>
      <c r="AJ28" s="260">
        <v>10</v>
      </c>
      <c r="AK28" s="260" t="s">
        <v>140</v>
      </c>
    </row>
    <row r="29" spans="4:37">
      <c r="D29" s="177" t="s">
        <v>391</v>
      </c>
      <c r="E29" s="177" t="s">
        <v>374</v>
      </c>
      <c r="G29" s="6" t="s">
        <v>307</v>
      </c>
      <c r="H29" s="6" t="s">
        <v>104</v>
      </c>
      <c r="I29" s="6" t="s">
        <v>257</v>
      </c>
      <c r="N29" s="177" t="s">
        <v>354</v>
      </c>
      <c r="O29" s="177" t="s">
        <v>190</v>
      </c>
      <c r="P29" s="177" t="s">
        <v>354</v>
      </c>
      <c r="Q29" s="177" t="s">
        <v>128</v>
      </c>
      <c r="R29" s="177" t="s">
        <v>380</v>
      </c>
      <c r="S29" s="177" t="s">
        <v>126</v>
      </c>
      <c r="T29" s="177" t="s">
        <v>134</v>
      </c>
      <c r="V29" s="260" t="s">
        <v>531</v>
      </c>
      <c r="W29" s="260" t="s">
        <v>530</v>
      </c>
      <c r="AE29" s="45" t="s">
        <v>487</v>
      </c>
      <c r="AF29" s="260" t="s">
        <v>489</v>
      </c>
      <c r="AG29" s="260" t="s">
        <v>148</v>
      </c>
      <c r="AH29" s="260" t="s">
        <v>485</v>
      </c>
      <c r="AI29" s="260" t="s">
        <v>141</v>
      </c>
      <c r="AJ29" s="260">
        <v>20</v>
      </c>
      <c r="AK29" s="260" t="s">
        <v>140</v>
      </c>
    </row>
    <row r="30" spans="4:37">
      <c r="D30" s="177" t="s">
        <v>392</v>
      </c>
      <c r="E30" s="177" t="s">
        <v>385</v>
      </c>
      <c r="G30" s="6" t="s">
        <v>307</v>
      </c>
      <c r="H30" s="6" t="s">
        <v>104</v>
      </c>
      <c r="I30" s="6" t="s">
        <v>266</v>
      </c>
      <c r="N30" s="177" t="s">
        <v>357</v>
      </c>
      <c r="O30" s="177" t="s">
        <v>190</v>
      </c>
      <c r="P30" s="177" t="s">
        <v>357</v>
      </c>
      <c r="Q30" s="177" t="s">
        <v>128</v>
      </c>
      <c r="R30" s="177" t="s">
        <v>380</v>
      </c>
      <c r="S30" s="177" t="s">
        <v>126</v>
      </c>
      <c r="T30" s="177" t="s">
        <v>134</v>
      </c>
      <c r="V30" s="260" t="s">
        <v>531</v>
      </c>
      <c r="W30" s="260" t="s">
        <v>537</v>
      </c>
      <c r="AE30" s="45" t="s">
        <v>487</v>
      </c>
      <c r="AF30" s="259" t="s">
        <v>490</v>
      </c>
      <c r="AG30" s="260" t="s">
        <v>148</v>
      </c>
      <c r="AH30" s="260" t="s">
        <v>486</v>
      </c>
      <c r="AI30" t="s">
        <v>141</v>
      </c>
      <c r="AJ30">
        <v>512</v>
      </c>
      <c r="AK30" s="260" t="s">
        <v>140</v>
      </c>
    </row>
    <row r="31" spans="4:37">
      <c r="D31" s="177" t="s">
        <v>466</v>
      </c>
      <c r="E31" s="177" t="s">
        <v>431</v>
      </c>
      <c r="G31" s="6" t="s">
        <v>307</v>
      </c>
      <c r="H31" s="6" t="s">
        <v>104</v>
      </c>
      <c r="I31" s="6" t="s">
        <v>238</v>
      </c>
      <c r="N31" s="177" t="s">
        <v>363</v>
      </c>
      <c r="O31" s="177" t="s">
        <v>190</v>
      </c>
      <c r="P31" s="177" t="s">
        <v>363</v>
      </c>
      <c r="Q31" s="177" t="s">
        <v>128</v>
      </c>
      <c r="R31" s="177" t="s">
        <v>380</v>
      </c>
      <c r="S31" s="177" t="s">
        <v>126</v>
      </c>
      <c r="T31" s="177" t="s">
        <v>134</v>
      </c>
      <c r="V31" s="260" t="s">
        <v>531</v>
      </c>
      <c r="W31" s="260" t="s">
        <v>543</v>
      </c>
    </row>
    <row r="32" spans="4:37">
      <c r="D32" s="260" t="s">
        <v>529</v>
      </c>
      <c r="E32" s="260" t="s">
        <v>527</v>
      </c>
      <c r="G32" s="6" t="s">
        <v>307</v>
      </c>
      <c r="H32" s="6" t="s">
        <v>104</v>
      </c>
      <c r="I32" t="s">
        <v>77</v>
      </c>
      <c r="N32" s="177" t="s">
        <v>374</v>
      </c>
      <c r="O32" s="177" t="s">
        <v>374</v>
      </c>
      <c r="P32" s="177" t="s">
        <v>378</v>
      </c>
      <c r="Q32" s="177" t="s">
        <v>128</v>
      </c>
      <c r="R32" s="177" t="s">
        <v>380</v>
      </c>
      <c r="S32" s="177"/>
      <c r="T32" t="s">
        <v>118</v>
      </c>
      <c r="V32" s="260" t="s">
        <v>547</v>
      </c>
      <c r="W32" s="260" t="s">
        <v>543</v>
      </c>
    </row>
    <row r="33" spans="4:23">
      <c r="D33" s="260" t="s">
        <v>569</v>
      </c>
      <c r="E33" s="260" t="s">
        <v>568</v>
      </c>
      <c r="G33" s="6" t="s">
        <v>307</v>
      </c>
      <c r="H33" s="6" t="s">
        <v>104</v>
      </c>
      <c r="I33" s="6" t="s">
        <v>119</v>
      </c>
      <c r="N33" s="177" t="s">
        <v>376</v>
      </c>
      <c r="O33" s="177" t="s">
        <v>190</v>
      </c>
      <c r="P33" s="177" t="s">
        <v>376</v>
      </c>
      <c r="Q33" s="177" t="s">
        <v>128</v>
      </c>
      <c r="R33" s="177" t="s">
        <v>381</v>
      </c>
      <c r="S33" s="177" t="s">
        <v>126</v>
      </c>
      <c r="T33" s="177" t="s">
        <v>134</v>
      </c>
      <c r="V33" s="260" t="s">
        <v>547</v>
      </c>
      <c r="W33" s="260" t="s">
        <v>549</v>
      </c>
    </row>
    <row r="34" spans="4:23">
      <c r="D34" s="260" t="s">
        <v>467</v>
      </c>
      <c r="E34" s="177" t="s">
        <v>468</v>
      </c>
      <c r="G34" s="6" t="s">
        <v>312</v>
      </c>
      <c r="H34" s="6" t="s">
        <v>104</v>
      </c>
      <c r="I34" t="s">
        <v>312</v>
      </c>
      <c r="N34" s="177" t="s">
        <v>375</v>
      </c>
      <c r="O34" s="177" t="s">
        <v>190</v>
      </c>
      <c r="P34" s="177" t="s">
        <v>375</v>
      </c>
      <c r="Q34" s="177" t="s">
        <v>128</v>
      </c>
      <c r="R34" s="177" t="s">
        <v>381</v>
      </c>
      <c r="S34" s="177" t="s">
        <v>126</v>
      </c>
      <c r="T34" s="177" t="s">
        <v>134</v>
      </c>
      <c r="V34" s="260" t="s">
        <v>547</v>
      </c>
      <c r="W34" s="260" t="s">
        <v>558</v>
      </c>
    </row>
    <row r="35" spans="4:23">
      <c r="D35" s="260" t="s">
        <v>512</v>
      </c>
      <c r="E35" s="260" t="s">
        <v>513</v>
      </c>
      <c r="G35" s="6" t="s">
        <v>316</v>
      </c>
      <c r="H35" s="6" t="s">
        <v>104</v>
      </c>
      <c r="I35" s="6" t="s">
        <v>316</v>
      </c>
      <c r="J35" s="6"/>
      <c r="K35" s="177"/>
      <c r="L35" s="177"/>
      <c r="N35" s="177" t="s">
        <v>377</v>
      </c>
      <c r="O35" s="177" t="s">
        <v>190</v>
      </c>
      <c r="P35" s="177" t="s">
        <v>377</v>
      </c>
      <c r="Q35" s="177" t="s">
        <v>128</v>
      </c>
      <c r="R35" s="177" t="s">
        <v>381</v>
      </c>
      <c r="S35" s="177" t="s">
        <v>126</v>
      </c>
      <c r="T35" s="177" t="s">
        <v>134</v>
      </c>
      <c r="V35" s="260" t="s">
        <v>547</v>
      </c>
      <c r="W35" s="260" t="s">
        <v>562</v>
      </c>
    </row>
    <row r="36" spans="4:23">
      <c r="D36" s="260" t="s">
        <v>520</v>
      </c>
      <c r="E36" s="260" t="s">
        <v>521</v>
      </c>
      <c r="G36" s="6" t="s">
        <v>324</v>
      </c>
      <c r="H36" s="6" t="s">
        <v>104</v>
      </c>
      <c r="I36" s="6" t="s">
        <v>324</v>
      </c>
      <c r="J36" s="6"/>
      <c r="K36" s="177"/>
      <c r="L36" s="177"/>
      <c r="N36" s="177" t="s">
        <v>385</v>
      </c>
      <c r="O36" s="177" t="s">
        <v>374</v>
      </c>
      <c r="P36" s="177" t="s">
        <v>388</v>
      </c>
      <c r="Q36" s="177" t="s">
        <v>128</v>
      </c>
      <c r="R36" s="177" t="s">
        <v>380</v>
      </c>
      <c r="S36" s="177"/>
      <c r="T36" t="s">
        <v>118</v>
      </c>
    </row>
    <row r="37" spans="4:23">
      <c r="D37" s="260" t="s">
        <v>566</v>
      </c>
      <c r="E37" s="260" t="s">
        <v>454</v>
      </c>
      <c r="G37" s="6" t="s">
        <v>332</v>
      </c>
      <c r="H37" s="6" t="s">
        <v>105</v>
      </c>
      <c r="I37" s="6" t="s">
        <v>332</v>
      </c>
      <c r="J37" s="6"/>
      <c r="K37" s="177"/>
      <c r="L37" s="177"/>
      <c r="N37" s="177" t="s">
        <v>386</v>
      </c>
      <c r="O37" s="177" t="s">
        <v>190</v>
      </c>
      <c r="P37" s="177" t="s">
        <v>386</v>
      </c>
      <c r="Q37" s="177" t="s">
        <v>128</v>
      </c>
      <c r="R37" s="177" t="s">
        <v>381</v>
      </c>
      <c r="S37" s="177" t="s">
        <v>126</v>
      </c>
      <c r="T37" s="177" t="s">
        <v>134</v>
      </c>
    </row>
    <row r="38" spans="4:23">
      <c r="D38" s="260"/>
      <c r="E38" s="260"/>
      <c r="G38" s="6" t="s">
        <v>332</v>
      </c>
      <c r="H38" s="6" t="s">
        <v>104</v>
      </c>
      <c r="I38" s="6" t="s">
        <v>334</v>
      </c>
      <c r="J38" s="6"/>
      <c r="K38" s="177"/>
      <c r="L38" s="177"/>
      <c r="N38" s="177" t="s">
        <v>387</v>
      </c>
      <c r="O38" s="177" t="s">
        <v>190</v>
      </c>
      <c r="P38" s="177" t="s">
        <v>387</v>
      </c>
      <c r="Q38" s="177" t="s">
        <v>128</v>
      </c>
      <c r="R38" s="177" t="s">
        <v>381</v>
      </c>
      <c r="S38" s="177" t="s">
        <v>126</v>
      </c>
      <c r="T38" s="177" t="s">
        <v>134</v>
      </c>
    </row>
    <row r="39" spans="4:23">
      <c r="G39" s="6" t="s">
        <v>337</v>
      </c>
      <c r="H39" s="6" t="s">
        <v>105</v>
      </c>
      <c r="I39" s="6" t="s">
        <v>337</v>
      </c>
      <c r="J39" s="6"/>
      <c r="K39" s="177"/>
      <c r="L39" s="177"/>
      <c r="N39" s="177" t="s">
        <v>401</v>
      </c>
      <c r="O39" s="177" t="s">
        <v>401</v>
      </c>
      <c r="P39" s="177" t="s">
        <v>448</v>
      </c>
      <c r="Q39" s="177" t="s">
        <v>128</v>
      </c>
      <c r="R39" s="177" t="s">
        <v>380</v>
      </c>
      <c r="S39" s="177" t="s">
        <v>126</v>
      </c>
      <c r="T39" s="177" t="s">
        <v>134</v>
      </c>
    </row>
    <row r="40" spans="4:23">
      <c r="G40" s="177" t="s">
        <v>361</v>
      </c>
      <c r="H40" s="177" t="s">
        <v>104</v>
      </c>
      <c r="I40" s="177" t="s">
        <v>361</v>
      </c>
      <c r="J40" s="177"/>
      <c r="K40" s="177"/>
      <c r="L40" s="177"/>
      <c r="N40" s="177" t="s">
        <v>454</v>
      </c>
      <c r="O40" s="177" t="s">
        <v>454</v>
      </c>
      <c r="P40" s="177" t="s">
        <v>455</v>
      </c>
      <c r="Q40" t="s">
        <v>128</v>
      </c>
      <c r="R40" s="177"/>
      <c r="T40" t="s">
        <v>118</v>
      </c>
    </row>
    <row r="41" spans="4:23">
      <c r="G41" s="177" t="s">
        <v>374</v>
      </c>
      <c r="H41" s="177" t="s">
        <v>104</v>
      </c>
      <c r="I41" s="177" t="s">
        <v>374</v>
      </c>
      <c r="J41" s="177"/>
      <c r="K41" s="177"/>
      <c r="L41" s="177"/>
      <c r="N41" s="177" t="s">
        <v>411</v>
      </c>
      <c r="O41" s="177" t="s">
        <v>190</v>
      </c>
      <c r="P41" s="177" t="s">
        <v>411</v>
      </c>
      <c r="Q41" t="s">
        <v>128</v>
      </c>
      <c r="R41" s="177" t="s">
        <v>380</v>
      </c>
      <c r="S41" t="s">
        <v>126</v>
      </c>
      <c r="T41" t="s">
        <v>134</v>
      </c>
    </row>
    <row r="42" spans="4:23">
      <c r="G42" s="177" t="s">
        <v>385</v>
      </c>
      <c r="H42" s="177" t="s">
        <v>104</v>
      </c>
      <c r="I42" s="177" t="s">
        <v>385</v>
      </c>
      <c r="J42" s="177"/>
      <c r="K42" s="177"/>
      <c r="L42" s="177"/>
      <c r="N42" s="177" t="s">
        <v>419</v>
      </c>
      <c r="O42" s="177" t="s">
        <v>190</v>
      </c>
      <c r="P42" s="177" t="s">
        <v>419</v>
      </c>
      <c r="Q42" s="177" t="s">
        <v>128</v>
      </c>
      <c r="R42" s="177" t="s">
        <v>380</v>
      </c>
      <c r="S42" s="177" t="s">
        <v>126</v>
      </c>
      <c r="T42" s="177" t="s">
        <v>134</v>
      </c>
    </row>
    <row r="43" spans="4:23">
      <c r="G43" s="260" t="s">
        <v>439</v>
      </c>
      <c r="H43" s="45" t="s">
        <v>105</v>
      </c>
      <c r="I43" s="45" t="s">
        <v>440</v>
      </c>
      <c r="J43" s="45"/>
      <c r="K43" s="45"/>
      <c r="L43" s="45"/>
      <c r="N43" s="177" t="s">
        <v>458</v>
      </c>
      <c r="O43" s="177" t="s">
        <v>458</v>
      </c>
      <c r="P43" s="177" t="s">
        <v>460</v>
      </c>
      <c r="Q43" s="177" t="s">
        <v>128</v>
      </c>
      <c r="R43" s="177" t="s">
        <v>380</v>
      </c>
      <c r="S43" s="177" t="s">
        <v>126</v>
      </c>
      <c r="T43" s="177" t="s">
        <v>134</v>
      </c>
    </row>
    <row r="44" spans="4:23">
      <c r="G44" s="260" t="s">
        <v>439</v>
      </c>
      <c r="H44" s="45" t="s">
        <v>104</v>
      </c>
      <c r="I44" s="45" t="s">
        <v>401</v>
      </c>
      <c r="J44" t="s">
        <v>456</v>
      </c>
      <c r="L44" s="45" t="s">
        <v>440</v>
      </c>
      <c r="N44" s="177" t="s">
        <v>431</v>
      </c>
      <c r="O44" s="177" t="s">
        <v>431</v>
      </c>
      <c r="P44" s="177" t="s">
        <v>464</v>
      </c>
      <c r="Q44" s="177" t="s">
        <v>128</v>
      </c>
      <c r="R44" s="177" t="s">
        <v>380</v>
      </c>
      <c r="S44" s="177" t="s">
        <v>126</v>
      </c>
      <c r="T44" s="177" t="s">
        <v>134</v>
      </c>
    </row>
    <row r="45" spans="4:23">
      <c r="G45" s="177" t="s">
        <v>439</v>
      </c>
      <c r="H45" s="45" t="s">
        <v>105</v>
      </c>
      <c r="I45" s="45" t="s">
        <v>442</v>
      </c>
      <c r="J45" s="45"/>
      <c r="K45" s="45" t="s">
        <v>449</v>
      </c>
      <c r="L45" s="45"/>
      <c r="N45" s="177" t="s">
        <v>468</v>
      </c>
      <c r="O45" s="177" t="s">
        <v>468</v>
      </c>
      <c r="P45" s="177" t="s">
        <v>469</v>
      </c>
      <c r="Q45" s="177" t="s">
        <v>128</v>
      </c>
      <c r="R45" s="177" t="s">
        <v>380</v>
      </c>
      <c r="S45" s="177" t="s">
        <v>126</v>
      </c>
      <c r="T45" s="177" t="s">
        <v>134</v>
      </c>
    </row>
    <row r="46" spans="4:23">
      <c r="G46" s="177" t="s">
        <v>439</v>
      </c>
      <c r="H46" s="177" t="s">
        <v>105</v>
      </c>
      <c r="I46" s="177" t="s">
        <v>442</v>
      </c>
      <c r="J46" s="177"/>
      <c r="K46" s="177" t="s">
        <v>450</v>
      </c>
      <c r="L46" s="177"/>
      <c r="N46" s="177" t="s">
        <v>477</v>
      </c>
      <c r="O46" s="177" t="s">
        <v>477</v>
      </c>
      <c r="P46" s="177" t="s">
        <v>478</v>
      </c>
      <c r="Q46" s="177" t="s">
        <v>128</v>
      </c>
      <c r="R46" s="177" t="s">
        <v>380</v>
      </c>
      <c r="S46" s="177"/>
      <c r="T46" t="s">
        <v>118</v>
      </c>
    </row>
    <row r="47" spans="4:23">
      <c r="G47" s="177" t="s">
        <v>439</v>
      </c>
      <c r="H47" s="177" t="s">
        <v>104</v>
      </c>
      <c r="I47" s="177" t="s">
        <v>468</v>
      </c>
      <c r="K47" s="177"/>
      <c r="L47" s="177"/>
      <c r="N47" s="260" t="s">
        <v>479</v>
      </c>
      <c r="O47" s="260" t="s">
        <v>190</v>
      </c>
      <c r="P47" s="260" t="s">
        <v>479</v>
      </c>
      <c r="Q47" s="259" t="s">
        <v>128</v>
      </c>
      <c r="R47" s="260" t="s">
        <v>380</v>
      </c>
      <c r="S47" s="259" t="s">
        <v>126</v>
      </c>
      <c r="T47" s="259" t="s">
        <v>134</v>
      </c>
    </row>
    <row r="48" spans="4:23">
      <c r="G48" s="260" t="s">
        <v>439</v>
      </c>
      <c r="H48" s="260" t="s">
        <v>104</v>
      </c>
      <c r="I48" s="260" t="s">
        <v>568</v>
      </c>
      <c r="J48" s="259"/>
      <c r="K48" s="260"/>
      <c r="L48" s="260"/>
      <c r="N48" s="177" t="s">
        <v>480</v>
      </c>
      <c r="O48" s="177" t="s">
        <v>190</v>
      </c>
      <c r="P48" s="177" t="s">
        <v>480</v>
      </c>
      <c r="Q48" t="s">
        <v>128</v>
      </c>
      <c r="R48" s="177" t="s">
        <v>380</v>
      </c>
      <c r="S48" t="s">
        <v>126</v>
      </c>
      <c r="T48" t="s">
        <v>134</v>
      </c>
    </row>
    <row r="49" spans="7:20">
      <c r="G49" s="177" t="s">
        <v>439</v>
      </c>
      <c r="H49" s="177" t="s">
        <v>104</v>
      </c>
      <c r="I49" s="177" t="s">
        <v>361</v>
      </c>
      <c r="K49" s="177"/>
      <c r="L49" s="177"/>
      <c r="N49" s="177" t="s">
        <v>481</v>
      </c>
      <c r="O49" s="177" t="s">
        <v>190</v>
      </c>
      <c r="P49" s="177" t="s">
        <v>481</v>
      </c>
      <c r="Q49" t="s">
        <v>128</v>
      </c>
      <c r="R49" s="177" t="s">
        <v>380</v>
      </c>
      <c r="S49" t="s">
        <v>126</v>
      </c>
      <c r="T49" t="s">
        <v>134</v>
      </c>
    </row>
    <row r="50" spans="7:20">
      <c r="G50" s="177" t="s">
        <v>439</v>
      </c>
      <c r="H50" s="177" t="s">
        <v>104</v>
      </c>
      <c r="I50" s="177" t="s">
        <v>374</v>
      </c>
      <c r="J50" t="s">
        <v>456</v>
      </c>
      <c r="K50" s="177"/>
      <c r="L50" s="177" t="s">
        <v>450</v>
      </c>
      <c r="N50" s="177" t="s">
        <v>482</v>
      </c>
      <c r="O50" s="177" t="s">
        <v>190</v>
      </c>
      <c r="P50" s="177" t="s">
        <v>482</v>
      </c>
      <c r="Q50" t="s">
        <v>128</v>
      </c>
      <c r="R50" s="177" t="s">
        <v>380</v>
      </c>
      <c r="S50" t="s">
        <v>126</v>
      </c>
      <c r="T50" t="s">
        <v>134</v>
      </c>
    </row>
    <row r="51" spans="7:20">
      <c r="G51" s="177" t="s">
        <v>439</v>
      </c>
      <c r="H51" s="177" t="s">
        <v>105</v>
      </c>
      <c r="I51" s="177" t="s">
        <v>442</v>
      </c>
      <c r="J51" s="177"/>
      <c r="K51" s="177" t="s">
        <v>451</v>
      </c>
      <c r="L51" s="177"/>
      <c r="N51" s="177" t="s">
        <v>483</v>
      </c>
      <c r="O51" s="177" t="s">
        <v>190</v>
      </c>
      <c r="P51" s="177" t="s">
        <v>483</v>
      </c>
      <c r="Q51" t="s">
        <v>128</v>
      </c>
      <c r="R51" s="177" t="s">
        <v>380</v>
      </c>
      <c r="S51" t="s">
        <v>126</v>
      </c>
      <c r="T51" t="s">
        <v>134</v>
      </c>
    </row>
    <row r="52" spans="7:20">
      <c r="G52" s="177" t="s">
        <v>439</v>
      </c>
      <c r="H52" s="177" t="s">
        <v>104</v>
      </c>
      <c r="I52" s="177" t="s">
        <v>458</v>
      </c>
      <c r="K52" s="177"/>
      <c r="L52" s="177"/>
      <c r="N52" s="260" t="s">
        <v>513</v>
      </c>
      <c r="O52" s="260" t="s">
        <v>513</v>
      </c>
      <c r="P52" s="260" t="s">
        <v>514</v>
      </c>
      <c r="Q52" s="259" t="s">
        <v>128</v>
      </c>
      <c r="R52" s="260" t="s">
        <v>380</v>
      </c>
      <c r="S52" s="259" t="s">
        <v>126</v>
      </c>
      <c r="T52" s="259" t="s">
        <v>134</v>
      </c>
    </row>
    <row r="53" spans="7:20">
      <c r="G53" s="177" t="s">
        <v>439</v>
      </c>
      <c r="H53" s="177" t="s">
        <v>104</v>
      </c>
      <c r="I53" s="177" t="s">
        <v>431</v>
      </c>
      <c r="J53" t="s">
        <v>456</v>
      </c>
      <c r="K53" s="177"/>
      <c r="L53" s="177" t="s">
        <v>451</v>
      </c>
      <c r="N53" s="260" t="s">
        <v>521</v>
      </c>
      <c r="O53" s="260" t="s">
        <v>521</v>
      </c>
      <c r="P53" s="260" t="s">
        <v>522</v>
      </c>
      <c r="Q53" s="259" t="s">
        <v>128</v>
      </c>
      <c r="R53" s="260" t="s">
        <v>380</v>
      </c>
      <c r="S53" s="259" t="s">
        <v>126</v>
      </c>
      <c r="T53" s="259" t="s">
        <v>134</v>
      </c>
    </row>
    <row r="54" spans="7:20">
      <c r="G54" s="177" t="s">
        <v>439</v>
      </c>
      <c r="H54" s="177" t="s">
        <v>105</v>
      </c>
      <c r="I54" s="177" t="s">
        <v>442</v>
      </c>
      <c r="J54" s="177"/>
      <c r="K54" s="177" t="s">
        <v>452</v>
      </c>
      <c r="L54" s="177"/>
      <c r="N54" s="260" t="s">
        <v>527</v>
      </c>
      <c r="O54" s="260" t="s">
        <v>431</v>
      </c>
      <c r="P54" s="260" t="s">
        <v>464</v>
      </c>
      <c r="Q54" s="259" t="s">
        <v>128</v>
      </c>
      <c r="R54" s="260" t="s">
        <v>380</v>
      </c>
      <c r="S54" s="259" t="s">
        <v>126</v>
      </c>
      <c r="T54" s="259" t="s">
        <v>134</v>
      </c>
    </row>
    <row r="55" spans="7:20">
      <c r="G55" s="260" t="s">
        <v>439</v>
      </c>
      <c r="H55" s="260" t="s">
        <v>104</v>
      </c>
      <c r="I55" s="260" t="s">
        <v>385</v>
      </c>
      <c r="J55" s="260"/>
      <c r="K55" s="260"/>
      <c r="L55" s="260"/>
      <c r="N55" s="260" t="s">
        <v>531</v>
      </c>
      <c r="O55" s="260" t="s">
        <v>531</v>
      </c>
      <c r="P55" s="260" t="s">
        <v>532</v>
      </c>
      <c r="Q55" s="260" t="s">
        <v>128</v>
      </c>
      <c r="R55" s="260" t="s">
        <v>380</v>
      </c>
      <c r="S55" s="260"/>
      <c r="T55" s="259" t="s">
        <v>118</v>
      </c>
    </row>
    <row r="56" spans="7:20">
      <c r="G56" s="260" t="s">
        <v>439</v>
      </c>
      <c r="H56" s="260" t="s">
        <v>104</v>
      </c>
      <c r="I56" s="260" t="s">
        <v>431</v>
      </c>
      <c r="J56" s="260"/>
      <c r="K56" s="260"/>
      <c r="L56" s="260"/>
      <c r="N56" s="260" t="s">
        <v>530</v>
      </c>
      <c r="O56" s="260" t="s">
        <v>190</v>
      </c>
      <c r="P56" s="260" t="s">
        <v>530</v>
      </c>
      <c r="Q56" s="259" t="s">
        <v>128</v>
      </c>
      <c r="R56" s="260" t="s">
        <v>380</v>
      </c>
      <c r="S56" s="259" t="s">
        <v>126</v>
      </c>
      <c r="T56" s="259" t="s">
        <v>134</v>
      </c>
    </row>
    <row r="57" spans="7:20">
      <c r="G57" s="260" t="s">
        <v>439</v>
      </c>
      <c r="H57" s="260" t="s">
        <v>104</v>
      </c>
      <c r="I57" s="260" t="s">
        <v>568</v>
      </c>
      <c r="J57" s="260"/>
      <c r="K57" s="260"/>
      <c r="L57" s="260"/>
      <c r="N57" s="260" t="s">
        <v>537</v>
      </c>
      <c r="O57" s="260" t="s">
        <v>190</v>
      </c>
      <c r="P57" s="260" t="s">
        <v>537</v>
      </c>
      <c r="Q57" s="259" t="s">
        <v>128</v>
      </c>
      <c r="R57" s="260" t="s">
        <v>380</v>
      </c>
      <c r="S57" s="259" t="s">
        <v>126</v>
      </c>
      <c r="T57" s="259" t="s">
        <v>134</v>
      </c>
    </row>
    <row r="58" spans="7:20">
      <c r="G58" s="177" t="s">
        <v>453</v>
      </c>
      <c r="H58" s="177" t="s">
        <v>105</v>
      </c>
      <c r="I58" s="177" t="s">
        <v>442</v>
      </c>
      <c r="J58" s="177"/>
      <c r="K58" s="177" t="s">
        <v>453</v>
      </c>
      <c r="L58" s="177"/>
      <c r="N58" s="260" t="s">
        <v>543</v>
      </c>
      <c r="O58" s="260"/>
      <c r="P58" s="260"/>
      <c r="Q58" s="260"/>
      <c r="R58" s="260" t="s">
        <v>380</v>
      </c>
      <c r="S58" s="259" t="s">
        <v>126</v>
      </c>
      <c r="T58" s="260" t="s">
        <v>304</v>
      </c>
    </row>
    <row r="59" spans="7:20">
      <c r="G59" s="177" t="s">
        <v>453</v>
      </c>
      <c r="H59" s="177" t="s">
        <v>104</v>
      </c>
      <c r="I59" s="177" t="s">
        <v>454</v>
      </c>
      <c r="J59" s="177"/>
      <c r="K59" s="177"/>
      <c r="L59" s="177"/>
      <c r="N59" s="260" t="s">
        <v>547</v>
      </c>
      <c r="O59" s="260" t="s">
        <v>547</v>
      </c>
      <c r="P59" s="260" t="s">
        <v>548</v>
      </c>
      <c r="Q59" s="259" t="s">
        <v>128</v>
      </c>
      <c r="R59" s="260" t="s">
        <v>380</v>
      </c>
      <c r="S59" s="260"/>
      <c r="T59" s="259" t="s">
        <v>118</v>
      </c>
    </row>
    <row r="60" spans="7:20">
      <c r="G60" s="177" t="s">
        <v>431</v>
      </c>
      <c r="H60" s="177" t="s">
        <v>104</v>
      </c>
      <c r="I60" s="177" t="s">
        <v>431</v>
      </c>
      <c r="J60" s="177"/>
      <c r="K60" s="177"/>
      <c r="L60" s="177"/>
      <c r="N60" s="260" t="s">
        <v>543</v>
      </c>
      <c r="O60" s="260"/>
      <c r="P60" s="260"/>
      <c r="Q60" s="260"/>
      <c r="R60" s="260" t="s">
        <v>380</v>
      </c>
      <c r="S60" s="260" t="s">
        <v>126</v>
      </c>
      <c r="T60" s="260" t="s">
        <v>304</v>
      </c>
    </row>
    <row r="61" spans="7:20">
      <c r="G61" s="177" t="s">
        <v>468</v>
      </c>
      <c r="H61" s="177" t="s">
        <v>104</v>
      </c>
      <c r="I61" s="177" t="s">
        <v>468</v>
      </c>
      <c r="J61" s="177"/>
      <c r="K61" s="177"/>
      <c r="L61" s="177"/>
      <c r="N61" s="260" t="s">
        <v>549</v>
      </c>
      <c r="O61" s="260" t="s">
        <v>190</v>
      </c>
      <c r="P61" s="260" t="s">
        <v>549</v>
      </c>
      <c r="Q61" s="259" t="s">
        <v>128</v>
      </c>
      <c r="R61" s="260" t="s">
        <v>380</v>
      </c>
      <c r="S61" s="259" t="s">
        <v>126</v>
      </c>
      <c r="T61" s="259" t="s">
        <v>134</v>
      </c>
    </row>
    <row r="62" spans="7:20">
      <c r="G62" s="177" t="s">
        <v>477</v>
      </c>
      <c r="H62" s="177" t="s">
        <v>104</v>
      </c>
      <c r="I62" s="177" t="s">
        <v>477</v>
      </c>
      <c r="J62" s="177"/>
      <c r="K62" s="177"/>
      <c r="L62" s="177"/>
      <c r="N62" s="260" t="s">
        <v>558</v>
      </c>
      <c r="O62" s="260" t="s">
        <v>190</v>
      </c>
      <c r="P62" s="260" t="s">
        <v>558</v>
      </c>
      <c r="Q62" s="260" t="s">
        <v>128</v>
      </c>
      <c r="R62" s="260" t="s">
        <v>380</v>
      </c>
      <c r="S62" s="260" t="s">
        <v>126</v>
      </c>
      <c r="T62" s="260" t="s">
        <v>134</v>
      </c>
    </row>
    <row r="63" spans="7:20">
      <c r="G63" s="260" t="s">
        <v>513</v>
      </c>
      <c r="H63" s="260" t="s">
        <v>104</v>
      </c>
      <c r="I63" s="260" t="s">
        <v>513</v>
      </c>
      <c r="J63" s="260"/>
      <c r="K63" s="260"/>
      <c r="L63" s="260"/>
      <c r="N63" s="260" t="s">
        <v>562</v>
      </c>
      <c r="O63" s="260" t="s">
        <v>190</v>
      </c>
      <c r="P63" s="260" t="s">
        <v>562</v>
      </c>
      <c r="Q63" s="260" t="s">
        <v>128</v>
      </c>
      <c r="R63" s="260" t="s">
        <v>380</v>
      </c>
      <c r="S63" s="260" t="s">
        <v>126</v>
      </c>
      <c r="T63" s="260" t="s">
        <v>134</v>
      </c>
    </row>
    <row r="64" spans="7:20">
      <c r="G64" s="260" t="s">
        <v>521</v>
      </c>
      <c r="H64" s="260" t="s">
        <v>104</v>
      </c>
      <c r="I64" s="260" t="s">
        <v>521</v>
      </c>
      <c r="J64" s="260"/>
      <c r="K64" s="260"/>
      <c r="L64" s="260"/>
      <c r="N64" s="260" t="s">
        <v>568</v>
      </c>
      <c r="O64" s="260" t="s">
        <v>568</v>
      </c>
      <c r="P64" s="260" t="s">
        <v>574</v>
      </c>
      <c r="Q64" s="260" t="s">
        <v>128</v>
      </c>
      <c r="R64" s="260" t="s">
        <v>380</v>
      </c>
      <c r="S64" s="260" t="s">
        <v>126</v>
      </c>
      <c r="T64" s="260" t="s">
        <v>134</v>
      </c>
    </row>
    <row r="65" spans="7:20">
      <c r="G65" s="260" t="s">
        <v>527</v>
      </c>
      <c r="H65" s="260" t="s">
        <v>104</v>
      </c>
      <c r="I65" s="260" t="s">
        <v>527</v>
      </c>
      <c r="J65" s="260"/>
      <c r="K65" s="260"/>
      <c r="L65" s="260"/>
      <c r="N65" s="260"/>
      <c r="O65" s="260"/>
      <c r="P65" s="260"/>
      <c r="Q65" s="260"/>
      <c r="R65" s="260"/>
      <c r="S65" s="260"/>
      <c r="T65" s="260"/>
    </row>
    <row r="66" spans="7:20">
      <c r="G66" s="260" t="s">
        <v>531</v>
      </c>
      <c r="H66" s="260" t="s">
        <v>104</v>
      </c>
      <c r="I66" s="260" t="s">
        <v>531</v>
      </c>
      <c r="J66" s="260"/>
      <c r="K66" s="260"/>
      <c r="L66" s="260"/>
    </row>
    <row r="67" spans="7:20">
      <c r="G67" s="260" t="s">
        <v>547</v>
      </c>
      <c r="H67" s="260" t="s">
        <v>104</v>
      </c>
      <c r="I67" s="260" t="s">
        <v>547</v>
      </c>
      <c r="J67" s="260"/>
      <c r="K67" s="260"/>
      <c r="L67" s="260"/>
    </row>
    <row r="68" spans="7:20">
      <c r="G68" s="260" t="s">
        <v>454</v>
      </c>
      <c r="H68" s="260" t="s">
        <v>104</v>
      </c>
      <c r="I68" s="260" t="s">
        <v>454</v>
      </c>
      <c r="J68" s="260"/>
      <c r="K68" s="260"/>
      <c r="L68" s="260"/>
    </row>
    <row r="69" spans="7:20">
      <c r="G69" s="260" t="s">
        <v>568</v>
      </c>
      <c r="H69" s="260" t="s">
        <v>104</v>
      </c>
      <c r="I69" s="260" t="s">
        <v>568</v>
      </c>
      <c r="J69" s="260"/>
      <c r="K69" s="260"/>
      <c r="L69" s="260"/>
    </row>
  </sheetData>
  <dataConsolidate/>
  <mergeCells count="8">
    <mergeCell ref="A1:B1"/>
    <mergeCell ref="D1:E1"/>
    <mergeCell ref="BE1:BF1"/>
    <mergeCell ref="AE1:AK1"/>
    <mergeCell ref="Y1:AC1"/>
    <mergeCell ref="N1:T1"/>
    <mergeCell ref="V1:W1"/>
    <mergeCell ref="G1:L1"/>
  </mergeCells>
  <dataValidations count="13">
    <dataValidation type="list" allowBlank="1" showInputMessage="1" showErrorMessage="1" sqref="E10:E12 E21 E3 E16:E18">
      <formula1>INDIRECT("Actions[Code]")</formula1>
    </dataValidation>
    <dataValidation type="list" allowBlank="1" showInputMessage="1" showErrorMessage="1" sqref="AL3:AL6">
      <formula1>INDIRECT("ParamPurpose[Code]")</formula1>
    </dataValidation>
    <dataValidation type="list" allowBlank="1" showInputMessage="1" showErrorMessage="1" sqref="N11:N12 W4:W11 V3:V35">
      <formula1>INDIRECT("Reports[Code]")</formula1>
    </dataValidation>
    <dataValidation type="list" allowBlank="1" showInputMessage="1" showErrorMessage="1" sqref="Z3:Z14">
      <formula1>INDIRECT("ProgramTypes[Code]")</formula1>
    </dataValidation>
    <dataValidation type="list" allowBlank="1" showInputMessage="1" showErrorMessage="1" sqref="AB3:AB14">
      <formula1>INDIRECT("ReturnTypes[Code]")</formula1>
    </dataValidation>
    <dataValidation type="list" allowBlank="1" showInputMessage="1" showErrorMessage="1" sqref="Q3:Q65">
      <formula1>INDIRECT("CreateModes[Code]")</formula1>
    </dataValidation>
    <dataValidation type="list" allowBlank="1" showInputMessage="1" showErrorMessage="1" sqref="T3:T65">
      <formula1>INDIRECT("ReportTypes[Code]")</formula1>
    </dataValidation>
    <dataValidation type="list" allowBlank="1" showInputMessage="1" showErrorMessage="1" sqref="S3:S65">
      <formula1>INDIRECT("Programs[Code]")</formula1>
    </dataValidation>
    <dataValidation type="list" allowBlank="1" showInputMessage="1" showErrorMessage="1" sqref="J3:J69">
      <formula1>INDIRECT("AfterAction")</formula1>
    </dataValidation>
    <dataValidation type="list" allowBlank="1" showInputMessage="1" showErrorMessage="1" sqref="H3:H69">
      <formula1>INDIRECT("ActionTypes[Code]")</formula1>
    </dataValidation>
    <dataValidation type="list" allowBlank="1" showInputMessage="1" showErrorMessage="1" sqref="AG3:AG30">
      <formula1>INDIRECT("Direction[Code]")</formula1>
    </dataValidation>
    <dataValidation type="list" allowBlank="1" showInputMessage="1" showErrorMessage="1" sqref="AI3:AI30 AK3:AK30">
      <formula1>INDIRECT("YesNo[Code]")</formula1>
    </dataValidation>
    <dataValidation type="whole" allowBlank="1" showInputMessage="1" showErrorMessage="1" sqref="AJ3:AJ30">
      <formula1>1</formula1>
      <formula2>32767</formula2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zoomScale="175" zoomScaleNormal="175" workbookViewId="0">
      <selection activeCell="C4" sqref="C4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438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2018</v>
      </c>
      <c r="D4" s="32"/>
      <c r="E4" s="32"/>
    </row>
    <row r="5" spans="1:6">
      <c r="A5" s="32"/>
      <c r="B5" s="31" t="s">
        <v>57</v>
      </c>
      <c r="C5" s="179">
        <v>1</v>
      </c>
      <c r="D5" s="32"/>
      <c r="E5" s="32"/>
    </row>
    <row r="6" spans="1:6">
      <c r="A6" s="32"/>
      <c r="B6" s="31" t="s">
        <v>339</v>
      </c>
      <c r="C6" s="41">
        <v>43131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44"/>
      <c r="B8" s="344"/>
      <c r="C8" s="344"/>
      <c r="D8" s="344"/>
      <c r="E8" s="344"/>
    </row>
    <row r="9" spans="1:6" ht="97.5" customHeight="1">
      <c r="A9" s="44"/>
      <c r="B9" s="345" t="s">
        <v>748</v>
      </c>
      <c r="C9" s="346"/>
      <c r="D9" s="346"/>
      <c r="E9" s="44"/>
    </row>
    <row r="10" spans="1:6" s="43" customFormat="1" ht="14.25" customHeight="1">
      <c r="A10" s="344"/>
      <c r="B10" s="344"/>
      <c r="C10" s="344"/>
      <c r="D10" s="344"/>
      <c r="E10" s="344"/>
    </row>
    <row r="11" spans="1:6" hidden="1">
      <c r="A11" s="341"/>
      <c r="B11" s="342"/>
      <c r="C11" s="342"/>
      <c r="D11" s="342"/>
      <c r="E11" s="343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25"/>
  <dimension ref="A1:P172"/>
  <sheetViews>
    <sheetView zoomScale="145" zoomScaleNormal="145" workbookViewId="0">
      <pane ySplit="4" topLeftCell="A5" activePane="bottomLeft" state="frozen"/>
      <selection activeCell="A3" sqref="A3"/>
      <selection pane="bottomLeft" activeCell="C5" sqref="C5"/>
    </sheetView>
  </sheetViews>
  <sheetFormatPr defaultRowHeight="15"/>
  <cols>
    <col min="1" max="1" width="5.7109375" style="259" customWidth="1"/>
    <col min="2" max="2" width="6.5703125" style="259" customWidth="1"/>
    <col min="3" max="3" width="12.7109375" style="259" customWidth="1"/>
    <col min="4" max="4" width="9" style="259" customWidth="1"/>
    <col min="5" max="5" width="10" style="259" customWidth="1"/>
    <col min="6" max="6" width="6.85546875" style="259" customWidth="1"/>
    <col min="7" max="7" width="26.140625" style="259" customWidth="1"/>
    <col min="8" max="8" width="5.7109375" style="259" customWidth="1"/>
    <col min="9" max="9" width="6.5703125" style="259" customWidth="1"/>
    <col min="10" max="10" width="12.7109375" style="259" customWidth="1"/>
    <col min="11" max="11" width="9.140625" style="259"/>
    <col min="12" max="12" width="10" style="259" customWidth="1"/>
    <col min="13" max="13" width="7.28515625" style="259" customWidth="1"/>
    <col min="14" max="14" width="6.85546875" style="259" customWidth="1"/>
    <col min="15" max="15" width="26.140625" style="259" customWidth="1"/>
    <col min="16" max="16384" width="9.140625" style="259"/>
  </cols>
  <sheetData>
    <row r="1" spans="1:16" ht="77.25" customHeight="1">
      <c r="A1" s="296" t="s">
        <v>577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</row>
    <row r="2" spans="1:16" ht="18" customHeight="1">
      <c r="A2" s="334" t="s">
        <v>394</v>
      </c>
      <c r="B2" s="334"/>
      <c r="C2" s="334"/>
      <c r="D2" s="334"/>
      <c r="E2" s="334"/>
      <c r="F2" s="334"/>
      <c r="G2" s="334"/>
      <c r="H2" s="334" t="s">
        <v>395</v>
      </c>
      <c r="I2" s="334"/>
      <c r="J2" s="334"/>
      <c r="K2" s="334"/>
      <c r="L2" s="334"/>
      <c r="M2" s="334"/>
      <c r="N2" s="334"/>
      <c r="O2" s="334"/>
      <c r="P2" s="334"/>
    </row>
    <row r="3" spans="1:16" ht="31.5" customHeight="1">
      <c r="A3" s="213" t="s">
        <v>396</v>
      </c>
      <c r="B3" s="213" t="s">
        <v>397</v>
      </c>
      <c r="C3" s="213" t="s">
        <v>329</v>
      </c>
      <c r="D3" s="213" t="s">
        <v>398</v>
      </c>
      <c r="E3" s="213" t="s">
        <v>399</v>
      </c>
      <c r="F3" s="213" t="s">
        <v>1</v>
      </c>
      <c r="G3" s="213" t="s">
        <v>97</v>
      </c>
      <c r="H3" s="213" t="s">
        <v>400</v>
      </c>
      <c r="I3" s="213" t="s">
        <v>396</v>
      </c>
      <c r="J3" s="213" t="s">
        <v>397</v>
      </c>
      <c r="K3" s="213" t="s">
        <v>329</v>
      </c>
      <c r="L3" s="213" t="s">
        <v>398</v>
      </c>
      <c r="M3" s="213" t="s">
        <v>399</v>
      </c>
      <c r="N3" s="213" t="s">
        <v>1</v>
      </c>
      <c r="O3" s="213" t="s">
        <v>97</v>
      </c>
      <c r="P3" s="213" t="s">
        <v>400</v>
      </c>
    </row>
    <row r="4" spans="1:16">
      <c r="A4" s="214" t="s">
        <v>7</v>
      </c>
      <c r="B4" s="214" t="s">
        <v>8</v>
      </c>
      <c r="C4" s="214" t="s">
        <v>9</v>
      </c>
      <c r="D4" s="214" t="s">
        <v>10</v>
      </c>
      <c r="E4" s="214" t="s">
        <v>11</v>
      </c>
      <c r="F4" s="214" t="s">
        <v>12</v>
      </c>
      <c r="G4" s="214" t="s">
        <v>13</v>
      </c>
      <c r="H4" s="214" t="s">
        <v>14</v>
      </c>
      <c r="I4" s="214" t="s">
        <v>15</v>
      </c>
      <c r="J4" s="214" t="s">
        <v>16</v>
      </c>
      <c r="K4" s="214" t="s">
        <v>17</v>
      </c>
      <c r="L4" s="214" t="s">
        <v>18</v>
      </c>
      <c r="M4" s="214" t="s">
        <v>19</v>
      </c>
      <c r="N4" s="214" t="s">
        <v>20</v>
      </c>
      <c r="O4" s="214" t="s">
        <v>21</v>
      </c>
      <c r="P4" s="215" t="s">
        <v>24</v>
      </c>
    </row>
    <row r="5" spans="1:16">
      <c r="A5" s="216">
        <v>16</v>
      </c>
      <c r="B5" s="216">
        <v>425</v>
      </c>
      <c r="C5" s="217">
        <v>2909835</v>
      </c>
      <c r="D5" s="217">
        <v>7874</v>
      </c>
      <c r="E5" s="218" t="s">
        <v>578</v>
      </c>
      <c r="F5" s="219" t="s">
        <v>579</v>
      </c>
      <c r="G5" s="218" t="s">
        <v>580</v>
      </c>
      <c r="H5" s="218" t="s">
        <v>579</v>
      </c>
      <c r="I5" s="217"/>
      <c r="J5" s="217"/>
      <c r="K5" s="217"/>
      <c r="L5" s="217"/>
      <c r="M5" s="218"/>
      <c r="N5" s="219"/>
      <c r="O5" s="218"/>
      <c r="P5" s="220"/>
    </row>
    <row r="6" spans="1:16">
      <c r="A6" s="383">
        <v>75</v>
      </c>
      <c r="B6" s="384">
        <v>214</v>
      </c>
      <c r="C6" s="385">
        <v>11566601</v>
      </c>
      <c r="D6" s="385">
        <v>38770</v>
      </c>
      <c r="E6" s="386" t="s">
        <v>578</v>
      </c>
      <c r="F6" s="387" t="s">
        <v>579</v>
      </c>
      <c r="G6" s="386" t="s">
        <v>581</v>
      </c>
      <c r="H6" s="386" t="s">
        <v>579</v>
      </c>
      <c r="I6" s="385"/>
      <c r="J6" s="385"/>
      <c r="K6" s="385"/>
      <c r="L6" s="385"/>
      <c r="M6" s="386"/>
      <c r="N6" s="387"/>
      <c r="O6" s="386"/>
      <c r="P6" s="388"/>
    </row>
    <row r="7" spans="1:16">
      <c r="A7" s="383">
        <v>57</v>
      </c>
      <c r="B7" s="384">
        <v>189</v>
      </c>
      <c r="C7" s="385">
        <v>11576555</v>
      </c>
      <c r="D7" s="385">
        <v>39824</v>
      </c>
      <c r="E7" s="386" t="s">
        <v>578</v>
      </c>
      <c r="F7" s="387" t="s">
        <v>579</v>
      </c>
      <c r="G7" s="386" t="s">
        <v>582</v>
      </c>
      <c r="H7" s="386" t="s">
        <v>579</v>
      </c>
      <c r="I7" s="385"/>
      <c r="J7" s="385"/>
      <c r="K7" s="385"/>
      <c r="L7" s="385"/>
      <c r="M7" s="386"/>
      <c r="N7" s="387"/>
      <c r="O7" s="386"/>
      <c r="P7" s="388"/>
    </row>
    <row r="8" spans="1:16">
      <c r="A8" s="383">
        <v>9</v>
      </c>
      <c r="B8" s="384">
        <v>918</v>
      </c>
      <c r="C8" s="385">
        <v>11565107</v>
      </c>
      <c r="D8" s="385">
        <v>44057</v>
      </c>
      <c r="E8" s="386" t="s">
        <v>578</v>
      </c>
      <c r="F8" s="387" t="s">
        <v>579</v>
      </c>
      <c r="G8" s="386" t="s">
        <v>583</v>
      </c>
      <c r="H8" s="386" t="s">
        <v>579</v>
      </c>
      <c r="I8" s="385"/>
      <c r="J8" s="385"/>
      <c r="K8" s="385"/>
      <c r="L8" s="385"/>
      <c r="M8" s="386"/>
      <c r="N8" s="387"/>
      <c r="O8" s="386"/>
      <c r="P8" s="388"/>
    </row>
    <row r="9" spans="1:16">
      <c r="A9" s="383">
        <v>36</v>
      </c>
      <c r="B9" s="384">
        <v>116</v>
      </c>
      <c r="C9" s="385">
        <v>11565346</v>
      </c>
      <c r="D9" s="385">
        <v>44790</v>
      </c>
      <c r="E9" s="386" t="s">
        <v>578</v>
      </c>
      <c r="F9" s="387" t="s">
        <v>579</v>
      </c>
      <c r="G9" s="386" t="s">
        <v>584</v>
      </c>
      <c r="H9" s="386" t="s">
        <v>579</v>
      </c>
      <c r="I9" s="385"/>
      <c r="J9" s="385"/>
      <c r="K9" s="385"/>
      <c r="L9" s="385"/>
      <c r="M9" s="386"/>
      <c r="N9" s="387"/>
      <c r="O9" s="386"/>
      <c r="P9" s="388"/>
    </row>
    <row r="10" spans="1:16">
      <c r="A10" s="383">
        <v>75</v>
      </c>
      <c r="B10" s="384">
        <v>1509</v>
      </c>
      <c r="C10" s="385">
        <v>11566606</v>
      </c>
      <c r="D10" s="385">
        <v>60633</v>
      </c>
      <c r="E10" s="386" t="s">
        <v>578</v>
      </c>
      <c r="F10" s="387" t="s">
        <v>579</v>
      </c>
      <c r="G10" s="386" t="s">
        <v>585</v>
      </c>
      <c r="H10" s="386" t="s">
        <v>579</v>
      </c>
      <c r="I10" s="385"/>
      <c r="J10" s="385"/>
      <c r="K10" s="385"/>
      <c r="L10" s="385"/>
      <c r="M10" s="386"/>
      <c r="N10" s="387"/>
      <c r="O10" s="386"/>
      <c r="P10" s="388"/>
    </row>
    <row r="11" spans="1:16">
      <c r="A11" s="383">
        <v>57</v>
      </c>
      <c r="B11" s="384">
        <v>1672</v>
      </c>
      <c r="C11" s="385">
        <v>2959635</v>
      </c>
      <c r="D11" s="385">
        <v>73806</v>
      </c>
      <c r="E11" s="386" t="s">
        <v>578</v>
      </c>
      <c r="F11" s="387" t="s">
        <v>579</v>
      </c>
      <c r="G11" s="386" t="s">
        <v>586</v>
      </c>
      <c r="H11" s="386" t="s">
        <v>579</v>
      </c>
      <c r="I11" s="385"/>
      <c r="J11" s="385"/>
      <c r="K11" s="385"/>
      <c r="L11" s="385"/>
      <c r="M11" s="386"/>
      <c r="N11" s="387"/>
      <c r="O11" s="386"/>
      <c r="P11" s="388"/>
    </row>
    <row r="12" spans="1:16">
      <c r="A12" s="383">
        <v>75</v>
      </c>
      <c r="B12" s="384">
        <v>4234</v>
      </c>
      <c r="C12" s="385">
        <v>11565618</v>
      </c>
      <c r="D12" s="385">
        <v>146815</v>
      </c>
      <c r="E12" s="386" t="s">
        <v>578</v>
      </c>
      <c r="F12" s="387" t="s">
        <v>579</v>
      </c>
      <c r="G12" s="386" t="s">
        <v>587</v>
      </c>
      <c r="H12" s="386" t="s">
        <v>579</v>
      </c>
      <c r="I12" s="385"/>
      <c r="J12" s="385"/>
      <c r="K12" s="385"/>
      <c r="L12" s="385"/>
      <c r="M12" s="386"/>
      <c r="N12" s="387"/>
      <c r="O12" s="386"/>
      <c r="P12" s="388"/>
    </row>
    <row r="13" spans="1:16">
      <c r="A13" s="383">
        <v>104</v>
      </c>
      <c r="B13" s="384">
        <v>626</v>
      </c>
      <c r="C13" s="385">
        <v>11566576</v>
      </c>
      <c r="D13" s="385">
        <v>147844</v>
      </c>
      <c r="E13" s="386" t="s">
        <v>578</v>
      </c>
      <c r="F13" s="387" t="s">
        <v>579</v>
      </c>
      <c r="G13" s="386" t="s">
        <v>588</v>
      </c>
      <c r="H13" s="386" t="s">
        <v>579</v>
      </c>
      <c r="I13" s="385"/>
      <c r="J13" s="385"/>
      <c r="K13" s="385"/>
      <c r="L13" s="385"/>
      <c r="M13" s="386"/>
      <c r="N13" s="387"/>
      <c r="O13" s="386"/>
      <c r="P13" s="388"/>
    </row>
    <row r="14" spans="1:16">
      <c r="A14" s="383">
        <v>12</v>
      </c>
      <c r="B14" s="384">
        <v>17037</v>
      </c>
      <c r="C14" s="385">
        <v>1583763</v>
      </c>
      <c r="D14" s="385">
        <v>1187431</v>
      </c>
      <c r="E14" s="386" t="s">
        <v>578</v>
      </c>
      <c r="F14" s="387" t="s">
        <v>579</v>
      </c>
      <c r="G14" s="386" t="s">
        <v>589</v>
      </c>
      <c r="H14" s="386" t="s">
        <v>579</v>
      </c>
      <c r="I14" s="385"/>
      <c r="J14" s="385"/>
      <c r="K14" s="385"/>
      <c r="L14" s="385"/>
      <c r="M14" s="386"/>
      <c r="N14" s="387"/>
      <c r="O14" s="386"/>
      <c r="P14" s="388"/>
    </row>
    <row r="15" spans="1:16">
      <c r="A15" s="383">
        <v>6</v>
      </c>
      <c r="B15" s="384">
        <v>1623</v>
      </c>
      <c r="C15" s="385">
        <v>11582668</v>
      </c>
      <c r="D15" s="385">
        <v>36290</v>
      </c>
      <c r="E15" s="386" t="s">
        <v>578</v>
      </c>
      <c r="F15" s="387" t="s">
        <v>579</v>
      </c>
      <c r="G15" s="386" t="s">
        <v>590</v>
      </c>
      <c r="H15" s="386" t="s">
        <v>579</v>
      </c>
      <c r="I15" s="385"/>
      <c r="J15" s="385"/>
      <c r="K15" s="385"/>
      <c r="L15" s="385"/>
      <c r="M15" s="386"/>
      <c r="N15" s="387"/>
      <c r="O15" s="386"/>
      <c r="P15" s="388"/>
    </row>
    <row r="16" spans="1:16">
      <c r="A16" s="383">
        <v>22</v>
      </c>
      <c r="B16" s="384">
        <v>1310</v>
      </c>
      <c r="C16" s="385">
        <v>1181371</v>
      </c>
      <c r="D16" s="385">
        <v>61349</v>
      </c>
      <c r="E16" s="386" t="s">
        <v>578</v>
      </c>
      <c r="F16" s="387" t="s">
        <v>579</v>
      </c>
      <c r="G16" s="386" t="s">
        <v>591</v>
      </c>
      <c r="H16" s="386" t="s">
        <v>579</v>
      </c>
      <c r="I16" s="385"/>
      <c r="J16" s="385"/>
      <c r="K16" s="385"/>
      <c r="L16" s="385"/>
      <c r="M16" s="386"/>
      <c r="N16" s="387"/>
      <c r="O16" s="386"/>
      <c r="P16" s="388"/>
    </row>
    <row r="17" spans="1:16">
      <c r="A17" s="383">
        <v>16</v>
      </c>
      <c r="B17" s="384">
        <v>899</v>
      </c>
      <c r="C17" s="385">
        <v>1740574</v>
      </c>
      <c r="D17" s="385">
        <v>63073</v>
      </c>
      <c r="E17" s="386" t="s">
        <v>578</v>
      </c>
      <c r="F17" s="387" t="s">
        <v>579</v>
      </c>
      <c r="G17" s="386" t="s">
        <v>592</v>
      </c>
      <c r="H17" s="386" t="s">
        <v>579</v>
      </c>
      <c r="I17" s="385"/>
      <c r="J17" s="385"/>
      <c r="K17" s="385"/>
      <c r="L17" s="385"/>
      <c r="M17" s="386"/>
      <c r="N17" s="387"/>
      <c r="O17" s="386"/>
      <c r="P17" s="388"/>
    </row>
    <row r="18" spans="1:16">
      <c r="A18" s="383">
        <v>71</v>
      </c>
      <c r="B18" s="384">
        <v>3208</v>
      </c>
      <c r="C18" s="385">
        <v>11584731</v>
      </c>
      <c r="D18" s="385">
        <v>72429</v>
      </c>
      <c r="E18" s="386" t="s">
        <v>578</v>
      </c>
      <c r="F18" s="387" t="s">
        <v>579</v>
      </c>
      <c r="G18" s="386" t="s">
        <v>593</v>
      </c>
      <c r="H18" s="386" t="s">
        <v>579</v>
      </c>
      <c r="I18" s="385"/>
      <c r="J18" s="385"/>
      <c r="K18" s="385"/>
      <c r="L18" s="385"/>
      <c r="M18" s="386"/>
      <c r="N18" s="387"/>
      <c r="O18" s="386"/>
      <c r="P18" s="388"/>
    </row>
    <row r="19" spans="1:16">
      <c r="A19" s="383">
        <v>9</v>
      </c>
      <c r="B19" s="384">
        <v>1824</v>
      </c>
      <c r="C19" s="385">
        <v>11583616</v>
      </c>
      <c r="D19" s="385">
        <v>73289</v>
      </c>
      <c r="E19" s="386" t="s">
        <v>578</v>
      </c>
      <c r="F19" s="387" t="s">
        <v>579</v>
      </c>
      <c r="G19" s="386" t="s">
        <v>594</v>
      </c>
      <c r="H19" s="386" t="s">
        <v>579</v>
      </c>
      <c r="I19" s="385"/>
      <c r="J19" s="385"/>
      <c r="K19" s="385"/>
      <c r="L19" s="385"/>
      <c r="M19" s="386"/>
      <c r="N19" s="387"/>
      <c r="O19" s="386"/>
      <c r="P19" s="388"/>
    </row>
    <row r="20" spans="1:16">
      <c r="A20" s="383">
        <v>22</v>
      </c>
      <c r="B20" s="384">
        <v>2385</v>
      </c>
      <c r="C20" s="385">
        <v>11579379</v>
      </c>
      <c r="D20" s="385">
        <v>77280</v>
      </c>
      <c r="E20" s="386" t="s">
        <v>578</v>
      </c>
      <c r="F20" s="387" t="s">
        <v>579</v>
      </c>
      <c r="G20" s="386" t="s">
        <v>595</v>
      </c>
      <c r="H20" s="386" t="s">
        <v>579</v>
      </c>
      <c r="I20" s="385"/>
      <c r="J20" s="385"/>
      <c r="K20" s="385"/>
      <c r="L20" s="385"/>
      <c r="M20" s="386"/>
      <c r="N20" s="387"/>
      <c r="O20" s="386"/>
      <c r="P20" s="388"/>
    </row>
    <row r="21" spans="1:16">
      <c r="A21" s="383">
        <v>18</v>
      </c>
      <c r="B21" s="384">
        <v>7406</v>
      </c>
      <c r="C21" s="385">
        <v>2919286</v>
      </c>
      <c r="D21" s="385">
        <v>150021</v>
      </c>
      <c r="E21" s="386" t="s">
        <v>578</v>
      </c>
      <c r="F21" s="387" t="s">
        <v>579</v>
      </c>
      <c r="G21" s="386" t="s">
        <v>596</v>
      </c>
      <c r="H21" s="386" t="s">
        <v>579</v>
      </c>
      <c r="I21" s="385"/>
      <c r="J21" s="385"/>
      <c r="K21" s="385"/>
      <c r="L21" s="385"/>
      <c r="M21" s="386"/>
      <c r="N21" s="387"/>
      <c r="O21" s="386"/>
      <c r="P21" s="388"/>
    </row>
    <row r="22" spans="1:16">
      <c r="A22" s="383">
        <v>31</v>
      </c>
      <c r="B22" s="384">
        <v>764</v>
      </c>
      <c r="C22" s="385">
        <v>11579372</v>
      </c>
      <c r="D22" s="385">
        <v>303356</v>
      </c>
      <c r="E22" s="386" t="s">
        <v>578</v>
      </c>
      <c r="F22" s="387" t="s">
        <v>579</v>
      </c>
      <c r="G22" s="386" t="s">
        <v>597</v>
      </c>
      <c r="H22" s="386" t="s">
        <v>579</v>
      </c>
      <c r="I22" s="385"/>
      <c r="J22" s="385"/>
      <c r="K22" s="385"/>
      <c r="L22" s="385"/>
      <c r="M22" s="386"/>
      <c r="N22" s="387"/>
      <c r="O22" s="386"/>
      <c r="P22" s="388"/>
    </row>
    <row r="23" spans="1:16">
      <c r="A23" s="383">
        <v>7</v>
      </c>
      <c r="B23" s="384">
        <v>938</v>
      </c>
      <c r="C23" s="385">
        <v>11565597</v>
      </c>
      <c r="D23" s="385">
        <v>3498</v>
      </c>
      <c r="E23" s="386" t="s">
        <v>578</v>
      </c>
      <c r="F23" s="387" t="s">
        <v>579</v>
      </c>
      <c r="G23" s="386" t="s">
        <v>598</v>
      </c>
      <c r="H23" s="386" t="s">
        <v>579</v>
      </c>
      <c r="I23" s="385"/>
      <c r="J23" s="385"/>
      <c r="K23" s="385"/>
      <c r="L23" s="385"/>
      <c r="M23" s="386"/>
      <c r="N23" s="387"/>
      <c r="O23" s="386"/>
      <c r="P23" s="388"/>
    </row>
    <row r="24" spans="1:16">
      <c r="A24" s="383">
        <v>14</v>
      </c>
      <c r="B24" s="384">
        <v>461</v>
      </c>
      <c r="C24" s="385">
        <v>11564659</v>
      </c>
      <c r="D24" s="385">
        <v>10859</v>
      </c>
      <c r="E24" s="386" t="s">
        <v>578</v>
      </c>
      <c r="F24" s="387" t="s">
        <v>579</v>
      </c>
      <c r="G24" s="386" t="s">
        <v>599</v>
      </c>
      <c r="H24" s="386" t="s">
        <v>579</v>
      </c>
      <c r="I24" s="385"/>
      <c r="J24" s="385"/>
      <c r="K24" s="385"/>
      <c r="L24" s="385"/>
      <c r="M24" s="386"/>
      <c r="N24" s="387"/>
      <c r="O24" s="386"/>
      <c r="P24" s="388"/>
    </row>
    <row r="25" spans="1:16">
      <c r="A25" s="383">
        <v>12</v>
      </c>
      <c r="B25" s="384">
        <v>3374</v>
      </c>
      <c r="C25" s="385">
        <v>2310783</v>
      </c>
      <c r="D25" s="385">
        <v>23943</v>
      </c>
      <c r="E25" s="386" t="s">
        <v>578</v>
      </c>
      <c r="F25" s="387" t="s">
        <v>579</v>
      </c>
      <c r="G25" s="386" t="s">
        <v>600</v>
      </c>
      <c r="H25" s="386" t="s">
        <v>579</v>
      </c>
      <c r="I25" s="385"/>
      <c r="J25" s="385"/>
      <c r="K25" s="385"/>
      <c r="L25" s="385"/>
      <c r="M25" s="386"/>
      <c r="N25" s="387"/>
      <c r="O25" s="386"/>
      <c r="P25" s="388"/>
    </row>
    <row r="26" spans="1:16">
      <c r="A26" s="383">
        <v>12</v>
      </c>
      <c r="B26" s="384">
        <v>4733</v>
      </c>
      <c r="C26" s="385">
        <v>3072239</v>
      </c>
      <c r="D26" s="385">
        <v>46558</v>
      </c>
      <c r="E26" s="386" t="s">
        <v>578</v>
      </c>
      <c r="F26" s="387" t="s">
        <v>579</v>
      </c>
      <c r="G26" s="386" t="s">
        <v>601</v>
      </c>
      <c r="H26" s="386" t="s">
        <v>579</v>
      </c>
      <c r="I26" s="385"/>
      <c r="J26" s="385"/>
      <c r="K26" s="385"/>
      <c r="L26" s="385"/>
      <c r="M26" s="386"/>
      <c r="N26" s="387"/>
      <c r="O26" s="386"/>
      <c r="P26" s="388"/>
    </row>
    <row r="27" spans="1:16">
      <c r="A27" s="383">
        <v>9</v>
      </c>
      <c r="B27" s="384">
        <v>2638</v>
      </c>
      <c r="C27" s="385">
        <v>11563601</v>
      </c>
      <c r="D27" s="385">
        <v>76632</v>
      </c>
      <c r="E27" s="386" t="s">
        <v>578</v>
      </c>
      <c r="F27" s="387" t="s">
        <v>579</v>
      </c>
      <c r="G27" s="386" t="s">
        <v>602</v>
      </c>
      <c r="H27" s="386" t="s">
        <v>579</v>
      </c>
      <c r="I27" s="385"/>
      <c r="J27" s="385"/>
      <c r="K27" s="385"/>
      <c r="L27" s="385"/>
      <c r="M27" s="386"/>
      <c r="N27" s="387"/>
      <c r="O27" s="386"/>
      <c r="P27" s="388"/>
    </row>
    <row r="28" spans="1:16">
      <c r="A28" s="383">
        <v>75</v>
      </c>
      <c r="B28" s="384">
        <v>2793</v>
      </c>
      <c r="C28" s="385">
        <v>11566609</v>
      </c>
      <c r="D28" s="385">
        <v>93081</v>
      </c>
      <c r="E28" s="386" t="s">
        <v>578</v>
      </c>
      <c r="F28" s="387" t="s">
        <v>579</v>
      </c>
      <c r="G28" s="386" t="s">
        <v>603</v>
      </c>
      <c r="H28" s="386" t="s">
        <v>579</v>
      </c>
      <c r="I28" s="385"/>
      <c r="J28" s="385"/>
      <c r="K28" s="385"/>
      <c r="L28" s="385"/>
      <c r="M28" s="386"/>
      <c r="N28" s="387"/>
      <c r="O28" s="386"/>
      <c r="P28" s="388"/>
    </row>
    <row r="29" spans="1:16">
      <c r="A29" s="383">
        <v>6</v>
      </c>
      <c r="B29" s="384">
        <v>4108</v>
      </c>
      <c r="C29" s="385">
        <v>3022244</v>
      </c>
      <c r="D29" s="385">
        <v>105327</v>
      </c>
      <c r="E29" s="386" t="s">
        <v>578</v>
      </c>
      <c r="F29" s="387" t="s">
        <v>579</v>
      </c>
      <c r="G29" s="386" t="s">
        <v>604</v>
      </c>
      <c r="H29" s="386" t="s">
        <v>579</v>
      </c>
      <c r="I29" s="385"/>
      <c r="J29" s="385"/>
      <c r="K29" s="385"/>
      <c r="L29" s="385"/>
      <c r="M29" s="386"/>
      <c r="N29" s="387"/>
      <c r="O29" s="386"/>
      <c r="P29" s="388"/>
    </row>
    <row r="30" spans="1:16">
      <c r="A30" s="383">
        <v>25</v>
      </c>
      <c r="B30" s="384">
        <v>1775</v>
      </c>
      <c r="C30" s="385">
        <v>11563156</v>
      </c>
      <c r="D30" s="385">
        <v>109022</v>
      </c>
      <c r="E30" s="386" t="s">
        <v>578</v>
      </c>
      <c r="F30" s="387" t="s">
        <v>579</v>
      </c>
      <c r="G30" s="386" t="s">
        <v>605</v>
      </c>
      <c r="H30" s="386" t="s">
        <v>579</v>
      </c>
      <c r="I30" s="385"/>
      <c r="J30" s="385"/>
      <c r="K30" s="385"/>
      <c r="L30" s="385"/>
      <c r="M30" s="386"/>
      <c r="N30" s="387"/>
      <c r="O30" s="386"/>
      <c r="P30" s="388"/>
    </row>
    <row r="31" spans="1:16">
      <c r="A31" s="383">
        <v>6</v>
      </c>
      <c r="B31" s="384">
        <v>5980</v>
      </c>
      <c r="C31" s="385">
        <v>11567526</v>
      </c>
      <c r="D31" s="385">
        <v>143588</v>
      </c>
      <c r="E31" s="386" t="s">
        <v>578</v>
      </c>
      <c r="F31" s="387" t="s">
        <v>579</v>
      </c>
      <c r="G31" s="386" t="s">
        <v>606</v>
      </c>
      <c r="H31" s="386" t="s">
        <v>579</v>
      </c>
      <c r="I31" s="385"/>
      <c r="J31" s="385"/>
      <c r="K31" s="385"/>
      <c r="L31" s="385"/>
      <c r="M31" s="386"/>
      <c r="N31" s="387"/>
      <c r="O31" s="386"/>
      <c r="P31" s="388"/>
    </row>
    <row r="32" spans="1:16">
      <c r="A32" s="383">
        <v>17</v>
      </c>
      <c r="B32" s="384">
        <v>80</v>
      </c>
      <c r="C32" s="385">
        <v>11579990</v>
      </c>
      <c r="D32" s="385">
        <v>18564</v>
      </c>
      <c r="E32" s="386" t="s">
        <v>578</v>
      </c>
      <c r="F32" s="387" t="s">
        <v>579</v>
      </c>
      <c r="G32" s="386" t="s">
        <v>607</v>
      </c>
      <c r="H32" s="386" t="s">
        <v>579</v>
      </c>
      <c r="I32" s="385"/>
      <c r="J32" s="385"/>
      <c r="K32" s="385"/>
      <c r="L32" s="385"/>
      <c r="M32" s="386"/>
      <c r="N32" s="387"/>
      <c r="O32" s="386"/>
      <c r="P32" s="388"/>
    </row>
    <row r="33" spans="1:16">
      <c r="A33" s="383">
        <v>24</v>
      </c>
      <c r="B33" s="384">
        <v>2559</v>
      </c>
      <c r="C33" s="385">
        <v>11584071</v>
      </c>
      <c r="D33" s="385">
        <v>36761</v>
      </c>
      <c r="E33" s="386" t="s">
        <v>578</v>
      </c>
      <c r="F33" s="387" t="s">
        <v>579</v>
      </c>
      <c r="G33" s="386" t="s">
        <v>608</v>
      </c>
      <c r="H33" s="386" t="s">
        <v>579</v>
      </c>
      <c r="I33" s="385"/>
      <c r="J33" s="385"/>
      <c r="K33" s="385"/>
      <c r="L33" s="385"/>
      <c r="M33" s="386"/>
      <c r="N33" s="387"/>
      <c r="O33" s="386"/>
      <c r="P33" s="388"/>
    </row>
    <row r="34" spans="1:16">
      <c r="A34" s="383">
        <v>9</v>
      </c>
      <c r="B34" s="384">
        <v>1072</v>
      </c>
      <c r="C34" s="385">
        <v>11583611</v>
      </c>
      <c r="D34" s="385">
        <v>47529</v>
      </c>
      <c r="E34" s="386" t="s">
        <v>578</v>
      </c>
      <c r="F34" s="387" t="s">
        <v>579</v>
      </c>
      <c r="G34" s="386" t="s">
        <v>609</v>
      </c>
      <c r="H34" s="386" t="s">
        <v>579</v>
      </c>
      <c r="I34" s="385"/>
      <c r="J34" s="385"/>
      <c r="K34" s="385"/>
      <c r="L34" s="385"/>
      <c r="M34" s="386"/>
      <c r="N34" s="387"/>
      <c r="O34" s="386"/>
      <c r="P34" s="388"/>
    </row>
    <row r="35" spans="1:16">
      <c r="A35" s="383">
        <v>71</v>
      </c>
      <c r="B35" s="384">
        <v>2091</v>
      </c>
      <c r="C35" s="385">
        <v>1483800</v>
      </c>
      <c r="D35" s="385">
        <v>48258</v>
      </c>
      <c r="E35" s="386" t="s">
        <v>578</v>
      </c>
      <c r="F35" s="387" t="s">
        <v>579</v>
      </c>
      <c r="G35" s="386" t="s">
        <v>610</v>
      </c>
      <c r="H35" s="386" t="s">
        <v>579</v>
      </c>
      <c r="I35" s="385"/>
      <c r="J35" s="385"/>
      <c r="K35" s="385"/>
      <c r="L35" s="385"/>
      <c r="M35" s="386"/>
      <c r="N35" s="387"/>
      <c r="O35" s="386"/>
      <c r="P35" s="388"/>
    </row>
    <row r="36" spans="1:16">
      <c r="A36" s="383">
        <v>75</v>
      </c>
      <c r="B36" s="384">
        <v>919</v>
      </c>
      <c r="C36" s="385">
        <v>1283074</v>
      </c>
      <c r="D36" s="385">
        <v>48883</v>
      </c>
      <c r="E36" s="386" t="s">
        <v>578</v>
      </c>
      <c r="F36" s="387" t="s">
        <v>579</v>
      </c>
      <c r="G36" s="386" t="s">
        <v>611</v>
      </c>
      <c r="H36" s="386" t="s">
        <v>579</v>
      </c>
      <c r="I36" s="385"/>
      <c r="J36" s="385"/>
      <c r="K36" s="385"/>
      <c r="L36" s="385"/>
      <c r="M36" s="386"/>
      <c r="N36" s="387"/>
      <c r="O36" s="386"/>
      <c r="P36" s="388"/>
    </row>
    <row r="37" spans="1:16">
      <c r="A37" s="383">
        <v>9</v>
      </c>
      <c r="B37" s="384">
        <v>1114</v>
      </c>
      <c r="C37" s="385">
        <v>11583625</v>
      </c>
      <c r="D37" s="385">
        <v>50084</v>
      </c>
      <c r="E37" s="386" t="s">
        <v>578</v>
      </c>
      <c r="F37" s="387" t="s">
        <v>579</v>
      </c>
      <c r="G37" s="386" t="s">
        <v>612</v>
      </c>
      <c r="H37" s="386" t="s">
        <v>579</v>
      </c>
      <c r="I37" s="385"/>
      <c r="J37" s="385"/>
      <c r="K37" s="385"/>
      <c r="L37" s="385"/>
      <c r="M37" s="386"/>
      <c r="N37" s="387"/>
      <c r="O37" s="386"/>
      <c r="P37" s="388"/>
    </row>
    <row r="38" spans="1:16">
      <c r="A38" s="383">
        <v>24</v>
      </c>
      <c r="B38" s="384">
        <v>2775</v>
      </c>
      <c r="C38" s="385">
        <v>11583155</v>
      </c>
      <c r="D38" s="385">
        <v>56066</v>
      </c>
      <c r="E38" s="386" t="s">
        <v>578</v>
      </c>
      <c r="F38" s="387" t="s">
        <v>579</v>
      </c>
      <c r="G38" s="386" t="s">
        <v>613</v>
      </c>
      <c r="H38" s="386" t="s">
        <v>579</v>
      </c>
      <c r="I38" s="385"/>
      <c r="J38" s="385"/>
      <c r="K38" s="385"/>
      <c r="L38" s="385"/>
      <c r="M38" s="386"/>
      <c r="N38" s="387"/>
      <c r="O38" s="386"/>
      <c r="P38" s="388"/>
    </row>
    <row r="39" spans="1:16">
      <c r="A39" s="383">
        <v>13</v>
      </c>
      <c r="B39" s="384">
        <v>5333</v>
      </c>
      <c r="C39" s="385">
        <v>11581708</v>
      </c>
      <c r="D39" s="385">
        <v>146183</v>
      </c>
      <c r="E39" s="386" t="s">
        <v>578</v>
      </c>
      <c r="F39" s="387" t="s">
        <v>579</v>
      </c>
      <c r="G39" s="386" t="s">
        <v>614</v>
      </c>
      <c r="H39" s="386" t="s">
        <v>579</v>
      </c>
      <c r="I39" s="385"/>
      <c r="J39" s="385"/>
      <c r="K39" s="385"/>
      <c r="L39" s="385"/>
      <c r="M39" s="386"/>
      <c r="N39" s="387"/>
      <c r="O39" s="386"/>
      <c r="P39" s="388"/>
    </row>
    <row r="40" spans="1:16">
      <c r="A40" s="383">
        <v>6</v>
      </c>
      <c r="B40" s="384">
        <v>6250</v>
      </c>
      <c r="C40" s="385">
        <v>11584066</v>
      </c>
      <c r="D40" s="385">
        <v>186859</v>
      </c>
      <c r="E40" s="386" t="s">
        <v>578</v>
      </c>
      <c r="F40" s="387" t="s">
        <v>579</v>
      </c>
      <c r="G40" s="386" t="s">
        <v>615</v>
      </c>
      <c r="H40" s="386" t="s">
        <v>579</v>
      </c>
      <c r="I40" s="385"/>
      <c r="J40" s="385"/>
      <c r="K40" s="385"/>
      <c r="L40" s="385"/>
      <c r="M40" s="386"/>
      <c r="N40" s="387"/>
      <c r="O40" s="386"/>
      <c r="P40" s="388"/>
    </row>
    <row r="41" spans="1:16">
      <c r="A41" s="383">
        <v>17</v>
      </c>
      <c r="B41" s="384">
        <v>4162</v>
      </c>
      <c r="C41" s="385">
        <v>11579988</v>
      </c>
      <c r="D41" s="385">
        <v>312524</v>
      </c>
      <c r="E41" s="386" t="s">
        <v>578</v>
      </c>
      <c r="F41" s="387" t="s">
        <v>579</v>
      </c>
      <c r="G41" s="386" t="s">
        <v>616</v>
      </c>
      <c r="H41" s="386" t="s">
        <v>579</v>
      </c>
      <c r="I41" s="385"/>
      <c r="J41" s="385"/>
      <c r="K41" s="385"/>
      <c r="L41" s="385"/>
      <c r="M41" s="386"/>
      <c r="N41" s="387"/>
      <c r="O41" s="386"/>
      <c r="P41" s="388"/>
    </row>
    <row r="42" spans="1:16">
      <c r="A42" s="383">
        <v>25</v>
      </c>
      <c r="B42" s="384">
        <v>181</v>
      </c>
      <c r="C42" s="385">
        <v>11566595</v>
      </c>
      <c r="D42" s="385">
        <v>11107</v>
      </c>
      <c r="E42" s="386" t="s">
        <v>578</v>
      </c>
      <c r="F42" s="387" t="s">
        <v>579</v>
      </c>
      <c r="G42" s="386" t="s">
        <v>617</v>
      </c>
      <c r="H42" s="386" t="s">
        <v>579</v>
      </c>
      <c r="I42" s="385"/>
      <c r="J42" s="385"/>
      <c r="K42" s="385"/>
      <c r="L42" s="385"/>
      <c r="M42" s="386"/>
      <c r="N42" s="387"/>
      <c r="O42" s="386"/>
      <c r="P42" s="388"/>
    </row>
    <row r="43" spans="1:16">
      <c r="A43" s="383">
        <v>7</v>
      </c>
      <c r="B43" s="384">
        <v>2760</v>
      </c>
      <c r="C43" s="385">
        <v>2929436</v>
      </c>
      <c r="D43" s="385">
        <v>19356</v>
      </c>
      <c r="E43" s="386" t="s">
        <v>578</v>
      </c>
      <c r="F43" s="387" t="s">
        <v>579</v>
      </c>
      <c r="G43" s="386" t="s">
        <v>618</v>
      </c>
      <c r="H43" s="386" t="s">
        <v>579</v>
      </c>
      <c r="I43" s="385"/>
      <c r="J43" s="385"/>
      <c r="K43" s="385"/>
      <c r="L43" s="385"/>
      <c r="M43" s="386"/>
      <c r="N43" s="387"/>
      <c r="O43" s="386"/>
      <c r="P43" s="388"/>
    </row>
    <row r="44" spans="1:16">
      <c r="A44" s="383">
        <v>77</v>
      </c>
      <c r="B44" s="384">
        <v>1619</v>
      </c>
      <c r="C44" s="385">
        <v>11563830</v>
      </c>
      <c r="D44" s="385">
        <v>66269</v>
      </c>
      <c r="E44" s="386" t="s">
        <v>578</v>
      </c>
      <c r="F44" s="387" t="s">
        <v>579</v>
      </c>
      <c r="G44" s="386" t="s">
        <v>619</v>
      </c>
      <c r="H44" s="386" t="s">
        <v>579</v>
      </c>
      <c r="I44" s="385"/>
      <c r="J44" s="385"/>
      <c r="K44" s="385"/>
      <c r="L44" s="385"/>
      <c r="M44" s="386"/>
      <c r="N44" s="387"/>
      <c r="O44" s="386"/>
      <c r="P44" s="388"/>
    </row>
    <row r="45" spans="1:16">
      <c r="A45" s="383">
        <v>9</v>
      </c>
      <c r="B45" s="384">
        <v>1842</v>
      </c>
      <c r="C45" s="385">
        <v>4043386</v>
      </c>
      <c r="D45" s="385">
        <v>73307</v>
      </c>
      <c r="E45" s="386" t="s">
        <v>578</v>
      </c>
      <c r="F45" s="387" t="s">
        <v>579</v>
      </c>
      <c r="G45" s="386" t="s">
        <v>620</v>
      </c>
      <c r="H45" s="386" t="s">
        <v>579</v>
      </c>
      <c r="I45" s="385"/>
      <c r="J45" s="385"/>
      <c r="K45" s="385"/>
      <c r="L45" s="385"/>
      <c r="M45" s="386"/>
      <c r="N45" s="387"/>
      <c r="O45" s="386"/>
      <c r="P45" s="388"/>
    </row>
    <row r="46" spans="1:16">
      <c r="A46" s="383">
        <v>100</v>
      </c>
      <c r="B46" s="384">
        <v>1120</v>
      </c>
      <c r="C46" s="385">
        <v>11566103</v>
      </c>
      <c r="D46" s="385">
        <v>86354</v>
      </c>
      <c r="E46" s="386" t="s">
        <v>578</v>
      </c>
      <c r="F46" s="387" t="s">
        <v>579</v>
      </c>
      <c r="G46" s="386" t="s">
        <v>621</v>
      </c>
      <c r="H46" s="386" t="s">
        <v>579</v>
      </c>
      <c r="I46" s="385"/>
      <c r="J46" s="385"/>
      <c r="K46" s="385"/>
      <c r="L46" s="385"/>
      <c r="M46" s="386"/>
      <c r="N46" s="387"/>
      <c r="O46" s="386"/>
      <c r="P46" s="388"/>
    </row>
    <row r="47" spans="1:16">
      <c r="A47" s="383">
        <v>71</v>
      </c>
      <c r="B47" s="384">
        <v>3953</v>
      </c>
      <c r="C47" s="385">
        <v>11564673</v>
      </c>
      <c r="D47" s="385">
        <v>98296</v>
      </c>
      <c r="E47" s="386" t="s">
        <v>578</v>
      </c>
      <c r="F47" s="387" t="s">
        <v>579</v>
      </c>
      <c r="G47" s="386" t="s">
        <v>622</v>
      </c>
      <c r="H47" s="386" t="s">
        <v>579</v>
      </c>
      <c r="I47" s="385"/>
      <c r="J47" s="385"/>
      <c r="K47" s="385"/>
      <c r="L47" s="385"/>
      <c r="M47" s="386"/>
      <c r="N47" s="387"/>
      <c r="O47" s="386"/>
      <c r="P47" s="388"/>
    </row>
    <row r="48" spans="1:16">
      <c r="A48" s="383">
        <v>7</v>
      </c>
      <c r="B48" s="384">
        <v>5252</v>
      </c>
      <c r="C48" s="385">
        <v>11565606</v>
      </c>
      <c r="D48" s="385">
        <v>127963</v>
      </c>
      <c r="E48" s="386" t="s">
        <v>578</v>
      </c>
      <c r="F48" s="387" t="s">
        <v>579</v>
      </c>
      <c r="G48" s="386" t="s">
        <v>623</v>
      </c>
      <c r="H48" s="386" t="s">
        <v>579</v>
      </c>
      <c r="I48" s="385"/>
      <c r="J48" s="385"/>
      <c r="K48" s="385"/>
      <c r="L48" s="385"/>
      <c r="M48" s="386"/>
      <c r="N48" s="387"/>
      <c r="O48" s="386"/>
      <c r="P48" s="388"/>
    </row>
    <row r="49" spans="1:16">
      <c r="A49" s="383">
        <v>12</v>
      </c>
      <c r="B49" s="384">
        <v>14638</v>
      </c>
      <c r="C49" s="385">
        <v>11567547</v>
      </c>
      <c r="D49" s="385">
        <v>227151</v>
      </c>
      <c r="E49" s="386" t="s">
        <v>578</v>
      </c>
      <c r="F49" s="387" t="s">
        <v>579</v>
      </c>
      <c r="G49" s="386" t="s">
        <v>624</v>
      </c>
      <c r="H49" s="386" t="s">
        <v>579</v>
      </c>
      <c r="I49" s="385"/>
      <c r="J49" s="385"/>
      <c r="K49" s="385"/>
      <c r="L49" s="385"/>
      <c r="M49" s="386"/>
      <c r="N49" s="387"/>
      <c r="O49" s="386"/>
      <c r="P49" s="388"/>
    </row>
    <row r="50" spans="1:16">
      <c r="A50" s="383">
        <v>104</v>
      </c>
      <c r="B50" s="384">
        <v>2669</v>
      </c>
      <c r="C50" s="385">
        <v>11565344</v>
      </c>
      <c r="D50" s="385">
        <v>491272</v>
      </c>
      <c r="E50" s="386" t="s">
        <v>578</v>
      </c>
      <c r="F50" s="387" t="s">
        <v>579</v>
      </c>
      <c r="G50" s="386" t="s">
        <v>625</v>
      </c>
      <c r="H50" s="386" t="s">
        <v>579</v>
      </c>
      <c r="I50" s="385"/>
      <c r="J50" s="385"/>
      <c r="K50" s="385"/>
      <c r="L50" s="385"/>
      <c r="M50" s="386"/>
      <c r="N50" s="387"/>
      <c r="O50" s="386"/>
      <c r="P50" s="388"/>
    </row>
    <row r="51" spans="1:16">
      <c r="A51" s="383">
        <v>15</v>
      </c>
      <c r="B51" s="384">
        <v>208</v>
      </c>
      <c r="C51" s="385">
        <v>11579673</v>
      </c>
      <c r="D51" s="385">
        <v>8538</v>
      </c>
      <c r="E51" s="386" t="s">
        <v>578</v>
      </c>
      <c r="F51" s="387" t="s">
        <v>579</v>
      </c>
      <c r="G51" s="386" t="s">
        <v>626</v>
      </c>
      <c r="H51" s="386" t="s">
        <v>579</v>
      </c>
      <c r="I51" s="385"/>
      <c r="J51" s="385"/>
      <c r="K51" s="385"/>
      <c r="L51" s="385"/>
      <c r="M51" s="386"/>
      <c r="N51" s="387"/>
      <c r="O51" s="386"/>
      <c r="P51" s="388"/>
    </row>
    <row r="52" spans="1:16">
      <c r="A52" s="383">
        <v>15</v>
      </c>
      <c r="B52" s="384">
        <v>1494</v>
      </c>
      <c r="C52" s="385">
        <v>1781489</v>
      </c>
      <c r="D52" s="385">
        <v>9824</v>
      </c>
      <c r="E52" s="386" t="s">
        <v>578</v>
      </c>
      <c r="F52" s="387" t="s">
        <v>579</v>
      </c>
      <c r="G52" s="386" t="s">
        <v>627</v>
      </c>
      <c r="H52" s="386" t="s">
        <v>579</v>
      </c>
      <c r="I52" s="385"/>
      <c r="J52" s="385"/>
      <c r="K52" s="385"/>
      <c r="L52" s="385"/>
      <c r="M52" s="386"/>
      <c r="N52" s="387"/>
      <c r="O52" s="386"/>
      <c r="P52" s="388"/>
    </row>
    <row r="53" spans="1:16">
      <c r="A53" s="383">
        <v>17</v>
      </c>
      <c r="B53" s="384">
        <v>323</v>
      </c>
      <c r="C53" s="385">
        <v>1203933</v>
      </c>
      <c r="D53" s="385">
        <v>20937</v>
      </c>
      <c r="E53" s="386" t="s">
        <v>578</v>
      </c>
      <c r="F53" s="387" t="s">
        <v>579</v>
      </c>
      <c r="G53" s="386" t="s">
        <v>628</v>
      </c>
      <c r="H53" s="386" t="s">
        <v>579</v>
      </c>
      <c r="I53" s="385"/>
      <c r="J53" s="385"/>
      <c r="K53" s="385"/>
      <c r="L53" s="385"/>
      <c r="M53" s="386"/>
      <c r="N53" s="387"/>
      <c r="O53" s="386"/>
      <c r="P53" s="388"/>
    </row>
    <row r="54" spans="1:16">
      <c r="A54" s="383">
        <v>71</v>
      </c>
      <c r="B54" s="384">
        <v>1257</v>
      </c>
      <c r="C54" s="385">
        <v>11576916</v>
      </c>
      <c r="D54" s="385">
        <v>31881</v>
      </c>
      <c r="E54" s="386" t="s">
        <v>578</v>
      </c>
      <c r="F54" s="387" t="s">
        <v>579</v>
      </c>
      <c r="G54" s="386" t="s">
        <v>629</v>
      </c>
      <c r="H54" s="386" t="s">
        <v>579</v>
      </c>
      <c r="I54" s="385"/>
      <c r="J54" s="385"/>
      <c r="K54" s="385"/>
      <c r="L54" s="385"/>
      <c r="M54" s="386"/>
      <c r="N54" s="387"/>
      <c r="O54" s="386"/>
      <c r="P54" s="388"/>
    </row>
    <row r="55" spans="1:16">
      <c r="A55" s="383">
        <v>65</v>
      </c>
      <c r="B55" s="384">
        <v>203</v>
      </c>
      <c r="C55" s="385">
        <v>11579368</v>
      </c>
      <c r="D55" s="385">
        <v>33103</v>
      </c>
      <c r="E55" s="386" t="s">
        <v>578</v>
      </c>
      <c r="F55" s="387" t="s">
        <v>579</v>
      </c>
      <c r="G55" s="386" t="s">
        <v>630</v>
      </c>
      <c r="H55" s="386" t="s">
        <v>579</v>
      </c>
      <c r="I55" s="385"/>
      <c r="J55" s="385"/>
      <c r="K55" s="385"/>
      <c r="L55" s="385"/>
      <c r="M55" s="386"/>
      <c r="N55" s="387"/>
      <c r="O55" s="386"/>
      <c r="P55" s="388"/>
    </row>
    <row r="56" spans="1:16">
      <c r="A56" s="383">
        <v>65</v>
      </c>
      <c r="B56" s="384">
        <v>458</v>
      </c>
      <c r="C56" s="385">
        <v>1489130</v>
      </c>
      <c r="D56" s="385">
        <v>33358</v>
      </c>
      <c r="E56" s="386" t="s">
        <v>578</v>
      </c>
      <c r="F56" s="387" t="s">
        <v>579</v>
      </c>
      <c r="G56" s="386" t="s">
        <v>631</v>
      </c>
      <c r="H56" s="386" t="s">
        <v>579</v>
      </c>
      <c r="I56" s="385"/>
      <c r="J56" s="385"/>
      <c r="K56" s="385"/>
      <c r="L56" s="385"/>
      <c r="M56" s="386"/>
      <c r="N56" s="387"/>
      <c r="O56" s="386"/>
      <c r="P56" s="388"/>
    </row>
    <row r="57" spans="1:16">
      <c r="A57" s="383">
        <v>18</v>
      </c>
      <c r="B57" s="384">
        <v>1252</v>
      </c>
      <c r="C57" s="385">
        <v>11583168</v>
      </c>
      <c r="D57" s="385">
        <v>37408</v>
      </c>
      <c r="E57" s="386" t="s">
        <v>578</v>
      </c>
      <c r="F57" s="387" t="s">
        <v>579</v>
      </c>
      <c r="G57" s="386" t="s">
        <v>632</v>
      </c>
      <c r="H57" s="386" t="s">
        <v>579</v>
      </c>
      <c r="I57" s="385"/>
      <c r="J57" s="385"/>
      <c r="K57" s="385"/>
      <c r="L57" s="385"/>
      <c r="M57" s="386"/>
      <c r="N57" s="387"/>
      <c r="O57" s="386"/>
      <c r="P57" s="388"/>
    </row>
    <row r="58" spans="1:16">
      <c r="A58" s="383">
        <v>9</v>
      </c>
      <c r="B58" s="384">
        <v>1065</v>
      </c>
      <c r="C58" s="385">
        <v>11583618</v>
      </c>
      <c r="D58" s="385">
        <v>47522</v>
      </c>
      <c r="E58" s="386" t="s">
        <v>578</v>
      </c>
      <c r="F58" s="387" t="s">
        <v>579</v>
      </c>
      <c r="G58" s="386" t="s">
        <v>633</v>
      </c>
      <c r="H58" s="386" t="s">
        <v>579</v>
      </c>
      <c r="I58" s="385"/>
      <c r="J58" s="385"/>
      <c r="K58" s="385"/>
      <c r="L58" s="385"/>
      <c r="M58" s="386"/>
      <c r="N58" s="387"/>
      <c r="O58" s="386"/>
      <c r="P58" s="388"/>
    </row>
    <row r="59" spans="1:16">
      <c r="A59" s="383">
        <v>140</v>
      </c>
      <c r="B59" s="384">
        <v>223</v>
      </c>
      <c r="C59" s="385">
        <v>11582203</v>
      </c>
      <c r="D59" s="385">
        <v>50359</v>
      </c>
      <c r="E59" s="386" t="s">
        <v>578</v>
      </c>
      <c r="F59" s="387" t="s">
        <v>579</v>
      </c>
      <c r="G59" s="386" t="s">
        <v>634</v>
      </c>
      <c r="H59" s="386" t="s">
        <v>579</v>
      </c>
      <c r="I59" s="385"/>
      <c r="J59" s="385"/>
      <c r="K59" s="385"/>
      <c r="L59" s="385"/>
      <c r="M59" s="386"/>
      <c r="N59" s="387"/>
      <c r="O59" s="386"/>
      <c r="P59" s="388"/>
    </row>
    <row r="60" spans="1:16">
      <c r="A60" s="383">
        <v>13</v>
      </c>
      <c r="B60" s="384">
        <v>2413</v>
      </c>
      <c r="C60" s="385">
        <v>1341903</v>
      </c>
      <c r="D60" s="385">
        <v>51781</v>
      </c>
      <c r="E60" s="386" t="s">
        <v>578</v>
      </c>
      <c r="F60" s="387" t="s">
        <v>579</v>
      </c>
      <c r="G60" s="386" t="s">
        <v>635</v>
      </c>
      <c r="H60" s="386" t="s">
        <v>579</v>
      </c>
      <c r="I60" s="385"/>
      <c r="J60" s="385"/>
      <c r="K60" s="385"/>
      <c r="L60" s="385"/>
      <c r="M60" s="386"/>
      <c r="N60" s="387"/>
      <c r="O60" s="386"/>
      <c r="P60" s="388"/>
    </row>
    <row r="61" spans="1:16">
      <c r="A61" s="383">
        <v>18</v>
      </c>
      <c r="B61" s="384">
        <v>2973</v>
      </c>
      <c r="C61" s="385">
        <v>11583164</v>
      </c>
      <c r="D61" s="385">
        <v>71768</v>
      </c>
      <c r="E61" s="386" t="s">
        <v>578</v>
      </c>
      <c r="F61" s="387" t="s">
        <v>579</v>
      </c>
      <c r="G61" s="386" t="s">
        <v>636</v>
      </c>
      <c r="H61" s="386" t="s">
        <v>579</v>
      </c>
      <c r="I61" s="385"/>
      <c r="J61" s="385"/>
      <c r="K61" s="385"/>
      <c r="L61" s="385"/>
      <c r="M61" s="386"/>
      <c r="N61" s="387"/>
      <c r="O61" s="386"/>
      <c r="P61" s="388"/>
    </row>
    <row r="62" spans="1:16">
      <c r="A62" s="383">
        <v>22</v>
      </c>
      <c r="B62" s="384">
        <v>2048</v>
      </c>
      <c r="C62" s="385">
        <v>11579386</v>
      </c>
      <c r="D62" s="385">
        <v>76943</v>
      </c>
      <c r="E62" s="386" t="s">
        <v>578</v>
      </c>
      <c r="F62" s="387" t="s">
        <v>579</v>
      </c>
      <c r="G62" s="386" t="s">
        <v>637</v>
      </c>
      <c r="H62" s="386" t="s">
        <v>579</v>
      </c>
      <c r="I62" s="385"/>
      <c r="J62" s="385"/>
      <c r="K62" s="385"/>
      <c r="L62" s="385"/>
      <c r="M62" s="386"/>
      <c r="N62" s="387"/>
      <c r="O62" s="386"/>
      <c r="P62" s="388"/>
    </row>
    <row r="63" spans="1:16">
      <c r="A63" s="383">
        <v>65</v>
      </c>
      <c r="B63" s="384">
        <v>7597</v>
      </c>
      <c r="C63" s="385">
        <v>2913404</v>
      </c>
      <c r="D63" s="385">
        <v>224636</v>
      </c>
      <c r="E63" s="386" t="s">
        <v>578</v>
      </c>
      <c r="F63" s="387" t="s">
        <v>579</v>
      </c>
      <c r="G63" s="386" t="s">
        <v>638</v>
      </c>
      <c r="H63" s="386" t="s">
        <v>579</v>
      </c>
      <c r="I63" s="385"/>
      <c r="J63" s="385"/>
      <c r="K63" s="385"/>
      <c r="L63" s="385"/>
      <c r="M63" s="386"/>
      <c r="N63" s="387"/>
      <c r="O63" s="386"/>
      <c r="P63" s="388"/>
    </row>
    <row r="64" spans="1:16">
      <c r="A64" s="383">
        <v>9</v>
      </c>
      <c r="B64" s="384">
        <v>7450</v>
      </c>
      <c r="C64" s="385">
        <v>1467719</v>
      </c>
      <c r="D64" s="385">
        <v>502181</v>
      </c>
      <c r="E64" s="386" t="s">
        <v>578</v>
      </c>
      <c r="F64" s="387" t="s">
        <v>579</v>
      </c>
      <c r="G64" s="386" t="s">
        <v>639</v>
      </c>
      <c r="H64" s="386" t="s">
        <v>579</v>
      </c>
      <c r="I64" s="385"/>
      <c r="J64" s="385"/>
      <c r="K64" s="385"/>
      <c r="L64" s="385"/>
      <c r="M64" s="386"/>
      <c r="N64" s="387"/>
      <c r="O64" s="386"/>
      <c r="P64" s="388"/>
    </row>
    <row r="65" spans="1:16">
      <c r="A65" s="383">
        <v>21</v>
      </c>
      <c r="B65" s="384">
        <v>8834</v>
      </c>
      <c r="C65" s="385">
        <v>1748653</v>
      </c>
      <c r="D65" s="385">
        <v>814881</v>
      </c>
      <c r="E65" s="386" t="s">
        <v>578</v>
      </c>
      <c r="F65" s="387" t="s">
        <v>579</v>
      </c>
      <c r="G65" s="386" t="s">
        <v>640</v>
      </c>
      <c r="H65" s="386" t="s">
        <v>579</v>
      </c>
      <c r="I65" s="385"/>
      <c r="J65" s="385"/>
      <c r="K65" s="385"/>
      <c r="L65" s="385"/>
      <c r="M65" s="386"/>
      <c r="N65" s="387"/>
      <c r="O65" s="386"/>
      <c r="P65" s="388"/>
    </row>
    <row r="66" spans="1:16">
      <c r="A66" s="383">
        <v>6</v>
      </c>
      <c r="B66" s="384">
        <v>579</v>
      </c>
      <c r="C66" s="385">
        <v>11567531</v>
      </c>
      <c r="D66" s="385">
        <v>5652</v>
      </c>
      <c r="E66" s="386" t="s">
        <v>578</v>
      </c>
      <c r="F66" s="387" t="s">
        <v>579</v>
      </c>
      <c r="G66" s="386" t="s">
        <v>641</v>
      </c>
      <c r="H66" s="386" t="s">
        <v>579</v>
      </c>
      <c r="I66" s="385"/>
      <c r="J66" s="385"/>
      <c r="K66" s="385"/>
      <c r="L66" s="385"/>
      <c r="M66" s="386"/>
      <c r="N66" s="387"/>
      <c r="O66" s="386"/>
      <c r="P66" s="388"/>
    </row>
    <row r="67" spans="1:16">
      <c r="A67" s="383">
        <v>57</v>
      </c>
      <c r="B67" s="384">
        <v>904</v>
      </c>
      <c r="C67" s="385">
        <v>11576561</v>
      </c>
      <c r="D67" s="385">
        <v>56800</v>
      </c>
      <c r="E67" s="386" t="s">
        <v>578</v>
      </c>
      <c r="F67" s="387" t="s">
        <v>579</v>
      </c>
      <c r="G67" s="386" t="s">
        <v>642</v>
      </c>
      <c r="H67" s="386" t="s">
        <v>579</v>
      </c>
      <c r="I67" s="385"/>
      <c r="J67" s="385"/>
      <c r="K67" s="385"/>
      <c r="L67" s="385"/>
      <c r="M67" s="386"/>
      <c r="N67" s="387"/>
      <c r="O67" s="386"/>
      <c r="P67" s="388"/>
    </row>
    <row r="68" spans="1:16">
      <c r="A68" s="383">
        <v>57</v>
      </c>
      <c r="B68" s="384">
        <v>1564</v>
      </c>
      <c r="C68" s="385">
        <v>11576553</v>
      </c>
      <c r="D68" s="385">
        <v>61999</v>
      </c>
      <c r="E68" s="386" t="s">
        <v>578</v>
      </c>
      <c r="F68" s="387" t="s">
        <v>579</v>
      </c>
      <c r="G68" s="386" t="s">
        <v>643</v>
      </c>
      <c r="H68" s="386" t="s">
        <v>579</v>
      </c>
      <c r="I68" s="385"/>
      <c r="J68" s="385"/>
      <c r="K68" s="385"/>
      <c r="L68" s="385"/>
      <c r="M68" s="386"/>
      <c r="N68" s="387"/>
      <c r="O68" s="386"/>
      <c r="P68" s="388"/>
    </row>
    <row r="69" spans="1:16">
      <c r="A69" s="383">
        <v>75</v>
      </c>
      <c r="B69" s="384">
        <v>1832</v>
      </c>
      <c r="C69" s="385">
        <v>3005205</v>
      </c>
      <c r="D69" s="385">
        <v>62297</v>
      </c>
      <c r="E69" s="386" t="s">
        <v>578</v>
      </c>
      <c r="F69" s="387" t="s">
        <v>579</v>
      </c>
      <c r="G69" s="386" t="s">
        <v>644</v>
      </c>
      <c r="H69" s="386" t="s">
        <v>579</v>
      </c>
      <c r="I69" s="385"/>
      <c r="J69" s="385"/>
      <c r="K69" s="385"/>
      <c r="L69" s="385"/>
      <c r="M69" s="386"/>
      <c r="N69" s="387"/>
      <c r="O69" s="386"/>
      <c r="P69" s="388"/>
    </row>
    <row r="70" spans="1:16">
      <c r="A70" s="383">
        <v>12</v>
      </c>
      <c r="B70" s="384">
        <v>7400</v>
      </c>
      <c r="C70" s="385">
        <v>11567564</v>
      </c>
      <c r="D70" s="385">
        <v>70553</v>
      </c>
      <c r="E70" s="386" t="s">
        <v>578</v>
      </c>
      <c r="F70" s="387" t="s">
        <v>579</v>
      </c>
      <c r="G70" s="386" t="s">
        <v>645</v>
      </c>
      <c r="H70" s="386" t="s">
        <v>579</v>
      </c>
      <c r="I70" s="385"/>
      <c r="J70" s="385"/>
      <c r="K70" s="385"/>
      <c r="L70" s="385"/>
      <c r="M70" s="386"/>
      <c r="N70" s="387"/>
      <c r="O70" s="386"/>
      <c r="P70" s="388"/>
    </row>
    <row r="71" spans="1:16">
      <c r="A71" s="383">
        <v>9</v>
      </c>
      <c r="B71" s="384">
        <v>2189</v>
      </c>
      <c r="C71" s="385">
        <v>3020181</v>
      </c>
      <c r="D71" s="385">
        <v>73654</v>
      </c>
      <c r="E71" s="386" t="s">
        <v>578</v>
      </c>
      <c r="F71" s="387" t="s">
        <v>579</v>
      </c>
      <c r="G71" s="386" t="s">
        <v>646</v>
      </c>
      <c r="H71" s="386" t="s">
        <v>579</v>
      </c>
      <c r="I71" s="385"/>
      <c r="J71" s="385"/>
      <c r="K71" s="385"/>
      <c r="L71" s="385"/>
      <c r="M71" s="386"/>
      <c r="N71" s="387"/>
      <c r="O71" s="386"/>
      <c r="P71" s="388"/>
    </row>
    <row r="72" spans="1:16">
      <c r="A72" s="383">
        <v>77</v>
      </c>
      <c r="B72" s="384">
        <v>3788</v>
      </c>
      <c r="C72" s="385">
        <v>11565115</v>
      </c>
      <c r="D72" s="385">
        <v>87358</v>
      </c>
      <c r="E72" s="386" t="s">
        <v>578</v>
      </c>
      <c r="F72" s="387" t="s">
        <v>579</v>
      </c>
      <c r="G72" s="386" t="s">
        <v>647</v>
      </c>
      <c r="H72" s="386" t="s">
        <v>579</v>
      </c>
      <c r="I72" s="385"/>
      <c r="J72" s="385"/>
      <c r="K72" s="385"/>
      <c r="L72" s="385"/>
      <c r="M72" s="386"/>
      <c r="N72" s="387"/>
      <c r="O72" s="386"/>
      <c r="P72" s="388"/>
    </row>
    <row r="73" spans="1:16">
      <c r="A73" s="383">
        <v>24</v>
      </c>
      <c r="B73" s="384">
        <v>4206</v>
      </c>
      <c r="C73" s="385">
        <v>1522156</v>
      </c>
      <c r="D73" s="385">
        <v>131698</v>
      </c>
      <c r="E73" s="386" t="s">
        <v>578</v>
      </c>
      <c r="F73" s="387" t="s">
        <v>579</v>
      </c>
      <c r="G73" s="386" t="s">
        <v>648</v>
      </c>
      <c r="H73" s="386" t="s">
        <v>579</v>
      </c>
      <c r="I73" s="385"/>
      <c r="J73" s="385"/>
      <c r="K73" s="385"/>
      <c r="L73" s="385"/>
      <c r="M73" s="386"/>
      <c r="N73" s="387"/>
      <c r="O73" s="386"/>
      <c r="P73" s="388"/>
    </row>
    <row r="74" spans="1:16">
      <c r="A74" s="383">
        <v>75</v>
      </c>
      <c r="B74" s="384">
        <v>3657</v>
      </c>
      <c r="C74" s="385">
        <v>2138991</v>
      </c>
      <c r="D74" s="385">
        <v>137903</v>
      </c>
      <c r="E74" s="386" t="s">
        <v>578</v>
      </c>
      <c r="F74" s="387" t="s">
        <v>579</v>
      </c>
      <c r="G74" s="386" t="s">
        <v>649</v>
      </c>
      <c r="H74" s="386" t="s">
        <v>579</v>
      </c>
      <c r="I74" s="385"/>
      <c r="J74" s="385"/>
      <c r="K74" s="385"/>
      <c r="L74" s="385"/>
      <c r="M74" s="386"/>
      <c r="N74" s="387"/>
      <c r="O74" s="386"/>
      <c r="P74" s="388"/>
    </row>
    <row r="75" spans="1:16">
      <c r="A75" s="383">
        <v>5</v>
      </c>
      <c r="B75" s="384">
        <v>464</v>
      </c>
      <c r="C75" s="385">
        <v>2976348</v>
      </c>
      <c r="D75" s="385">
        <v>6736</v>
      </c>
      <c r="E75" s="386" t="s">
        <v>578</v>
      </c>
      <c r="F75" s="387" t="s">
        <v>579</v>
      </c>
      <c r="G75" s="386" t="s">
        <v>650</v>
      </c>
      <c r="H75" s="386" t="s">
        <v>579</v>
      </c>
      <c r="I75" s="385"/>
      <c r="J75" s="385"/>
      <c r="K75" s="385"/>
      <c r="L75" s="385"/>
      <c r="M75" s="386"/>
      <c r="N75" s="387"/>
      <c r="O75" s="386"/>
      <c r="P75" s="388"/>
    </row>
    <row r="76" spans="1:16">
      <c r="A76" s="383">
        <v>24</v>
      </c>
      <c r="B76" s="384">
        <v>2291</v>
      </c>
      <c r="C76" s="385">
        <v>2910900</v>
      </c>
      <c r="D76" s="385">
        <v>29101</v>
      </c>
      <c r="E76" s="386" t="s">
        <v>578</v>
      </c>
      <c r="F76" s="387" t="s">
        <v>579</v>
      </c>
      <c r="G76" s="386" t="s">
        <v>651</v>
      </c>
      <c r="H76" s="386" t="s">
        <v>579</v>
      </c>
      <c r="I76" s="385"/>
      <c r="J76" s="385"/>
      <c r="K76" s="385"/>
      <c r="L76" s="385"/>
      <c r="M76" s="386"/>
      <c r="N76" s="387"/>
      <c r="O76" s="386"/>
      <c r="P76" s="388"/>
    </row>
    <row r="77" spans="1:16">
      <c r="A77" s="383">
        <v>65</v>
      </c>
      <c r="B77" s="384">
        <v>378</v>
      </c>
      <c r="C77" s="385">
        <v>11579366</v>
      </c>
      <c r="D77" s="385">
        <v>33278</v>
      </c>
      <c r="E77" s="386" t="s">
        <v>578</v>
      </c>
      <c r="F77" s="387" t="s">
        <v>579</v>
      </c>
      <c r="G77" s="386" t="s">
        <v>652</v>
      </c>
      <c r="H77" s="386" t="s">
        <v>579</v>
      </c>
      <c r="I77" s="385"/>
      <c r="J77" s="385"/>
      <c r="K77" s="385"/>
      <c r="L77" s="385"/>
      <c r="M77" s="386"/>
      <c r="N77" s="387"/>
      <c r="O77" s="386"/>
      <c r="P77" s="388"/>
    </row>
    <row r="78" spans="1:16">
      <c r="A78" s="383">
        <v>12</v>
      </c>
      <c r="B78" s="384">
        <v>3855</v>
      </c>
      <c r="C78" s="385">
        <v>11581681</v>
      </c>
      <c r="D78" s="385">
        <v>33858</v>
      </c>
      <c r="E78" s="386" t="s">
        <v>578</v>
      </c>
      <c r="F78" s="387" t="s">
        <v>579</v>
      </c>
      <c r="G78" s="386" t="s">
        <v>653</v>
      </c>
      <c r="H78" s="386" t="s">
        <v>579</v>
      </c>
      <c r="I78" s="385"/>
      <c r="J78" s="385"/>
      <c r="K78" s="385"/>
      <c r="L78" s="385"/>
      <c r="M78" s="386"/>
      <c r="N78" s="387"/>
      <c r="O78" s="386"/>
      <c r="P78" s="388"/>
    </row>
    <row r="79" spans="1:16">
      <c r="A79" s="383">
        <v>21</v>
      </c>
      <c r="B79" s="384">
        <v>1974</v>
      </c>
      <c r="C79" s="385">
        <v>2951587</v>
      </c>
      <c r="D79" s="385">
        <v>40511</v>
      </c>
      <c r="E79" s="386" t="s">
        <v>578</v>
      </c>
      <c r="F79" s="387" t="s">
        <v>579</v>
      </c>
      <c r="G79" s="386" t="s">
        <v>654</v>
      </c>
      <c r="H79" s="386" t="s">
        <v>579</v>
      </c>
      <c r="I79" s="385"/>
      <c r="J79" s="385"/>
      <c r="K79" s="385"/>
      <c r="L79" s="385"/>
      <c r="M79" s="386"/>
      <c r="N79" s="387"/>
      <c r="O79" s="386"/>
      <c r="P79" s="388"/>
    </row>
    <row r="80" spans="1:16">
      <c r="A80" s="383">
        <v>71</v>
      </c>
      <c r="B80" s="384">
        <v>1665</v>
      </c>
      <c r="C80" s="385">
        <v>11584084</v>
      </c>
      <c r="D80" s="385">
        <v>43106</v>
      </c>
      <c r="E80" s="386" t="s">
        <v>578</v>
      </c>
      <c r="F80" s="387" t="s">
        <v>579</v>
      </c>
      <c r="G80" s="386" t="s">
        <v>655</v>
      </c>
      <c r="H80" s="386" t="s">
        <v>579</v>
      </c>
      <c r="I80" s="385"/>
      <c r="J80" s="385"/>
      <c r="K80" s="385"/>
      <c r="L80" s="385"/>
      <c r="M80" s="386"/>
      <c r="N80" s="387"/>
      <c r="O80" s="386"/>
      <c r="P80" s="388"/>
    </row>
    <row r="81" spans="1:16">
      <c r="A81" s="383">
        <v>24</v>
      </c>
      <c r="B81" s="384">
        <v>2591</v>
      </c>
      <c r="C81" s="385">
        <v>11580864</v>
      </c>
      <c r="D81" s="385">
        <v>43991</v>
      </c>
      <c r="E81" s="386" t="s">
        <v>578</v>
      </c>
      <c r="F81" s="387" t="s">
        <v>579</v>
      </c>
      <c r="G81" s="386" t="s">
        <v>656</v>
      </c>
      <c r="H81" s="386" t="s">
        <v>579</v>
      </c>
      <c r="I81" s="385"/>
      <c r="J81" s="385"/>
      <c r="K81" s="385"/>
      <c r="L81" s="385"/>
      <c r="M81" s="386"/>
      <c r="N81" s="387"/>
      <c r="O81" s="386"/>
      <c r="P81" s="388"/>
    </row>
    <row r="82" spans="1:16">
      <c r="A82" s="383">
        <v>65</v>
      </c>
      <c r="B82" s="384">
        <v>2425</v>
      </c>
      <c r="C82" s="385">
        <v>11579361</v>
      </c>
      <c r="D82" s="385">
        <v>55172</v>
      </c>
      <c r="E82" s="386" t="s">
        <v>578</v>
      </c>
      <c r="F82" s="387" t="s">
        <v>579</v>
      </c>
      <c r="G82" s="386" t="s">
        <v>657</v>
      </c>
      <c r="H82" s="386" t="s">
        <v>579</v>
      </c>
      <c r="I82" s="385"/>
      <c r="J82" s="385"/>
      <c r="K82" s="385"/>
      <c r="L82" s="385"/>
      <c r="M82" s="386"/>
      <c r="N82" s="387"/>
      <c r="O82" s="386"/>
      <c r="P82" s="388"/>
    </row>
    <row r="83" spans="1:16">
      <c r="A83" s="383">
        <v>75</v>
      </c>
      <c r="B83" s="384">
        <v>1503</v>
      </c>
      <c r="C83" s="385">
        <v>11584710</v>
      </c>
      <c r="D83" s="385">
        <v>60627</v>
      </c>
      <c r="E83" s="386" t="s">
        <v>578</v>
      </c>
      <c r="F83" s="387" t="s">
        <v>579</v>
      </c>
      <c r="G83" s="386" t="s">
        <v>658</v>
      </c>
      <c r="H83" s="386" t="s">
        <v>579</v>
      </c>
      <c r="I83" s="385"/>
      <c r="J83" s="385"/>
      <c r="K83" s="385"/>
      <c r="L83" s="385"/>
      <c r="M83" s="386"/>
      <c r="N83" s="387"/>
      <c r="O83" s="386"/>
      <c r="P83" s="388"/>
    </row>
    <row r="84" spans="1:16">
      <c r="A84" s="383">
        <v>34</v>
      </c>
      <c r="B84" s="384">
        <v>93</v>
      </c>
      <c r="C84" s="385">
        <v>11581439</v>
      </c>
      <c r="D84" s="385">
        <v>96024</v>
      </c>
      <c r="E84" s="386" t="s">
        <v>578</v>
      </c>
      <c r="F84" s="387" t="s">
        <v>579</v>
      </c>
      <c r="G84" s="386" t="s">
        <v>659</v>
      </c>
      <c r="H84" s="386" t="s">
        <v>579</v>
      </c>
      <c r="I84" s="385"/>
      <c r="J84" s="385"/>
      <c r="K84" s="385"/>
      <c r="L84" s="385"/>
      <c r="M84" s="386"/>
      <c r="N84" s="387"/>
      <c r="O84" s="386"/>
      <c r="P84" s="388"/>
    </row>
    <row r="85" spans="1:16">
      <c r="A85" s="383">
        <v>65</v>
      </c>
      <c r="B85" s="384">
        <v>6340</v>
      </c>
      <c r="C85" s="385">
        <v>11579355</v>
      </c>
      <c r="D85" s="385">
        <v>130388</v>
      </c>
      <c r="E85" s="386" t="s">
        <v>578</v>
      </c>
      <c r="F85" s="387" t="s">
        <v>579</v>
      </c>
      <c r="G85" s="386" t="s">
        <v>660</v>
      </c>
      <c r="H85" s="386" t="s">
        <v>579</v>
      </c>
      <c r="I85" s="385"/>
      <c r="J85" s="385"/>
      <c r="K85" s="385"/>
      <c r="L85" s="385"/>
      <c r="M85" s="386"/>
      <c r="N85" s="387"/>
      <c r="O85" s="386"/>
      <c r="P85" s="388"/>
    </row>
    <row r="86" spans="1:16">
      <c r="A86" s="383">
        <v>9</v>
      </c>
      <c r="B86" s="384">
        <v>5482</v>
      </c>
      <c r="C86" s="385">
        <v>1761220</v>
      </c>
      <c r="D86" s="385">
        <v>133320</v>
      </c>
      <c r="E86" s="386" t="s">
        <v>578</v>
      </c>
      <c r="F86" s="387" t="s">
        <v>579</v>
      </c>
      <c r="G86" s="386" t="s">
        <v>661</v>
      </c>
      <c r="H86" s="386" t="s">
        <v>579</v>
      </c>
      <c r="I86" s="385"/>
      <c r="J86" s="385"/>
      <c r="K86" s="385"/>
      <c r="L86" s="385"/>
      <c r="M86" s="386"/>
      <c r="N86" s="387"/>
      <c r="O86" s="386"/>
      <c r="P86" s="388"/>
    </row>
    <row r="87" spans="1:16">
      <c r="A87" s="383">
        <v>21</v>
      </c>
      <c r="B87" s="384">
        <v>8421</v>
      </c>
      <c r="C87" s="385">
        <v>11581699</v>
      </c>
      <c r="D87" s="385">
        <v>296176</v>
      </c>
      <c r="E87" s="386" t="s">
        <v>578</v>
      </c>
      <c r="F87" s="387" t="s">
        <v>579</v>
      </c>
      <c r="G87" s="386" t="s">
        <v>662</v>
      </c>
      <c r="H87" s="386" t="s">
        <v>579</v>
      </c>
      <c r="I87" s="385"/>
      <c r="J87" s="385"/>
      <c r="K87" s="385"/>
      <c r="L87" s="385"/>
      <c r="M87" s="386"/>
      <c r="N87" s="387"/>
      <c r="O87" s="386"/>
      <c r="P87" s="388"/>
    </row>
    <row r="88" spans="1:16">
      <c r="A88" s="383">
        <v>71</v>
      </c>
      <c r="B88" s="384">
        <v>7056</v>
      </c>
      <c r="C88" s="385">
        <v>3623485</v>
      </c>
      <c r="D88" s="385">
        <v>492061</v>
      </c>
      <c r="E88" s="386" t="s">
        <v>578</v>
      </c>
      <c r="F88" s="387" t="s">
        <v>579</v>
      </c>
      <c r="G88" s="386" t="s">
        <v>663</v>
      </c>
      <c r="H88" s="386" t="s">
        <v>579</v>
      </c>
      <c r="I88" s="385"/>
      <c r="J88" s="385"/>
      <c r="K88" s="385"/>
      <c r="L88" s="385"/>
      <c r="M88" s="386"/>
      <c r="N88" s="387"/>
      <c r="O88" s="386"/>
      <c r="P88" s="388"/>
    </row>
    <row r="89" spans="1:16">
      <c r="A89" s="383">
        <v>11</v>
      </c>
      <c r="B89" s="384">
        <v>203</v>
      </c>
      <c r="C89" s="385">
        <v>11564201</v>
      </c>
      <c r="D89" s="385">
        <v>6149</v>
      </c>
      <c r="E89" s="386" t="s">
        <v>578</v>
      </c>
      <c r="F89" s="387" t="s">
        <v>579</v>
      </c>
      <c r="G89" s="386" t="s">
        <v>664</v>
      </c>
      <c r="H89" s="386" t="s">
        <v>579</v>
      </c>
      <c r="I89" s="385"/>
      <c r="J89" s="385"/>
      <c r="K89" s="385"/>
      <c r="L89" s="385"/>
      <c r="M89" s="386"/>
      <c r="N89" s="387"/>
      <c r="O89" s="386"/>
      <c r="P89" s="388"/>
    </row>
    <row r="90" spans="1:16">
      <c r="A90" s="383">
        <v>16</v>
      </c>
      <c r="B90" s="384">
        <v>231</v>
      </c>
      <c r="C90" s="385">
        <v>11563152</v>
      </c>
      <c r="D90" s="385">
        <v>7680</v>
      </c>
      <c r="E90" s="386" t="s">
        <v>578</v>
      </c>
      <c r="F90" s="387" t="s">
        <v>579</v>
      </c>
      <c r="G90" s="386" t="s">
        <v>665</v>
      </c>
      <c r="H90" s="386" t="s">
        <v>579</v>
      </c>
      <c r="I90" s="385"/>
      <c r="J90" s="385"/>
      <c r="K90" s="385"/>
      <c r="L90" s="385"/>
      <c r="M90" s="386"/>
      <c r="N90" s="387"/>
      <c r="O90" s="386"/>
      <c r="P90" s="388"/>
    </row>
    <row r="91" spans="1:16">
      <c r="A91" s="383">
        <v>25</v>
      </c>
      <c r="B91" s="384">
        <v>399</v>
      </c>
      <c r="C91" s="385">
        <v>11563574</v>
      </c>
      <c r="D91" s="385">
        <v>11325</v>
      </c>
      <c r="E91" s="386" t="s">
        <v>578</v>
      </c>
      <c r="F91" s="387" t="s">
        <v>579</v>
      </c>
      <c r="G91" s="386" t="s">
        <v>666</v>
      </c>
      <c r="H91" s="386" t="s">
        <v>579</v>
      </c>
      <c r="I91" s="385"/>
      <c r="J91" s="385"/>
      <c r="K91" s="385"/>
      <c r="L91" s="385"/>
      <c r="M91" s="386"/>
      <c r="N91" s="387"/>
      <c r="O91" s="386"/>
      <c r="P91" s="388"/>
    </row>
    <row r="92" spans="1:16">
      <c r="A92" s="383">
        <v>13</v>
      </c>
      <c r="B92" s="384">
        <v>141</v>
      </c>
      <c r="C92" s="385">
        <v>11567509</v>
      </c>
      <c r="D92" s="385">
        <v>15431</v>
      </c>
      <c r="E92" s="386" t="s">
        <v>578</v>
      </c>
      <c r="F92" s="387" t="s">
        <v>579</v>
      </c>
      <c r="G92" s="386" t="s">
        <v>667</v>
      </c>
      <c r="H92" s="386" t="s">
        <v>579</v>
      </c>
      <c r="I92" s="385"/>
      <c r="J92" s="385"/>
      <c r="K92" s="385"/>
      <c r="L92" s="385"/>
      <c r="M92" s="386"/>
      <c r="N92" s="387"/>
      <c r="O92" s="386"/>
      <c r="P92" s="388"/>
    </row>
    <row r="93" spans="1:16">
      <c r="A93" s="383">
        <v>24</v>
      </c>
      <c r="B93" s="384">
        <v>780</v>
      </c>
      <c r="C93" s="385">
        <v>11566582</v>
      </c>
      <c r="D93" s="385">
        <v>27590</v>
      </c>
      <c r="E93" s="386" t="s">
        <v>578</v>
      </c>
      <c r="F93" s="387" t="s">
        <v>579</v>
      </c>
      <c r="G93" s="386" t="s">
        <v>668</v>
      </c>
      <c r="H93" s="386" t="s">
        <v>579</v>
      </c>
      <c r="I93" s="385"/>
      <c r="J93" s="385"/>
      <c r="K93" s="385"/>
      <c r="L93" s="385"/>
      <c r="M93" s="386"/>
      <c r="N93" s="387"/>
      <c r="O93" s="386"/>
      <c r="P93" s="388"/>
    </row>
    <row r="94" spans="1:16">
      <c r="A94" s="383">
        <v>24</v>
      </c>
      <c r="B94" s="384">
        <v>2118</v>
      </c>
      <c r="C94" s="385">
        <v>11566591</v>
      </c>
      <c r="D94" s="385">
        <v>28928</v>
      </c>
      <c r="E94" s="386" t="s">
        <v>578</v>
      </c>
      <c r="F94" s="387" t="s">
        <v>579</v>
      </c>
      <c r="G94" s="386" t="s">
        <v>669</v>
      </c>
      <c r="H94" s="386" t="s">
        <v>579</v>
      </c>
      <c r="I94" s="385"/>
      <c r="J94" s="385"/>
      <c r="K94" s="385"/>
      <c r="L94" s="385"/>
      <c r="M94" s="386"/>
      <c r="N94" s="387"/>
      <c r="O94" s="386"/>
      <c r="P94" s="388"/>
    </row>
    <row r="95" spans="1:16">
      <c r="A95" s="383">
        <v>9</v>
      </c>
      <c r="B95" s="384">
        <v>538</v>
      </c>
      <c r="C95" s="385">
        <v>1673274</v>
      </c>
      <c r="D95" s="385">
        <v>32859</v>
      </c>
      <c r="E95" s="386" t="s">
        <v>578</v>
      </c>
      <c r="F95" s="387" t="s">
        <v>579</v>
      </c>
      <c r="G95" s="386" t="s">
        <v>670</v>
      </c>
      <c r="H95" s="386" t="s">
        <v>579</v>
      </c>
      <c r="I95" s="385"/>
      <c r="J95" s="385"/>
      <c r="K95" s="385"/>
      <c r="L95" s="385"/>
      <c r="M95" s="386"/>
      <c r="N95" s="387"/>
      <c r="O95" s="386"/>
      <c r="P95" s="388"/>
    </row>
    <row r="96" spans="1:16">
      <c r="A96" s="383">
        <v>18</v>
      </c>
      <c r="B96" s="384">
        <v>923</v>
      </c>
      <c r="C96" s="385">
        <v>11565147</v>
      </c>
      <c r="D96" s="385">
        <v>37079</v>
      </c>
      <c r="E96" s="386" t="s">
        <v>578</v>
      </c>
      <c r="F96" s="387" t="s">
        <v>579</v>
      </c>
      <c r="G96" s="386" t="s">
        <v>671</v>
      </c>
      <c r="H96" s="386" t="s">
        <v>579</v>
      </c>
      <c r="I96" s="385"/>
      <c r="J96" s="385"/>
      <c r="K96" s="385"/>
      <c r="L96" s="385"/>
      <c r="M96" s="386"/>
      <c r="N96" s="387"/>
      <c r="O96" s="386"/>
      <c r="P96" s="388"/>
    </row>
    <row r="97" spans="1:16">
      <c r="A97" s="383">
        <v>32</v>
      </c>
      <c r="B97" s="384">
        <v>92</v>
      </c>
      <c r="C97" s="385">
        <v>11565131</v>
      </c>
      <c r="D97" s="385">
        <v>42236</v>
      </c>
      <c r="E97" s="386" t="s">
        <v>578</v>
      </c>
      <c r="F97" s="387" t="s">
        <v>579</v>
      </c>
      <c r="G97" s="386" t="s">
        <v>672</v>
      </c>
      <c r="H97" s="386" t="s">
        <v>579</v>
      </c>
      <c r="I97" s="385"/>
      <c r="J97" s="385"/>
      <c r="K97" s="385"/>
      <c r="L97" s="385"/>
      <c r="M97" s="386"/>
      <c r="N97" s="387"/>
      <c r="O97" s="386"/>
      <c r="P97" s="388"/>
    </row>
    <row r="98" spans="1:16">
      <c r="A98" s="383">
        <v>57</v>
      </c>
      <c r="B98" s="384">
        <v>636</v>
      </c>
      <c r="C98" s="385">
        <v>2491847</v>
      </c>
      <c r="D98" s="385">
        <v>45749</v>
      </c>
      <c r="E98" s="386" t="s">
        <v>578</v>
      </c>
      <c r="F98" s="387" t="s">
        <v>579</v>
      </c>
      <c r="G98" s="386" t="s">
        <v>673</v>
      </c>
      <c r="H98" s="386" t="s">
        <v>579</v>
      </c>
      <c r="I98" s="385"/>
      <c r="J98" s="385"/>
      <c r="K98" s="385"/>
      <c r="L98" s="385"/>
      <c r="M98" s="386"/>
      <c r="N98" s="387"/>
      <c r="O98" s="386"/>
      <c r="P98" s="388"/>
    </row>
    <row r="99" spans="1:16">
      <c r="A99" s="383">
        <v>18</v>
      </c>
      <c r="B99" s="384">
        <v>1905</v>
      </c>
      <c r="C99" s="385">
        <v>11566620</v>
      </c>
      <c r="D99" s="385">
        <v>47146</v>
      </c>
      <c r="E99" s="386" t="s">
        <v>578</v>
      </c>
      <c r="F99" s="387" t="s">
        <v>579</v>
      </c>
      <c r="G99" s="386" t="s">
        <v>674</v>
      </c>
      <c r="H99" s="386" t="s">
        <v>579</v>
      </c>
      <c r="I99" s="385"/>
      <c r="J99" s="385"/>
      <c r="K99" s="385"/>
      <c r="L99" s="385"/>
      <c r="M99" s="386"/>
      <c r="N99" s="387"/>
      <c r="O99" s="386"/>
      <c r="P99" s="388"/>
    </row>
    <row r="100" spans="1:16">
      <c r="A100" s="383">
        <v>140</v>
      </c>
      <c r="B100" s="384">
        <v>83</v>
      </c>
      <c r="C100" s="385">
        <v>11564667</v>
      </c>
      <c r="D100" s="385">
        <v>50219</v>
      </c>
      <c r="E100" s="386" t="s">
        <v>578</v>
      </c>
      <c r="F100" s="387" t="s">
        <v>579</v>
      </c>
      <c r="G100" s="386" t="s">
        <v>675</v>
      </c>
      <c r="H100" s="386" t="s">
        <v>579</v>
      </c>
      <c r="I100" s="385"/>
      <c r="J100" s="385"/>
      <c r="K100" s="385"/>
      <c r="L100" s="385"/>
      <c r="M100" s="386"/>
      <c r="N100" s="387"/>
      <c r="O100" s="386"/>
      <c r="P100" s="388"/>
    </row>
    <row r="101" spans="1:16">
      <c r="A101" s="383">
        <v>9</v>
      </c>
      <c r="B101" s="384">
        <v>1429</v>
      </c>
      <c r="C101" s="385">
        <v>11565119</v>
      </c>
      <c r="D101" s="385">
        <v>61234</v>
      </c>
      <c r="E101" s="386" t="s">
        <v>578</v>
      </c>
      <c r="F101" s="387" t="s">
        <v>579</v>
      </c>
      <c r="G101" s="386" t="s">
        <v>676</v>
      </c>
      <c r="H101" s="386" t="s">
        <v>579</v>
      </c>
      <c r="I101" s="385"/>
      <c r="J101" s="385"/>
      <c r="K101" s="385"/>
      <c r="L101" s="385"/>
      <c r="M101" s="386"/>
      <c r="N101" s="387"/>
      <c r="O101" s="386"/>
      <c r="P101" s="388"/>
    </row>
    <row r="102" spans="1:16">
      <c r="A102" s="383">
        <v>343</v>
      </c>
      <c r="B102" s="384">
        <v>1423</v>
      </c>
      <c r="C102" s="385">
        <v>11566083</v>
      </c>
      <c r="D102" s="385">
        <v>87875</v>
      </c>
      <c r="E102" s="386" t="s">
        <v>578</v>
      </c>
      <c r="F102" s="387" t="s">
        <v>579</v>
      </c>
      <c r="G102" s="386" t="s">
        <v>677</v>
      </c>
      <c r="H102" s="386" t="s">
        <v>579</v>
      </c>
      <c r="I102" s="385"/>
      <c r="J102" s="385"/>
      <c r="K102" s="385"/>
      <c r="L102" s="385"/>
      <c r="M102" s="386"/>
      <c r="N102" s="387"/>
      <c r="O102" s="386"/>
      <c r="P102" s="388"/>
    </row>
    <row r="103" spans="1:16">
      <c r="A103" s="383">
        <v>75</v>
      </c>
      <c r="B103" s="384">
        <v>3132</v>
      </c>
      <c r="C103" s="385">
        <v>11563593</v>
      </c>
      <c r="D103" s="385">
        <v>107561</v>
      </c>
      <c r="E103" s="386" t="s">
        <v>578</v>
      </c>
      <c r="F103" s="387" t="s">
        <v>579</v>
      </c>
      <c r="G103" s="386" t="s">
        <v>678</v>
      </c>
      <c r="H103" s="386" t="s">
        <v>579</v>
      </c>
      <c r="I103" s="385"/>
      <c r="J103" s="385"/>
      <c r="K103" s="385"/>
      <c r="L103" s="385"/>
      <c r="M103" s="386"/>
      <c r="N103" s="387"/>
      <c r="O103" s="386"/>
      <c r="P103" s="388"/>
    </row>
    <row r="104" spans="1:16">
      <c r="A104" s="383">
        <v>5</v>
      </c>
      <c r="B104" s="384">
        <v>8179</v>
      </c>
      <c r="C104" s="385">
        <v>2891497</v>
      </c>
      <c r="D104" s="385">
        <v>108317</v>
      </c>
      <c r="E104" s="386" t="s">
        <v>578</v>
      </c>
      <c r="F104" s="387" t="s">
        <v>579</v>
      </c>
      <c r="G104" s="386" t="s">
        <v>679</v>
      </c>
      <c r="H104" s="386" t="s">
        <v>579</v>
      </c>
      <c r="I104" s="385"/>
      <c r="J104" s="385"/>
      <c r="K104" s="385"/>
      <c r="L104" s="385"/>
      <c r="M104" s="386"/>
      <c r="N104" s="387"/>
      <c r="O104" s="386"/>
      <c r="P104" s="388"/>
    </row>
    <row r="105" spans="1:16">
      <c r="A105" s="383">
        <v>18</v>
      </c>
      <c r="B105" s="384">
        <v>5547</v>
      </c>
      <c r="C105" s="385">
        <v>11576913</v>
      </c>
      <c r="D105" s="385">
        <v>138195</v>
      </c>
      <c r="E105" s="386" t="s">
        <v>578</v>
      </c>
      <c r="F105" s="387" t="s">
        <v>579</v>
      </c>
      <c r="G105" s="386" t="s">
        <v>680</v>
      </c>
      <c r="H105" s="386" t="s">
        <v>579</v>
      </c>
      <c r="I105" s="385"/>
      <c r="J105" s="385"/>
      <c r="K105" s="385"/>
      <c r="L105" s="385"/>
      <c r="M105" s="386"/>
      <c r="N105" s="387"/>
      <c r="O105" s="386"/>
      <c r="P105" s="388"/>
    </row>
    <row r="106" spans="1:16">
      <c r="A106" s="383">
        <v>6</v>
      </c>
      <c r="B106" s="384">
        <v>99</v>
      </c>
      <c r="C106" s="385">
        <v>11584069</v>
      </c>
      <c r="D106" s="385">
        <v>5172</v>
      </c>
      <c r="E106" s="386" t="s">
        <v>578</v>
      </c>
      <c r="F106" s="387" t="s">
        <v>579</v>
      </c>
      <c r="G106" s="386" t="s">
        <v>681</v>
      </c>
      <c r="H106" s="386" t="s">
        <v>579</v>
      </c>
      <c r="I106" s="385"/>
      <c r="J106" s="385"/>
      <c r="K106" s="385"/>
      <c r="L106" s="385"/>
      <c r="M106" s="386"/>
      <c r="N106" s="387"/>
      <c r="O106" s="386"/>
      <c r="P106" s="388"/>
    </row>
    <row r="107" spans="1:16">
      <c r="A107" s="383">
        <v>18</v>
      </c>
      <c r="B107" s="384">
        <v>620</v>
      </c>
      <c r="C107" s="385">
        <v>11583162</v>
      </c>
      <c r="D107" s="385">
        <v>31343</v>
      </c>
      <c r="E107" s="386" t="s">
        <v>578</v>
      </c>
      <c r="F107" s="387" t="s">
        <v>579</v>
      </c>
      <c r="G107" s="386" t="s">
        <v>682</v>
      </c>
      <c r="H107" s="386" t="s">
        <v>579</v>
      </c>
      <c r="I107" s="385"/>
      <c r="J107" s="385"/>
      <c r="K107" s="385"/>
      <c r="L107" s="385"/>
      <c r="M107" s="386"/>
      <c r="N107" s="387"/>
      <c r="O107" s="386"/>
      <c r="P107" s="388"/>
    </row>
    <row r="108" spans="1:16">
      <c r="A108" s="383">
        <v>6</v>
      </c>
      <c r="B108" s="384">
        <v>1390</v>
      </c>
      <c r="C108" s="385">
        <v>2957471</v>
      </c>
      <c r="D108" s="385">
        <v>34919</v>
      </c>
      <c r="E108" s="386" t="s">
        <v>578</v>
      </c>
      <c r="F108" s="387" t="s">
        <v>579</v>
      </c>
      <c r="G108" s="386" t="s">
        <v>683</v>
      </c>
      <c r="H108" s="386" t="s">
        <v>579</v>
      </c>
      <c r="I108" s="385"/>
      <c r="J108" s="385"/>
      <c r="K108" s="385"/>
      <c r="L108" s="385"/>
      <c r="M108" s="386"/>
      <c r="N108" s="387"/>
      <c r="O108" s="386"/>
      <c r="P108" s="388"/>
    </row>
    <row r="109" spans="1:16">
      <c r="A109" s="383">
        <v>65</v>
      </c>
      <c r="B109" s="384">
        <v>1081</v>
      </c>
      <c r="C109" s="385">
        <v>11579352</v>
      </c>
      <c r="D109" s="385">
        <v>37767</v>
      </c>
      <c r="E109" s="386" t="s">
        <v>578</v>
      </c>
      <c r="F109" s="387" t="s">
        <v>579</v>
      </c>
      <c r="G109" s="386" t="s">
        <v>684</v>
      </c>
      <c r="H109" s="386" t="s">
        <v>579</v>
      </c>
      <c r="I109" s="385"/>
      <c r="J109" s="385"/>
      <c r="K109" s="385"/>
      <c r="L109" s="385"/>
      <c r="M109" s="386"/>
      <c r="N109" s="387"/>
      <c r="O109" s="386"/>
      <c r="P109" s="388"/>
    </row>
    <row r="110" spans="1:16">
      <c r="A110" s="383">
        <v>140</v>
      </c>
      <c r="B110" s="384">
        <v>36</v>
      </c>
      <c r="C110" s="385">
        <v>11582193</v>
      </c>
      <c r="D110" s="385">
        <v>50172</v>
      </c>
      <c r="E110" s="386" t="s">
        <v>578</v>
      </c>
      <c r="F110" s="387" t="s">
        <v>579</v>
      </c>
      <c r="G110" s="386" t="s">
        <v>685</v>
      </c>
      <c r="H110" s="386" t="s">
        <v>579</v>
      </c>
      <c r="I110" s="385"/>
      <c r="J110" s="385"/>
      <c r="K110" s="385"/>
      <c r="L110" s="385"/>
      <c r="M110" s="386"/>
      <c r="N110" s="387"/>
      <c r="O110" s="386"/>
      <c r="P110" s="388"/>
    </row>
    <row r="111" spans="1:16">
      <c r="A111" s="383">
        <v>109</v>
      </c>
      <c r="B111" s="384">
        <v>68</v>
      </c>
      <c r="C111" s="385">
        <v>11584086</v>
      </c>
      <c r="D111" s="385">
        <v>60925</v>
      </c>
      <c r="E111" s="386" t="s">
        <v>578</v>
      </c>
      <c r="F111" s="387" t="s">
        <v>579</v>
      </c>
      <c r="G111" s="386" t="s">
        <v>686</v>
      </c>
      <c r="H111" s="386" t="s">
        <v>579</v>
      </c>
      <c r="I111" s="385"/>
      <c r="J111" s="385"/>
      <c r="K111" s="385"/>
      <c r="L111" s="385"/>
      <c r="M111" s="386"/>
      <c r="N111" s="387"/>
      <c r="O111" s="386"/>
      <c r="P111" s="388"/>
    </row>
    <row r="112" spans="1:16">
      <c r="A112" s="383">
        <v>16</v>
      </c>
      <c r="B112" s="384">
        <v>673</v>
      </c>
      <c r="C112" s="385">
        <v>11584707</v>
      </c>
      <c r="D112" s="385">
        <v>62847</v>
      </c>
      <c r="E112" s="386" t="s">
        <v>578</v>
      </c>
      <c r="F112" s="387" t="s">
        <v>579</v>
      </c>
      <c r="G112" s="386" t="s">
        <v>687</v>
      </c>
      <c r="H112" s="386" t="s">
        <v>579</v>
      </c>
      <c r="I112" s="385"/>
      <c r="J112" s="385"/>
      <c r="K112" s="385"/>
      <c r="L112" s="385"/>
      <c r="M112" s="386"/>
      <c r="N112" s="387"/>
      <c r="O112" s="386"/>
      <c r="P112" s="388"/>
    </row>
    <row r="113" spans="1:16">
      <c r="A113" s="383">
        <v>75</v>
      </c>
      <c r="B113" s="384">
        <v>4407</v>
      </c>
      <c r="C113" s="385">
        <v>11584726</v>
      </c>
      <c r="D113" s="385">
        <v>150406</v>
      </c>
      <c r="E113" s="386" t="s">
        <v>578</v>
      </c>
      <c r="F113" s="387" t="s">
        <v>579</v>
      </c>
      <c r="G113" s="386" t="s">
        <v>688</v>
      </c>
      <c r="H113" s="386" t="s">
        <v>579</v>
      </c>
      <c r="I113" s="385"/>
      <c r="J113" s="385"/>
      <c r="K113" s="385"/>
      <c r="L113" s="385"/>
      <c r="M113" s="386"/>
      <c r="N113" s="387"/>
      <c r="O113" s="386"/>
      <c r="P113" s="388"/>
    </row>
    <row r="114" spans="1:16">
      <c r="A114" s="383">
        <v>343</v>
      </c>
      <c r="B114" s="384">
        <v>1794</v>
      </c>
      <c r="C114" s="385">
        <v>2037957</v>
      </c>
      <c r="D114" s="385">
        <v>314604</v>
      </c>
      <c r="E114" s="386" t="s">
        <v>578</v>
      </c>
      <c r="F114" s="387" t="s">
        <v>579</v>
      </c>
      <c r="G114" s="386" t="s">
        <v>689</v>
      </c>
      <c r="H114" s="386" t="s">
        <v>579</v>
      </c>
      <c r="I114" s="385"/>
      <c r="J114" s="385"/>
      <c r="K114" s="385"/>
      <c r="L114" s="385"/>
      <c r="M114" s="386"/>
      <c r="N114" s="387"/>
      <c r="O114" s="386"/>
      <c r="P114" s="388"/>
    </row>
    <row r="115" spans="1:16">
      <c r="A115" s="383">
        <v>11</v>
      </c>
      <c r="B115" s="384">
        <v>1015</v>
      </c>
      <c r="C115" s="385">
        <v>11583154</v>
      </c>
      <c r="D115" s="385">
        <v>429752</v>
      </c>
      <c r="E115" s="386" t="s">
        <v>578</v>
      </c>
      <c r="F115" s="387" t="s">
        <v>579</v>
      </c>
      <c r="G115" s="386" t="s">
        <v>690</v>
      </c>
      <c r="H115" s="386" t="s">
        <v>579</v>
      </c>
      <c r="I115" s="385"/>
      <c r="J115" s="385"/>
      <c r="K115" s="385"/>
      <c r="L115" s="385"/>
      <c r="M115" s="386"/>
      <c r="N115" s="387"/>
      <c r="O115" s="386"/>
      <c r="P115" s="388"/>
    </row>
    <row r="116" spans="1:16">
      <c r="A116" s="383">
        <v>12</v>
      </c>
      <c r="B116" s="384">
        <v>2452</v>
      </c>
      <c r="C116" s="385">
        <v>2915500</v>
      </c>
      <c r="D116" s="385">
        <v>23021</v>
      </c>
      <c r="E116" s="386" t="s">
        <v>578</v>
      </c>
      <c r="F116" s="387" t="s">
        <v>579</v>
      </c>
      <c r="G116" s="386" t="s">
        <v>691</v>
      </c>
      <c r="H116" s="386" t="s">
        <v>579</v>
      </c>
      <c r="I116" s="385"/>
      <c r="J116" s="385"/>
      <c r="K116" s="385"/>
      <c r="L116" s="385"/>
      <c r="M116" s="386"/>
      <c r="N116" s="387"/>
      <c r="O116" s="386"/>
      <c r="P116" s="388"/>
    </row>
    <row r="117" spans="1:16">
      <c r="A117" s="383">
        <v>60</v>
      </c>
      <c r="B117" s="384">
        <v>67</v>
      </c>
      <c r="C117" s="385">
        <v>11565349</v>
      </c>
      <c r="D117" s="385">
        <v>39913</v>
      </c>
      <c r="E117" s="386" t="s">
        <v>578</v>
      </c>
      <c r="F117" s="387" t="s">
        <v>579</v>
      </c>
      <c r="G117" s="386" t="s">
        <v>692</v>
      </c>
      <c r="H117" s="386" t="s">
        <v>579</v>
      </c>
      <c r="I117" s="385"/>
      <c r="J117" s="385"/>
      <c r="K117" s="385"/>
      <c r="L117" s="385"/>
      <c r="M117" s="386"/>
      <c r="N117" s="387"/>
      <c r="O117" s="386"/>
      <c r="P117" s="388"/>
    </row>
    <row r="118" spans="1:16">
      <c r="A118" s="383">
        <v>12</v>
      </c>
      <c r="B118" s="384">
        <v>8536</v>
      </c>
      <c r="C118" s="385">
        <v>11567566</v>
      </c>
      <c r="D118" s="385">
        <v>78245</v>
      </c>
      <c r="E118" s="386" t="s">
        <v>578</v>
      </c>
      <c r="F118" s="387" t="s">
        <v>579</v>
      </c>
      <c r="G118" s="386" t="s">
        <v>693</v>
      </c>
      <c r="H118" s="386" t="s">
        <v>579</v>
      </c>
      <c r="I118" s="385"/>
      <c r="J118" s="385"/>
      <c r="K118" s="385"/>
      <c r="L118" s="385"/>
      <c r="M118" s="386"/>
      <c r="N118" s="387"/>
      <c r="O118" s="386"/>
      <c r="P118" s="388"/>
    </row>
    <row r="119" spans="1:16">
      <c r="A119" s="383">
        <v>110</v>
      </c>
      <c r="B119" s="384">
        <v>378</v>
      </c>
      <c r="C119" s="385">
        <v>11565607</v>
      </c>
      <c r="D119" s="385">
        <v>84641</v>
      </c>
      <c r="E119" s="386" t="s">
        <v>578</v>
      </c>
      <c r="F119" s="387" t="s">
        <v>579</v>
      </c>
      <c r="G119" s="386" t="s">
        <v>694</v>
      </c>
      <c r="H119" s="386" t="s">
        <v>579</v>
      </c>
      <c r="I119" s="385"/>
      <c r="J119" s="385"/>
      <c r="K119" s="385"/>
      <c r="L119" s="385"/>
      <c r="M119" s="386"/>
      <c r="N119" s="387"/>
      <c r="O119" s="386"/>
      <c r="P119" s="388"/>
    </row>
    <row r="120" spans="1:16">
      <c r="A120" s="383">
        <v>22</v>
      </c>
      <c r="B120" s="384">
        <v>2800</v>
      </c>
      <c r="C120" s="385">
        <v>11565626</v>
      </c>
      <c r="D120" s="385">
        <v>104010</v>
      </c>
      <c r="E120" s="386" t="s">
        <v>578</v>
      </c>
      <c r="F120" s="387" t="s">
        <v>579</v>
      </c>
      <c r="G120" s="386" t="s">
        <v>695</v>
      </c>
      <c r="H120" s="386" t="s">
        <v>579</v>
      </c>
      <c r="I120" s="385"/>
      <c r="J120" s="385"/>
      <c r="K120" s="385"/>
      <c r="L120" s="385"/>
      <c r="M120" s="386"/>
      <c r="N120" s="387"/>
      <c r="O120" s="386"/>
      <c r="P120" s="388"/>
    </row>
    <row r="121" spans="1:16">
      <c r="A121" s="383">
        <v>12</v>
      </c>
      <c r="B121" s="384">
        <v>11920</v>
      </c>
      <c r="C121" s="385">
        <v>3024185</v>
      </c>
      <c r="D121" s="385">
        <v>107940</v>
      </c>
      <c r="E121" s="386" t="s">
        <v>578</v>
      </c>
      <c r="F121" s="387" t="s">
        <v>579</v>
      </c>
      <c r="G121" s="386" t="s">
        <v>696</v>
      </c>
      <c r="H121" s="386" t="s">
        <v>579</v>
      </c>
      <c r="I121" s="385"/>
      <c r="J121" s="385"/>
      <c r="K121" s="385"/>
      <c r="L121" s="385"/>
      <c r="M121" s="386"/>
      <c r="N121" s="387"/>
      <c r="O121" s="386"/>
      <c r="P121" s="388"/>
    </row>
    <row r="122" spans="1:16">
      <c r="A122" s="383">
        <v>57</v>
      </c>
      <c r="B122" s="384">
        <v>3930</v>
      </c>
      <c r="C122" s="385">
        <v>1170668</v>
      </c>
      <c r="D122" s="385">
        <v>146552</v>
      </c>
      <c r="E122" s="386" t="s">
        <v>578</v>
      </c>
      <c r="F122" s="387" t="s">
        <v>579</v>
      </c>
      <c r="G122" s="386" t="s">
        <v>697</v>
      </c>
      <c r="H122" s="386" t="s">
        <v>579</v>
      </c>
      <c r="I122" s="385"/>
      <c r="J122" s="385"/>
      <c r="K122" s="385"/>
      <c r="L122" s="385"/>
      <c r="M122" s="386"/>
      <c r="N122" s="387"/>
      <c r="O122" s="386"/>
      <c r="P122" s="388"/>
    </row>
    <row r="123" spans="1:16">
      <c r="A123" s="383">
        <v>6</v>
      </c>
      <c r="B123" s="384">
        <v>6563</v>
      </c>
      <c r="C123" s="385">
        <v>11550284</v>
      </c>
      <c r="D123" s="385">
        <v>221583</v>
      </c>
      <c r="E123" s="386" t="s">
        <v>578</v>
      </c>
      <c r="F123" s="387" t="s">
        <v>579</v>
      </c>
      <c r="G123" s="386" t="s">
        <v>698</v>
      </c>
      <c r="H123" s="386" t="s">
        <v>579</v>
      </c>
      <c r="I123" s="385"/>
      <c r="J123" s="385"/>
      <c r="K123" s="385"/>
      <c r="L123" s="385"/>
      <c r="M123" s="386"/>
      <c r="N123" s="387"/>
      <c r="O123" s="386"/>
      <c r="P123" s="388"/>
    </row>
    <row r="124" spans="1:16">
      <c r="A124" s="383">
        <v>13</v>
      </c>
      <c r="B124" s="384">
        <v>6264</v>
      </c>
      <c r="C124" s="385">
        <v>3066179</v>
      </c>
      <c r="D124" s="385">
        <v>316411</v>
      </c>
      <c r="E124" s="386" t="s">
        <v>578</v>
      </c>
      <c r="F124" s="387" t="s">
        <v>579</v>
      </c>
      <c r="G124" s="386" t="s">
        <v>699</v>
      </c>
      <c r="H124" s="386" t="s">
        <v>579</v>
      </c>
      <c r="I124" s="385"/>
      <c r="J124" s="385"/>
      <c r="K124" s="385"/>
      <c r="L124" s="385"/>
      <c r="M124" s="386"/>
      <c r="N124" s="387"/>
      <c r="O124" s="386"/>
      <c r="P124" s="388"/>
    </row>
    <row r="125" spans="1:16">
      <c r="A125" s="383">
        <v>8</v>
      </c>
      <c r="B125" s="384">
        <v>442</v>
      </c>
      <c r="C125" s="385">
        <v>11579995</v>
      </c>
      <c r="D125" s="385">
        <v>1865</v>
      </c>
      <c r="E125" s="386" t="s">
        <v>578</v>
      </c>
      <c r="F125" s="387" t="s">
        <v>579</v>
      </c>
      <c r="G125" s="386" t="s">
        <v>700</v>
      </c>
      <c r="H125" s="386" t="s">
        <v>579</v>
      </c>
      <c r="I125" s="385"/>
      <c r="J125" s="385"/>
      <c r="K125" s="385"/>
      <c r="L125" s="385"/>
      <c r="M125" s="386"/>
      <c r="N125" s="387"/>
      <c r="O125" s="386"/>
      <c r="P125" s="388"/>
    </row>
    <row r="126" spans="1:16">
      <c r="A126" s="383">
        <v>6</v>
      </c>
      <c r="B126" s="384">
        <v>341</v>
      </c>
      <c r="C126" s="385">
        <v>2113921</v>
      </c>
      <c r="D126" s="385">
        <v>5414</v>
      </c>
      <c r="E126" s="386" t="s">
        <v>578</v>
      </c>
      <c r="F126" s="387" t="s">
        <v>579</v>
      </c>
      <c r="G126" s="386" t="s">
        <v>701</v>
      </c>
      <c r="H126" s="386" t="s">
        <v>579</v>
      </c>
      <c r="I126" s="385"/>
      <c r="J126" s="385"/>
      <c r="K126" s="385"/>
      <c r="L126" s="385"/>
      <c r="M126" s="386"/>
      <c r="N126" s="387"/>
      <c r="O126" s="386"/>
      <c r="P126" s="388"/>
    </row>
    <row r="127" spans="1:16">
      <c r="A127" s="383">
        <v>13</v>
      </c>
      <c r="B127" s="384">
        <v>2790</v>
      </c>
      <c r="C127" s="385">
        <v>11581712</v>
      </c>
      <c r="D127" s="385">
        <v>59279</v>
      </c>
      <c r="E127" s="386" t="s">
        <v>578</v>
      </c>
      <c r="F127" s="387" t="s">
        <v>579</v>
      </c>
      <c r="G127" s="386" t="s">
        <v>702</v>
      </c>
      <c r="H127" s="386" t="s">
        <v>579</v>
      </c>
      <c r="I127" s="385"/>
      <c r="J127" s="385"/>
      <c r="K127" s="385"/>
      <c r="L127" s="385"/>
      <c r="M127" s="386"/>
      <c r="N127" s="387"/>
      <c r="O127" s="386"/>
      <c r="P127" s="388"/>
    </row>
    <row r="128" spans="1:16">
      <c r="A128" s="383">
        <v>21</v>
      </c>
      <c r="B128" s="384">
        <v>4256</v>
      </c>
      <c r="C128" s="385">
        <v>11581692</v>
      </c>
      <c r="D128" s="385">
        <v>67812</v>
      </c>
      <c r="E128" s="386" t="s">
        <v>578</v>
      </c>
      <c r="F128" s="387" t="s">
        <v>579</v>
      </c>
      <c r="G128" s="386" t="s">
        <v>703</v>
      </c>
      <c r="H128" s="386" t="s">
        <v>579</v>
      </c>
      <c r="I128" s="385"/>
      <c r="J128" s="385"/>
      <c r="K128" s="385"/>
      <c r="L128" s="385"/>
      <c r="M128" s="386"/>
      <c r="N128" s="387"/>
      <c r="O128" s="386"/>
      <c r="P128" s="388"/>
    </row>
    <row r="129" spans="1:16">
      <c r="A129" s="383">
        <v>5</v>
      </c>
      <c r="B129" s="384">
        <v>5196</v>
      </c>
      <c r="C129" s="385">
        <v>2904484</v>
      </c>
      <c r="D129" s="385">
        <v>81351</v>
      </c>
      <c r="E129" s="386" t="s">
        <v>578</v>
      </c>
      <c r="F129" s="387" t="s">
        <v>579</v>
      </c>
      <c r="G129" s="386" t="s">
        <v>704</v>
      </c>
      <c r="H129" s="386" t="s">
        <v>579</v>
      </c>
      <c r="I129" s="385"/>
      <c r="J129" s="385"/>
      <c r="K129" s="385"/>
      <c r="L129" s="385"/>
      <c r="M129" s="386"/>
      <c r="N129" s="387"/>
      <c r="O129" s="386"/>
      <c r="P129" s="388"/>
    </row>
    <row r="130" spans="1:16">
      <c r="A130" s="383">
        <v>9</v>
      </c>
      <c r="B130" s="384">
        <v>4617</v>
      </c>
      <c r="C130" s="385">
        <v>11583628</v>
      </c>
      <c r="D130" s="385">
        <v>132455</v>
      </c>
      <c r="E130" s="386" t="s">
        <v>578</v>
      </c>
      <c r="F130" s="387" t="s">
        <v>579</v>
      </c>
      <c r="G130" s="386" t="s">
        <v>705</v>
      </c>
      <c r="H130" s="386" t="s">
        <v>579</v>
      </c>
      <c r="I130" s="385"/>
      <c r="J130" s="385"/>
      <c r="K130" s="385"/>
      <c r="L130" s="385"/>
      <c r="M130" s="386"/>
      <c r="N130" s="387"/>
      <c r="O130" s="386"/>
      <c r="P130" s="388"/>
    </row>
    <row r="131" spans="1:16">
      <c r="A131" s="383">
        <v>8</v>
      </c>
      <c r="B131" s="384">
        <v>2303</v>
      </c>
      <c r="C131" s="385">
        <v>11580000</v>
      </c>
      <c r="D131" s="385">
        <v>224272</v>
      </c>
      <c r="E131" s="386" t="s">
        <v>578</v>
      </c>
      <c r="F131" s="387" t="s">
        <v>579</v>
      </c>
      <c r="G131" s="386" t="s">
        <v>706</v>
      </c>
      <c r="H131" s="386" t="s">
        <v>579</v>
      </c>
      <c r="I131" s="385"/>
      <c r="J131" s="385"/>
      <c r="K131" s="385"/>
      <c r="L131" s="385"/>
      <c r="M131" s="386"/>
      <c r="N131" s="387"/>
      <c r="O131" s="386"/>
      <c r="P131" s="388"/>
    </row>
    <row r="132" spans="1:16">
      <c r="A132" s="383">
        <v>65</v>
      </c>
      <c r="B132" s="384">
        <v>7531</v>
      </c>
      <c r="C132" s="385">
        <v>11579371</v>
      </c>
      <c r="D132" s="385">
        <v>224680</v>
      </c>
      <c r="E132" s="386" t="s">
        <v>578</v>
      </c>
      <c r="F132" s="387" t="s">
        <v>579</v>
      </c>
      <c r="G132" s="386" t="s">
        <v>707</v>
      </c>
      <c r="H132" s="386" t="s">
        <v>579</v>
      </c>
      <c r="I132" s="385"/>
      <c r="J132" s="385"/>
      <c r="K132" s="385"/>
      <c r="L132" s="385"/>
      <c r="M132" s="386"/>
      <c r="N132" s="387"/>
      <c r="O132" s="386"/>
      <c r="P132" s="388"/>
    </row>
    <row r="133" spans="1:16">
      <c r="A133" s="383">
        <v>191</v>
      </c>
      <c r="B133" s="384">
        <v>142</v>
      </c>
      <c r="C133" s="385">
        <v>11584075</v>
      </c>
      <c r="D133" s="385">
        <v>240949</v>
      </c>
      <c r="E133" s="386" t="s">
        <v>578</v>
      </c>
      <c r="F133" s="387" t="s">
        <v>579</v>
      </c>
      <c r="G133" s="386" t="s">
        <v>708</v>
      </c>
      <c r="H133" s="386" t="s">
        <v>579</v>
      </c>
      <c r="I133" s="385"/>
      <c r="J133" s="385"/>
      <c r="K133" s="385"/>
      <c r="L133" s="385"/>
      <c r="M133" s="386"/>
      <c r="N133" s="387"/>
      <c r="O133" s="386"/>
      <c r="P133" s="388"/>
    </row>
    <row r="134" spans="1:16">
      <c r="A134" s="383">
        <v>9</v>
      </c>
      <c r="B134" s="384">
        <v>129</v>
      </c>
      <c r="C134" s="385">
        <v>11565116</v>
      </c>
      <c r="D134" s="385">
        <v>7468</v>
      </c>
      <c r="E134" s="386" t="s">
        <v>578</v>
      </c>
      <c r="F134" s="387" t="s">
        <v>579</v>
      </c>
      <c r="G134" s="386" t="s">
        <v>709</v>
      </c>
      <c r="H134" s="386" t="s">
        <v>579</v>
      </c>
      <c r="I134" s="385"/>
      <c r="J134" s="385"/>
      <c r="K134" s="385"/>
      <c r="L134" s="385"/>
      <c r="M134" s="386"/>
      <c r="N134" s="387"/>
      <c r="O134" s="386"/>
      <c r="P134" s="388"/>
    </row>
    <row r="135" spans="1:16">
      <c r="A135" s="383">
        <v>7</v>
      </c>
      <c r="B135" s="384">
        <v>4177</v>
      </c>
      <c r="C135" s="385">
        <v>3298143</v>
      </c>
      <c r="D135" s="385">
        <v>37939</v>
      </c>
      <c r="E135" s="386" t="s">
        <v>578</v>
      </c>
      <c r="F135" s="387" t="s">
        <v>579</v>
      </c>
      <c r="G135" s="386" t="s">
        <v>710</v>
      </c>
      <c r="H135" s="386" t="s">
        <v>579</v>
      </c>
      <c r="I135" s="385"/>
      <c r="J135" s="385"/>
      <c r="K135" s="385"/>
      <c r="L135" s="385"/>
      <c r="M135" s="386"/>
      <c r="N135" s="387"/>
      <c r="O135" s="386"/>
      <c r="P135" s="388"/>
    </row>
    <row r="136" spans="1:16">
      <c r="A136" s="383">
        <v>77</v>
      </c>
      <c r="B136" s="384">
        <v>244</v>
      </c>
      <c r="C136" s="385">
        <v>11564189</v>
      </c>
      <c r="D136" s="385">
        <v>38332</v>
      </c>
      <c r="E136" s="386" t="s">
        <v>578</v>
      </c>
      <c r="F136" s="387" t="s">
        <v>579</v>
      </c>
      <c r="G136" s="386" t="s">
        <v>711</v>
      </c>
      <c r="H136" s="386" t="s">
        <v>579</v>
      </c>
      <c r="I136" s="385"/>
      <c r="J136" s="385"/>
      <c r="K136" s="385"/>
      <c r="L136" s="385"/>
      <c r="M136" s="386"/>
      <c r="N136" s="387"/>
      <c r="O136" s="386"/>
      <c r="P136" s="388"/>
    </row>
    <row r="137" spans="1:16">
      <c r="A137" s="383">
        <v>35</v>
      </c>
      <c r="B137" s="384">
        <v>35</v>
      </c>
      <c r="C137" s="385">
        <v>11565161</v>
      </c>
      <c r="D137" s="385">
        <v>41344</v>
      </c>
      <c r="E137" s="386" t="s">
        <v>578</v>
      </c>
      <c r="F137" s="387" t="s">
        <v>579</v>
      </c>
      <c r="G137" s="386" t="s">
        <v>712</v>
      </c>
      <c r="H137" s="386" t="s">
        <v>579</v>
      </c>
      <c r="I137" s="385"/>
      <c r="J137" s="385"/>
      <c r="K137" s="385"/>
      <c r="L137" s="385"/>
      <c r="M137" s="386"/>
      <c r="N137" s="387"/>
      <c r="O137" s="386"/>
      <c r="P137" s="388"/>
    </row>
    <row r="138" spans="1:16">
      <c r="A138" s="383">
        <v>56</v>
      </c>
      <c r="B138" s="384">
        <v>56</v>
      </c>
      <c r="C138" s="385">
        <v>11566085</v>
      </c>
      <c r="D138" s="385">
        <v>51462</v>
      </c>
      <c r="E138" s="386" t="s">
        <v>578</v>
      </c>
      <c r="F138" s="387" t="s">
        <v>579</v>
      </c>
      <c r="G138" s="386" t="s">
        <v>713</v>
      </c>
      <c r="H138" s="386" t="s">
        <v>579</v>
      </c>
      <c r="I138" s="385"/>
      <c r="J138" s="385"/>
      <c r="K138" s="385"/>
      <c r="L138" s="385"/>
      <c r="M138" s="386"/>
      <c r="N138" s="387"/>
      <c r="O138" s="386"/>
      <c r="P138" s="388"/>
    </row>
    <row r="139" spans="1:16">
      <c r="A139" s="383">
        <v>16</v>
      </c>
      <c r="B139" s="384">
        <v>663</v>
      </c>
      <c r="C139" s="385">
        <v>11563143</v>
      </c>
      <c r="D139" s="385">
        <v>58626</v>
      </c>
      <c r="E139" s="386" t="s">
        <v>578</v>
      </c>
      <c r="F139" s="387" t="s">
        <v>579</v>
      </c>
      <c r="G139" s="386" t="s">
        <v>714</v>
      </c>
      <c r="H139" s="386" t="s">
        <v>579</v>
      </c>
      <c r="I139" s="385"/>
      <c r="J139" s="385"/>
      <c r="K139" s="385"/>
      <c r="L139" s="385"/>
      <c r="M139" s="386"/>
      <c r="N139" s="387"/>
      <c r="O139" s="386"/>
      <c r="P139" s="388"/>
    </row>
    <row r="140" spans="1:16">
      <c r="A140" s="383">
        <v>18</v>
      </c>
      <c r="B140" s="384">
        <v>2998</v>
      </c>
      <c r="C140" s="385">
        <v>11564196</v>
      </c>
      <c r="D140" s="385">
        <v>71793</v>
      </c>
      <c r="E140" s="386" t="s">
        <v>578</v>
      </c>
      <c r="F140" s="387" t="s">
        <v>579</v>
      </c>
      <c r="G140" s="386" t="s">
        <v>715</v>
      </c>
      <c r="H140" s="386" t="s">
        <v>579</v>
      </c>
      <c r="I140" s="385"/>
      <c r="J140" s="385"/>
      <c r="K140" s="385"/>
      <c r="L140" s="385"/>
      <c r="M140" s="386"/>
      <c r="N140" s="387"/>
      <c r="O140" s="386"/>
      <c r="P140" s="388"/>
    </row>
    <row r="141" spans="1:16">
      <c r="A141" s="383">
        <v>57</v>
      </c>
      <c r="B141" s="384">
        <v>1742</v>
      </c>
      <c r="C141" s="385">
        <v>2933128</v>
      </c>
      <c r="D141" s="385">
        <v>73876</v>
      </c>
      <c r="E141" s="386" t="s">
        <v>578</v>
      </c>
      <c r="F141" s="387" t="s">
        <v>579</v>
      </c>
      <c r="G141" s="386" t="s">
        <v>716</v>
      </c>
      <c r="H141" s="386" t="s">
        <v>579</v>
      </c>
      <c r="I141" s="385"/>
      <c r="J141" s="385"/>
      <c r="K141" s="385"/>
      <c r="L141" s="385"/>
      <c r="M141" s="386"/>
      <c r="N141" s="387"/>
      <c r="O141" s="386"/>
      <c r="P141" s="388"/>
    </row>
    <row r="142" spans="1:16">
      <c r="A142" s="383">
        <v>1</v>
      </c>
      <c r="B142" s="384">
        <v>1050</v>
      </c>
      <c r="C142" s="385">
        <v>2890396</v>
      </c>
      <c r="D142" s="385">
        <v>94179</v>
      </c>
      <c r="E142" s="386" t="s">
        <v>578</v>
      </c>
      <c r="F142" s="387" t="s">
        <v>579</v>
      </c>
      <c r="G142" s="386" t="s">
        <v>717</v>
      </c>
      <c r="H142" s="386" t="s">
        <v>579</v>
      </c>
      <c r="I142" s="385"/>
      <c r="J142" s="385"/>
      <c r="K142" s="385"/>
      <c r="L142" s="385"/>
      <c r="M142" s="386"/>
      <c r="N142" s="387"/>
      <c r="O142" s="386"/>
      <c r="P142" s="388"/>
    </row>
    <row r="143" spans="1:16">
      <c r="A143" s="383">
        <v>110</v>
      </c>
      <c r="B143" s="384">
        <v>547</v>
      </c>
      <c r="C143" s="385">
        <v>11576914</v>
      </c>
      <c r="D143" s="385">
        <v>127695</v>
      </c>
      <c r="E143" s="386" t="s">
        <v>578</v>
      </c>
      <c r="F143" s="387" t="s">
        <v>579</v>
      </c>
      <c r="G143" s="386" t="s">
        <v>718</v>
      </c>
      <c r="H143" s="386" t="s">
        <v>579</v>
      </c>
      <c r="I143" s="385"/>
      <c r="J143" s="385"/>
      <c r="K143" s="385"/>
      <c r="L143" s="385"/>
      <c r="M143" s="386"/>
      <c r="N143" s="387"/>
      <c r="O143" s="386"/>
      <c r="P143" s="388"/>
    </row>
    <row r="144" spans="1:16">
      <c r="A144" s="383">
        <v>9</v>
      </c>
      <c r="B144" s="384">
        <v>4884</v>
      </c>
      <c r="C144" s="385">
        <v>11565103</v>
      </c>
      <c r="D144" s="385">
        <v>132722</v>
      </c>
      <c r="E144" s="386" t="s">
        <v>578</v>
      </c>
      <c r="F144" s="387" t="s">
        <v>579</v>
      </c>
      <c r="G144" s="386" t="s">
        <v>719</v>
      </c>
      <c r="H144" s="386" t="s">
        <v>579</v>
      </c>
      <c r="I144" s="385"/>
      <c r="J144" s="385"/>
      <c r="K144" s="385"/>
      <c r="L144" s="385"/>
      <c r="M144" s="386"/>
      <c r="N144" s="387"/>
      <c r="O144" s="386"/>
      <c r="P144" s="388"/>
    </row>
    <row r="145" spans="1:16">
      <c r="A145" s="383">
        <v>16</v>
      </c>
      <c r="B145" s="384">
        <v>1681</v>
      </c>
      <c r="C145" s="385">
        <v>11565136</v>
      </c>
      <c r="D145" s="385">
        <v>145530</v>
      </c>
      <c r="E145" s="386" t="s">
        <v>578</v>
      </c>
      <c r="F145" s="387" t="s">
        <v>579</v>
      </c>
      <c r="G145" s="386" t="s">
        <v>720</v>
      </c>
      <c r="H145" s="386" t="s">
        <v>579</v>
      </c>
      <c r="I145" s="385"/>
      <c r="J145" s="385"/>
      <c r="K145" s="385"/>
      <c r="L145" s="385"/>
      <c r="M145" s="386"/>
      <c r="N145" s="387"/>
      <c r="O145" s="386"/>
      <c r="P145" s="388"/>
    </row>
    <row r="146" spans="1:16">
      <c r="A146" s="383">
        <v>104</v>
      </c>
      <c r="B146" s="384">
        <v>2203</v>
      </c>
      <c r="C146" s="385">
        <v>1389622</v>
      </c>
      <c r="D146" s="385">
        <v>307323</v>
      </c>
      <c r="E146" s="386" t="s">
        <v>578</v>
      </c>
      <c r="F146" s="387" t="s">
        <v>579</v>
      </c>
      <c r="G146" s="386" t="s">
        <v>721</v>
      </c>
      <c r="H146" s="386" t="s">
        <v>579</v>
      </c>
      <c r="I146" s="385"/>
      <c r="J146" s="385"/>
      <c r="K146" s="385"/>
      <c r="L146" s="385"/>
      <c r="M146" s="386"/>
      <c r="N146" s="387"/>
      <c r="O146" s="386"/>
      <c r="P146" s="388"/>
    </row>
    <row r="147" spans="1:16">
      <c r="A147" s="383">
        <v>16</v>
      </c>
      <c r="B147" s="384">
        <v>216</v>
      </c>
      <c r="C147" s="385">
        <v>11581713</v>
      </c>
      <c r="D147" s="385">
        <v>7665</v>
      </c>
      <c r="E147" s="386" t="s">
        <v>578</v>
      </c>
      <c r="F147" s="387" t="s">
        <v>579</v>
      </c>
      <c r="G147" s="386" t="s">
        <v>722</v>
      </c>
      <c r="H147" s="386" t="s">
        <v>579</v>
      </c>
      <c r="I147" s="385"/>
      <c r="J147" s="385"/>
      <c r="K147" s="385"/>
      <c r="L147" s="385"/>
      <c r="M147" s="386"/>
      <c r="N147" s="387"/>
      <c r="O147" s="386"/>
      <c r="P147" s="388"/>
    </row>
    <row r="148" spans="1:16">
      <c r="A148" s="383">
        <v>9</v>
      </c>
      <c r="B148" s="384">
        <v>420</v>
      </c>
      <c r="C148" s="385">
        <v>11583623</v>
      </c>
      <c r="D148" s="385">
        <v>31842</v>
      </c>
      <c r="E148" s="386" t="s">
        <v>578</v>
      </c>
      <c r="F148" s="387" t="s">
        <v>579</v>
      </c>
      <c r="G148" s="386" t="s">
        <v>723</v>
      </c>
      <c r="H148" s="386" t="s">
        <v>579</v>
      </c>
      <c r="I148" s="385"/>
      <c r="J148" s="385"/>
      <c r="K148" s="385"/>
      <c r="L148" s="385"/>
      <c r="M148" s="386"/>
      <c r="N148" s="387"/>
      <c r="O148" s="386"/>
      <c r="P148" s="388"/>
    </row>
    <row r="149" spans="1:16">
      <c r="A149" s="383">
        <v>70</v>
      </c>
      <c r="B149" s="384">
        <v>11</v>
      </c>
      <c r="C149" s="385">
        <v>11582192</v>
      </c>
      <c r="D149" s="385">
        <v>36592</v>
      </c>
      <c r="E149" s="386" t="s">
        <v>578</v>
      </c>
      <c r="F149" s="387" t="s">
        <v>579</v>
      </c>
      <c r="G149" s="386" t="s">
        <v>724</v>
      </c>
      <c r="H149" s="386" t="s">
        <v>579</v>
      </c>
      <c r="I149" s="385"/>
      <c r="J149" s="385"/>
      <c r="K149" s="385"/>
      <c r="L149" s="385"/>
      <c r="M149" s="386"/>
      <c r="N149" s="387"/>
      <c r="O149" s="386"/>
      <c r="P149" s="388"/>
    </row>
    <row r="150" spans="1:16">
      <c r="A150" s="383">
        <v>140</v>
      </c>
      <c r="B150" s="384">
        <v>77</v>
      </c>
      <c r="C150" s="385">
        <v>1176360</v>
      </c>
      <c r="D150" s="385">
        <v>50213</v>
      </c>
      <c r="E150" s="386" t="s">
        <v>578</v>
      </c>
      <c r="F150" s="387" t="s">
        <v>579</v>
      </c>
      <c r="G150" s="386" t="s">
        <v>725</v>
      </c>
      <c r="H150" s="386" t="s">
        <v>579</v>
      </c>
      <c r="I150" s="385"/>
      <c r="J150" s="385"/>
      <c r="K150" s="385"/>
      <c r="L150" s="385"/>
      <c r="M150" s="386"/>
      <c r="N150" s="387"/>
      <c r="O150" s="386"/>
      <c r="P150" s="388"/>
    </row>
    <row r="151" spans="1:16">
      <c r="A151" s="383">
        <v>17</v>
      </c>
      <c r="B151" s="384">
        <v>1043</v>
      </c>
      <c r="C151" s="385">
        <v>11579991</v>
      </c>
      <c r="D151" s="385">
        <v>66772</v>
      </c>
      <c r="E151" s="386" t="s">
        <v>578</v>
      </c>
      <c r="F151" s="387" t="s">
        <v>579</v>
      </c>
      <c r="G151" s="386" t="s">
        <v>726</v>
      </c>
      <c r="H151" s="386" t="s">
        <v>579</v>
      </c>
      <c r="I151" s="385"/>
      <c r="J151" s="385"/>
      <c r="K151" s="385"/>
      <c r="L151" s="385"/>
      <c r="M151" s="386"/>
      <c r="N151" s="387"/>
      <c r="O151" s="386"/>
      <c r="P151" s="388"/>
    </row>
    <row r="152" spans="1:16">
      <c r="A152" s="383">
        <v>9</v>
      </c>
      <c r="B152" s="384">
        <v>2217</v>
      </c>
      <c r="C152" s="385">
        <v>2385170</v>
      </c>
      <c r="D152" s="385">
        <v>73682</v>
      </c>
      <c r="E152" s="386" t="s">
        <v>578</v>
      </c>
      <c r="F152" s="387" t="s">
        <v>579</v>
      </c>
      <c r="G152" s="386" t="s">
        <v>727</v>
      </c>
      <c r="H152" s="386" t="s">
        <v>579</v>
      </c>
      <c r="I152" s="385"/>
      <c r="J152" s="385"/>
      <c r="K152" s="385"/>
      <c r="L152" s="385"/>
      <c r="M152" s="386"/>
      <c r="N152" s="387"/>
      <c r="O152" s="386"/>
      <c r="P152" s="388"/>
    </row>
    <row r="153" spans="1:16">
      <c r="A153" s="383">
        <v>9</v>
      </c>
      <c r="B153" s="384">
        <v>4107</v>
      </c>
      <c r="C153" s="385">
        <v>2752214</v>
      </c>
      <c r="D153" s="385">
        <v>103118</v>
      </c>
      <c r="E153" s="386" t="s">
        <v>578</v>
      </c>
      <c r="F153" s="387" t="s">
        <v>579</v>
      </c>
      <c r="G153" s="386" t="s">
        <v>728</v>
      </c>
      <c r="H153" s="386" t="s">
        <v>579</v>
      </c>
      <c r="I153" s="385"/>
      <c r="J153" s="385"/>
      <c r="K153" s="385"/>
      <c r="L153" s="385"/>
      <c r="M153" s="386"/>
      <c r="N153" s="387"/>
      <c r="O153" s="386"/>
      <c r="P153" s="388"/>
    </row>
    <row r="154" spans="1:16">
      <c r="A154" s="383">
        <v>6</v>
      </c>
      <c r="B154" s="384">
        <v>4490</v>
      </c>
      <c r="C154" s="385">
        <v>11584079</v>
      </c>
      <c r="D154" s="385">
        <v>105709</v>
      </c>
      <c r="E154" s="386" t="s">
        <v>578</v>
      </c>
      <c r="F154" s="387" t="s">
        <v>579</v>
      </c>
      <c r="G154" s="386" t="s">
        <v>729</v>
      </c>
      <c r="H154" s="386" t="s">
        <v>579</v>
      </c>
      <c r="I154" s="385"/>
      <c r="J154" s="385"/>
      <c r="K154" s="385"/>
      <c r="L154" s="385"/>
      <c r="M154" s="386"/>
      <c r="N154" s="387"/>
      <c r="O154" s="386"/>
      <c r="P154" s="388"/>
    </row>
    <row r="155" spans="1:16">
      <c r="A155" s="383">
        <v>17</v>
      </c>
      <c r="B155" s="384">
        <v>2456</v>
      </c>
      <c r="C155" s="385">
        <v>1074387</v>
      </c>
      <c r="D155" s="385">
        <v>125649</v>
      </c>
      <c r="E155" s="386" t="s">
        <v>578</v>
      </c>
      <c r="F155" s="387" t="s">
        <v>579</v>
      </c>
      <c r="G155" s="386" t="s">
        <v>730</v>
      </c>
      <c r="H155" s="386" t="s">
        <v>579</v>
      </c>
      <c r="I155" s="385"/>
      <c r="J155" s="385"/>
      <c r="K155" s="385"/>
      <c r="L155" s="385"/>
      <c r="M155" s="386"/>
      <c r="N155" s="387"/>
      <c r="O155" s="386"/>
      <c r="P155" s="388"/>
    </row>
    <row r="156" spans="1:16">
      <c r="A156" s="383">
        <v>6</v>
      </c>
      <c r="B156" s="384">
        <v>5589</v>
      </c>
      <c r="C156" s="385">
        <v>11584068</v>
      </c>
      <c r="D156" s="385">
        <v>129044</v>
      </c>
      <c r="E156" s="386" t="s">
        <v>578</v>
      </c>
      <c r="F156" s="387" t="s">
        <v>579</v>
      </c>
      <c r="G156" s="386" t="s">
        <v>731</v>
      </c>
      <c r="H156" s="386" t="s">
        <v>579</v>
      </c>
      <c r="I156" s="385"/>
      <c r="J156" s="385"/>
      <c r="K156" s="385"/>
      <c r="L156" s="385"/>
      <c r="M156" s="386"/>
      <c r="N156" s="387"/>
      <c r="O156" s="386"/>
      <c r="P156" s="388"/>
    </row>
    <row r="157" spans="1:16">
      <c r="A157" s="383">
        <v>37</v>
      </c>
      <c r="B157" s="384">
        <v>1122</v>
      </c>
      <c r="C157" s="385">
        <v>11579374</v>
      </c>
      <c r="D157" s="385">
        <v>132235</v>
      </c>
      <c r="E157" s="386" t="s">
        <v>578</v>
      </c>
      <c r="F157" s="387" t="s">
        <v>579</v>
      </c>
      <c r="G157" s="386" t="s">
        <v>732</v>
      </c>
      <c r="H157" s="386" t="s">
        <v>579</v>
      </c>
      <c r="I157" s="385"/>
      <c r="J157" s="385"/>
      <c r="K157" s="385"/>
      <c r="L157" s="385"/>
      <c r="M157" s="386"/>
      <c r="N157" s="387"/>
      <c r="O157" s="386"/>
      <c r="P157" s="388"/>
    </row>
    <row r="158" spans="1:16">
      <c r="A158" s="383">
        <v>429</v>
      </c>
      <c r="B158" s="384">
        <v>214</v>
      </c>
      <c r="C158" s="385">
        <v>11582209</v>
      </c>
      <c r="D158" s="385">
        <v>581016</v>
      </c>
      <c r="E158" s="386" t="s">
        <v>578</v>
      </c>
      <c r="F158" s="387" t="s">
        <v>579</v>
      </c>
      <c r="G158" s="386" t="s">
        <v>733</v>
      </c>
      <c r="H158" s="386" t="s">
        <v>579</v>
      </c>
      <c r="I158" s="385"/>
      <c r="J158" s="385"/>
      <c r="K158" s="385"/>
      <c r="L158" s="385"/>
      <c r="M158" s="386"/>
      <c r="N158" s="387"/>
      <c r="O158" s="386"/>
      <c r="P158" s="388"/>
    </row>
    <row r="159" spans="1:16">
      <c r="A159" s="383">
        <v>5</v>
      </c>
      <c r="B159" s="384">
        <v>10563</v>
      </c>
      <c r="C159" s="385">
        <v>2448497</v>
      </c>
      <c r="D159" s="385">
        <v>1000963</v>
      </c>
      <c r="E159" s="386" t="s">
        <v>578</v>
      </c>
      <c r="F159" s="387" t="s">
        <v>579</v>
      </c>
      <c r="G159" s="386" t="s">
        <v>734</v>
      </c>
      <c r="H159" s="386" t="s">
        <v>579</v>
      </c>
      <c r="I159" s="385"/>
      <c r="J159" s="385"/>
      <c r="K159" s="385"/>
      <c r="L159" s="385"/>
      <c r="M159" s="386"/>
      <c r="N159" s="387"/>
      <c r="O159" s="386"/>
      <c r="P159" s="388"/>
    </row>
    <row r="160" spans="1:16">
      <c r="A160" s="383">
        <v>8</v>
      </c>
      <c r="B160" s="384">
        <v>2819</v>
      </c>
      <c r="C160" s="385">
        <v>2461853</v>
      </c>
      <c r="D160" s="385">
        <v>1169724</v>
      </c>
      <c r="E160" s="386" t="s">
        <v>578</v>
      </c>
      <c r="F160" s="387" t="s">
        <v>579</v>
      </c>
      <c r="G160" s="386" t="s">
        <v>735</v>
      </c>
      <c r="H160" s="386" t="s">
        <v>579</v>
      </c>
      <c r="I160" s="385"/>
      <c r="J160" s="385"/>
      <c r="K160" s="385"/>
      <c r="L160" s="385"/>
      <c r="M160" s="386"/>
      <c r="N160" s="387"/>
      <c r="O160" s="386"/>
      <c r="P160" s="388"/>
    </row>
    <row r="161" spans="1:16">
      <c r="A161" s="383">
        <v>7</v>
      </c>
      <c r="B161" s="384">
        <v>476</v>
      </c>
      <c r="C161" s="385">
        <v>11565605</v>
      </c>
      <c r="D161" s="385">
        <v>3036</v>
      </c>
      <c r="E161" s="386" t="s">
        <v>578</v>
      </c>
      <c r="F161" s="387" t="s">
        <v>579</v>
      </c>
      <c r="G161" s="386" t="s">
        <v>736</v>
      </c>
      <c r="H161" s="386" t="s">
        <v>579</v>
      </c>
      <c r="I161" s="385"/>
      <c r="J161" s="385"/>
      <c r="K161" s="385"/>
      <c r="L161" s="385"/>
      <c r="M161" s="386"/>
      <c r="N161" s="387"/>
      <c r="O161" s="386"/>
      <c r="P161" s="388"/>
    </row>
    <row r="162" spans="1:16">
      <c r="A162" s="383">
        <v>14</v>
      </c>
      <c r="B162" s="384">
        <v>991</v>
      </c>
      <c r="C162" s="385">
        <v>11564665</v>
      </c>
      <c r="D162" s="385">
        <v>17319</v>
      </c>
      <c r="E162" s="386" t="s">
        <v>578</v>
      </c>
      <c r="F162" s="387" t="s">
        <v>579</v>
      </c>
      <c r="G162" s="386" t="s">
        <v>737</v>
      </c>
      <c r="H162" s="386" t="s">
        <v>579</v>
      </c>
      <c r="I162" s="385"/>
      <c r="J162" s="385"/>
      <c r="K162" s="385"/>
      <c r="L162" s="385"/>
      <c r="M162" s="386"/>
      <c r="N162" s="387"/>
      <c r="O162" s="386"/>
      <c r="P162" s="388"/>
    </row>
    <row r="163" spans="1:16">
      <c r="A163" s="383">
        <v>100</v>
      </c>
      <c r="B163" s="384">
        <v>93</v>
      </c>
      <c r="C163" s="385">
        <v>2993857</v>
      </c>
      <c r="D163" s="385">
        <v>24450</v>
      </c>
      <c r="E163" s="386" t="s">
        <v>578</v>
      </c>
      <c r="F163" s="387" t="s">
        <v>579</v>
      </c>
      <c r="G163" s="386" t="s">
        <v>738</v>
      </c>
      <c r="H163" s="386" t="s">
        <v>579</v>
      </c>
      <c r="I163" s="385"/>
      <c r="J163" s="385"/>
      <c r="K163" s="385"/>
      <c r="L163" s="385"/>
      <c r="M163" s="386"/>
      <c r="N163" s="387"/>
      <c r="O163" s="386"/>
      <c r="P163" s="388"/>
    </row>
    <row r="164" spans="1:16">
      <c r="A164" s="383">
        <v>15</v>
      </c>
      <c r="B164" s="384">
        <v>2585</v>
      </c>
      <c r="C164" s="385">
        <v>11566077</v>
      </c>
      <c r="D164" s="385">
        <v>26912</v>
      </c>
      <c r="E164" s="386" t="s">
        <v>578</v>
      </c>
      <c r="F164" s="387" t="s">
        <v>579</v>
      </c>
      <c r="G164" s="386" t="s">
        <v>739</v>
      </c>
      <c r="H164" s="386" t="s">
        <v>579</v>
      </c>
      <c r="I164" s="385"/>
      <c r="J164" s="385"/>
      <c r="K164" s="385"/>
      <c r="L164" s="385"/>
      <c r="M164" s="386"/>
      <c r="N164" s="387"/>
      <c r="O164" s="386"/>
      <c r="P164" s="388"/>
    </row>
    <row r="165" spans="1:16">
      <c r="A165" s="383">
        <v>83</v>
      </c>
      <c r="B165" s="384">
        <v>4</v>
      </c>
      <c r="C165" s="385">
        <v>11563142</v>
      </c>
      <c r="D165" s="385">
        <v>45729</v>
      </c>
      <c r="E165" s="386" t="s">
        <v>578</v>
      </c>
      <c r="F165" s="387" t="s">
        <v>579</v>
      </c>
      <c r="G165" s="386" t="s">
        <v>740</v>
      </c>
      <c r="H165" s="386" t="s">
        <v>579</v>
      </c>
      <c r="I165" s="385"/>
      <c r="J165" s="385"/>
      <c r="K165" s="385"/>
      <c r="L165" s="385"/>
      <c r="M165" s="386"/>
      <c r="N165" s="387"/>
      <c r="O165" s="386"/>
      <c r="P165" s="388"/>
    </row>
    <row r="166" spans="1:16">
      <c r="A166" s="383">
        <v>7</v>
      </c>
      <c r="B166" s="384">
        <v>4632</v>
      </c>
      <c r="C166" s="385">
        <v>11565609</v>
      </c>
      <c r="D166" s="385">
        <v>104322</v>
      </c>
      <c r="E166" s="386" t="s">
        <v>578</v>
      </c>
      <c r="F166" s="387" t="s">
        <v>579</v>
      </c>
      <c r="G166" s="386" t="s">
        <v>741</v>
      </c>
      <c r="H166" s="386" t="s">
        <v>579</v>
      </c>
      <c r="I166" s="385"/>
      <c r="J166" s="385"/>
      <c r="K166" s="385"/>
      <c r="L166" s="385"/>
      <c r="M166" s="386"/>
      <c r="N166" s="387"/>
      <c r="O166" s="386"/>
      <c r="P166" s="388"/>
    </row>
    <row r="167" spans="1:16">
      <c r="A167" s="383">
        <v>12</v>
      </c>
      <c r="B167" s="384">
        <v>15426</v>
      </c>
      <c r="C167" s="385">
        <v>1774966</v>
      </c>
      <c r="D167" s="385">
        <v>241262</v>
      </c>
      <c r="E167" s="386" t="s">
        <v>578</v>
      </c>
      <c r="F167" s="387" t="s">
        <v>579</v>
      </c>
      <c r="G167" s="386" t="s">
        <v>742</v>
      </c>
      <c r="H167" s="386" t="s">
        <v>579</v>
      </c>
      <c r="I167" s="385"/>
      <c r="J167" s="385"/>
      <c r="K167" s="385"/>
      <c r="L167" s="385"/>
      <c r="M167" s="386"/>
      <c r="N167" s="387"/>
      <c r="O167" s="386"/>
      <c r="P167" s="388"/>
    </row>
    <row r="168" spans="1:16">
      <c r="A168" s="383">
        <v>27</v>
      </c>
      <c r="B168" s="384">
        <v>12</v>
      </c>
      <c r="C168" s="385">
        <v>11580878</v>
      </c>
      <c r="D168" s="385">
        <v>9880</v>
      </c>
      <c r="E168" s="386" t="s">
        <v>578</v>
      </c>
      <c r="F168" s="387" t="s">
        <v>579</v>
      </c>
      <c r="G168" s="386" t="s">
        <v>743</v>
      </c>
      <c r="H168" s="386" t="s">
        <v>579</v>
      </c>
      <c r="I168" s="385"/>
      <c r="J168" s="385"/>
      <c r="K168" s="385"/>
      <c r="L168" s="385"/>
      <c r="M168" s="386"/>
      <c r="N168" s="387"/>
      <c r="O168" s="386"/>
      <c r="P168" s="388"/>
    </row>
    <row r="169" spans="1:16">
      <c r="A169" s="383">
        <v>21</v>
      </c>
      <c r="B169" s="384">
        <v>2218</v>
      </c>
      <c r="C169" s="385">
        <v>11581682</v>
      </c>
      <c r="D169" s="385">
        <v>43371</v>
      </c>
      <c r="E169" s="386" t="s">
        <v>578</v>
      </c>
      <c r="F169" s="387" t="s">
        <v>579</v>
      </c>
      <c r="G169" s="386" t="s">
        <v>744</v>
      </c>
      <c r="H169" s="386" t="s">
        <v>579</v>
      </c>
      <c r="I169" s="385"/>
      <c r="J169" s="385"/>
      <c r="K169" s="385"/>
      <c r="L169" s="385"/>
      <c r="M169" s="386"/>
      <c r="N169" s="387"/>
      <c r="O169" s="386"/>
      <c r="P169" s="388"/>
    </row>
    <row r="170" spans="1:16">
      <c r="A170" s="383">
        <v>71</v>
      </c>
      <c r="B170" s="384">
        <v>3379</v>
      </c>
      <c r="C170" s="385">
        <v>2938508</v>
      </c>
      <c r="D170" s="385">
        <v>72600</v>
      </c>
      <c r="E170" s="386" t="s">
        <v>578</v>
      </c>
      <c r="F170" s="387" t="s">
        <v>579</v>
      </c>
      <c r="G170" s="386" t="s">
        <v>745</v>
      </c>
      <c r="H170" s="386" t="s">
        <v>579</v>
      </c>
      <c r="I170" s="385"/>
      <c r="J170" s="385"/>
      <c r="K170" s="385"/>
      <c r="L170" s="385"/>
      <c r="M170" s="386"/>
      <c r="N170" s="387"/>
      <c r="O170" s="386"/>
      <c r="P170" s="388"/>
    </row>
    <row r="171" spans="1:16">
      <c r="A171" s="383">
        <v>140</v>
      </c>
      <c r="B171" s="384">
        <v>1414</v>
      </c>
      <c r="C171" s="385">
        <v>11582200</v>
      </c>
      <c r="D171" s="385">
        <v>83783</v>
      </c>
      <c r="E171" s="386" t="s">
        <v>578</v>
      </c>
      <c r="F171" s="387" t="s">
        <v>579</v>
      </c>
      <c r="G171" s="386" t="s">
        <v>746</v>
      </c>
      <c r="H171" s="386" t="s">
        <v>579</v>
      </c>
      <c r="I171" s="385"/>
      <c r="J171" s="385"/>
      <c r="K171" s="385"/>
      <c r="L171" s="385"/>
      <c r="M171" s="386"/>
      <c r="N171" s="387"/>
      <c r="O171" s="386"/>
      <c r="P171" s="388"/>
    </row>
    <row r="172" spans="1:16">
      <c r="A172" s="389">
        <v>75</v>
      </c>
      <c r="B172" s="390">
        <v>3546</v>
      </c>
      <c r="C172" s="391">
        <v>1396014</v>
      </c>
      <c r="D172" s="391">
        <v>137792</v>
      </c>
      <c r="E172" s="392" t="s">
        <v>578</v>
      </c>
      <c r="F172" s="393" t="s">
        <v>579</v>
      </c>
      <c r="G172" s="392" t="s">
        <v>747</v>
      </c>
      <c r="H172" s="392" t="s">
        <v>579</v>
      </c>
      <c r="I172" s="391"/>
      <c r="J172" s="391"/>
      <c r="K172" s="391"/>
      <c r="L172" s="391"/>
      <c r="M172" s="392"/>
      <c r="N172" s="393"/>
      <c r="O172" s="392"/>
      <c r="P172" s="394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20"/>
  <dimension ref="A1:P3"/>
  <sheetViews>
    <sheetView topLeftCell="E1" zoomScale="145" zoomScaleNormal="145" workbookViewId="0">
      <pane ySplit="2" topLeftCell="A3" activePane="bottomLeft" state="frozen"/>
      <selection activeCell="A3" sqref="A3"/>
      <selection pane="bottomLeft" activeCell="N3" sqref="N3"/>
    </sheetView>
  </sheetViews>
  <sheetFormatPr defaultRowHeight="15"/>
  <cols>
    <col min="1" max="1" width="14.140625" customWidth="1"/>
    <col min="2" max="2" width="9.5703125" style="259" customWidth="1"/>
    <col min="3" max="3" width="10.140625" style="259" customWidth="1"/>
    <col min="4" max="4" width="8.28515625" style="259" customWidth="1"/>
    <col min="5" max="6" width="11.140625" customWidth="1"/>
    <col min="7" max="8" width="7.140625" style="259" customWidth="1"/>
    <col min="9" max="9" width="16.140625" customWidth="1"/>
    <col min="10" max="10" width="11.42578125" customWidth="1"/>
    <col min="11" max="11" width="12.85546875" customWidth="1"/>
    <col min="12" max="12" width="10.28515625" style="259" customWidth="1"/>
    <col min="13" max="13" width="27.42578125" style="259" customWidth="1"/>
    <col min="14" max="14" width="36.5703125" customWidth="1"/>
  </cols>
  <sheetData>
    <row r="1" spans="1:16" ht="75" customHeight="1">
      <c r="A1" s="319" t="s">
        <v>570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244"/>
      <c r="P1" s="244"/>
    </row>
    <row r="2" spans="1:16" ht="45" customHeight="1">
      <c r="A2" s="245" t="s">
        <v>461</v>
      </c>
      <c r="B2" s="245" t="s">
        <v>572</v>
      </c>
      <c r="C2" s="245" t="s">
        <v>484</v>
      </c>
      <c r="D2" s="245" t="s">
        <v>571</v>
      </c>
      <c r="E2" s="245" t="s">
        <v>329</v>
      </c>
      <c r="F2" s="245" t="s">
        <v>432</v>
      </c>
      <c r="G2" s="245" t="s">
        <v>492</v>
      </c>
      <c r="H2" s="245" t="s">
        <v>493</v>
      </c>
      <c r="I2" s="246" t="s">
        <v>365</v>
      </c>
      <c r="J2" s="246" t="s">
        <v>573</v>
      </c>
      <c r="K2" s="246" t="s">
        <v>40</v>
      </c>
      <c r="L2" s="246" t="s">
        <v>57</v>
      </c>
      <c r="M2" s="246" t="s">
        <v>97</v>
      </c>
      <c r="N2" s="246" t="s">
        <v>497</v>
      </c>
    </row>
    <row r="3" spans="1:16">
      <c r="A3" s="293" t="s">
        <v>568</v>
      </c>
      <c r="B3" s="291"/>
      <c r="C3" s="291"/>
      <c r="D3" s="291"/>
      <c r="E3" s="270"/>
      <c r="F3" s="270"/>
      <c r="G3" s="270"/>
      <c r="H3" s="270"/>
      <c r="I3" s="279"/>
      <c r="J3" s="163"/>
      <c r="K3" s="166"/>
      <c r="L3" s="165"/>
      <c r="M3" s="280"/>
      <c r="N3" s="114"/>
    </row>
  </sheetData>
  <mergeCells count="1">
    <mergeCell ref="A1:N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319" t="s">
        <v>249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</row>
    <row r="2" spans="1:12" ht="44.25" customHeight="1">
      <c r="A2" s="347" t="s">
        <v>327</v>
      </c>
      <c r="B2" s="347"/>
      <c r="C2" s="347"/>
      <c r="D2" s="347" t="s">
        <v>58</v>
      </c>
      <c r="E2" s="347"/>
      <c r="F2" s="347" t="s">
        <v>62</v>
      </c>
      <c r="G2" s="347" t="s">
        <v>52</v>
      </c>
      <c r="H2" s="347" t="s">
        <v>328</v>
      </c>
      <c r="I2" s="347" t="s">
        <v>329</v>
      </c>
      <c r="J2" s="347" t="s">
        <v>3</v>
      </c>
      <c r="K2" s="347" t="s">
        <v>325</v>
      </c>
      <c r="L2" s="347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47"/>
      <c r="G3" s="347" t="s">
        <v>41</v>
      </c>
      <c r="H3" s="347" t="s">
        <v>325</v>
      </c>
      <c r="I3" s="347"/>
      <c r="J3" s="347"/>
      <c r="K3" s="347"/>
      <c r="L3" s="347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96" t="s">
        <v>251</v>
      </c>
      <c r="B1" s="296"/>
      <c r="C1" s="296"/>
      <c r="D1" s="296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48" t="s">
        <v>252</v>
      </c>
      <c r="B1" s="349"/>
      <c r="C1" s="349"/>
      <c r="D1" s="349"/>
      <c r="E1" s="349"/>
    </row>
    <row r="2" spans="1:6" ht="19.5" customHeight="1">
      <c r="A2" s="350" t="s">
        <v>181</v>
      </c>
      <c r="B2" s="351"/>
      <c r="C2" s="351"/>
      <c r="D2" s="351"/>
      <c r="E2" s="352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39" t="s">
        <v>185</v>
      </c>
      <c r="E8" s="339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39" t="s">
        <v>187</v>
      </c>
      <c r="E11" s="339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53" t="s">
        <v>253</v>
      </c>
      <c r="B1" s="354"/>
      <c r="C1" s="354"/>
      <c r="D1" s="354"/>
      <c r="E1" s="354"/>
      <c r="F1" s="354"/>
      <c r="G1" s="354"/>
      <c r="H1" s="354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60" t="s">
        <v>194</v>
      </c>
      <c r="F7" s="360"/>
      <c r="G7" s="360"/>
      <c r="H7" s="360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61" t="s">
        <v>200</v>
      </c>
      <c r="F11" s="361"/>
      <c r="G11" s="361"/>
      <c r="H11" s="361"/>
    </row>
    <row r="12" spans="1:8">
      <c r="C12" s="53"/>
      <c r="D12" s="85"/>
      <c r="E12" s="357" t="s">
        <v>201</v>
      </c>
      <c r="F12" s="358"/>
      <c r="G12" s="359"/>
      <c r="H12" s="355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55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56" t="s">
        <v>219</v>
      </c>
      <c r="B22" s="356"/>
      <c r="C22" s="356"/>
      <c r="D22" s="356"/>
      <c r="E22" s="356"/>
      <c r="F22" s="356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35" t="s">
        <v>254</v>
      </c>
      <c r="B1" s="335"/>
      <c r="C1" s="335"/>
      <c r="D1" s="335"/>
      <c r="E1" s="335"/>
      <c r="F1" s="335"/>
      <c r="G1" s="335"/>
      <c r="H1" s="335"/>
      <c r="I1" s="335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9"/>
  <dimension ref="A1:R17"/>
  <sheetViews>
    <sheetView zoomScale="145" zoomScaleNormal="145" workbookViewId="0">
      <pane ySplit="5" topLeftCell="A6" activePane="bottomLeft" state="frozen"/>
      <selection pane="bottomLeft" activeCell="D8" sqref="D8"/>
    </sheetView>
  </sheetViews>
  <sheetFormatPr defaultRowHeight="15"/>
  <cols>
    <col min="1" max="1" width="15.42578125" style="259" customWidth="1"/>
    <col min="2" max="2" width="12.140625" style="259" customWidth="1"/>
    <col min="3" max="3" width="10.140625" style="259" customWidth="1"/>
    <col min="4" max="9" width="19.7109375" style="259" customWidth="1"/>
    <col min="10" max="10" width="14.140625" style="259" customWidth="1"/>
    <col min="11" max="11" width="17.140625" style="259" customWidth="1"/>
    <col min="12" max="12" width="15.140625" style="259" customWidth="1"/>
    <col min="13" max="13" width="9" style="259" customWidth="1"/>
    <col min="14" max="16384" width="9.140625" style="259"/>
  </cols>
  <sheetData>
    <row r="1" spans="1:18" ht="40.5" customHeight="1">
      <c r="A1" s="319" t="s">
        <v>550</v>
      </c>
      <c r="B1" s="319"/>
      <c r="C1" s="319"/>
      <c r="D1" s="319"/>
      <c r="E1" s="319"/>
      <c r="F1" s="319"/>
      <c r="G1" s="319"/>
      <c r="H1" s="319"/>
      <c r="I1" s="319"/>
      <c r="J1" s="244"/>
      <c r="K1" s="244"/>
      <c r="L1" s="244"/>
      <c r="M1" s="244"/>
      <c r="N1" s="244"/>
      <c r="O1" s="244"/>
      <c r="P1" s="244"/>
      <c r="Q1" s="244"/>
      <c r="R1" s="244"/>
    </row>
    <row r="2" spans="1:18" ht="9" customHeight="1">
      <c r="A2" s="285"/>
      <c r="B2" s="285"/>
      <c r="C2" s="285"/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44"/>
      <c r="P2" s="244"/>
      <c r="Q2" s="244"/>
      <c r="R2" s="244"/>
    </row>
    <row r="3" spans="1:18">
      <c r="A3" s="290" t="s">
        <v>545</v>
      </c>
      <c r="B3" s="329"/>
      <c r="C3" s="329"/>
      <c r="D3" s="329"/>
      <c r="E3" s="329"/>
      <c r="F3" s="329"/>
      <c r="G3" s="329"/>
      <c r="H3" s="289"/>
      <c r="I3" s="289"/>
      <c r="J3" s="289"/>
      <c r="K3" s="289"/>
      <c r="L3" s="289"/>
      <c r="M3" s="289"/>
      <c r="N3" s="289"/>
    </row>
    <row r="4" spans="1:18">
      <c r="A4" s="290" t="s">
        <v>546</v>
      </c>
      <c r="B4" s="331"/>
      <c r="C4" s="331"/>
      <c r="D4" s="331"/>
      <c r="E4" s="331"/>
      <c r="F4" s="331"/>
      <c r="G4" s="331"/>
      <c r="H4" s="289"/>
      <c r="I4" s="289"/>
      <c r="J4" s="289"/>
      <c r="K4" s="289"/>
      <c r="L4" s="289"/>
      <c r="M4" s="289"/>
      <c r="N4" s="289"/>
    </row>
    <row r="5" spans="1:18" ht="9" customHeight="1"/>
    <row r="6" spans="1:18">
      <c r="A6" s="330" t="s">
        <v>557</v>
      </c>
      <c r="B6" s="330"/>
      <c r="C6" s="330"/>
      <c r="D6" s="330"/>
      <c r="E6" s="330"/>
      <c r="F6" s="330"/>
      <c r="G6" s="330"/>
      <c r="H6" s="330"/>
      <c r="I6" s="330"/>
      <c r="J6" s="289"/>
      <c r="K6" s="289"/>
      <c r="L6" s="289"/>
      <c r="M6" s="289"/>
    </row>
    <row r="7" spans="1:18" ht="45" customHeight="1">
      <c r="A7" s="245" t="s">
        <v>484</v>
      </c>
      <c r="B7" s="246" t="s">
        <v>553</v>
      </c>
      <c r="C7" s="245" t="s">
        <v>535</v>
      </c>
      <c r="D7" s="246" t="s">
        <v>554</v>
      </c>
      <c r="E7" s="246" t="s">
        <v>555</v>
      </c>
      <c r="F7" s="246" t="s">
        <v>82</v>
      </c>
      <c r="G7" s="247" t="s">
        <v>69</v>
      </c>
      <c r="H7" s="248" t="s">
        <v>556</v>
      </c>
      <c r="I7" s="246" t="s">
        <v>260</v>
      </c>
    </row>
    <row r="8" spans="1:18">
      <c r="A8" s="291" t="s">
        <v>549</v>
      </c>
      <c r="B8" s="269"/>
      <c r="C8" s="165"/>
      <c r="D8" s="166"/>
      <c r="E8" s="166"/>
      <c r="F8" s="166"/>
      <c r="G8" s="166"/>
      <c r="H8" s="166"/>
      <c r="I8" s="166"/>
    </row>
    <row r="11" spans="1:18">
      <c r="A11" s="330" t="s">
        <v>559</v>
      </c>
      <c r="B11" s="330"/>
      <c r="C11" s="330"/>
      <c r="D11" s="330"/>
      <c r="E11" s="330"/>
      <c r="F11" s="330"/>
      <c r="G11" s="289"/>
      <c r="H11" s="289"/>
      <c r="I11" s="289"/>
      <c r="J11" s="289"/>
      <c r="K11" s="289"/>
      <c r="L11" s="289"/>
      <c r="M11" s="289"/>
    </row>
    <row r="12" spans="1:18" ht="45" customHeight="1">
      <c r="A12" s="245" t="s">
        <v>484</v>
      </c>
      <c r="B12" s="246" t="s">
        <v>553</v>
      </c>
      <c r="C12" s="245" t="s">
        <v>535</v>
      </c>
      <c r="D12" s="247" t="s">
        <v>496</v>
      </c>
      <c r="E12" s="248" t="s">
        <v>561</v>
      </c>
      <c r="F12" s="248" t="s">
        <v>560</v>
      </c>
    </row>
    <row r="13" spans="1:18">
      <c r="A13" s="291" t="s">
        <v>558</v>
      </c>
      <c r="B13" s="269"/>
      <c r="C13" s="165"/>
      <c r="D13" s="165"/>
      <c r="E13" s="292"/>
      <c r="F13" s="292"/>
    </row>
    <row r="15" spans="1:18">
      <c r="A15" s="330" t="s">
        <v>563</v>
      </c>
      <c r="B15" s="330"/>
      <c r="C15" s="330"/>
      <c r="D15" s="330"/>
      <c r="E15" s="330"/>
      <c r="F15" s="330"/>
      <c r="G15" s="330"/>
    </row>
    <row r="16" spans="1:18" ht="25.5">
      <c r="A16" s="245" t="s">
        <v>484</v>
      </c>
      <c r="B16" s="246" t="s">
        <v>553</v>
      </c>
      <c r="C16" s="245" t="s">
        <v>535</v>
      </c>
      <c r="D16" s="247" t="s">
        <v>564</v>
      </c>
      <c r="E16" s="248" t="s">
        <v>565</v>
      </c>
      <c r="F16" s="248" t="s">
        <v>496</v>
      </c>
      <c r="G16" s="248" t="s">
        <v>474</v>
      </c>
    </row>
    <row r="17" spans="1:7">
      <c r="A17" s="291" t="s">
        <v>562</v>
      </c>
      <c r="B17" s="269"/>
      <c r="C17" s="165"/>
      <c r="D17" s="165"/>
      <c r="E17" s="292"/>
      <c r="F17" s="288"/>
      <c r="G17" s="292"/>
    </row>
  </sheetData>
  <mergeCells count="6">
    <mergeCell ref="A11:F11"/>
    <mergeCell ref="A1:I1"/>
    <mergeCell ref="A15:G15"/>
    <mergeCell ref="B3:G3"/>
    <mergeCell ref="B4:G4"/>
    <mergeCell ref="A6:I6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63" t="s">
        <v>536</v>
      </c>
      <c r="B1" s="364"/>
      <c r="C1" s="364"/>
      <c r="D1" s="364"/>
      <c r="E1" s="364"/>
      <c r="F1" s="364"/>
      <c r="G1" s="364"/>
      <c r="H1" s="364"/>
      <c r="I1" s="364"/>
    </row>
    <row r="2" spans="1:9" ht="15.75">
      <c r="A2" s="112"/>
    </row>
    <row r="3" spans="1:9" ht="31.5" customHeight="1">
      <c r="A3" s="362" t="s">
        <v>262</v>
      </c>
      <c r="B3" s="362"/>
      <c r="C3" s="362"/>
      <c r="D3" s="362"/>
      <c r="E3" s="362"/>
      <c r="F3" s="362"/>
      <c r="G3" s="362"/>
      <c r="H3" s="362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63" t="s">
        <v>263</v>
      </c>
      <c r="B1" s="363"/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</row>
    <row r="2" spans="1:16" ht="15.75">
      <c r="A2" s="112"/>
      <c r="F2" s="112"/>
      <c r="G2" s="112"/>
      <c r="H2" s="112"/>
      <c r="I2" s="112"/>
    </row>
    <row r="3" spans="1:16" ht="31.5" customHeight="1">
      <c r="A3" s="365" t="s">
        <v>262</v>
      </c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365"/>
      <c r="O3" s="366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67" t="s">
        <v>310</v>
      </c>
      <c r="L4" s="367"/>
      <c r="M4" s="367"/>
      <c r="N4" s="368" t="s">
        <v>311</v>
      </c>
      <c r="O4" s="369"/>
      <c r="P4" s="370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35" t="s">
        <v>364</v>
      </c>
      <c r="B1" s="335"/>
      <c r="C1" s="335"/>
      <c r="D1" s="335"/>
      <c r="E1" s="335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365</v>
      </c>
      <c r="B3" s="205"/>
      <c r="C3" s="205" t="s">
        <v>366</v>
      </c>
      <c r="D3" s="205" t="s">
        <v>367</v>
      </c>
      <c r="E3" s="205" t="s">
        <v>353</v>
      </c>
    </row>
    <row r="4" spans="1:14" ht="30" customHeight="1">
      <c r="A4" s="188" t="s">
        <v>368</v>
      </c>
      <c r="B4" s="188"/>
      <c r="C4" s="210" t="s">
        <v>389</v>
      </c>
      <c r="D4" s="210"/>
      <c r="E4" s="210"/>
    </row>
    <row r="5" spans="1:14">
      <c r="A5" s="189" t="s">
        <v>369</v>
      </c>
      <c r="B5" s="189"/>
      <c r="C5" s="190"/>
      <c r="D5" s="190"/>
      <c r="E5" s="190"/>
    </row>
    <row r="6" spans="1:14">
      <c r="A6" s="189" t="s">
        <v>370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371" t="s">
        <v>371</v>
      </c>
      <c r="B8" s="371"/>
      <c r="C8" s="371"/>
      <c r="D8" s="371"/>
      <c r="E8" s="371"/>
    </row>
    <row r="9" spans="1:14">
      <c r="A9" s="206" t="s">
        <v>365</v>
      </c>
      <c r="B9" s="206" t="s">
        <v>79</v>
      </c>
      <c r="C9" s="206" t="s">
        <v>366</v>
      </c>
      <c r="D9" s="206" t="s">
        <v>367</v>
      </c>
      <c r="E9" s="206" t="s">
        <v>353</v>
      </c>
    </row>
    <row r="10" spans="1:14">
      <c r="A10" s="192" t="s">
        <v>1</v>
      </c>
      <c r="B10" s="193">
        <v>13</v>
      </c>
      <c r="C10" s="194" t="s">
        <v>390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372" t="s">
        <v>382</v>
      </c>
      <c r="B19" s="373"/>
      <c r="C19" s="373"/>
      <c r="D19" s="373"/>
      <c r="E19" s="374"/>
    </row>
    <row r="20" spans="1:5">
      <c r="A20" s="206"/>
      <c r="B20" s="211"/>
      <c r="C20" s="209" t="s">
        <v>372</v>
      </c>
      <c r="D20" s="206" t="s">
        <v>373</v>
      </c>
      <c r="E20" s="206" t="s">
        <v>293</v>
      </c>
    </row>
    <row r="21" spans="1:5">
      <c r="A21" s="189" t="s">
        <v>383</v>
      </c>
      <c r="B21" s="212"/>
      <c r="C21" s="190" t="s">
        <v>377</v>
      </c>
      <c r="D21" s="190"/>
      <c r="E21" s="190" t="e">
        <f>C21+D21</f>
        <v>#VALUE!</v>
      </c>
    </row>
    <row r="22" spans="1:5">
      <c r="A22" s="202">
        <v>83</v>
      </c>
      <c r="B22" s="212"/>
      <c r="C22" s="190"/>
      <c r="D22" s="199"/>
      <c r="E22" s="190">
        <f>C22+D22</f>
        <v>0</v>
      </c>
    </row>
    <row r="23" spans="1:5">
      <c r="A23" s="203"/>
      <c r="B23" s="203"/>
      <c r="C23" s="190" t="e">
        <f>C21+C22</f>
        <v>#VALUE!</v>
      </c>
      <c r="D23" s="190">
        <f>D21+D22</f>
        <v>0</v>
      </c>
      <c r="E23" s="191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35" t="s">
        <v>346</v>
      </c>
      <c r="B1" s="335"/>
      <c r="C1" s="335"/>
      <c r="D1" s="335"/>
      <c r="E1" s="335"/>
      <c r="F1" s="335"/>
      <c r="G1" s="335"/>
      <c r="H1" s="335"/>
      <c r="I1" s="335"/>
      <c r="J1" s="335"/>
      <c r="K1" s="335"/>
      <c r="L1" s="335"/>
      <c r="M1" s="335"/>
      <c r="N1" s="187"/>
    </row>
    <row r="3" spans="1:14">
      <c r="A3" s="382" t="s">
        <v>355</v>
      </c>
      <c r="B3" s="382"/>
      <c r="C3" s="382"/>
      <c r="D3" s="382"/>
      <c r="E3" s="382"/>
      <c r="F3" s="382"/>
      <c r="G3" s="382"/>
      <c r="H3" s="382"/>
      <c r="I3" s="382"/>
      <c r="J3" s="382"/>
      <c r="K3" s="382"/>
      <c r="L3" s="382"/>
      <c r="M3" s="382"/>
    </row>
    <row r="4" spans="1:14" ht="37.5" customHeight="1">
      <c r="A4" s="375" t="s">
        <v>347</v>
      </c>
      <c r="B4" s="379" t="s">
        <v>350</v>
      </c>
      <c r="C4" s="380"/>
      <c r="D4" s="375" t="s">
        <v>329</v>
      </c>
      <c r="E4" s="375" t="s">
        <v>97</v>
      </c>
      <c r="F4" s="183" t="s">
        <v>1</v>
      </c>
      <c r="G4" s="183" t="s">
        <v>2</v>
      </c>
      <c r="H4" s="183" t="s">
        <v>82</v>
      </c>
      <c r="I4" s="379" t="s">
        <v>69</v>
      </c>
      <c r="J4" s="381"/>
      <c r="K4" s="380"/>
      <c r="L4" s="375" t="s">
        <v>351</v>
      </c>
      <c r="M4" s="377" t="s">
        <v>352</v>
      </c>
      <c r="N4" s="186"/>
    </row>
    <row r="5" spans="1:14" ht="33.75" customHeight="1">
      <c r="A5" s="376"/>
      <c r="B5" s="185" t="s">
        <v>348</v>
      </c>
      <c r="C5" s="185" t="s">
        <v>349</v>
      </c>
      <c r="D5" s="376"/>
      <c r="E5" s="376"/>
      <c r="F5" s="185"/>
      <c r="G5" s="185"/>
      <c r="H5" s="185"/>
      <c r="I5" s="185" t="s">
        <v>348</v>
      </c>
      <c r="J5" s="185" t="s">
        <v>349</v>
      </c>
      <c r="K5" s="185" t="s">
        <v>359</v>
      </c>
      <c r="L5" s="376"/>
      <c r="M5" s="378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354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382" t="s">
        <v>356</v>
      </c>
      <c r="B11" s="382"/>
      <c r="C11" s="382"/>
      <c r="D11" s="382"/>
      <c r="E11" s="382"/>
      <c r="F11" s="382"/>
      <c r="G11" s="382"/>
      <c r="H11" s="382"/>
      <c r="I11" s="382"/>
      <c r="J11" s="382"/>
      <c r="K11" s="382"/>
      <c r="L11" s="382"/>
      <c r="M11" s="382"/>
    </row>
    <row r="12" spans="1:14" ht="37.5" customHeight="1">
      <c r="A12" s="375" t="s">
        <v>347</v>
      </c>
      <c r="B12" s="379" t="s">
        <v>350</v>
      </c>
      <c r="C12" s="380"/>
      <c r="D12" s="375" t="s">
        <v>329</v>
      </c>
      <c r="E12" s="375" t="s">
        <v>97</v>
      </c>
      <c r="F12" s="183" t="s">
        <v>1</v>
      </c>
      <c r="G12" s="183" t="s">
        <v>2</v>
      </c>
      <c r="H12" s="183" t="s">
        <v>82</v>
      </c>
      <c r="I12" s="379" t="s">
        <v>69</v>
      </c>
      <c r="J12" s="381"/>
      <c r="K12" s="380"/>
      <c r="L12" s="375" t="s">
        <v>351</v>
      </c>
      <c r="M12" s="377" t="s">
        <v>352</v>
      </c>
      <c r="N12" s="186"/>
    </row>
    <row r="13" spans="1:14" ht="33.75" customHeight="1">
      <c r="A13" s="376"/>
      <c r="B13" s="185" t="s">
        <v>348</v>
      </c>
      <c r="C13" s="185"/>
      <c r="D13" s="376"/>
      <c r="E13" s="376"/>
      <c r="F13" s="185"/>
      <c r="G13" s="185"/>
      <c r="H13" s="185"/>
      <c r="I13" s="185" t="s">
        <v>348</v>
      </c>
      <c r="J13" s="185" t="s">
        <v>384</v>
      </c>
      <c r="K13" s="185" t="s">
        <v>359</v>
      </c>
      <c r="L13" s="376"/>
      <c r="M13" s="378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357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382" t="s">
        <v>358</v>
      </c>
      <c r="B19" s="382"/>
      <c r="C19" s="382"/>
      <c r="D19" s="382"/>
      <c r="E19" s="382"/>
      <c r="F19" s="382"/>
      <c r="G19" s="382"/>
      <c r="H19" s="382"/>
      <c r="I19" s="382"/>
      <c r="J19" s="382"/>
      <c r="K19" s="382"/>
      <c r="L19" s="382"/>
      <c r="M19" s="382"/>
    </row>
    <row r="20" spans="1:14" ht="37.5" customHeight="1">
      <c r="A20" s="375" t="s">
        <v>347</v>
      </c>
      <c r="B20" s="379" t="s">
        <v>350</v>
      </c>
      <c r="C20" s="380"/>
      <c r="D20" s="375" t="s">
        <v>329</v>
      </c>
      <c r="E20" s="375" t="s">
        <v>97</v>
      </c>
      <c r="F20" s="183" t="s">
        <v>1</v>
      </c>
      <c r="G20" s="183" t="s">
        <v>2</v>
      </c>
      <c r="H20" s="183" t="s">
        <v>82</v>
      </c>
      <c r="I20" s="379" t="s">
        <v>69</v>
      </c>
      <c r="J20" s="381"/>
      <c r="K20" s="380"/>
      <c r="L20" s="375" t="s">
        <v>351</v>
      </c>
      <c r="M20" s="377" t="s">
        <v>352</v>
      </c>
      <c r="N20" s="186"/>
    </row>
    <row r="21" spans="1:14" ht="33.75" customHeight="1">
      <c r="A21" s="376"/>
      <c r="B21" s="185" t="s">
        <v>348</v>
      </c>
      <c r="C21" s="185"/>
      <c r="D21" s="376"/>
      <c r="E21" s="376"/>
      <c r="F21" s="185"/>
      <c r="G21" s="185"/>
      <c r="H21" s="185"/>
      <c r="I21" s="185" t="s">
        <v>349</v>
      </c>
      <c r="J21" s="185" t="s">
        <v>384</v>
      </c>
      <c r="K21" s="185" t="s">
        <v>359</v>
      </c>
      <c r="L21" s="376"/>
      <c r="M21" s="378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363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30</vt:i4>
      </vt:variant>
      <vt:variant>
        <vt:lpstr>Именованные диапазоны</vt:lpstr>
      </vt:variant>
      <vt:variant>
        <vt:i4>31</vt:i4>
      </vt:variant>
    </vt:vector>
  </HeadingPairs>
  <TitlesOfParts>
    <vt:vector size="61" baseType="lpstr">
      <vt:lpstr>detail_report</vt:lpstr>
      <vt:lpstr>detail_report_2</vt:lpstr>
      <vt:lpstr>error_report</vt:lpstr>
      <vt:lpstr>correcting_report</vt:lpstr>
      <vt:lpstr>tax_retained_report</vt:lpstr>
      <vt:lpstr>dv_sr_detail_report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f2_load_vych_person</vt:lpstr>
      <vt:lpstr>Settings</vt:lpstr>
      <vt:lpstr>Отчеты</vt:lpstr>
      <vt:lpstr>Расхождение НА</vt:lpstr>
      <vt:lpstr>f2_amount_errors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f2_ndfl_person_report</vt:lpstr>
      <vt:lpstr>tax_diff_report</vt:lpstr>
      <vt:lpstr>tax_diff_det_report</vt:lpstr>
      <vt:lpstr>cmp_f2ndfl_f6</vt:lpstr>
      <vt:lpstr>cmp_f2ndfl_pers</vt:lpstr>
      <vt:lpstr>action_parameter</vt:lpstr>
      <vt:lpstr>code_na</vt:lpstr>
      <vt:lpstr>data_source_name</vt:lpstr>
      <vt:lpstr>end_date</vt:lpstr>
      <vt:lpstr>f2_ndfl_person_report!FIO</vt:lpstr>
      <vt:lpstr>FIO</vt:lpstr>
      <vt:lpstr>f2_ndfl_person_report!GF_PERSON</vt:lpstr>
      <vt:lpstr>GF_PERSON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Settings!report_month</vt:lpstr>
      <vt:lpstr>Settings!report_year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2018-02-27T09:37:27Z</dcterms:modified>
</cp:coreProperties>
</file>