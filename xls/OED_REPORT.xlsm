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30.xml" ContentType="application/vnd.openxmlformats-officedocument.spreadsheetml.table+xml"/>
  <Override PartName="/xl/drawings/drawing4.xml" ContentType="application/vnd.openxmlformats-officedocument.drawing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6" activeTab="1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dv_sr_detail_report" sheetId="404" state="hidden" r:id="rId6"/>
    <sheet name="f2_error_report" sheetId="299" state="hidden" r:id="rId7"/>
    <sheet name="f2_vych_diff_periods" sheetId="403" state="hidden" r:id="rId8"/>
    <sheet name="f2_vych_diff_amounts" sheetId="400" state="hidden" r:id="rId9"/>
    <sheet name="f2_load_vych_errors" sheetId="321" state="hidden" r:id="rId10"/>
    <sheet name="f2_arh_spravki_errors" sheetId="298" state="hidden" r:id="rId11"/>
    <sheet name="f2_arh_batch_xml_head" sheetId="297" state="hidden" r:id="rId12"/>
    <sheet name="f2_ndfl_nalplat_pers" sheetId="295" state="hidden" r:id="rId13"/>
    <sheet name="f2_enumarate_error" sheetId="320" state="hidden" r:id="rId14"/>
    <sheet name="f2_load_vych_person" sheetId="332" state="hidden" r:id="rId15"/>
    <sheet name="Settings" sheetId="103" state="hidden" r:id="rId16"/>
    <sheet name="Отчеты" sheetId="6" r:id="rId17"/>
    <sheet name="synch_error_report" sheetId="283" state="hidden" r:id="rId18"/>
    <sheet name="ndfl6_part2" sheetId="249" state="hidden" r:id="rId19"/>
    <sheet name="ndfl6_part1_general" sheetId="71" state="hidden" r:id="rId20"/>
    <sheet name="ndfl6_part1_rates" sheetId="69" state="hidden" r:id="rId21"/>
    <sheet name="funds_employees" sheetId="73" state="hidden" r:id="rId22"/>
    <sheet name="funds_employees_report" sheetId="123" state="hidden" r:id="rId23"/>
    <sheet name="ndfl6_part1" sheetId="248" state="hidden" r:id="rId24"/>
    <sheet name="f2_ndfl_person_report" sheetId="474" state="hidden" r:id="rId25"/>
    <sheet name="tax_diff_report" sheetId="271" state="hidden" r:id="rId26"/>
    <sheet name="tax_diff_det_report" sheetId="282" state="hidden" r:id="rId27"/>
    <sheet name="cmp_f2ndfl_f6" sheetId="294" state="hidden" r:id="rId28"/>
    <sheet name="cmp_f2ndfl_pers" sheetId="284" state="hidden" r:id="rId29"/>
  </sheets>
  <functionGroups/>
  <externalReferences>
    <externalReference r:id="rId30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24">f2_ndfl_person_report!$B$4</definedName>
    <definedName name="FIO">dv_sr_detail_report!$B$4</definedName>
    <definedName name="GF_PERSON" localSheetId="24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5">Settings!$B$16</definedName>
    <definedName name="report_year" localSheetId="15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1">[1]Отчеты!$C$2</definedName>
    <definedName name="ReportSelected" localSheetId="10">[1]Отчеты!$C$2</definedName>
    <definedName name="ReportSelected" localSheetId="6">[1]Отчеты!$C$2</definedName>
    <definedName name="ReportSelected" localSheetId="9">[1]Отчеты!$C$2</definedName>
    <definedName name="ReportSelected" localSheetId="14">[1]Отчеты!$C$2</definedName>
    <definedName name="ReportSelected" localSheetId="12">[1]Отчеты!$C$2</definedName>
    <definedName name="ReportSelected" localSheetId="8">[1]Отчеты!$C$2</definedName>
    <definedName name="ReportSelected" localSheetId="7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<sst xmlns="http://schemas.openxmlformats.org/spreadsheetml/2006/main" count="1767" uniqueCount="579">
  <si>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</si>
  <si>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</si>
  <si>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</si>
  <si>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</si>
  <si>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</si>
  <si>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</si>
  <si>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</si>
  <si>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</si>
  <si>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</si>
  <si>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</si>
  <si>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</si>
  <si>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</si>
  <si>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</si>
  <si>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</si>
  <si>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</si>
  <si>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</si>
  <si>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</si>
  <si>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</si>
  <si>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</si>
  <si>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</si>
  <si>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</si>
  <si>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</si>
  <si>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</si>
  <si>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</si>
  <si>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</si>
  <si>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</si>
  <si>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</si>
  <si>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</si>
  <si>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</si>
  <si>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</si>
  <si>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</si>
  <si>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</si>
  <si>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</si>
  <si>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</si>
  <si>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</si>
  <si>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</si>
  <si>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</si>
  <si>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</si>
  <si>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</si>
  <si>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</si>
  <si>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</si>
  <si>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</si>
  <si>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</si>
  <si>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</si>
  <si>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</si>
  <si>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</si>
  <si>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</si>
  <si>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</si>
  <si>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</si>
  <si>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</si>
  <si>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</si>
  <si>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</si>
  <si>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</si>
  <si>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</si>
  <si>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</si>
  <si>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</si>
  <si>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</si>
  <si>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</si>
  <si>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</si>
  <si>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</si>
  <si>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</si>
  <si>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</si>
  <si>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</si>
  <si>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</si>
  <si>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</si>
  <si>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</si>
  <si>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</si>
  <si>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</si>
  <si>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</si>
  <si>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</si>
  <si>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</si>
  <si>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</si>
  <si>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</si>
  <si>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</si>
  <si>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</si>
  <si>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</si>
  <si>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</si>
  <si>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</si>
  <si>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</si>
  <si>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</si>
  <si>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</si>
  <si>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</si>
  <si>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</si>
  <si>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</si>
  <si>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</si>
  <si>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</si>
  <si>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</si>
  <si>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</si>
  <si>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</si>
  <si>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</si>
  <si>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</si>
  <si>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</si>
  <si>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</si>
  <si>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</si>
  <si>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</si>
  <si>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</si>
  <si>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</si>
  <si>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</si>
  <si>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</si>
  <si>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</si>
  <si>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</si>
  <si>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</si>
  <si>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</si>
  <si>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</si>
  <si>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</si>
  <si>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</si>
  <si>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</si>
  <si>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</si>
  <si>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</si>
  <si>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</si>
  <si>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</si>
  <si>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</si>
  <si>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</si>
  <si>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</si>
  <si>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</si>
  <si>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</si>
  <si>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</si>
  <si>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</si>
  <si>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</si>
  <si>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</si>
  <si>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</si>
  <si>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</si>
  <si>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</si>
  <si>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</si>
  <si>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</si>
  <si>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</si>
  <si>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</si>
  <si>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</si>
  <si>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</si>
  <si>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</si>
  <si>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</si>
  <si>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</si>
  <si>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</si>
  <si>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</si>
  <si>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</si>
  <si>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</si>
  <si>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</si>
  <si>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</si>
  <si>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</si>
  <si>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</si>
  <si>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</si>
  <si>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</si>
  <si>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</si>
  <si>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</si>
  <si>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</si>
  <si>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</si>
  <si>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</si>
  <si>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</si>
  <si>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</si>
  <si>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</si>
  <si>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</si>
  <si>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</si>
  <si>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</si>
  <si>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</si>
  <si>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</si>
  <si>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</si>
  <si>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</si>
  <si>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</si>
  <si>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</si>
  <si>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</si>
  <si>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</si>
  <si>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</si>
  <si>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</si>
  <si>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</si>
  <si>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</si>
  <si>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</si>
  <si>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</si>
  <si>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</si>
  <si>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</si>
  <si>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</si>
  <si>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</si>
  <si>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</si>
  <si>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</si>
  <si>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</si>
  <si>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</si>
  <si>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</si>
  <si>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</si>
  <si>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</si>
  <si>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</si>
  <si>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</si>
  <si>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</si>
  <si>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</si>
  <si>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</si>
  <si>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</si>
  <si>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</si>
  <si>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</si>
  <si>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</si>
  <si>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</si>
  <si>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</si>
  <si>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</si>
  <si>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</si>
  <si>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</si>
  <si>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</si>
  <si>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</si>
  <si>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</si>
  <si>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</si>
  <si>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</si>
  <si>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</si>
  <si>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</si>
  <si>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</si>
  <si>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</si>
  <si>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</si>
  <si>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</si>
  <si>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</si>
  <si>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</si>
  <si>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</si>
  <si>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</si>
  <si>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</si>
  <si>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</si>
  <si>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</si>
  <si>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</si>
  <si>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</si>
  <si>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</si>
  <si>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</si>
  <si>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</si>
  <si>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</si>
  <si>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</si>
  <si>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</si>
  <si>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</si>
  <si>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</si>
  <si>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</si>
  <si>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</si>
  <si>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</si>
  <si>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</si>
  <si>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</si>
  <si>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</si>
  <si>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</si>
  <si>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</si>
  <si>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</si>
  <si>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</si>
  <si>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</si>
  <si>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</si>
  <si>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</si>
  <si>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</si>
  <si>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</si>
  <si>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</si>
  <si>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</si>
  <si>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</si>
  <si>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</si>
  <si>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</si>
  <si>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</si>
  <si>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</si>
  <si>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</si>
  <si>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</si>
  <si>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</si>
  <si>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</si>
  <si>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</si>
  <si>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</si>
  <si>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</si>
  <si>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</si>
  <si>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</si>
  <si>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</si>
  <si>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</si>
  <si>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</si>
  <si>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</si>
  <si>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</si>
  <si>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</si>
  <si>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</si>
  <si>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</si>
  <si>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</si>
  <si>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</si>
  <si>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</si>
  <si>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</si>
  <si>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</si>
  <si>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</si>
  <si>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</si>
  <si>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</si>
  <si>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</si>
  <si>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</si>
  <si>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</si>
  <si>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</si>
  <si>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</si>
  <si>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</si>
  <si>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</si>
  <si>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</si>
  <si>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</si>
  <si>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</si>
  <si>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</si>
  <si>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</si>
  <si>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</si>
  <si>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</si>
  <si>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</si>
  <si>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</si>
  <si>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</si>
  <si>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</si>
  <si>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</si>
  <si>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</si>
  <si>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</si>
  <si>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</si>
  <si>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</si>
  <si>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</si>
  <si>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</si>
  <si>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</si>
  <si>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</si>
  <si>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</si>
  <si>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</si>
  <si>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</si>
  <si>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</si>
  <si>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</si>
  <si>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</si>
  <si>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</si>
  <si>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</si>
  <si>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</si>
  <si>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</si>
  <si>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</si>
  <si>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</si>
  <si>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</si>
  <si>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</si>
  <si>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</si>
  <si>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</si>
  <si>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</si>
  <si>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</si>
  <si>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</si>
  <si>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</si>
  <si>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</si>
  <si>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</si>
  <si>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</si>
  <si>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</si>
  <si>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</si>
  <si>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</si>
  <si>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</si>
  <si>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</si>
  <si>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</si>
  <si>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</si>
  <si>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</si>
  <si>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</si>
  <si>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</si>
  <si>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</si>
  <si>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</si>
  <si>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</si>
  <si>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</si>
  <si>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</si>
  <si>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</si>
  <si>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</si>
  <si>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</si>
  <si>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</si>
  <si>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</si>
  <si>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</si>
  <si>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</si>
  <si>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</si>
  <si>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</si>
  <si>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</si>
  <si>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</si>
  <si>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</si>
  <si>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</si>
  <si>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</si>
  <si>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</si>
  <si>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</si>
  <si>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</si>
  <si>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</si>
  <si>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</si>
  <si>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</si>
  <si>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</si>
  <si>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</si>
  <si>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</si>
  <si>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</si>
  <si>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</si>
  <si>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</si>
  <si>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</si>
  <si>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</si>
  <si>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</si>
  <si>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</si>
  <si>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</si>
  <si>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</si>
  <si>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</si>
  <si>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</si>
  <si>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</si>
  <si>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</si>
  <si>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</si>
  <si>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</si>
  <si>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</si>
  <si>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</si>
  <si>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</si>
  <si>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</si>
  <si>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</si>
  <si>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</si>
  <si>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</si>
  <si>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</si>
  <si>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</si>
  <si>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</si>
  <si>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</si>
  <si>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</si>
  <si>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</si>
  <si>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</si>
  <si>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</si>
  <si>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</si>
  <si>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</si>
  <si>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</si>
  <si>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</si>
  <si>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</si>
  <si>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</si>
  <si>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</si>
  <si>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</si>
  <si>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</si>
  <si>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</si>
  <si>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</si>
  <si>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</si>
  <si>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</si>
  <si>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</si>
  <si>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</si>
  <si>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</si>
  <si>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</si>
  <si>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</si>
  <si>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</si>
  <si>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</si>
  <si>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</si>
  <si>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</si>
  <si>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</si>
  <si>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</si>
  <si>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</si>
  <si>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</si>
  <si>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</si>
  <si>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</si>
  <si>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</si>
  <si>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</si>
  <si>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</si>
  <si>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</si>
  <si>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</si>
  <si>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</si>
  <si>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</si>
  <si>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</si>
  <si>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</si>
  <si>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</si>
  <si>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</si>
  <si>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</si>
  <si>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</si>
  <si>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</si>
  <si>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</si>
  <si>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</si>
  <si>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</si>
  <si>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</si>
  <si>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</si>
  <si>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</si>
  <si>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</si>
  <si>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</si>
  <si>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</si>
  <si>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</si>
  <si>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</si>
  <si>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</si>
  <si>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</si>
  <si>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</si>
  <si>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</si>
  <si>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</si>
  <si>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</si>
  <si>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</si>
  <si>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</si>
  <si>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</si>
  <si>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</si>
  <si>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</si>
  <si>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</si>
  <si>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</si>
  <si>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</si>
  <si>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</si>
  <si>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</si>
  <si>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</si>
  <si>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</si>
  <si>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</si>
  <si>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</si>
  <si>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</si>
  <si>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</si>
  <si>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</si>
  <si>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</si>
  <si>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</si>
  <si>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</si>
  <si>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</si>
  <si>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</si>
  <si>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</si>
  <si>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</si>
  <si>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</si>
  <si>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</si>
  <si>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</si>
  <si>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</si>
  <si>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</si>
  <si>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</si>
  <si>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</si>
  <si>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</si>
  <si>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</si>
  <si>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</si>
  <si>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</si>
  <si>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</si>
  <si>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</si>
  <si>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</si>
  <si>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</si>
  <si>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</si>
  <si>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</si>
  <si>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</si>
  <si>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</si>
  <si>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</si>
  <si>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</si>
  <si>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</si>
  <si>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</si>
  <si>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</si>
  <si>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</si>
  <si>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</si>
  <si>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</si>
  <si>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</si>
  <si>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</si>
  <si>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</si>
  <si>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</si>
  <si>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</si>
  <si>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</si>
  <si>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</si>
  <si>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</si>
  <si>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</si>
  <si>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</si>
  <si>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</si>
  <si>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</si>
  <si>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</si>
  <si>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</si>
  <si>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</si>
  <si>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</si>
  <si>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</si>
  <si>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</si>
  <si>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</si>
  <si>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</si>
  <si>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</si>
  <si>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</si>
  <si>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</si>
  <si>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</si>
  <si>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</si>
  <si>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</si>
  <si>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</si>
  <si>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</si>
  <si>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</si>
  <si>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</si>
  <si>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</si>
  <si>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</si>
  <si>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</si>
  <si>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</si>
  <si>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</si>
  <si>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</si>
  <si>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</si>
  <si>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</si>
  <si>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</si>
  <si>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</si>
  <si>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</si>
  <si>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</si>
  <si>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</si>
  <si>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</si>
  <si>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</si>
  <si>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28.02.2018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</si>
  <si>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</si>
  <si>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</si>
  <si>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</si>
  <si>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</si>
  <si>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</si>
  <si>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</si>
  <si>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</si>
  <si>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01.01.2018</t>
  </si>
  <si>
    <t>31.01.2018</t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</si>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</sst>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8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0" fontId="0" fillId="6" borderId="1" xfId="0" applyFill="1" applyBorder="1" applyAlignment="1">
      <alignment horizontal="left"/>
    </xf>
    <xf numFmtId="0" fontId="0" fillId="6" borderId="1" xfId="0" applyFill="1" applyBorder="1" applyAlignment="1">
      <alignment horizontal="lef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586"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/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585" dataDxfId="583" headerRowBorderDxfId="584" tableBorderDxfId="582" totalsRowBorderDxfId="581">
  <autoFilter ref="A4:J5"/>
  <tableColumns count="10">
    <tableColumn id="1" name="1" dataDxfId="580"/>
    <tableColumn id="2" name="2" dataDxfId="579"/>
    <tableColumn id="5" name="3" dataDxfId="578"/>
    <tableColumn id="6" name="4" dataDxfId="577"/>
    <tableColumn id="7" name="5" dataDxfId="576"/>
    <tableColumn id="10" name="6" dataDxfId="575"/>
    <tableColumn id="11" name="7" dataDxfId="574"/>
    <tableColumn id="12" name="8" dataDxfId="573"/>
    <tableColumn id="13" name="9" dataDxfId="572"/>
    <tableColumn id="14" name="10" dataDxfId="5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570" dataDxfId="568" headerRowBorderDxfId="569" tableBorderDxfId="567" totalsRowBorderDxfId="566">
  <autoFilter ref="A5:P6"/>
  <tableColumns count="16">
    <tableColumn id="1" name="1" dataDxfId="565"/>
    <tableColumn id="2" name="2" dataDxfId="564"/>
    <tableColumn id="3" name="3" dataDxfId="563"/>
    <tableColumn id="4" name="4" dataDxfId="562"/>
    <tableColumn id="5" name="5" dataDxfId="561"/>
    <tableColumn id="6" name="6" dataDxfId="560"/>
    <tableColumn id="7" name="7" dataDxfId="559"/>
    <tableColumn id="8" name="8" dataDxfId="558"/>
    <tableColumn id="9" name="9" dataDxfId="557"/>
    <tableColumn id="10" name="10" dataDxfId="556"/>
    <tableColumn id="11" name="11" dataDxfId="555"/>
    <tableColumn id="12" name="12" dataDxfId="554"/>
    <tableColumn id="13" name="13" dataDxfId="553"/>
    <tableColumn id="14" name="14" dataDxfId="552"/>
    <tableColumn id="15" name="15" dataDxfId="551"/>
    <tableColumn id="16" name="16" dataDxfId="5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549" dataDxfId="547" headerRowBorderDxfId="548" tableBorderDxfId="546" totalsRowBorderDxfId="545">
  <autoFilter ref="A3:I4">
    <filterColumn colId="1"/>
  </autoFilter>
  <tableColumns count="9">
    <tableColumn id="1" name="1" dataDxfId="544"/>
    <tableColumn id="3" name="2" dataDxfId="543"/>
    <tableColumn id="2" name="3" dataDxfId="542"/>
    <tableColumn id="5" name="4" dataDxfId="541"/>
    <tableColumn id="6" name="5" dataDxfId="540"/>
    <tableColumn id="7" name="6" dataDxfId="539"/>
    <tableColumn id="10" name="7" dataDxfId="538"/>
    <tableColumn id="11" name="8" dataDxfId="537"/>
    <tableColumn id="12" name="9" dataDxfId="5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535" dataDxfId="533" headerRowBorderDxfId="534" tableBorderDxfId="532" totalsRowBorderDxfId="531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530"/>
    <tableColumn id="20" name="2" dataDxfId="529"/>
    <tableColumn id="19" name="3" dataDxfId="528"/>
    <tableColumn id="18" name="4" dataDxfId="527"/>
    <tableColumn id="17" name="5" dataDxfId="526"/>
    <tableColumn id="23" name="6" dataDxfId="525"/>
    <tableColumn id="22" name="7" dataDxfId="524"/>
    <tableColumn id="21" name="8" dataDxfId="523"/>
    <tableColumn id="28" name="9" dataDxfId="522"/>
    <tableColumn id="29" name="10" dataDxfId="521"/>
    <tableColumn id="27" name="11" dataDxfId="520"/>
    <tableColumn id="26" name="12" dataDxfId="519"/>
    <tableColumn id="25" name="13" dataDxfId="518"/>
    <tableColumn id="5" name="14" dataDxfId="517"/>
    <tableColumn id="4" name="15" dataDxfId="516"/>
    <tableColumn id="3" name="16" dataDxfId="515"/>
    <tableColumn id="2" name="17" dataDxfId="514"/>
    <tableColumn id="24" name="18" dataDxfId="5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11" totalsRowDxfId="510">
  <tableColumns count="3">
    <tableColumn id="1" name="ВИД ВЫПЛАТЫ" totalsRowLabel="Итого" dataDxfId="509" totalsRowDxfId="508" dataCellStyle="Обычный 5"/>
    <tableColumn id="2" name="13%" totalsRowFunction="sum" dataDxfId="507" totalsRowDxfId="506" dataCellStyle="Обычный 5"/>
    <tableColumn id="3" name="30%" totalsRowFunction="sum" dataDxfId="505" totalsRowDxfId="504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03" dataDxfId="501" headerRowBorderDxfId="502" headerRowCellStyle="Обычный 5" dataCellStyle="Обычный 5">
  <tableColumns count="4">
    <tableColumn id="1" name="Сумма по ставкам" totalsRowFunction="sum" dataDxfId="500" totalsRowDxfId="499" dataCellStyle="Обычный 5"/>
    <tableColumn id="2" name="13%" dataDxfId="498" totalsRowDxfId="497" dataCellStyle="Обычный 5">
      <calculatedColumnFormula>B31+#REF!-Таблица42[[#This Row],[13%]]</calculatedColumnFormula>
    </tableColumn>
    <tableColumn id="3" name="30%" dataDxfId="496" totalsRowDxfId="495" dataCellStyle="Обычный 5"/>
    <tableColumn id="4" name="Расхождение по ставкам" dataDxfId="494" totalsRowDxfId="493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92" totalsRowDxfId="490" headerRowBorderDxfId="491" headerRowCellStyle="Обычный 5">
  <tableColumns count="8">
    <tableColumn id="1" name="ВИД ВЫПЛАТЫ" totalsRowLabel="Итого по ставке" dataDxfId="489" totalsRowDxfId="488" dataCellStyle="Обычный 5"/>
    <tableColumn id="2" name="13%" totalsRowFunction="sum" dataDxfId="487" totalsRowDxfId="486" dataCellStyle="Обычный 5"/>
    <tableColumn id="3" name="30%" totalsRowFunction="sum" dataDxfId="485" totalsRowDxfId="484" dataCellStyle="Обычный 5"/>
    <tableColumn id="4" name="Столбец1" totalsRowDxfId="483" dataCellStyle="Обычный 5"/>
    <tableColumn id="5" name="без исправлений" dataDxfId="482" totalsRowDxfId="481" dataCellStyle="Обычный 5"/>
    <tableColumn id="6" name="с корректоровкой" dataDxfId="480" totalsRowDxfId="479" dataCellStyle="Обычный 5"/>
    <tableColumn id="7" name="без исправлений2" dataDxfId="478" totalsRowDxfId="477" dataCellStyle="Обычный 5"/>
    <tableColumn id="8" name="с корректоровкой3" dataDxfId="476" totalsRowDxfId="475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6" name="Таблица44047" displayName="Таблица44047" ref="A7:L8" totalsRowShown="0" headerRowDxfId="55" dataDxfId="49">
  <autoFilter ref="A7:L8">
    <filterColumn colId="4"/>
    <filterColumn colId="11"/>
  </autoFilter>
  <tableColumns count="12">
    <tableColumn id="2" name="SSYLKA_FL" dataDxfId="33"/>
    <tableColumn id="3" name="NOM_VKL" dataDxfId="54"/>
    <tableColumn id="4" name="NOM_IPS" dataDxfId="53"/>
    <tableColumn id="5" name="Дата операции" dataDxfId="52"/>
    <tableColumn id="7" name="Дата документа" dataDxfId="38"/>
    <tableColumn id="6" name="Тип дохода" dataDxfId="37"/>
    <tableColumn id="8" name="Вычет" dataDxfId="4"/>
    <tableColumn id="9" name="Доход" dataDxfId="3"/>
    <tableColumn id="10" name="Налог" dataDxfId="2"/>
    <tableColumn id="11" name="№ документа" dataDxfId="36"/>
    <tableColumn id="12" name="№ корректируемого документа" dataDxfId="51"/>
    <tableColumn id="13" name="Ставка налога" dataDxfId="5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61" name="Таблица4404762" displayName="Таблица4404762" ref="A12:L13" totalsRowShown="0" headerRowDxfId="40" dataDxfId="39">
  <autoFilter ref="A12:L13"/>
  <tableColumns count="12">
    <tableColumn id="2" name="SSYLKA_FL" dataDxfId="32"/>
    <tableColumn id="3" name="NOM_VKL" dataDxfId="48"/>
    <tableColumn id="4" name="NOM_IPS" dataDxfId="47"/>
    <tableColumn id="5" name="Дата" dataDxfId="46"/>
    <tableColumn id="6" name="Тип дохода" dataDxfId="45"/>
    <tableColumn id="7" name="Тип операции" dataDxfId="44"/>
    <tableColumn id="8" name="Счет" dataDxfId="43"/>
    <tableColumn id="9" name="Субсчет" dataDxfId="35"/>
    <tableColumn id="10" name="Сумма" dataDxfId="1"/>
    <tableColumn id="11" name="№ документа" dataDxfId="34"/>
    <tableColumn id="12" name="№ корректирующего документа" dataDxfId="42"/>
    <tableColumn id="13" name="Ставка налога" dataDxfId="4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74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7" name="Таблица54138105108" displayName="Таблица54138105108" ref="A2:L3" totalsRowShown="0" headerRowDxfId="473" dataDxfId="471" headerRowBorderDxfId="472" tableBorderDxfId="470" totalsRowBorderDxfId="469">
  <autoFilter ref="A2:L3">
    <filterColumn colId="9"/>
    <filterColumn colId="10"/>
    <filterColumn colId="11"/>
  </autoFilter>
  <tableColumns count="12">
    <tableColumn id="1" name="Ssylka" dataDxfId="468"/>
    <tableColumn id="2" name="nom_vkl" dataDxfId="467"/>
    <tableColumn id="3" name="nom_ips" dataDxfId="466"/>
    <tableColumn id="4" name="ФИО" dataDxfId="465"/>
    <tableColumn id="5" name="Бух.счет" dataDxfId="464"/>
    <tableColumn id="6" name="Код вычета" dataDxfId="463"/>
    <tableColumn id="7" name="Период с" dataDxfId="462"/>
    <tableColumn id="8" name="Период по" dataDxfId="461"/>
    <tableColumn id="9" name="Период с_x000a_(БИТ)" dataDxfId="460"/>
    <tableColumn id="10" name="Период по_x000a_(БИТ)" dataDxfId="459"/>
    <tableColumn id="11" name="Сумма" dataDxfId="458"/>
    <tableColumn id="12" name="Применение вычета в движении" dataDxfId="45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4" name="Таблица54138105" displayName="Таблица54138105" ref="A2:K3" totalsRowShown="0" headerRowDxfId="456" dataDxfId="454" headerRowBorderDxfId="455" tableBorderDxfId="453" totalsRowBorderDxfId="452">
  <autoFilter ref="A2:K3">
    <filterColumn colId="9"/>
    <filterColumn colId="10"/>
  </autoFilter>
  <tableColumns count="11">
    <tableColumn id="1" name="Ssylka" dataDxfId="451"/>
    <tableColumn id="2" name="nom_vkl" dataDxfId="450"/>
    <tableColumn id="3" name="nom_ips" dataDxfId="449"/>
    <tableColumn id="4" name="ФИО" dataDxfId="448"/>
    <tableColumn id="5" name="Бух.счет" dataDxfId="447"/>
    <tableColumn id="6" name="Код вычета" dataDxfId="446"/>
    <tableColumn id="7" name="Период с" dataDxfId="445"/>
    <tableColumn id="8" name="Период по" dataDxfId="444"/>
    <tableColumn id="9" name="Сумма по движению" dataDxfId="443"/>
    <tableColumn id="10" name="Расчетная сумма по БИТ" dataDxfId="442"/>
    <tableColumn id="11" name="Расчетная сумма по БИТ_x000a_по счету" dataDxfId="44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7" name="Таблица54138" displayName="Таблица54138" ref="A2:K3" totalsRowShown="0" headerRowDxfId="440" dataDxfId="438" headerRowBorderDxfId="439" tableBorderDxfId="437" totalsRowBorderDxfId="436">
  <autoFilter ref="A2:K3">
    <filterColumn colId="9"/>
    <filterColumn colId="10"/>
  </autoFilter>
  <tableColumns count="11">
    <tableColumn id="1" name="Ssylka" dataDxfId="435"/>
    <tableColumn id="2" name="nom_vkl" dataDxfId="434"/>
    <tableColumn id="3" name="nom_ips" dataDxfId="433"/>
    <tableColumn id="4" name="ФИО" dataDxfId="432"/>
    <tableColumn id="5" name="Тип дохода" dataDxfId="431"/>
    <tableColumn id="6" name="Месяц" dataDxfId="430"/>
    <tableColumn id="7" name="Shifr_schet" dataDxfId="429"/>
    <tableColumn id="8" name="Код вычета_x000a_(ручн)" dataDxfId="428"/>
    <tableColumn id="9" name="Сумма вычета" dataDxfId="427"/>
    <tableColumn id="10" name="Наличие записей в SP_OGR_PV" dataDxfId="426"/>
    <tableColumn id="11" name="Наличие записей в BIT" dataDxfId="4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0" name="Таблица541" displayName="Таблица541" ref="A3:R4" totalsRowShown="0" headerRowDxfId="424" dataDxfId="422" headerRowBorderDxfId="423" tableBorderDxfId="421" totalsRowBorderDxfId="420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19"/>
    <tableColumn id="2" name="Ошибка" dataDxfId="418"/>
    <tableColumn id="3" name="ИД контрагента" dataDxfId="417"/>
    <tableColumn id="4" name="Фамилия" dataDxfId="416"/>
    <tableColumn id="5" name="Имя" dataDxfId="415"/>
    <tableColumn id="6" name="Отчество" dataDxfId="414"/>
    <tableColumn id="7" name="Дата рождения" dataDxfId="413"/>
    <tableColumn id="8" name="ИНН" dataDxfId="412"/>
    <tableColumn id="9" name="Гражданство" dataDxfId="411"/>
    <tableColumn id="10" name="Резидент" dataDxfId="410"/>
    <tableColumn id="11" name="Код УЛ" dataDxfId="409"/>
    <tableColumn id="12" name="Серия и номер УЛ" dataDxfId="408"/>
    <tableColumn id="13" name="№ справки" dataDxfId="407"/>
    <tableColumn id="19" name="ИНН2" dataDxfId="406"/>
    <tableColumn id="14" name="Гражданство2" dataDxfId="405"/>
    <tableColumn id="15" name="Резидент2" dataDxfId="404"/>
    <tableColumn id="16" name="Код УЛ2" dataDxfId="403"/>
    <tableColumn id="17" name="Серия и номер УЛ3" dataDxfId="40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Таблица444493347" displayName="Таблица444493347" ref="A2:H3" totalsRowShown="0" headerRowDxfId="401" dataDxfId="399" headerRowBorderDxfId="400" tableBorderDxfId="398" totalsRowBorderDxfId="39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96"/>
    <tableColumn id="14" name="Имя файла" dataDxfId="395"/>
    <tableColumn id="1" name="Количество справок" dataDxfId="394"/>
    <tableColumn id="16" name="Фамилия с" dataDxfId="393"/>
    <tableColumn id="17" name="Фамилия по" dataDxfId="392"/>
    <tableColumn id="2" name="№ справки с" dataDxfId="391"/>
    <tableColumn id="3" name="№ справки по" dataDxfId="390"/>
    <tableColumn id="25" name="Признак справки" dataDxfId="389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39" name="Таблица3348" displayName="Таблица3348" ref="A7:G9" totalsRowCount="1" headerRowDxfId="388" headerRowBorderDxfId="387" tableBorderDxfId="386" totalsRowBorderDxfId="385">
  <autoFilter ref="A7:G8"/>
  <tableColumns count="7">
    <tableColumn id="1" name="№_x000a_справки" totalsRowLabel="Итог" dataDxfId="384" totalsRowDxfId="383"/>
    <tableColumn id="2" name="Фамилия" dataDxfId="382" totalsRowDxfId="381"/>
    <tableColumn id="3" name="UI_PERSON" dataDxfId="380" totalsRowDxfId="379"/>
    <tableColumn id="4" name="Резидент" dataDxfId="378" totalsRowDxfId="377"/>
    <tableColumn id="5" name="Гражданство" dataDxfId="376" totalsRowDxfId="375"/>
    <tableColumn id="6" name="Задолженность" totalsRowFunction="sum" dataDxfId="374" totalsRowDxfId="373"/>
    <tableColumn id="7" name="Коррекция №" totalsRowFunction="count" dataDxfId="372" totalsRowDxfId="37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36" name="Таблица44449" displayName="Таблица44449" ref="A4:P5" totalsRowShown="0" headerRowDxfId="370" dataDxfId="369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68"/>
    <tableColumn id="14" name="2" dataDxfId="367"/>
    <tableColumn id="1" name="3" dataDxfId="366"/>
    <tableColumn id="16" name="4" dataDxfId="365"/>
    <tableColumn id="17" name="5" dataDxfId="364"/>
    <tableColumn id="2" name="6" dataDxfId="363"/>
    <tableColumn id="3" name="7" dataDxfId="362"/>
    <tableColumn id="25" name="8" dataDxfId="361"/>
    <tableColumn id="18" name="9" dataDxfId="360"/>
    <tableColumn id="19" name="10" dataDxfId="359"/>
    <tableColumn id="20" name="11" dataDxfId="358"/>
    <tableColumn id="21" name="12" dataDxfId="357"/>
    <tableColumn id="22" name="13" dataDxfId="356"/>
    <tableColumn id="23" name="14" dataDxfId="355"/>
    <tableColumn id="24" name="15" dataDxfId="354"/>
    <tableColumn id="26" name="16" dataDxfId="353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57" name="Таблица354258" displayName="Таблица354258" ref="A2:I3" headerRowDxfId="352" dataDxfId="350" totalsRowDxfId="348" headerRowBorderDxfId="351" tableBorderDxfId="349">
  <autoFilter ref="A2:I3"/>
  <tableColumns count="9">
    <tableColumn id="1" name="Таблица" totalsRowLabel="Итог" dataDxfId="347" totalsRowDxfId="346"/>
    <tableColumn id="3" name="SSYLKA" dataDxfId="345" totalsRowDxfId="344"/>
    <tableColumn id="4" name="Тип дохода" dataDxfId="343" totalsRowDxfId="342"/>
    <tableColumn id="5" name="Фамилия" dataDxfId="341" totalsRowDxfId="340"/>
    <tableColumn id="6" name="Имя" dataDxfId="339" totalsRowDxfId="338"/>
    <tableColumn id="8" name="Отчество" dataDxfId="337" totalsRowDxfId="336"/>
    <tableColumn id="9" name="ДР" dataDxfId="335" totalsRowDxfId="334"/>
    <tableColumn id="10" name="SSYLKA_REAL" dataDxfId="333" totalsRowDxfId="332"/>
    <tableColumn id="11" name="UI_PERSON" dataDxfId="331" totalsRowDxfId="33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18"/>
    <tableColumn id="2" name="FND_x000a_SSYLKA" dataDxfId="317"/>
    <tableColumn id="3" name="NOM_VKL" dataDxfId="316"/>
    <tableColumn id="4" name="NOM_IPS" dataDxfId="315"/>
    <tableColumn id="6" name="ФИО" dataDxfId="314"/>
    <tableColumn id="7" name="Дата_x000a_рождения" dataDxfId="313"/>
    <tableColumn id="8" name="Гражданство" dataDxfId="312"/>
    <tableColumn id="5" name="Столбец1" dataDxfId="311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51" name="Таблица4405152" displayName="Таблица4405152" ref="A7:H8" totalsRowShown="0" dataDxfId="310">
  <autoFilter ref="A7:H8">
    <filterColumn colId="6"/>
    <filterColumn colId="7"/>
  </autoFilter>
  <tableColumns count="8">
    <tableColumn id="2" name="Период с" dataDxfId="309"/>
    <tableColumn id="3" name="Период по" dataDxfId="308"/>
    <tableColumn id="4" name="Код вычета" dataDxfId="307"/>
    <tableColumn id="6" name="Сумма" dataDxfId="306"/>
    <tableColumn id="7" name="Описание" dataDxfId="305"/>
    <tableColumn id="8" name="Лимит дохода" dataDxfId="304"/>
    <tableColumn id="5" name="tdappid" dataDxfId="303"/>
    <tableColumn id="9" name="rid" dataDxfId="30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5" name="Таблица440515256" displayName="Таблица440515256" ref="A11:H12" totalsRowShown="0" dataDxfId="301">
  <autoFilter ref="A11:H12">
    <filterColumn colId="6"/>
    <filterColumn colId="7"/>
  </autoFilter>
  <tableColumns count="8">
    <tableColumn id="2" name="Период с" dataDxfId="300"/>
    <tableColumn id="3" name="Период по" dataDxfId="299"/>
    <tableColumn id="4" name="Shifr_schet" dataDxfId="298"/>
    <tableColumn id="6" name="Сумма" dataDxfId="297"/>
    <tableColumn id="7" name="Описание" dataDxfId="296"/>
    <tableColumn id="8" name="Лимит дохода" dataDxfId="295"/>
    <tableColumn id="5" name="tdappid" dataDxfId="294"/>
    <tableColumn id="9" name="rid" dataDxfId="29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6" name="Таблица44051525657" displayName="Таблица44051525657" ref="A15:G16" totalsRowShown="0" dataDxfId="292">
  <autoFilter ref="A15:G16">
    <filterColumn colId="6"/>
  </autoFilter>
  <tableColumns count="7">
    <tableColumn id="1" name="Дата операции" dataDxfId="291"/>
    <tableColumn id="2" name="Тип движения" dataDxfId="290"/>
    <tableColumn id="3" name="Счет" dataDxfId="289"/>
    <tableColumn id="4" name="Сумма" dataDxfId="288"/>
    <tableColumn id="6" name="Документ" dataDxfId="287"/>
    <tableColumn id="7" name="Корректирующий документ" dataDxfId="286"/>
    <tableColumn id="10" name="Субсчет" dataDxfId="28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9" name="Menu" displayName="Menu" ref="D2:E36" totalsRowShown="0">
  <autoFilter ref="D2:E3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0" name="Actions" displayName="Actions" ref="G2:L64" totalsRowShown="0">
  <autoFilter ref="G2:L64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12" name="Reports" displayName="Reports" ref="N2:T64" totalsRowShown="0">
  <autoFilter ref="N2:T64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3" name="SubReports" displayName="SubReports" ref="V2:W35" totalsRowShown="0">
  <autoFilter ref="V2:W35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4" name="GeneralOptions" displayName="GeneralOptions" ref="A2:B16" headerRowBorderDxfId="329" tableBorderDxfId="328" totalsRowBorderDxfId="327">
  <autoFilter ref="A2:B16"/>
  <tableColumns count="2">
    <tableColumn id="1" name="Key" totalsRowLabel="Итог" totalsRowDxfId="326"/>
    <tableColumn id="2" name="Value" totalsRowFunction="count" totalsRowDxfId="32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7" name="ActionTypes" displayName="ActionTypes" ref="AM2:AM4" totalsRowShown="0" tableBorderDxfId="324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32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16" name="Таблица16" displayName="Таблица16" ref="C3:C6" totalsRowShown="0" headerRowDxfId="322" dataDxfId="321" tableBorderDxfId="320">
  <tableColumns count="1">
    <tableColumn id="1" name="Столбец1" dataDxfId="319"/>
  </tableColumns>
  <tableStyleInfo name="TableStyleMedium2" showFirstColumn="0" showLastColumn="0" showRowStripes="0" showColumnStripes="0"/>
</table>
</file>

<file path=xl/tables/table41.xml><?xml version="1.0" encoding="utf-8"?>
<table xmlns="http://schemas.openxmlformats.org/spreadsheetml/2006/main" id="34" name="Таблица2435" displayName="Таблица2435" ref="A4:L5" totalsRowShown="0" headerRowDxfId="284" dataDxfId="282" headerRowBorderDxfId="283" tableBorderDxfId="281" totalsRowBorderDxfId="280">
  <autoFilter ref="A4:L5">
    <filterColumn colId="1"/>
    <filterColumn colId="8"/>
    <filterColumn colId="9"/>
    <filterColumn colId="10"/>
    <filterColumn colId="11"/>
  </autoFilter>
  <tableColumns count="12">
    <tableColumn id="5" name="1" dataDxfId="279"/>
    <tableColumn id="3" name="2" dataDxfId="278"/>
    <tableColumn id="2" name="3" dataDxfId="277"/>
    <tableColumn id="6" name="4" dataDxfId="276"/>
    <tableColumn id="7" name="5" dataDxfId="275"/>
    <tableColumn id="10" name="6" dataDxfId="274"/>
    <tableColumn id="11" name="7" dataDxfId="273"/>
    <tableColumn id="12" name="8" dataDxfId="272"/>
    <tableColumn id="1" name="9" dataDxfId="271"/>
    <tableColumn id="4" name="10" dataDxfId="270"/>
    <tableColumn id="9" name="12" dataDxfId="269"/>
    <tableColumn id="8" name="11" dataDxfId="26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6" name="Таблица26" displayName="Таблица26" ref="B6:D7" totalsRowShown="0" headerRowDxfId="267" headerRowBorderDxfId="266" tableBorderDxfId="265" headerRowCellStyle="Обычный 4">
  <autoFilter ref="B6:D7"/>
  <tableColumns count="3">
    <tableColumn id="1" name="100" dataDxfId="264" dataCellStyle="Обычный 4"/>
    <tableColumn id="2" name="130" dataDxfId="263" dataCellStyle="Обычный 4"/>
    <tableColumn id="3" name="140" dataDxfId="262" dataCellStyle="Обычный 4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61" dataDxfId="260"/>
  </tableColumns>
  <tableStyleInfo showFirstColumn="0" showLastColumn="0" showRowStripes="0" showColumnStripes="0"/>
</table>
</file>

<file path=xl/tables/table44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59" dataDxfId="258"/>
  </tableColumns>
  <tableStyleInfo showFirstColumn="0" showLastColumn="0" showRowStripes="0" showColumnStripes="0"/>
</table>
</file>

<file path=xl/tables/table45.xml><?xml version="1.0" encoding="utf-8"?>
<table xmlns="http://schemas.openxmlformats.org/spreadsheetml/2006/main" id="4" name="Таблица4" displayName="Таблица4" ref="B5:E5" headerRowCount="0" totalsRowShown="0" headerRowDxfId="257" dataDxfId="256" tableBorderDxfId="255" totalsRowBorderDxfId="254">
  <tableColumns count="4">
    <tableColumn id="1" name="Столбец1" headerRowDxfId="253" dataDxfId="252" dataCellStyle="Обычный 4"/>
    <tableColumn id="2" name="Столбец2" headerRowDxfId="251" dataDxfId="250" headerRowCellStyle="Обычный 4" dataCellStyle="Обычный 4"/>
    <tableColumn id="3" name="Столбец3" headerRowDxfId="249" dataDxfId="248"/>
    <tableColumn id="4" name="Столбец4" headerRowDxfId="247" dataDxfId="246" headerRowCellStyle="Обычный 4" dataCellStyle="Обычный 4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29" name="Таблица29" displayName="Таблица29" ref="A4:H5" headerRowCount="0" totalsRowCount="1" headerRowDxfId="245" dataDxfId="244">
  <tableColumns count="8">
    <tableColumn id="1" name="Столбец1" totalsRowLabel="Итого:" headerRowDxfId="243" dataDxfId="242" totalsRowDxfId="241"/>
    <tableColumn id="2" name="Столбец2" headerRowDxfId="240" dataDxfId="239" totalsRowDxfId="238"/>
    <tableColumn id="3" name="Столбец3" totalsRowFunction="sum" headerRowDxfId="237" dataDxfId="236" totalsRowDxfId="235"/>
    <tableColumn id="4" name="Столбец4" totalsRowFunction="sum" headerRowDxfId="234" dataDxfId="233" totalsRowDxfId="232"/>
    <tableColumn id="5" name="Столбец5" totalsRowFunction="sum" headerRowDxfId="231" dataDxfId="230" totalsRowDxfId="229"/>
    <tableColumn id="6" name="Столбец6" totalsRowFunction="sum" headerRowDxfId="228" dataDxfId="227" totalsRowDxfId="226"/>
    <tableColumn id="7" name="Столбец7" totalsRowFunction="sum" headerRowDxfId="225" dataDxfId="224" totalsRowDxfId="223"/>
    <tableColumn id="8" name="Столбец8" totalsRowFunction="sum" headerRowDxfId="222" dataDxfId="221" totalsRowDxfId="220"/>
  </tableColumns>
  <tableStyleInfo name="TableStyleLight1" showFirstColumn="0" showLastColumn="0" showRowStripes="0" showColumnStripes="0"/>
</table>
</file>

<file path=xl/tables/table47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219" totalsRowDxfId="218"/>
    <tableColumn id="4" name="Столбец2" dataDxfId="217"/>
    <tableColumn id="5" name="итог" dataDxfId="216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8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215"/>
    <tableColumn id="2" name="Столбец2"/>
    <tableColumn id="3" name="Столбец3" totalsRowFunction="sum" headerRowDxfId="214" dataDxfId="213" totalsRowDxfId="212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9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47" name="Таблица47" displayName="Таблица47" ref="A23:F25" totalsRowCount="1" headerRowDxfId="211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210"/>
    <tableColumn id="5" name="Налог удержанный" totalsRowFunction="sum" dataDxfId="209"/>
    <tableColumn id="6" name="Разница" totalsRowFunction="sum" dataDxfId="208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8" name="Таблица8" displayName="Таблица8" ref="A1:D2" insertRow="1" totalsRowShown="0" headerRowDxfId="207" headerRowBorderDxfId="206" tableBorderDxfId="205" totalsRowBorderDxfId="204">
  <autoFilter ref="A1:D2">
    <filterColumn colId="2"/>
    <filterColumn colId="3"/>
  </autoFilter>
  <tableColumns count="4">
    <tableColumn id="1" name="ФИО" dataDxfId="203"/>
    <tableColumn id="5" name="Дата рождения" dataDxfId="202"/>
    <tableColumn id="2" name="Снилс"/>
    <tableColumn id="3" name="ИНН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25" name="Таблица8526" displayName="Таблица8526" ref="A2:I3" totalsRowShown="0" headerRowDxfId="201" headerRowBorderDxfId="200" tableBorderDxfId="199" totalsRowBorderDxfId="198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97"/>
    <tableColumn id="6" name="Имя" dataDxfId="196"/>
    <tableColumn id="4" name="Отчество" dataDxfId="195"/>
    <tableColumn id="5" name="Дата рождения" dataDxfId="194"/>
    <tableColumn id="3" name="ИНН" dataDxfId="193"/>
    <tableColumn id="1" name="Участник/Не участник" dataDxfId="192"/>
    <tableColumn id="2" name="Доход" dataDxfId="191"/>
    <tableColumn id="8" name="Пенсионные схемы" dataDxfId="190"/>
    <tableColumn id="9" name="Типы дохода" dataDxfId="189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101" name="Таблица44047102" displayName="Таблица44047102" ref="A7:I8" totalsRowShown="0" headerRowDxfId="31" dataDxfId="30">
  <autoFilter ref="A7:I8">
    <filterColumn colId="3"/>
  </autoFilter>
  <tableColumns count="9">
    <tableColumn id="3" name="№ справки" dataDxfId="28"/>
    <tableColumn id="4" name="№ корр" dataDxfId="27"/>
    <tableColumn id="5" name="Ставка налога" dataDxfId="29"/>
    <tableColumn id="7" name="Годовой доход" dataDxfId="0"/>
    <tableColumn id="6" name="Облагаемый доход" dataDxfId="13"/>
    <tableColumn id="8" name="Налог исчисленный" dataDxfId="12"/>
    <tableColumn id="9" name="Налог удержанный" dataDxfId="11"/>
    <tableColumn id="10" name="Переплата" dataDxfId="10"/>
    <tableColumn id="11" name="Недоплата" dataDxfId="9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2" name="Таблица4404762103122123" displayName="Таблица4404762103122123" ref="A12:F13" totalsRowShown="0" headerRowDxfId="26" dataDxfId="25">
  <autoFilter ref="A12:F13"/>
  <tableColumns count="6">
    <tableColumn id="3" name="№ справки" dataDxfId="24"/>
    <tableColumn id="4" name="№ корр" dataDxfId="23"/>
    <tableColumn id="5" name="Ставка налога" dataDxfId="22"/>
    <tableColumn id="6" name="Код вычета" dataDxfId="21"/>
    <tableColumn id="7" name="Сумма предоставленная" dataDxfId="8"/>
    <tableColumn id="8" name="Сумма использованная" dataDxfId="7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125" name="Таблица4404762103122123126" displayName="Таблица4404762103122123126" ref="A16:G17" totalsRowShown="0" headerRowDxfId="15" dataDxfId="14">
  <autoFilter ref="A16:G17">
    <filterColumn colId="6"/>
  </autoFilter>
  <tableColumns count="7">
    <tableColumn id="3" name="№ справки" dataDxfId="20"/>
    <tableColumn id="4" name="№ корр" dataDxfId="19"/>
    <tableColumn id="5" name="Ставка налога" dataDxfId="18"/>
    <tableColumn id="6" name="Код дохода" dataDxfId="17"/>
    <tableColumn id="7" name="Сумма дохода" dataDxfId="6"/>
    <tableColumn id="8" name="Код вычета" dataDxfId="16"/>
    <tableColumn id="1" name="Сумма вычета" dataDxfId="5"/>
  </tableColumns>
  <tableStyleInfo name="TableStyleMedium9" showFirstColumn="0" showLastColumn="0" showRowStripes="1" showColumnStripes="0"/>
</table>
</file>

<file path=xl/tables/table56.xml><?xml version="1.0" encoding="utf-8"?>
<table xmlns="http://schemas.openxmlformats.org/spreadsheetml/2006/main" id="52" name="Таблица52" displayName="Таблица52" ref="A5:I6" headerRowDxfId="188">
  <autoFilter ref="A5:I6">
    <filterColumn colId="5"/>
  </autoFilter>
  <tableColumns count="9">
    <tableColumn id="1" name="Контрагент ID" totalsRowLabel="Итог" dataDxfId="187" totalsRowDxfId="186"/>
    <tableColumn id="2" name="Фамилия" dataDxfId="185" totalsRowDxfId="184"/>
    <tableColumn id="3" name="Имя" dataDxfId="183" totalsRowDxfId="182"/>
    <tableColumn id="4" name="Отчество" dataDxfId="181" totalsRowDxfId="180"/>
    <tableColumn id="5" name="Ставка" dataDxfId="179" totalsRowDxfId="178"/>
    <tableColumn id="9" name="Количество счетов" dataDxfId="177" totalsRowDxfId="176"/>
    <tableColumn id="6" name="Исчисленный налог" dataDxfId="175" totalsRowDxfId="174"/>
    <tableColumn id="7" name="Удержанный налог" dataDxfId="173" totalsRowDxfId="172"/>
    <tableColumn id="8" name="Недоплата" totalsRowFunction="sum" dataDxfId="171" totalsRowDxfId="170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id="28" name="Таблица5229" displayName="Таблица5229" ref="A5:P6" headerRowDxfId="169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68" totalsRowDxfId="167"/>
    <tableColumn id="2" name="Фамилия" dataDxfId="166" totalsRowDxfId="165"/>
    <tableColumn id="3" name="Имя" dataDxfId="164" totalsRowDxfId="163"/>
    <tableColumn id="4" name="Отчество" dataDxfId="162" totalsRowDxfId="161"/>
    <tableColumn id="9" name="SSYLKA" dataDxfId="160" totalsRowDxfId="159"/>
    <tableColumn id="10" name="Вкладчик" dataDxfId="158" totalsRowDxfId="157"/>
    <tableColumn id="11" name="ИПС" dataDxfId="156" totalsRowDxfId="155"/>
    <tableColumn id="12" name="Пенс.схема" dataDxfId="154" totalsRowDxfId="153"/>
    <tableColumn id="14" name="Счет дохода" dataDxfId="152" totalsRowDxfId="151"/>
    <tableColumn id="5" name="Счет налога" dataDxfId="150" totalsRowDxfId="149"/>
    <tableColumn id="16" name="Доход" dataDxfId="148" totalsRowDxfId="147"/>
    <tableColumn id="15" name="Вычет" dataDxfId="146" totalsRowDxfId="145"/>
    <tableColumn id="13" name="Налог" dataDxfId="144" totalsRowDxfId="143"/>
    <tableColumn id="18" name="Удержано налога" dataDxfId="142" totalsRowDxfId="141"/>
    <tableColumn id="17" name="Исчислено налога" dataDxfId="140" totalsRowDxfId="139"/>
    <tableColumn id="8" name="Недоплата2" totalsRowFunction="sum" dataDxfId="138" totalsRowDxfId="137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35" name="Таблица35" displayName="Таблица35" ref="A22:M24" totalsRowCount="1" headerRowDxfId="136" dataDxfId="135">
  <autoFilter ref="A22:M23">
    <filterColumn colId="9"/>
    <filterColumn colId="12"/>
  </autoFilter>
  <tableColumns count="13">
    <tableColumn id="1" name="1" totalsRowLabel="Итог" dataDxfId="134" totalsRowDxfId="133"/>
    <tableColumn id="3" name="2" dataDxfId="132" totalsRowDxfId="131"/>
    <tableColumn id="4" name="3" dataDxfId="130" totalsRowDxfId="129"/>
    <tableColumn id="5" name="4" dataDxfId="128" totalsRowDxfId="127"/>
    <tableColumn id="6" name="5" dataDxfId="126" totalsRowDxfId="125"/>
    <tableColumn id="8" name="6" dataDxfId="124" totalsRowDxfId="123"/>
    <tableColumn id="9" name="7" dataDxfId="122" totalsRowDxfId="121"/>
    <tableColumn id="10" name="8" dataDxfId="120" totalsRowDxfId="119"/>
    <tableColumn id="11" name="9" dataDxfId="118" totalsRowDxfId="117"/>
    <tableColumn id="14" name="10" dataDxfId="116" totalsRowDxfId="115"/>
    <tableColumn id="12" name="11" totalsRowFunction="sum" dataDxfId="114" totalsRowDxfId="113"/>
    <tableColumn id="13" name="12" dataDxfId="112" totalsRowDxfId="111"/>
    <tableColumn id="15" name="13" dataDxfId="110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41" name="Таблица3542" displayName="Таблица3542" ref="A6:M8" totalsRowCount="1" headerRowDxfId="109" dataDxfId="108">
  <autoFilter ref="A6:M7"/>
  <tableColumns count="13">
    <tableColumn id="1" name="1" totalsRowLabel="Итог" dataDxfId="107" totalsRowDxfId="106"/>
    <tableColumn id="3" name="2" dataDxfId="105" totalsRowDxfId="104"/>
    <tableColumn id="4" name="3" dataDxfId="103" totalsRowDxfId="102"/>
    <tableColumn id="5" name="4" dataDxfId="101" totalsRowDxfId="100"/>
    <tableColumn id="6" name="5" dataDxfId="99" totalsRowDxfId="98"/>
    <tableColumn id="8" name="6" dataDxfId="97" totalsRowDxfId="96"/>
    <tableColumn id="9" name="7" dataDxfId="95" totalsRowDxfId="94"/>
    <tableColumn id="10" name="8" dataDxfId="93" totalsRowDxfId="92"/>
    <tableColumn id="11" name="9" dataDxfId="91" totalsRowDxfId="90"/>
    <tableColumn id="14" name="10" dataDxfId="89" totalsRowDxfId="88"/>
    <tableColumn id="12" name="11" totalsRowFunction="sum" dataDxfId="87" totalsRowDxfId="86"/>
    <tableColumn id="13" name="12" dataDxfId="85" totalsRowDxfId="84"/>
    <tableColumn id="15" name="13" dataDxfId="83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48" name="Таблица3549" displayName="Таблица3549" ref="A14:M16" totalsRowCount="1" headerRowDxfId="82" dataDxfId="81">
  <autoFilter ref="A14:M15"/>
  <tableColumns count="13">
    <tableColumn id="1" name="1" totalsRowLabel="Итог" dataDxfId="80" totalsRowDxfId="79"/>
    <tableColumn id="3" name="2" dataDxfId="78" totalsRowDxfId="77"/>
    <tableColumn id="4" name="3" dataDxfId="76" totalsRowDxfId="75"/>
    <tableColumn id="5" name="4" dataDxfId="74" totalsRowDxfId="73"/>
    <tableColumn id="6" name="5" dataDxfId="72" totalsRowDxfId="71"/>
    <tableColumn id="8" name="6" dataDxfId="70" totalsRowDxfId="69"/>
    <tableColumn id="9" name="7" dataDxfId="68" totalsRowDxfId="67"/>
    <tableColumn id="10" name="8" dataDxfId="66" totalsRowDxfId="65"/>
    <tableColumn id="11" name="9" dataDxfId="64" totalsRowDxfId="63"/>
    <tableColumn id="14" name="10" dataDxfId="62" totalsRowDxfId="61"/>
    <tableColumn id="12" name="11" totalsRowFunction="sum" dataDxfId="60" totalsRowDxfId="59"/>
    <tableColumn id="13" name="12" dataDxfId="58" totalsRowDxfId="57"/>
    <tableColumn id="15" name="13" dataDxfId="5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9.xml"/><Relationship Id="rId13" Type="http://schemas.openxmlformats.org/officeDocument/2006/relationships/table" Target="../tables/table34.xml"/><Relationship Id="rId18" Type="http://schemas.openxmlformats.org/officeDocument/2006/relationships/table" Target="../tables/table39.xml"/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12" Type="http://schemas.openxmlformats.org/officeDocument/2006/relationships/table" Target="../tables/table33.xml"/><Relationship Id="rId17" Type="http://schemas.openxmlformats.org/officeDocument/2006/relationships/table" Target="../tables/table38.xml"/><Relationship Id="rId2" Type="http://schemas.openxmlformats.org/officeDocument/2006/relationships/table" Target="../tables/table23.xml"/><Relationship Id="rId16" Type="http://schemas.openxmlformats.org/officeDocument/2006/relationships/table" Target="../tables/table37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7.xml"/><Relationship Id="rId11" Type="http://schemas.openxmlformats.org/officeDocument/2006/relationships/table" Target="../tables/table32.xml"/><Relationship Id="rId5" Type="http://schemas.openxmlformats.org/officeDocument/2006/relationships/table" Target="../tables/table26.xml"/><Relationship Id="rId15" Type="http://schemas.openxmlformats.org/officeDocument/2006/relationships/table" Target="../tables/table36.xml"/><Relationship Id="rId10" Type="http://schemas.openxmlformats.org/officeDocument/2006/relationships/table" Target="../tables/table31.xml"/><Relationship Id="rId4" Type="http://schemas.openxmlformats.org/officeDocument/2006/relationships/table" Target="../tables/table25.xml"/><Relationship Id="rId9" Type="http://schemas.openxmlformats.org/officeDocument/2006/relationships/table" Target="../tables/table30.xml"/><Relationship Id="rId14" Type="http://schemas.openxmlformats.org/officeDocument/2006/relationships/table" Target="../tables/table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3.bin"/><Relationship Id="rId4" Type="http://schemas.openxmlformats.org/officeDocument/2006/relationships/table" Target="../tables/table5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table" Target="../tables/table59.xml"/><Relationship Id="rId1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91" t="s">
        <v>248</v>
      </c>
      <c r="B1" s="292"/>
      <c r="C1" s="292"/>
      <c r="D1" s="292"/>
      <c r="E1" s="292"/>
      <c r="F1" s="292"/>
      <c r="G1" s="292"/>
      <c r="H1" s="292"/>
      <c r="I1" s="292"/>
      <c r="J1" s="292"/>
    </row>
    <row r="2" spans="1:10" ht="31.5" customHeight="1">
      <c r="A2" s="289" t="s">
        <v>4</v>
      </c>
      <c r="B2" s="289"/>
      <c r="C2" s="289"/>
      <c r="D2" s="289"/>
      <c r="E2" s="289"/>
      <c r="F2" s="290" t="s">
        <v>23</v>
      </c>
      <c r="G2" s="290"/>
      <c r="H2" s="290"/>
      <c r="I2" s="290"/>
      <c r="J2" s="290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93" t="s">
        <v>248</v>
      </c>
      <c r="B1" s="293"/>
      <c r="C1" s="293"/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</row>
    <row r="2" spans="1:16" ht="31.5" customHeight="1">
      <c r="A2" s="298" t="s">
        <v>4</v>
      </c>
      <c r="B2" s="299"/>
      <c r="C2" s="299"/>
      <c r="D2" s="299"/>
      <c r="E2" s="299"/>
      <c r="F2" s="299"/>
      <c r="G2" s="299"/>
      <c r="H2" s="299"/>
      <c r="I2" s="300"/>
      <c r="J2" s="301" t="s">
        <v>23</v>
      </c>
      <c r="K2" s="302"/>
      <c r="L2" s="302"/>
      <c r="M2" s="302"/>
      <c r="N2" s="302"/>
      <c r="O2" s="302"/>
      <c r="P2" s="303"/>
    </row>
    <row r="3" spans="1:16" ht="24" customHeight="1">
      <c r="A3" s="304" t="s">
        <v>0</v>
      </c>
      <c r="B3" s="306" t="s">
        <v>29</v>
      </c>
      <c r="C3" s="306" t="s">
        <v>3</v>
      </c>
      <c r="D3" s="306" t="s">
        <v>30</v>
      </c>
      <c r="E3" s="308" t="s">
        <v>5</v>
      </c>
      <c r="F3" s="309"/>
      <c r="G3" s="310"/>
      <c r="H3" s="308" t="s">
        <v>6</v>
      </c>
      <c r="I3" s="311"/>
      <c r="J3" s="312" t="s">
        <v>28</v>
      </c>
      <c r="K3" s="312" t="s">
        <v>32</v>
      </c>
      <c r="L3" s="294" t="s">
        <v>5</v>
      </c>
      <c r="M3" s="295"/>
      <c r="N3" s="296"/>
      <c r="O3" s="294" t="s">
        <v>6</v>
      </c>
      <c r="P3" s="297"/>
    </row>
    <row r="4" spans="1:16" ht="38.25" customHeight="1">
      <c r="A4" s="305"/>
      <c r="B4" s="307"/>
      <c r="C4" s="307"/>
      <c r="D4" s="307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13"/>
      <c r="K4" s="313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93" t="s">
        <v>249</v>
      </c>
      <c r="B1" s="293"/>
      <c r="C1" s="293"/>
      <c r="D1" s="293"/>
      <c r="E1" s="293"/>
      <c r="F1" s="293"/>
      <c r="G1" s="293"/>
      <c r="H1" s="293"/>
      <c r="I1" s="293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14" t="s">
        <v>250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</row>
    <row r="2" spans="1:18" ht="31.5" customHeight="1">
      <c r="A2" s="289" t="s">
        <v>59</v>
      </c>
      <c r="B2" s="289"/>
      <c r="C2" s="289"/>
      <c r="D2" s="289"/>
      <c r="E2" s="289" t="s">
        <v>58</v>
      </c>
      <c r="F2" s="289"/>
      <c r="G2" s="289"/>
      <c r="H2" s="289"/>
      <c r="I2" s="289"/>
      <c r="J2" s="289"/>
      <c r="K2" s="315" t="s">
        <v>52</v>
      </c>
      <c r="L2" s="315" t="s">
        <v>53</v>
      </c>
      <c r="M2" s="315" t="s">
        <v>38</v>
      </c>
      <c r="N2" s="315" t="s">
        <v>54</v>
      </c>
      <c r="O2" s="289" t="s">
        <v>60</v>
      </c>
      <c r="P2" s="289"/>
      <c r="Q2" s="289"/>
      <c r="R2" s="289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15"/>
      <c r="L3" s="315"/>
      <c r="M3" s="315"/>
      <c r="N3" s="315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activeCell="B46" sqref="B46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318" t="s">
        <v>292</v>
      </c>
      <c r="B1" s="319"/>
      <c r="C1" s="319"/>
      <c r="D1" s="319"/>
      <c r="E1" s="319"/>
      <c r="F1" s="319"/>
      <c r="G1" s="319"/>
      <c r="H1" s="319"/>
    </row>
    <row r="2" spans="1:8" ht="15.75" customHeight="1">
      <c r="A2" s="323"/>
      <c r="B2" s="323"/>
      <c r="C2" s="323"/>
      <c r="D2" s="323"/>
      <c r="E2" s="323"/>
      <c r="F2" s="323"/>
      <c r="G2" s="323"/>
      <c r="H2" s="323"/>
    </row>
    <row r="3" spans="1:8" ht="27" customHeight="1">
      <c r="A3" s="320" t="s">
        <v>267</v>
      </c>
      <c r="B3" s="320"/>
      <c r="C3" s="320"/>
      <c r="D3" s="117"/>
      <c r="E3" s="320" t="s">
        <v>268</v>
      </c>
      <c r="F3" s="320"/>
      <c r="G3" s="320"/>
      <c r="H3" s="320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21" t="s">
        <v>283</v>
      </c>
      <c r="B18" s="321"/>
      <c r="C18" s="321"/>
      <c r="D18" s="119"/>
      <c r="E18" s="321" t="s">
        <v>284</v>
      </c>
      <c r="F18" s="321"/>
      <c r="G18" s="321"/>
      <c r="H18" s="321"/>
    </row>
    <row r="19" spans="1:8" ht="14.25" customHeight="1">
      <c r="A19" s="321"/>
      <c r="B19" s="321"/>
      <c r="C19" s="321"/>
      <c r="D19" s="118"/>
      <c r="E19" s="322" t="s">
        <v>269</v>
      </c>
      <c r="F19" s="322"/>
      <c r="G19" s="322" t="s">
        <v>270</v>
      </c>
      <c r="H19" s="322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316" t="s">
        <v>299</v>
      </c>
      <c r="B41" s="317"/>
      <c r="D41" s="117"/>
    </row>
    <row r="42" spans="1:8">
      <c r="A42" s="316"/>
      <c r="B42" s="317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12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62" customWidth="1"/>
    <col min="2" max="2" width="12.140625" style="262" customWidth="1"/>
    <col min="3" max="4" width="10.140625" style="262" customWidth="1"/>
    <col min="5" max="6" width="13.85546875" style="262" customWidth="1"/>
    <col min="7" max="7" width="17.140625" style="262" customWidth="1"/>
    <col min="8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14" t="s">
        <v>557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380" t="s">
        <v>558</v>
      </c>
      <c r="B3" s="382"/>
      <c r="C3" s="382"/>
      <c r="D3" s="382"/>
      <c r="E3" s="382"/>
      <c r="F3" s="382"/>
      <c r="G3" s="382"/>
      <c r="H3" s="379"/>
      <c r="I3" s="379"/>
      <c r="J3" s="379"/>
      <c r="K3" s="379"/>
      <c r="L3" s="379"/>
      <c r="M3" s="379"/>
      <c r="N3" s="379"/>
    </row>
    <row r="4" spans="1:18">
      <c r="A4" s="380" t="s">
        <v>559</v>
      </c>
      <c r="B4" s="381"/>
      <c r="C4" s="381"/>
      <c r="D4" s="381"/>
      <c r="E4" s="381"/>
      <c r="F4" s="381"/>
      <c r="G4" s="381"/>
      <c r="H4" s="379"/>
      <c r="I4" s="379"/>
      <c r="J4" s="379"/>
      <c r="K4" s="379"/>
      <c r="L4" s="379"/>
      <c r="M4" s="379"/>
      <c r="N4" s="379"/>
    </row>
    <row r="5" spans="1:18" ht="9" customHeight="1"/>
    <row r="6" spans="1:18">
      <c r="A6" s="378" t="s">
        <v>555</v>
      </c>
      <c r="B6" s="378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</row>
    <row r="7" spans="1:18" ht="45" customHeight="1">
      <c r="A7" s="246" t="s">
        <v>544</v>
      </c>
      <c r="B7" s="246" t="s">
        <v>502</v>
      </c>
      <c r="C7" s="247" t="s">
        <v>503</v>
      </c>
      <c r="D7" s="247" t="s">
        <v>35</v>
      </c>
      <c r="E7" s="247" t="s">
        <v>551</v>
      </c>
      <c r="F7" s="247" t="s">
        <v>3</v>
      </c>
      <c r="G7" s="247" t="s">
        <v>2</v>
      </c>
      <c r="H7" s="248" t="s">
        <v>1</v>
      </c>
      <c r="I7" s="249" t="s">
        <v>309</v>
      </c>
      <c r="J7" s="247" t="s">
        <v>545</v>
      </c>
      <c r="K7" s="246" t="s">
        <v>552</v>
      </c>
      <c r="L7" s="246" t="s">
        <v>546</v>
      </c>
    </row>
    <row r="8" spans="1:18">
      <c r="A8" s="263" t="s">
        <v>550</v>
      </c>
      <c r="B8" s="163"/>
      <c r="C8" s="163"/>
      <c r="D8" s="376"/>
      <c r="E8" s="376"/>
      <c r="F8" s="282"/>
      <c r="G8" s="166"/>
      <c r="H8" s="166"/>
      <c r="I8" s="166"/>
      <c r="J8" s="163"/>
      <c r="K8" s="163"/>
      <c r="L8" s="165"/>
    </row>
    <row r="11" spans="1:18">
      <c r="A11" s="378" t="s">
        <v>554</v>
      </c>
      <c r="B11" s="378"/>
      <c r="C11" s="378"/>
      <c r="D11" s="378"/>
      <c r="E11" s="378"/>
      <c r="F11" s="378"/>
      <c r="G11" s="378"/>
      <c r="H11" s="378"/>
      <c r="I11" s="378"/>
      <c r="J11" s="378"/>
      <c r="K11" s="378"/>
      <c r="L11" s="378"/>
      <c r="M11" s="378"/>
    </row>
    <row r="12" spans="1:18" ht="45" customHeight="1">
      <c r="A12" s="246" t="s">
        <v>544</v>
      </c>
      <c r="B12" s="246" t="s">
        <v>502</v>
      </c>
      <c r="C12" s="247" t="s">
        <v>503</v>
      </c>
      <c r="D12" s="247" t="s">
        <v>47</v>
      </c>
      <c r="E12" s="247" t="s">
        <v>3</v>
      </c>
      <c r="F12" s="247" t="s">
        <v>326</v>
      </c>
      <c r="G12" s="247" t="s">
        <v>38</v>
      </c>
      <c r="H12" s="248" t="s">
        <v>39</v>
      </c>
      <c r="I12" s="249" t="s">
        <v>40</v>
      </c>
      <c r="J12" s="247" t="s">
        <v>545</v>
      </c>
      <c r="K12" s="246" t="s">
        <v>553</v>
      </c>
      <c r="L12" s="246" t="s">
        <v>546</v>
      </c>
    </row>
    <row r="13" spans="1:18">
      <c r="A13" s="375" t="s">
        <v>541</v>
      </c>
      <c r="B13" s="163"/>
      <c r="C13" s="163"/>
      <c r="D13" s="376"/>
      <c r="E13" s="282"/>
      <c r="F13" s="282"/>
      <c r="G13" s="165"/>
      <c r="H13" s="165"/>
      <c r="I13" s="166"/>
      <c r="J13" s="163"/>
      <c r="K13" s="163"/>
      <c r="L13" s="165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314" t="s">
        <v>432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244"/>
      <c r="N1" s="244"/>
      <c r="O1" s="244"/>
      <c r="P1" s="244"/>
      <c r="Q1" s="244"/>
      <c r="R1" s="244"/>
    </row>
    <row r="2" spans="1:18" ht="45" customHeight="1">
      <c r="A2" s="245" t="s">
        <v>433</v>
      </c>
      <c r="B2" s="246" t="s">
        <v>434</v>
      </c>
      <c r="C2" s="246" t="s">
        <v>435</v>
      </c>
      <c r="D2" s="247" t="s">
        <v>100</v>
      </c>
      <c r="E2" s="247" t="s">
        <v>416</v>
      </c>
      <c r="F2" s="247" t="s">
        <v>63</v>
      </c>
      <c r="G2" s="247" t="s">
        <v>64</v>
      </c>
      <c r="H2" s="247" t="s">
        <v>65</v>
      </c>
      <c r="I2" s="248" t="s">
        <v>436</v>
      </c>
      <c r="J2" s="249" t="s">
        <v>437</v>
      </c>
      <c r="K2" s="247" t="s">
        <v>438</v>
      </c>
      <c r="L2" s="250" t="s">
        <v>439</v>
      </c>
      <c r="M2" s="246" t="s">
        <v>325</v>
      </c>
    </row>
    <row r="3" spans="1:18">
      <c r="A3" t="s">
        <v>440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10" width="13.140625" style="262" customWidth="1"/>
    <col min="11" max="11" width="10" style="262" customWidth="1"/>
    <col min="12" max="12" width="13.42578125" style="262" customWidth="1"/>
    <col min="13" max="16384" width="9.140625" style="262"/>
  </cols>
  <sheetData>
    <row r="1" spans="1:12" ht="67.5" customHeight="1">
      <c r="A1" s="314" t="s">
        <v>533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12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534</v>
      </c>
      <c r="J2" s="264" t="s">
        <v>535</v>
      </c>
      <c r="K2" s="269" t="s">
        <v>40</v>
      </c>
      <c r="L2" s="260" t="s">
        <v>536</v>
      </c>
    </row>
    <row r="3" spans="1:12">
      <c r="A3" s="287" t="s">
        <v>531</v>
      </c>
      <c r="B3" s="258"/>
      <c r="C3" s="258"/>
      <c r="D3" s="266"/>
      <c r="E3" s="267"/>
      <c r="F3" s="267"/>
      <c r="G3" s="267"/>
      <c r="H3" s="267"/>
      <c r="I3" s="267"/>
      <c r="J3" s="267"/>
      <c r="K3" s="285"/>
      <c r="L3" s="268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62" customWidth="1"/>
    <col min="2" max="3" width="7.7109375" style="262" customWidth="1"/>
    <col min="4" max="4" width="46.42578125" style="262" customWidth="1"/>
    <col min="5" max="5" width="12.140625" style="262" customWidth="1"/>
    <col min="6" max="6" width="15.140625" style="262" customWidth="1"/>
    <col min="7" max="8" width="12.7109375" style="262" customWidth="1"/>
    <col min="9" max="9" width="19.5703125" style="262" customWidth="1"/>
    <col min="10" max="11" width="10" style="262" customWidth="1"/>
    <col min="12" max="16384" width="9.140625" style="262"/>
  </cols>
  <sheetData>
    <row r="1" spans="1:11" ht="92.25" customHeight="1">
      <c r="A1" s="314" t="s">
        <v>525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11" ht="60.75" customHeight="1">
      <c r="A2" s="265" t="s">
        <v>480</v>
      </c>
      <c r="B2" s="264" t="s">
        <v>396</v>
      </c>
      <c r="C2" s="264" t="s">
        <v>397</v>
      </c>
      <c r="D2" s="264" t="s">
        <v>97</v>
      </c>
      <c r="E2" s="264" t="s">
        <v>526</v>
      </c>
      <c r="F2" s="264" t="s">
        <v>506</v>
      </c>
      <c r="G2" s="264" t="s">
        <v>504</v>
      </c>
      <c r="H2" s="264" t="s">
        <v>505</v>
      </c>
      <c r="I2" s="264" t="s">
        <v>527</v>
      </c>
      <c r="J2" s="269" t="s">
        <v>528</v>
      </c>
      <c r="K2" s="260" t="s">
        <v>529</v>
      </c>
    </row>
    <row r="3" spans="1:11">
      <c r="A3" s="257" t="s">
        <v>523</v>
      </c>
      <c r="B3" s="258"/>
      <c r="C3" s="258"/>
      <c r="D3" s="266"/>
      <c r="E3" s="267"/>
      <c r="F3" s="267"/>
      <c r="G3" s="267"/>
      <c r="H3" s="267"/>
      <c r="I3" s="285"/>
      <c r="J3" s="285"/>
      <c r="K3" s="286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14" t="s">
        <v>479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11" ht="65.25" customHeight="1">
      <c r="A2" s="237" t="s">
        <v>480</v>
      </c>
      <c r="B2" s="238" t="s">
        <v>396</v>
      </c>
      <c r="C2" s="238" t="s">
        <v>397</v>
      </c>
      <c r="D2" s="238" t="s">
        <v>97</v>
      </c>
      <c r="E2" s="238" t="s">
        <v>3</v>
      </c>
      <c r="F2" s="238" t="s">
        <v>57</v>
      </c>
      <c r="G2" s="238" t="s">
        <v>481</v>
      </c>
      <c r="H2" s="238" t="s">
        <v>482</v>
      </c>
      <c r="I2" s="238" t="s">
        <v>483</v>
      </c>
      <c r="J2" s="239" t="s">
        <v>485</v>
      </c>
      <c r="K2" s="260" t="s">
        <v>486</v>
      </c>
    </row>
    <row r="3" spans="1:11">
      <c r="A3" s="257" t="s">
        <v>477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91" t="s">
        <v>420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U1" t="s">
        <v>421</v>
      </c>
    </row>
    <row r="2" spans="1:21" ht="18" customHeight="1">
      <c r="A2" s="324" t="s">
        <v>421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5" t="e">
        <f>report_year-1</f>
        <v>#VALUE!</v>
      </c>
      <c r="N2" s="325"/>
      <c r="O2" s="325"/>
      <c r="P2" s="325"/>
      <c r="Q2" s="325"/>
      <c r="R2" s="325"/>
    </row>
    <row r="3" spans="1:21" ht="31.5" customHeight="1">
      <c r="A3" s="213" t="s">
        <v>422</v>
      </c>
      <c r="B3" s="213" t="s">
        <v>325</v>
      </c>
      <c r="C3" s="213" t="s">
        <v>423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416</v>
      </c>
      <c r="J3" s="213" t="s">
        <v>415</v>
      </c>
      <c r="K3" s="213" t="s">
        <v>424</v>
      </c>
      <c r="L3" s="213" t="s">
        <v>425</v>
      </c>
      <c r="M3" s="261" t="s">
        <v>494</v>
      </c>
      <c r="N3" s="261" t="s">
        <v>426</v>
      </c>
      <c r="O3" s="261" t="s">
        <v>427</v>
      </c>
      <c r="P3" s="261" t="s">
        <v>428</v>
      </c>
      <c r="Q3" s="261" t="s">
        <v>429</v>
      </c>
      <c r="R3" s="261" t="s">
        <v>430</v>
      </c>
    </row>
    <row r="4" spans="1:21">
      <c r="A4" s="29" t="s">
        <v>538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14" t="s">
        <v>402</v>
      </c>
      <c r="B1" s="314"/>
      <c r="C1" s="314"/>
      <c r="D1" s="314"/>
      <c r="E1" s="314"/>
      <c r="F1" s="314"/>
      <c r="G1" s="314"/>
      <c r="H1" s="314"/>
    </row>
    <row r="2" spans="1:8" ht="25.5">
      <c r="A2" s="221" t="s">
        <v>403</v>
      </c>
      <c r="B2" s="222" t="s">
        <v>404</v>
      </c>
      <c r="C2" s="222" t="s">
        <v>405</v>
      </c>
      <c r="D2" s="222" t="s">
        <v>406</v>
      </c>
      <c r="E2" s="222" t="s">
        <v>407</v>
      </c>
      <c r="F2" s="222" t="s">
        <v>408</v>
      </c>
      <c r="G2" s="222" t="s">
        <v>409</v>
      </c>
      <c r="H2" s="223" t="s">
        <v>410</v>
      </c>
    </row>
    <row r="3" spans="1:8">
      <c r="A3" s="224" t="s">
        <v>411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314" t="s">
        <v>412</v>
      </c>
      <c r="B6" s="314"/>
      <c r="C6" s="314"/>
      <c r="D6" s="314"/>
      <c r="E6" s="314"/>
      <c r="F6" s="314"/>
      <c r="G6" s="314"/>
    </row>
    <row r="7" spans="1:8" ht="25.5">
      <c r="A7" s="221" t="s">
        <v>413</v>
      </c>
      <c r="B7" s="222" t="s">
        <v>63</v>
      </c>
      <c r="C7" s="222" t="s">
        <v>414</v>
      </c>
      <c r="D7" s="222" t="s">
        <v>415</v>
      </c>
      <c r="E7" s="222" t="s">
        <v>416</v>
      </c>
      <c r="F7" s="230" t="s">
        <v>417</v>
      </c>
      <c r="G7" s="222" t="s">
        <v>418</v>
      </c>
    </row>
    <row r="8" spans="1:8">
      <c r="A8" s="231" t="s">
        <v>419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91" t="s">
        <v>393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</row>
    <row r="2" spans="1:16" ht="18" customHeight="1">
      <c r="A2" s="326" t="s">
        <v>394</v>
      </c>
      <c r="B2" s="326"/>
      <c r="C2" s="326"/>
      <c r="D2" s="326"/>
      <c r="E2" s="326"/>
      <c r="F2" s="326"/>
      <c r="G2" s="326"/>
      <c r="H2" s="326" t="s">
        <v>395</v>
      </c>
      <c r="I2" s="326"/>
      <c r="J2" s="326"/>
      <c r="K2" s="326"/>
      <c r="L2" s="326"/>
      <c r="M2" s="326"/>
      <c r="N2" s="326"/>
      <c r="O2" s="326"/>
      <c r="P2" s="326"/>
    </row>
    <row r="3" spans="1:16" ht="31.5" customHeight="1">
      <c r="A3" s="213" t="s">
        <v>396</v>
      </c>
      <c r="B3" s="213" t="s">
        <v>397</v>
      </c>
      <c r="C3" s="213" t="s">
        <v>329</v>
      </c>
      <c r="D3" s="213" t="s">
        <v>398</v>
      </c>
      <c r="E3" s="213" t="s">
        <v>399</v>
      </c>
      <c r="F3" s="213" t="s">
        <v>1</v>
      </c>
      <c r="G3" s="213" t="s">
        <v>97</v>
      </c>
      <c r="H3" s="213" t="s">
        <v>400</v>
      </c>
      <c r="I3" s="213" t="s">
        <v>396</v>
      </c>
      <c r="J3" s="213" t="s">
        <v>397</v>
      </c>
      <c r="K3" s="213" t="s">
        <v>329</v>
      </c>
      <c r="L3" s="213" t="s">
        <v>398</v>
      </c>
      <c r="M3" s="213" t="s">
        <v>399</v>
      </c>
      <c r="N3" s="213" t="s">
        <v>1</v>
      </c>
      <c r="O3" s="213" t="s">
        <v>97</v>
      </c>
      <c r="P3" s="213" t="s">
        <v>400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401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27" t="s">
        <v>468</v>
      </c>
      <c r="B1" s="327"/>
      <c r="C1" s="327"/>
      <c r="D1" s="327"/>
      <c r="E1" s="327"/>
      <c r="F1" s="327"/>
      <c r="G1" s="327"/>
      <c r="H1" s="327"/>
      <c r="I1" s="327"/>
      <c r="J1" s="187"/>
    </row>
    <row r="2" spans="1:10" ht="39.75" customHeight="1">
      <c r="A2" s="33" t="s">
        <v>470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471</v>
      </c>
      <c r="H2" s="47" t="s">
        <v>472</v>
      </c>
      <c r="I2" s="34" t="s">
        <v>414</v>
      </c>
    </row>
    <row r="3" spans="1:10">
      <c r="A3" s="240" t="s">
        <v>467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A2" sqref="A2:XFD3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314" t="s">
        <v>501</v>
      </c>
      <c r="B1" s="314"/>
      <c r="C1" s="314"/>
      <c r="D1" s="314"/>
      <c r="E1" s="314"/>
      <c r="F1" s="314"/>
      <c r="G1" s="314"/>
      <c r="H1" s="314"/>
      <c r="I1" s="244"/>
      <c r="J1" s="244"/>
    </row>
    <row r="2" spans="1:10" ht="24" customHeight="1">
      <c r="A2" s="246" t="s">
        <v>521</v>
      </c>
      <c r="B2" s="246" t="s">
        <v>434</v>
      </c>
      <c r="C2" s="246" t="s">
        <v>502</v>
      </c>
      <c r="D2" s="247" t="s">
        <v>503</v>
      </c>
      <c r="E2" s="247" t="s">
        <v>97</v>
      </c>
      <c r="F2" s="248" t="s">
        <v>436</v>
      </c>
      <c r="G2" s="247" t="s">
        <v>416</v>
      </c>
      <c r="H2" s="278" t="s">
        <v>135</v>
      </c>
    </row>
    <row r="3" spans="1:10">
      <c r="A3" s="271" t="s">
        <v>489</v>
      </c>
      <c r="B3" s="163"/>
      <c r="C3" s="163"/>
      <c r="D3" s="163"/>
      <c r="E3" s="114"/>
      <c r="F3" s="272"/>
      <c r="G3" s="272"/>
      <c r="H3" s="277"/>
    </row>
    <row r="4" spans="1:10" ht="15.75" thickBot="1">
      <c r="A4" s="279"/>
      <c r="B4" s="279"/>
      <c r="C4" s="279"/>
      <c r="D4" s="279"/>
      <c r="E4" s="279"/>
      <c r="F4" s="279"/>
      <c r="G4" s="279"/>
      <c r="H4" s="279"/>
    </row>
    <row r="5" spans="1:10" ht="19.5" customHeight="1" thickTop="1"/>
    <row r="6" spans="1:10" ht="30" customHeight="1">
      <c r="A6" s="338" t="s">
        <v>515</v>
      </c>
      <c r="B6" s="338"/>
      <c r="C6" s="338"/>
      <c r="D6" s="338"/>
      <c r="E6" s="338"/>
      <c r="F6" s="338"/>
      <c r="G6" s="338"/>
      <c r="H6" s="338"/>
    </row>
    <row r="7" spans="1:10">
      <c r="A7" s="246" t="s">
        <v>504</v>
      </c>
      <c r="B7" s="246" t="s">
        <v>505</v>
      </c>
      <c r="C7" s="247" t="s">
        <v>506</v>
      </c>
      <c r="D7" s="247" t="s">
        <v>40</v>
      </c>
      <c r="E7" s="248" t="s">
        <v>507</v>
      </c>
      <c r="F7" s="247" t="s">
        <v>508</v>
      </c>
      <c r="G7" s="247" t="s">
        <v>509</v>
      </c>
      <c r="H7" s="247" t="s">
        <v>510</v>
      </c>
    </row>
    <row r="8" spans="1:10">
      <c r="A8" s="272" t="s">
        <v>490</v>
      </c>
      <c r="B8" s="272"/>
      <c r="C8" s="165"/>
      <c r="D8" s="281"/>
      <c r="E8" s="283"/>
      <c r="F8" s="166" t="s">
        <v>191</v>
      </c>
      <c r="G8" s="163"/>
      <c r="H8" s="163"/>
    </row>
    <row r="9" spans="1:10" ht="16.5" customHeight="1"/>
    <row r="10" spans="1:10" ht="30" customHeight="1">
      <c r="A10" s="337" t="s">
        <v>518</v>
      </c>
      <c r="B10" s="338"/>
      <c r="C10" s="338"/>
      <c r="D10" s="338"/>
      <c r="E10" s="338"/>
      <c r="F10" s="338"/>
      <c r="G10" s="338"/>
      <c r="H10" s="338"/>
    </row>
    <row r="11" spans="1:10">
      <c r="A11" s="246" t="s">
        <v>504</v>
      </c>
      <c r="B11" s="246" t="s">
        <v>505</v>
      </c>
      <c r="C11" s="247" t="s">
        <v>481</v>
      </c>
      <c r="D11" s="247" t="s">
        <v>40</v>
      </c>
      <c r="E11" s="248" t="s">
        <v>507</v>
      </c>
      <c r="F11" s="247" t="s">
        <v>508</v>
      </c>
      <c r="G11" s="247" t="s">
        <v>509</v>
      </c>
      <c r="H11" s="247" t="s">
        <v>510</v>
      </c>
    </row>
    <row r="12" spans="1:10">
      <c r="A12" s="270" t="s">
        <v>491</v>
      </c>
      <c r="B12" s="272"/>
      <c r="C12" s="165"/>
      <c r="D12" s="115"/>
      <c r="E12" s="283"/>
      <c r="F12" s="166" t="s">
        <v>191</v>
      </c>
      <c r="G12" s="163"/>
      <c r="H12" s="163"/>
    </row>
    <row r="14" spans="1:10" ht="30" customHeight="1">
      <c r="A14" s="338" t="s">
        <v>516</v>
      </c>
      <c r="B14" s="338"/>
      <c r="C14" s="338"/>
      <c r="D14" s="338"/>
      <c r="E14" s="338"/>
      <c r="F14" s="338"/>
      <c r="G14" s="338"/>
    </row>
    <row r="15" spans="1:10" ht="25.5">
      <c r="A15" s="246" t="s">
        <v>35</v>
      </c>
      <c r="B15" s="246" t="s">
        <v>511</v>
      </c>
      <c r="C15" s="246" t="s">
        <v>38</v>
      </c>
      <c r="D15" s="247" t="s">
        <v>40</v>
      </c>
      <c r="E15" s="247" t="s">
        <v>512</v>
      </c>
      <c r="F15" s="247" t="s">
        <v>513</v>
      </c>
      <c r="G15" s="247" t="s">
        <v>39</v>
      </c>
    </row>
    <row r="16" spans="1:10">
      <c r="A16" s="270" t="s">
        <v>492</v>
      </c>
      <c r="B16" s="282"/>
      <c r="C16" s="272"/>
      <c r="D16" s="115"/>
      <c r="E16" s="280"/>
      <c r="F16" s="273"/>
      <c r="G16" s="273"/>
    </row>
    <row r="18" spans="1:5" ht="30" customHeight="1">
      <c r="A18" s="338" t="s">
        <v>517</v>
      </c>
      <c r="B18" s="338"/>
      <c r="C18" s="338"/>
      <c r="D18" s="338"/>
      <c r="E18" s="338"/>
    </row>
    <row r="19" spans="1:5" ht="15.75" thickBot="1">
      <c r="A19" s="274" t="s">
        <v>3</v>
      </c>
      <c r="B19" s="274" t="s">
        <v>57</v>
      </c>
      <c r="C19" s="275" t="s">
        <v>506</v>
      </c>
      <c r="D19" s="275" t="s">
        <v>40</v>
      </c>
      <c r="E19" s="274" t="s">
        <v>514</v>
      </c>
    </row>
    <row r="20" spans="1:5" ht="15.75" thickTop="1">
      <c r="A20" s="276" t="s">
        <v>493</v>
      </c>
      <c r="B20" s="276"/>
      <c r="C20" s="276"/>
      <c r="D20" s="281"/>
      <c r="E20" s="28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ettings"/>
  <dimension ref="A1:BH64"/>
  <sheetViews>
    <sheetView topLeftCell="L40" workbookViewId="0">
      <selection activeCell="N65" sqref="N6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28" t="s">
        <v>115</v>
      </c>
      <c r="B1" s="328"/>
      <c r="D1" s="329" t="s">
        <v>116</v>
      </c>
      <c r="E1" s="329"/>
      <c r="G1" s="329" t="s">
        <v>111</v>
      </c>
      <c r="H1" s="329"/>
      <c r="I1" s="329"/>
      <c r="J1" s="329"/>
      <c r="K1" s="329"/>
      <c r="L1" s="329"/>
      <c r="N1" s="329" t="s">
        <v>106</v>
      </c>
      <c r="O1" s="329"/>
      <c r="P1" s="329"/>
      <c r="Q1" s="329"/>
      <c r="R1" s="329"/>
      <c r="S1" s="329"/>
      <c r="T1" s="329"/>
      <c r="V1" s="329" t="s">
        <v>112</v>
      </c>
      <c r="W1" s="329"/>
      <c r="Y1" s="329" t="s">
        <v>103</v>
      </c>
      <c r="Z1" s="329"/>
      <c r="AA1" s="329"/>
      <c r="AB1" s="329"/>
      <c r="AC1" s="329"/>
      <c r="AE1" s="329" t="s">
        <v>143</v>
      </c>
      <c r="AF1" s="329"/>
      <c r="AG1" s="329"/>
      <c r="AH1" s="329"/>
      <c r="AI1" s="329"/>
      <c r="AJ1" s="329"/>
      <c r="AK1" s="329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30" t="s">
        <v>245</v>
      </c>
      <c r="BF1" s="330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443</v>
      </c>
      <c r="L2" t="s">
        <v>465</v>
      </c>
      <c r="N2" t="s">
        <v>107</v>
      </c>
      <c r="O2" t="s">
        <v>31</v>
      </c>
      <c r="P2" t="s">
        <v>95</v>
      </c>
      <c r="Q2" t="s">
        <v>130</v>
      </c>
      <c r="R2" t="s">
        <v>379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380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380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464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380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263" t="s">
        <v>564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345</v>
      </c>
      <c r="BF5" s="177" t="s">
        <v>344</v>
      </c>
    </row>
    <row r="6" spans="1:60">
      <c r="A6" s="6" t="s">
        <v>122</v>
      </c>
      <c r="B6" s="6" t="str">
        <f>VLOOKUP(ReportSelected,Menu[],2,FALSE)</f>
        <v>error_report</v>
      </c>
      <c r="D6" s="252" t="s">
        <v>441</v>
      </c>
      <c r="E6" s="177" t="s">
        <v>442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380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263" t="s">
        <v>565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564</v>
      </c>
    </row>
    <row r="7" spans="1:60">
      <c r="A7" s="39" t="s">
        <v>149</v>
      </c>
      <c r="B7" s="263"/>
      <c r="D7" t="s">
        <v>445</v>
      </c>
      <c r="E7" s="177" t="s">
        <v>446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380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343</v>
      </c>
      <c r="AG7" s="177" t="s">
        <v>148</v>
      </c>
      <c r="AH7" s="263" t="s">
        <v>344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548</v>
      </c>
      <c r="D8" t="s">
        <v>474</v>
      </c>
      <c r="E8" s="177" t="s">
        <v>461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380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549</v>
      </c>
      <c r="D9" s="252" t="s">
        <v>441</v>
      </c>
      <c r="E9" s="177" t="s">
        <v>442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380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263" t="s">
        <v>344</v>
      </c>
      <c r="AI9" s="6" t="s">
        <v>141</v>
      </c>
      <c r="AJ9" s="6">
        <v>10</v>
      </c>
      <c r="AK9" s="6" t="s">
        <v>140</v>
      </c>
    </row>
    <row r="10" spans="1:60">
      <c r="A10" s="177" t="s">
        <v>344</v>
      </c>
      <c r="B10" s="263" t="s">
        <v>540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464</v>
      </c>
      <c r="N10" t="s">
        <v>177</v>
      </c>
      <c r="O10" t="s">
        <v>94</v>
      </c>
      <c r="P10" t="s">
        <v>96</v>
      </c>
      <c r="Q10" t="s">
        <v>128</v>
      </c>
      <c r="R10" t="s">
        <v>380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444</v>
      </c>
      <c r="B11" s="263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380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447</v>
      </c>
      <c r="Z11" s="177" t="s">
        <v>161</v>
      </c>
      <c r="AA11" s="177" t="s">
        <v>141</v>
      </c>
      <c r="AB11" s="177"/>
      <c r="AC11" s="177" t="s">
        <v>448</v>
      </c>
      <c r="AE11" s="46" t="s">
        <v>180</v>
      </c>
      <c r="AF11" s="177" t="s">
        <v>340</v>
      </c>
      <c r="AG11" s="6" t="s">
        <v>148</v>
      </c>
      <c r="AH11" s="263" t="s">
        <v>564</v>
      </c>
      <c r="AI11" s="6" t="s">
        <v>141</v>
      </c>
      <c r="AJ11" s="6">
        <v>4</v>
      </c>
      <c r="AK11" s="6" t="s">
        <v>140</v>
      </c>
    </row>
    <row r="12" spans="1:60">
      <c r="A12" s="177" t="s">
        <v>452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380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449</v>
      </c>
      <c r="Z12" s="177" t="s">
        <v>161</v>
      </c>
      <c r="AA12" s="177" t="s">
        <v>141</v>
      </c>
      <c r="AB12" s="177"/>
      <c r="AC12" s="263" t="s">
        <v>450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495</v>
      </c>
      <c r="B13" s="263" t="s">
        <v>521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380</v>
      </c>
      <c r="S13" t="s">
        <v>126</v>
      </c>
      <c r="T13" t="s">
        <v>134</v>
      </c>
      <c r="V13" s="177" t="s">
        <v>361</v>
      </c>
      <c r="W13" s="177" t="s">
        <v>354</v>
      </c>
      <c r="Y13" s="263" t="s">
        <v>497</v>
      </c>
      <c r="Z13" s="263" t="s">
        <v>161</v>
      </c>
      <c r="AA13" s="263" t="s">
        <v>141</v>
      </c>
      <c r="AB13" s="263"/>
      <c r="AC13" s="263" t="s">
        <v>498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496</v>
      </c>
      <c r="B14" s="263">
        <v>2359657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380</v>
      </c>
      <c r="S14" t="s">
        <v>126</v>
      </c>
      <c r="T14" t="s">
        <v>134</v>
      </c>
      <c r="V14" s="177" t="s">
        <v>361</v>
      </c>
      <c r="W14" s="177" t="s">
        <v>357</v>
      </c>
      <c r="Y14" s="263" t="s">
        <v>519</v>
      </c>
      <c r="Z14" s="263" t="s">
        <v>161</v>
      </c>
      <c r="AA14" s="263" t="s">
        <v>141</v>
      </c>
      <c r="AB14" s="263"/>
      <c r="AC14" s="263" t="s">
        <v>520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A15" s="263" t="s">
        <v>564</v>
      </c>
      <c r="B15" s="263">
        <v>2017</v>
      </c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380</v>
      </c>
      <c r="S15" t="s">
        <v>126</v>
      </c>
      <c r="T15" t="s">
        <v>134</v>
      </c>
      <c r="V15" s="177" t="s">
        <v>361</v>
      </c>
      <c r="W15" s="177" t="s">
        <v>363</v>
      </c>
      <c r="AE15" s="176" t="s">
        <v>332</v>
      </c>
      <c r="AF15" s="177" t="s">
        <v>340</v>
      </c>
      <c r="AG15" s="177" t="s">
        <v>148</v>
      </c>
      <c r="AH15" s="263" t="s">
        <v>564</v>
      </c>
      <c r="AI15" s="177" t="s">
        <v>141</v>
      </c>
      <c r="AJ15" s="177">
        <v>4</v>
      </c>
      <c r="AK15" s="177" t="s">
        <v>140</v>
      </c>
    </row>
    <row r="16" spans="1:60">
      <c r="A16" s="263" t="s">
        <v>565</v>
      </c>
      <c r="B16" s="263">
        <v>1</v>
      </c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380</v>
      </c>
      <c r="S16" t="s">
        <v>126</v>
      </c>
      <c r="T16" t="s">
        <v>134</v>
      </c>
      <c r="V16" s="177" t="s">
        <v>374</v>
      </c>
      <c r="W16" s="177" t="s">
        <v>376</v>
      </c>
      <c r="AE16" s="176" t="s">
        <v>332</v>
      </c>
      <c r="AF16" s="177" t="s">
        <v>342</v>
      </c>
      <c r="AG16" s="177" t="s">
        <v>148</v>
      </c>
      <c r="AH16" s="263" t="s">
        <v>565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380</v>
      </c>
      <c r="S17" t="s">
        <v>126</v>
      </c>
      <c r="T17" t="s">
        <v>134</v>
      </c>
      <c r="V17" s="177" t="s">
        <v>374</v>
      </c>
      <c r="W17" s="177" t="s">
        <v>375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380</v>
      </c>
      <c r="S18" t="s">
        <v>126</v>
      </c>
      <c r="T18" t="s">
        <v>134</v>
      </c>
      <c r="V18" s="177" t="s">
        <v>374</v>
      </c>
      <c r="W18" s="177" t="s">
        <v>377</v>
      </c>
      <c r="AE18" s="45" t="s">
        <v>337</v>
      </c>
      <c r="AF18" s="177" t="s">
        <v>340</v>
      </c>
      <c r="AG18" s="177" t="s">
        <v>148</v>
      </c>
      <c r="AH18" s="263" t="s">
        <v>564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380</v>
      </c>
      <c r="T19" t="s">
        <v>118</v>
      </c>
      <c r="V19" s="177" t="s">
        <v>385</v>
      </c>
      <c r="W19" s="177" t="s">
        <v>386</v>
      </c>
      <c r="AE19" s="45" t="s">
        <v>447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380</v>
      </c>
      <c r="S20" t="s">
        <v>126</v>
      </c>
      <c r="T20" t="s">
        <v>134</v>
      </c>
      <c r="V20" s="177" t="s">
        <v>385</v>
      </c>
      <c r="W20" s="177" t="s">
        <v>387</v>
      </c>
      <c r="AE20" s="45" t="s">
        <v>447</v>
      </c>
      <c r="AF20" s="177" t="s">
        <v>451</v>
      </c>
      <c r="AG20" s="177" t="s">
        <v>148</v>
      </c>
      <c r="AH20" s="177" t="s">
        <v>454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380</v>
      </c>
      <c r="S21" t="s">
        <v>126</v>
      </c>
      <c r="T21" t="s">
        <v>134</v>
      </c>
      <c r="V21" s="177" t="s">
        <v>385</v>
      </c>
      <c r="W21" s="177" t="s">
        <v>377</v>
      </c>
      <c r="AE21" s="45" t="s">
        <v>447</v>
      </c>
      <c r="AF21" s="177" t="s">
        <v>340</v>
      </c>
      <c r="AG21" s="177" t="s">
        <v>148</v>
      </c>
      <c r="AH21" s="263" t="s">
        <v>564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380</v>
      </c>
      <c r="S22" t="s">
        <v>126</v>
      </c>
      <c r="T22" t="s">
        <v>118</v>
      </c>
      <c r="V22" s="177" t="s">
        <v>462</v>
      </c>
      <c r="W22" s="177" t="s">
        <v>411</v>
      </c>
      <c r="AE22" s="45" t="s">
        <v>447</v>
      </c>
      <c r="AF22" s="177" t="s">
        <v>342</v>
      </c>
      <c r="AG22" s="177" t="s">
        <v>148</v>
      </c>
      <c r="AH22" s="263" t="s">
        <v>565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380</v>
      </c>
      <c r="S23" t="s">
        <v>126</v>
      </c>
      <c r="T23" s="6" t="s">
        <v>304</v>
      </c>
      <c r="V23" s="177" t="s">
        <v>462</v>
      </c>
      <c r="W23" s="177" t="s">
        <v>419</v>
      </c>
      <c r="AE23" s="45" t="s">
        <v>449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380</v>
      </c>
      <c r="S24" t="s">
        <v>126</v>
      </c>
      <c r="T24" t="s">
        <v>134</v>
      </c>
      <c r="V24" s="177" t="s">
        <v>487</v>
      </c>
      <c r="W24" s="177" t="s">
        <v>489</v>
      </c>
      <c r="AE24" s="45" t="s">
        <v>449</v>
      </c>
      <c r="AF24" s="177" t="s">
        <v>453</v>
      </c>
      <c r="AG24" s="177" t="s">
        <v>148</v>
      </c>
      <c r="AH24" s="177" t="s">
        <v>444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380</v>
      </c>
      <c r="S25" s="6" t="s">
        <v>126</v>
      </c>
      <c r="T25" s="6" t="s">
        <v>134</v>
      </c>
      <c r="V25" s="177" t="s">
        <v>487</v>
      </c>
      <c r="W25" s="177" t="s">
        <v>490</v>
      </c>
      <c r="AE25" s="45" t="s">
        <v>449</v>
      </c>
      <c r="AF25" s="177" t="s">
        <v>451</v>
      </c>
      <c r="AG25" s="177" t="s">
        <v>148</v>
      </c>
      <c r="AH25" s="177" t="s">
        <v>454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380</v>
      </c>
      <c r="S26" s="6" t="s">
        <v>126</v>
      </c>
      <c r="T26" s="6" t="s">
        <v>134</v>
      </c>
      <c r="V26" s="177" t="s">
        <v>487</v>
      </c>
      <c r="W26" s="177" t="s">
        <v>491</v>
      </c>
      <c r="AE26" s="45" t="s">
        <v>449</v>
      </c>
      <c r="AF26" s="177" t="s">
        <v>340</v>
      </c>
      <c r="AG26" s="177" t="s">
        <v>148</v>
      </c>
      <c r="AH26" s="263" t="s">
        <v>564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441</v>
      </c>
      <c r="E27" s="177" t="s">
        <v>442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380</v>
      </c>
      <c r="S27" s="6" t="s">
        <v>126</v>
      </c>
      <c r="T27" s="6" t="s">
        <v>134</v>
      </c>
      <c r="V27" s="177" t="s">
        <v>487</v>
      </c>
      <c r="W27" s="177" t="s">
        <v>492</v>
      </c>
      <c r="AE27" s="45" t="s">
        <v>497</v>
      </c>
      <c r="AF27" s="263" t="s">
        <v>499</v>
      </c>
      <c r="AG27" s="263" t="s">
        <v>148</v>
      </c>
      <c r="AH27" s="263" t="s">
        <v>495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360</v>
      </c>
      <c r="E28" s="177" t="s">
        <v>361</v>
      </c>
      <c r="G28" s="6" t="s">
        <v>307</v>
      </c>
      <c r="H28" t="s">
        <v>104</v>
      </c>
      <c r="I28" t="s">
        <v>66</v>
      </c>
      <c r="N28" s="177" t="s">
        <v>361</v>
      </c>
      <c r="O28" s="177" t="s">
        <v>361</v>
      </c>
      <c r="P28" s="177" t="s">
        <v>362</v>
      </c>
      <c r="Q28" s="177" t="s">
        <v>128</v>
      </c>
      <c r="R28" s="177" t="s">
        <v>380</v>
      </c>
      <c r="S28" s="177"/>
      <c r="T28" t="s">
        <v>118</v>
      </c>
      <c r="V28" s="177" t="s">
        <v>487</v>
      </c>
      <c r="W28" s="177" t="s">
        <v>493</v>
      </c>
      <c r="AE28" s="45" t="s">
        <v>497</v>
      </c>
      <c r="AF28" s="262" t="s">
        <v>500</v>
      </c>
      <c r="AG28" s="263" t="s">
        <v>148</v>
      </c>
      <c r="AH28" s="263" t="s">
        <v>496</v>
      </c>
      <c r="AI28" t="s">
        <v>141</v>
      </c>
      <c r="AJ28">
        <v>512</v>
      </c>
      <c r="AK28" s="263" t="s">
        <v>140</v>
      </c>
    </row>
    <row r="29" spans="4:37">
      <c r="D29" s="177" t="s">
        <v>391</v>
      </c>
      <c r="E29" s="177" t="s">
        <v>374</v>
      </c>
      <c r="G29" s="6" t="s">
        <v>307</v>
      </c>
      <c r="H29" s="6" t="s">
        <v>104</v>
      </c>
      <c r="I29" s="6" t="s">
        <v>257</v>
      </c>
      <c r="N29" s="177" t="s">
        <v>354</v>
      </c>
      <c r="O29" s="177" t="s">
        <v>190</v>
      </c>
      <c r="P29" s="177" t="s">
        <v>354</v>
      </c>
      <c r="Q29" s="177" t="s">
        <v>128</v>
      </c>
      <c r="R29" s="177" t="s">
        <v>380</v>
      </c>
      <c r="S29" s="177" t="s">
        <v>126</v>
      </c>
      <c r="T29" s="177" t="s">
        <v>134</v>
      </c>
      <c r="V29" s="263" t="s">
        <v>542</v>
      </c>
      <c r="W29" s="263" t="s">
        <v>541</v>
      </c>
    </row>
    <row r="30" spans="4:37">
      <c r="D30" s="177" t="s">
        <v>392</v>
      </c>
      <c r="E30" s="177" t="s">
        <v>385</v>
      </c>
      <c r="G30" s="6" t="s">
        <v>307</v>
      </c>
      <c r="H30" s="6" t="s">
        <v>104</v>
      </c>
      <c r="I30" s="6" t="s">
        <v>266</v>
      </c>
      <c r="N30" s="177" t="s">
        <v>357</v>
      </c>
      <c r="O30" s="177" t="s">
        <v>190</v>
      </c>
      <c r="P30" s="177" t="s">
        <v>357</v>
      </c>
      <c r="Q30" s="177" t="s">
        <v>128</v>
      </c>
      <c r="R30" s="177" t="s">
        <v>380</v>
      </c>
      <c r="S30" s="177" t="s">
        <v>126</v>
      </c>
      <c r="T30" s="177" t="s">
        <v>134</v>
      </c>
      <c r="V30" s="263" t="s">
        <v>542</v>
      </c>
      <c r="W30" s="263" t="s">
        <v>550</v>
      </c>
    </row>
    <row r="31" spans="4:37">
      <c r="D31" s="177" t="s">
        <v>475</v>
      </c>
      <c r="E31" s="177" t="s">
        <v>431</v>
      </c>
      <c r="G31" s="6" t="s">
        <v>307</v>
      </c>
      <c r="H31" s="6" t="s">
        <v>104</v>
      </c>
      <c r="I31" s="6" t="s">
        <v>238</v>
      </c>
      <c r="N31" s="177" t="s">
        <v>363</v>
      </c>
      <c r="O31" s="177" t="s">
        <v>190</v>
      </c>
      <c r="P31" s="177" t="s">
        <v>363</v>
      </c>
      <c r="Q31" s="177" t="s">
        <v>128</v>
      </c>
      <c r="R31" s="177" t="s">
        <v>380</v>
      </c>
      <c r="S31" s="177" t="s">
        <v>126</v>
      </c>
      <c r="T31" s="177" t="s">
        <v>134</v>
      </c>
      <c r="V31" s="263" t="s">
        <v>542</v>
      </c>
      <c r="W31" s="263" t="s">
        <v>556</v>
      </c>
    </row>
    <row r="32" spans="4:37">
      <c r="D32" s="263" t="s">
        <v>539</v>
      </c>
      <c r="E32" s="263" t="s">
        <v>537</v>
      </c>
      <c r="G32" s="6" t="s">
        <v>307</v>
      </c>
      <c r="H32" s="6" t="s">
        <v>104</v>
      </c>
      <c r="I32" t="s">
        <v>77</v>
      </c>
      <c r="N32" s="177" t="s">
        <v>374</v>
      </c>
      <c r="O32" s="177" t="s">
        <v>374</v>
      </c>
      <c r="P32" s="177" t="s">
        <v>378</v>
      </c>
      <c r="Q32" s="177" t="s">
        <v>128</v>
      </c>
      <c r="R32" s="177" t="s">
        <v>380</v>
      </c>
      <c r="S32" s="177"/>
      <c r="T32" t="s">
        <v>118</v>
      </c>
      <c r="V32" s="263" t="s">
        <v>560</v>
      </c>
      <c r="W32" s="263" t="s">
        <v>556</v>
      </c>
    </row>
    <row r="33" spans="4:23">
      <c r="D33" s="263" t="s">
        <v>476</v>
      </c>
      <c r="E33" s="177" t="s">
        <v>477</v>
      </c>
      <c r="G33" s="6" t="s">
        <v>307</v>
      </c>
      <c r="H33" s="6" t="s">
        <v>104</v>
      </c>
      <c r="I33" s="6" t="s">
        <v>119</v>
      </c>
      <c r="N33" s="177" t="s">
        <v>376</v>
      </c>
      <c r="O33" s="177" t="s">
        <v>190</v>
      </c>
      <c r="P33" s="177" t="s">
        <v>376</v>
      </c>
      <c r="Q33" s="177" t="s">
        <v>128</v>
      </c>
      <c r="R33" s="177" t="s">
        <v>381</v>
      </c>
      <c r="S33" s="177" t="s">
        <v>126</v>
      </c>
      <c r="T33" s="177" t="s">
        <v>134</v>
      </c>
      <c r="V33" s="263" t="s">
        <v>560</v>
      </c>
      <c r="W33" s="263" t="s">
        <v>562</v>
      </c>
    </row>
    <row r="34" spans="4:23">
      <c r="D34" s="263" t="s">
        <v>522</v>
      </c>
      <c r="E34" s="263" t="s">
        <v>523</v>
      </c>
      <c r="G34" s="6" t="s">
        <v>312</v>
      </c>
      <c r="H34" s="6" t="s">
        <v>104</v>
      </c>
      <c r="I34" t="s">
        <v>312</v>
      </c>
      <c r="N34" s="177" t="s">
        <v>375</v>
      </c>
      <c r="O34" s="177" t="s">
        <v>190</v>
      </c>
      <c r="P34" s="177" t="s">
        <v>375</v>
      </c>
      <c r="Q34" s="177" t="s">
        <v>128</v>
      </c>
      <c r="R34" s="177" t="s">
        <v>381</v>
      </c>
      <c r="S34" s="177" t="s">
        <v>126</v>
      </c>
      <c r="T34" s="177" t="s">
        <v>134</v>
      </c>
      <c r="V34" s="263" t="s">
        <v>560</v>
      </c>
      <c r="W34" s="263" t="s">
        <v>571</v>
      </c>
    </row>
    <row r="35" spans="4:23">
      <c r="D35" s="263" t="s">
        <v>530</v>
      </c>
      <c r="E35" s="263" t="s">
        <v>531</v>
      </c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377</v>
      </c>
      <c r="O35" s="177" t="s">
        <v>190</v>
      </c>
      <c r="P35" s="177" t="s">
        <v>377</v>
      </c>
      <c r="Q35" s="177" t="s">
        <v>128</v>
      </c>
      <c r="R35" s="177" t="s">
        <v>381</v>
      </c>
      <c r="S35" s="177" t="s">
        <v>126</v>
      </c>
      <c r="T35" s="177" t="s">
        <v>134</v>
      </c>
      <c r="V35" s="263" t="s">
        <v>560</v>
      </c>
      <c r="W35" s="263" t="s">
        <v>575</v>
      </c>
    </row>
    <row r="36" spans="4:23">
      <c r="D36" s="263"/>
      <c r="E36" s="263"/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385</v>
      </c>
      <c r="O36" s="177" t="s">
        <v>374</v>
      </c>
      <c r="P36" s="177" t="s">
        <v>388</v>
      </c>
      <c r="Q36" s="177" t="s">
        <v>128</v>
      </c>
      <c r="R36" s="177" t="s">
        <v>380</v>
      </c>
      <c r="S36" s="177"/>
      <c r="T36" t="s">
        <v>118</v>
      </c>
    </row>
    <row r="37" spans="4:23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386</v>
      </c>
      <c r="O37" s="177" t="s">
        <v>190</v>
      </c>
      <c r="P37" s="177" t="s">
        <v>386</v>
      </c>
      <c r="Q37" s="177" t="s">
        <v>128</v>
      </c>
      <c r="R37" s="177" t="s">
        <v>381</v>
      </c>
      <c r="S37" s="177" t="s">
        <v>126</v>
      </c>
      <c r="T37" s="177" t="s">
        <v>134</v>
      </c>
    </row>
    <row r="38" spans="4:23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387</v>
      </c>
      <c r="O38" s="177" t="s">
        <v>190</v>
      </c>
      <c r="P38" s="177" t="s">
        <v>387</v>
      </c>
      <c r="Q38" s="177" t="s">
        <v>128</v>
      </c>
      <c r="R38" s="177" t="s">
        <v>381</v>
      </c>
      <c r="S38" s="177" t="s">
        <v>126</v>
      </c>
      <c r="T38" s="177" t="s">
        <v>134</v>
      </c>
    </row>
    <row r="39" spans="4:23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401</v>
      </c>
      <c r="O39" s="177" t="s">
        <v>401</v>
      </c>
      <c r="P39" s="177" t="s">
        <v>455</v>
      </c>
      <c r="Q39" s="177" t="s">
        <v>128</v>
      </c>
      <c r="R39" s="177" t="s">
        <v>380</v>
      </c>
      <c r="S39" s="177" t="s">
        <v>126</v>
      </c>
      <c r="T39" s="177" t="s">
        <v>134</v>
      </c>
    </row>
    <row r="40" spans="4:23">
      <c r="G40" s="177" t="s">
        <v>361</v>
      </c>
      <c r="H40" s="177" t="s">
        <v>104</v>
      </c>
      <c r="I40" s="177" t="s">
        <v>361</v>
      </c>
      <c r="J40" s="177"/>
      <c r="K40" s="177"/>
      <c r="L40" s="177"/>
      <c r="N40" s="177" t="s">
        <v>440</v>
      </c>
      <c r="O40" s="177" t="s">
        <v>440</v>
      </c>
      <c r="P40" s="177" t="s">
        <v>457</v>
      </c>
      <c r="Q40" s="177" t="s">
        <v>128</v>
      </c>
      <c r="R40" s="177" t="s">
        <v>380</v>
      </c>
      <c r="S40" s="177" t="s">
        <v>126</v>
      </c>
      <c r="T40" s="177" t="s">
        <v>134</v>
      </c>
    </row>
    <row r="41" spans="4:23">
      <c r="G41" s="177" t="s">
        <v>374</v>
      </c>
      <c r="H41" s="177" t="s">
        <v>104</v>
      </c>
      <c r="I41" s="177" t="s">
        <v>374</v>
      </c>
      <c r="J41" s="177"/>
      <c r="K41" s="177"/>
      <c r="L41" s="177"/>
      <c r="N41" s="177" t="s">
        <v>462</v>
      </c>
      <c r="O41" s="177" t="s">
        <v>462</v>
      </c>
      <c r="P41" s="177" t="s">
        <v>463</v>
      </c>
      <c r="Q41" t="s">
        <v>128</v>
      </c>
      <c r="R41" s="177"/>
      <c r="T41" t="s">
        <v>118</v>
      </c>
    </row>
    <row r="42" spans="4:23">
      <c r="G42" s="177" t="s">
        <v>385</v>
      </c>
      <c r="H42" s="177" t="s">
        <v>104</v>
      </c>
      <c r="I42" s="177" t="s">
        <v>385</v>
      </c>
      <c r="J42" s="177"/>
      <c r="K42" s="177"/>
      <c r="L42" s="177"/>
      <c r="N42" s="177" t="s">
        <v>411</v>
      </c>
      <c r="O42" s="177" t="s">
        <v>190</v>
      </c>
      <c r="P42" s="177" t="s">
        <v>411</v>
      </c>
      <c r="Q42" t="s">
        <v>128</v>
      </c>
      <c r="R42" s="177" t="s">
        <v>380</v>
      </c>
      <c r="S42" t="s">
        <v>126</v>
      </c>
      <c r="T42" t="s">
        <v>134</v>
      </c>
    </row>
    <row r="43" spans="4:23">
      <c r="G43" s="177" t="s">
        <v>466</v>
      </c>
      <c r="H43" s="45" t="s">
        <v>105</v>
      </c>
      <c r="I43" s="45" t="s">
        <v>447</v>
      </c>
      <c r="J43" s="45"/>
      <c r="K43" s="45"/>
      <c r="L43" s="45"/>
      <c r="N43" s="177" t="s">
        <v>419</v>
      </c>
      <c r="O43" s="177" t="s">
        <v>190</v>
      </c>
      <c r="P43" s="177" t="s">
        <v>419</v>
      </c>
      <c r="Q43" s="177" t="s">
        <v>128</v>
      </c>
      <c r="R43" s="177" t="s">
        <v>380</v>
      </c>
      <c r="S43" s="177" t="s">
        <v>126</v>
      </c>
      <c r="T43" s="177" t="s">
        <v>134</v>
      </c>
    </row>
    <row r="44" spans="4:23">
      <c r="G44" s="177" t="s">
        <v>466</v>
      </c>
      <c r="H44" s="45" t="s">
        <v>104</v>
      </c>
      <c r="I44" s="45" t="s">
        <v>401</v>
      </c>
      <c r="J44" t="s">
        <v>464</v>
      </c>
      <c r="L44" s="45" t="s">
        <v>447</v>
      </c>
      <c r="N44" s="177" t="s">
        <v>467</v>
      </c>
      <c r="O44" s="177" t="s">
        <v>467</v>
      </c>
      <c r="P44" s="177" t="s">
        <v>469</v>
      </c>
      <c r="Q44" s="177" t="s">
        <v>128</v>
      </c>
      <c r="R44" s="177" t="s">
        <v>380</v>
      </c>
      <c r="S44" s="177" t="s">
        <v>126</v>
      </c>
      <c r="T44" s="177" t="s">
        <v>134</v>
      </c>
    </row>
    <row r="45" spans="4:23">
      <c r="G45" s="177" t="s">
        <v>446</v>
      </c>
      <c r="H45" s="45" t="s">
        <v>105</v>
      </c>
      <c r="I45" s="45" t="s">
        <v>449</v>
      </c>
      <c r="J45" s="45"/>
      <c r="K45" s="45" t="s">
        <v>456</v>
      </c>
      <c r="L45" s="45"/>
      <c r="N45" s="177" t="s">
        <v>431</v>
      </c>
      <c r="O45" s="177" t="s">
        <v>431</v>
      </c>
      <c r="P45" s="177" t="s">
        <v>473</v>
      </c>
      <c r="Q45" s="177" t="s">
        <v>128</v>
      </c>
      <c r="R45" s="177" t="s">
        <v>380</v>
      </c>
      <c r="S45" s="177" t="s">
        <v>126</v>
      </c>
      <c r="T45" s="177" t="s">
        <v>134</v>
      </c>
    </row>
    <row r="46" spans="4:23">
      <c r="G46" s="177" t="s">
        <v>446</v>
      </c>
      <c r="H46" s="177" t="s">
        <v>104</v>
      </c>
      <c r="I46" s="177" t="s">
        <v>440</v>
      </c>
      <c r="K46" s="177"/>
      <c r="L46" s="45" t="s">
        <v>456</v>
      </c>
      <c r="N46" s="177" t="s">
        <v>477</v>
      </c>
      <c r="O46" s="177" t="s">
        <v>477</v>
      </c>
      <c r="P46" s="177" t="s">
        <v>478</v>
      </c>
      <c r="Q46" s="177" t="s">
        <v>128</v>
      </c>
      <c r="R46" s="177" t="s">
        <v>380</v>
      </c>
      <c r="S46" s="177" t="s">
        <v>126</v>
      </c>
      <c r="T46" s="177" t="s">
        <v>134</v>
      </c>
    </row>
    <row r="47" spans="4:23">
      <c r="G47" s="177" t="s">
        <v>446</v>
      </c>
      <c r="H47" s="177" t="s">
        <v>105</v>
      </c>
      <c r="I47" s="177" t="s">
        <v>449</v>
      </c>
      <c r="J47" s="177"/>
      <c r="K47" s="177" t="s">
        <v>458</v>
      </c>
      <c r="L47" s="177"/>
      <c r="N47" s="177" t="s">
        <v>487</v>
      </c>
      <c r="O47" s="177" t="s">
        <v>487</v>
      </c>
      <c r="P47" s="177" t="s">
        <v>488</v>
      </c>
      <c r="Q47" s="177" t="s">
        <v>128</v>
      </c>
      <c r="R47" s="177" t="s">
        <v>380</v>
      </c>
      <c r="S47" s="177"/>
      <c r="T47" t="s">
        <v>118</v>
      </c>
    </row>
    <row r="48" spans="4:23">
      <c r="G48" s="177" t="s">
        <v>446</v>
      </c>
      <c r="H48" s="177" t="s">
        <v>104</v>
      </c>
      <c r="I48" s="177" t="s">
        <v>477</v>
      </c>
      <c r="K48" s="177"/>
      <c r="L48" s="177"/>
      <c r="N48" s="263" t="s">
        <v>489</v>
      </c>
      <c r="O48" s="263" t="s">
        <v>190</v>
      </c>
      <c r="P48" s="263" t="s">
        <v>489</v>
      </c>
      <c r="Q48" s="262" t="s">
        <v>128</v>
      </c>
      <c r="R48" s="263" t="s">
        <v>380</v>
      </c>
      <c r="S48" s="262" t="s">
        <v>126</v>
      </c>
      <c r="T48" s="262" t="s">
        <v>134</v>
      </c>
    </row>
    <row r="49" spans="7:20">
      <c r="G49" s="177" t="s">
        <v>446</v>
      </c>
      <c r="H49" s="177" t="s">
        <v>104</v>
      </c>
      <c r="I49" s="177" t="s">
        <v>361</v>
      </c>
      <c r="K49" s="177"/>
      <c r="L49" s="177"/>
      <c r="N49" s="177" t="s">
        <v>490</v>
      </c>
      <c r="O49" s="177" t="s">
        <v>190</v>
      </c>
      <c r="P49" s="177" t="s">
        <v>490</v>
      </c>
      <c r="Q49" t="s">
        <v>128</v>
      </c>
      <c r="R49" s="177" t="s">
        <v>380</v>
      </c>
      <c r="S49" t="s">
        <v>126</v>
      </c>
      <c r="T49" t="s">
        <v>134</v>
      </c>
    </row>
    <row r="50" spans="7:20">
      <c r="G50" s="177" t="s">
        <v>446</v>
      </c>
      <c r="H50" s="177" t="s">
        <v>104</v>
      </c>
      <c r="I50" s="177" t="s">
        <v>374</v>
      </c>
      <c r="J50" t="s">
        <v>464</v>
      </c>
      <c r="K50" s="177"/>
      <c r="L50" s="177" t="s">
        <v>458</v>
      </c>
      <c r="N50" s="177" t="s">
        <v>491</v>
      </c>
      <c r="O50" s="177" t="s">
        <v>190</v>
      </c>
      <c r="P50" s="177" t="s">
        <v>491</v>
      </c>
      <c r="Q50" t="s">
        <v>128</v>
      </c>
      <c r="R50" s="177" t="s">
        <v>380</v>
      </c>
      <c r="S50" t="s">
        <v>126</v>
      </c>
      <c r="T50" t="s">
        <v>134</v>
      </c>
    </row>
    <row r="51" spans="7:20">
      <c r="G51" s="177" t="s">
        <v>446</v>
      </c>
      <c r="H51" s="177" t="s">
        <v>105</v>
      </c>
      <c r="I51" s="177" t="s">
        <v>449</v>
      </c>
      <c r="J51" s="177"/>
      <c r="K51" s="177" t="s">
        <v>459</v>
      </c>
      <c r="L51" s="177"/>
      <c r="N51" s="177" t="s">
        <v>492</v>
      </c>
      <c r="O51" s="177" t="s">
        <v>190</v>
      </c>
      <c r="P51" s="177" t="s">
        <v>492</v>
      </c>
      <c r="Q51" t="s">
        <v>128</v>
      </c>
      <c r="R51" s="177" t="s">
        <v>380</v>
      </c>
      <c r="S51" t="s">
        <v>126</v>
      </c>
      <c r="T51" t="s">
        <v>134</v>
      </c>
    </row>
    <row r="52" spans="7:20">
      <c r="G52" s="177" t="s">
        <v>446</v>
      </c>
      <c r="H52" s="177" t="s">
        <v>104</v>
      </c>
      <c r="I52" s="177" t="s">
        <v>467</v>
      </c>
      <c r="K52" s="177"/>
      <c r="L52" s="177"/>
      <c r="N52" s="177" t="s">
        <v>493</v>
      </c>
      <c r="O52" s="177" t="s">
        <v>190</v>
      </c>
      <c r="P52" s="177" t="s">
        <v>493</v>
      </c>
      <c r="Q52" t="s">
        <v>128</v>
      </c>
      <c r="R52" s="177" t="s">
        <v>380</v>
      </c>
      <c r="S52" t="s">
        <v>126</v>
      </c>
      <c r="T52" t="s">
        <v>134</v>
      </c>
    </row>
    <row r="53" spans="7:20">
      <c r="G53" s="177" t="s">
        <v>446</v>
      </c>
      <c r="H53" s="177" t="s">
        <v>104</v>
      </c>
      <c r="I53" s="177" t="s">
        <v>431</v>
      </c>
      <c r="J53" t="s">
        <v>464</v>
      </c>
      <c r="K53" s="177"/>
      <c r="L53" s="177" t="s">
        <v>459</v>
      </c>
      <c r="N53" s="263" t="s">
        <v>523</v>
      </c>
      <c r="O53" s="263" t="s">
        <v>523</v>
      </c>
      <c r="P53" s="263" t="s">
        <v>524</v>
      </c>
      <c r="Q53" s="262" t="s">
        <v>128</v>
      </c>
      <c r="R53" s="263" t="s">
        <v>380</v>
      </c>
      <c r="S53" s="262" t="s">
        <v>126</v>
      </c>
      <c r="T53" s="262" t="s">
        <v>134</v>
      </c>
    </row>
    <row r="54" spans="7:20">
      <c r="G54" s="177" t="s">
        <v>446</v>
      </c>
      <c r="H54" s="177" t="s">
        <v>105</v>
      </c>
      <c r="I54" s="177" t="s">
        <v>449</v>
      </c>
      <c r="J54" s="177"/>
      <c r="K54" s="177" t="s">
        <v>460</v>
      </c>
      <c r="L54" s="177"/>
      <c r="N54" s="263" t="s">
        <v>531</v>
      </c>
      <c r="O54" s="263" t="s">
        <v>531</v>
      </c>
      <c r="P54" s="263" t="s">
        <v>532</v>
      </c>
      <c r="Q54" s="262" t="s">
        <v>128</v>
      </c>
      <c r="R54" s="263" t="s">
        <v>380</v>
      </c>
      <c r="S54" s="262" t="s">
        <v>126</v>
      </c>
      <c r="T54" s="262" t="s">
        <v>134</v>
      </c>
    </row>
    <row r="55" spans="7:20">
      <c r="G55" s="177" t="s">
        <v>461</v>
      </c>
      <c r="H55" s="177" t="s">
        <v>105</v>
      </c>
      <c r="I55" s="177" t="s">
        <v>449</v>
      </c>
      <c r="J55" s="177"/>
      <c r="K55" s="177" t="s">
        <v>461</v>
      </c>
      <c r="L55" s="177"/>
      <c r="N55" s="263" t="s">
        <v>537</v>
      </c>
      <c r="O55" s="263" t="s">
        <v>431</v>
      </c>
      <c r="P55" s="263" t="s">
        <v>473</v>
      </c>
      <c r="Q55" s="262" t="s">
        <v>128</v>
      </c>
      <c r="R55" s="263" t="s">
        <v>380</v>
      </c>
      <c r="S55" s="262" t="s">
        <v>126</v>
      </c>
      <c r="T55" s="262" t="s">
        <v>134</v>
      </c>
    </row>
    <row r="56" spans="7:20">
      <c r="G56" s="177" t="s">
        <v>461</v>
      </c>
      <c r="H56" s="177" t="s">
        <v>104</v>
      </c>
      <c r="I56" s="177" t="s">
        <v>462</v>
      </c>
      <c r="J56" s="177"/>
      <c r="K56" s="177"/>
      <c r="L56" s="177"/>
      <c r="N56" s="263" t="s">
        <v>542</v>
      </c>
      <c r="O56" s="263" t="s">
        <v>542</v>
      </c>
      <c r="P56" s="263" t="s">
        <v>543</v>
      </c>
      <c r="Q56" s="263" t="s">
        <v>128</v>
      </c>
      <c r="R56" s="263" t="s">
        <v>380</v>
      </c>
      <c r="S56" s="263"/>
      <c r="T56" s="262" t="s">
        <v>118</v>
      </c>
    </row>
    <row r="57" spans="7:20">
      <c r="G57" s="177" t="s">
        <v>431</v>
      </c>
      <c r="H57" s="177" t="s">
        <v>104</v>
      </c>
      <c r="I57" s="177" t="s">
        <v>431</v>
      </c>
      <c r="J57" s="177"/>
      <c r="K57" s="177"/>
      <c r="L57" s="177"/>
      <c r="N57" s="263" t="s">
        <v>541</v>
      </c>
      <c r="O57" s="263" t="s">
        <v>190</v>
      </c>
      <c r="P57" s="263" t="s">
        <v>541</v>
      </c>
      <c r="Q57" s="262" t="s">
        <v>128</v>
      </c>
      <c r="R57" s="263" t="s">
        <v>380</v>
      </c>
      <c r="S57" s="262" t="s">
        <v>126</v>
      </c>
      <c r="T57" s="262" t="s">
        <v>134</v>
      </c>
    </row>
    <row r="58" spans="7:20">
      <c r="G58" s="177" t="s">
        <v>477</v>
      </c>
      <c r="H58" s="177" t="s">
        <v>104</v>
      </c>
      <c r="I58" s="177" t="s">
        <v>477</v>
      </c>
      <c r="J58" s="177"/>
      <c r="K58" s="177"/>
      <c r="L58" s="177"/>
      <c r="N58" s="263" t="s">
        <v>550</v>
      </c>
      <c r="O58" s="263" t="s">
        <v>190</v>
      </c>
      <c r="P58" s="263" t="s">
        <v>550</v>
      </c>
      <c r="Q58" s="262" t="s">
        <v>128</v>
      </c>
      <c r="R58" s="263" t="s">
        <v>380</v>
      </c>
      <c r="S58" s="262" t="s">
        <v>126</v>
      </c>
      <c r="T58" s="262" t="s">
        <v>134</v>
      </c>
    </row>
    <row r="59" spans="7:20">
      <c r="G59" s="177" t="s">
        <v>487</v>
      </c>
      <c r="H59" s="177" t="s">
        <v>104</v>
      </c>
      <c r="I59" s="177" t="s">
        <v>487</v>
      </c>
      <c r="J59" s="177"/>
      <c r="K59" s="177"/>
      <c r="L59" s="177"/>
      <c r="N59" s="263" t="s">
        <v>556</v>
      </c>
      <c r="O59" s="263"/>
      <c r="P59" s="263"/>
      <c r="Q59" s="263"/>
      <c r="R59" s="263" t="s">
        <v>380</v>
      </c>
      <c r="S59" s="262" t="s">
        <v>126</v>
      </c>
      <c r="T59" s="263" t="s">
        <v>304</v>
      </c>
    </row>
    <row r="60" spans="7:20">
      <c r="G60" s="263" t="s">
        <v>523</v>
      </c>
      <c r="H60" s="263" t="s">
        <v>104</v>
      </c>
      <c r="I60" s="263" t="s">
        <v>523</v>
      </c>
      <c r="J60" s="263"/>
      <c r="K60" s="263"/>
      <c r="L60" s="263"/>
      <c r="N60" s="263" t="s">
        <v>560</v>
      </c>
      <c r="O60" s="263" t="s">
        <v>560</v>
      </c>
      <c r="P60" s="263" t="s">
        <v>561</v>
      </c>
      <c r="Q60" s="262" t="s">
        <v>128</v>
      </c>
      <c r="R60" s="263" t="s">
        <v>380</v>
      </c>
      <c r="S60" s="263"/>
      <c r="T60" s="262" t="s">
        <v>118</v>
      </c>
    </row>
    <row r="61" spans="7:20">
      <c r="G61" s="263" t="s">
        <v>531</v>
      </c>
      <c r="H61" s="263" t="s">
        <v>104</v>
      </c>
      <c r="I61" s="263" t="s">
        <v>531</v>
      </c>
      <c r="J61" s="263"/>
      <c r="K61" s="263"/>
      <c r="L61" s="263"/>
      <c r="N61" s="263" t="s">
        <v>556</v>
      </c>
      <c r="O61" s="263"/>
      <c r="P61" s="263"/>
      <c r="Q61" s="263"/>
      <c r="R61" s="263" t="s">
        <v>380</v>
      </c>
      <c r="S61" s="263" t="s">
        <v>126</v>
      </c>
      <c r="T61" s="263" t="s">
        <v>304</v>
      </c>
    </row>
    <row r="62" spans="7:20">
      <c r="G62" s="263" t="s">
        <v>537</v>
      </c>
      <c r="H62" s="263" t="s">
        <v>104</v>
      </c>
      <c r="I62" s="263" t="s">
        <v>537</v>
      </c>
      <c r="J62" s="263"/>
      <c r="K62" s="263"/>
      <c r="L62" s="263"/>
      <c r="N62" s="263" t="s">
        <v>562</v>
      </c>
      <c r="O62" s="263" t="s">
        <v>190</v>
      </c>
      <c r="P62" s="263" t="s">
        <v>562</v>
      </c>
      <c r="Q62" s="262" t="s">
        <v>128</v>
      </c>
      <c r="R62" s="263" t="s">
        <v>380</v>
      </c>
      <c r="S62" s="262" t="s">
        <v>126</v>
      </c>
      <c r="T62" s="262" t="s">
        <v>134</v>
      </c>
    </row>
    <row r="63" spans="7:20">
      <c r="G63" s="263" t="s">
        <v>542</v>
      </c>
      <c r="H63" s="263" t="s">
        <v>104</v>
      </c>
      <c r="I63" s="263" t="s">
        <v>542</v>
      </c>
      <c r="J63" s="263"/>
      <c r="K63" s="263"/>
      <c r="L63" s="263"/>
      <c r="N63" s="263" t="s">
        <v>571</v>
      </c>
      <c r="O63" s="263" t="s">
        <v>190</v>
      </c>
      <c r="P63" s="263" t="s">
        <v>571</v>
      </c>
      <c r="Q63" s="263" t="s">
        <v>128</v>
      </c>
      <c r="R63" s="263" t="s">
        <v>380</v>
      </c>
      <c r="S63" s="263" t="s">
        <v>126</v>
      </c>
      <c r="T63" s="263" t="s">
        <v>134</v>
      </c>
    </row>
    <row r="64" spans="7:20">
      <c r="G64" s="263" t="s">
        <v>560</v>
      </c>
      <c r="H64" s="263" t="s">
        <v>104</v>
      </c>
      <c r="I64" s="263" t="s">
        <v>560</v>
      </c>
      <c r="J64" s="263"/>
      <c r="K64" s="263"/>
      <c r="L64" s="263"/>
      <c r="N64" s="263" t="s">
        <v>575</v>
      </c>
      <c r="O64" s="263" t="s">
        <v>190</v>
      </c>
      <c r="P64" s="263" t="s">
        <v>575</v>
      </c>
      <c r="Q64" s="263" t="s">
        <v>128</v>
      </c>
      <c r="R64" s="263" t="s">
        <v>380</v>
      </c>
      <c r="S64" s="263" t="s">
        <v>126</v>
      </c>
      <c r="T64" s="263" t="s">
        <v>134</v>
      </c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W4:W11 V3:V35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64">
      <formula1>INDIRECT("AfterAction")</formula1>
    </dataValidation>
    <dataValidation type="list" allowBlank="1" showInputMessage="1" showErrorMessage="1" sqref="H3:H64">
      <formula1>INDIRECT("ActionTypes[Code]")</formula1>
    </dataValidation>
    <dataValidation type="list" allowBlank="1" showInputMessage="1" showErrorMessage="1" sqref="Q3:Q64">
      <formula1>INDIRECT("CreateModes[Code]")</formula1>
    </dataValidation>
    <dataValidation type="list" allowBlank="1" showInputMessage="1" showErrorMessage="1" sqref="T3:T64">
      <formula1>INDIRECT("ReportTypes[Code]")</formula1>
    </dataValidation>
    <dataValidation type="list" allowBlank="1" showInputMessage="1" showErrorMessage="1" sqref="S3:S64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2018</v>
      </c>
      <c r="D4" s="32"/>
      <c r="E4" s="32"/>
    </row>
    <row r="5" spans="1:6">
      <c r="A5" s="32"/>
      <c r="B5" s="31" t="s">
        <v>57</v>
      </c>
      <c r="C5" s="179">
        <v>1</v>
      </c>
      <c r="D5" s="32"/>
      <c r="E5" s="32"/>
    </row>
    <row r="6" spans="1:6">
      <c r="A6" s="32"/>
      <c r="B6" s="31" t="s">
        <v>339</v>
      </c>
      <c r="C6" s="41">
        <v>43159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34"/>
      <c r="B8" s="334"/>
      <c r="C8" s="334"/>
      <c r="D8" s="334"/>
      <c r="E8" s="334"/>
    </row>
    <row r="9" spans="1:6" ht="97.5" customHeight="1">
      <c r="A9" s="44"/>
      <c r="B9" s="335" t="s">
        <v>484</v>
      </c>
      <c r="C9" s="336"/>
      <c r="D9" s="336"/>
      <c r="E9" s="44"/>
    </row>
    <row r="10" spans="1:6" s="43" customFormat="1" ht="14.25" customHeight="1">
      <c r="A10" s="334"/>
      <c r="B10" s="334"/>
      <c r="C10" s="334"/>
      <c r="D10" s="334"/>
      <c r="E10" s="334"/>
    </row>
    <row r="11" spans="1:6" hidden="1">
      <c r="A11" s="331"/>
      <c r="B11" s="332"/>
      <c r="C11" s="332"/>
      <c r="D11" s="332"/>
      <c r="E11" s="333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314" t="s">
        <v>249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</row>
    <row r="2" spans="1:12" ht="44.25" customHeight="1">
      <c r="A2" s="339" t="s">
        <v>327</v>
      </c>
      <c r="B2" s="339"/>
      <c r="C2" s="339"/>
      <c r="D2" s="339" t="s">
        <v>58</v>
      </c>
      <c r="E2" s="339"/>
      <c r="F2" s="339" t="s">
        <v>62</v>
      </c>
      <c r="G2" s="339" t="s">
        <v>52</v>
      </c>
      <c r="H2" s="339" t="s">
        <v>328</v>
      </c>
      <c r="I2" s="339" t="s">
        <v>329</v>
      </c>
      <c r="J2" s="339" t="s">
        <v>3</v>
      </c>
      <c r="K2" s="339" t="s">
        <v>325</v>
      </c>
      <c r="L2" s="339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39"/>
      <c r="G3" s="339" t="s">
        <v>41</v>
      </c>
      <c r="H3" s="339" t="s">
        <v>325</v>
      </c>
      <c r="I3" s="339"/>
      <c r="J3" s="339"/>
      <c r="K3" s="339"/>
      <c r="L3" s="339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91" t="s">
        <v>251</v>
      </c>
      <c r="B1" s="291"/>
      <c r="C1" s="291"/>
      <c r="D1" s="291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40" t="s">
        <v>252</v>
      </c>
      <c r="B1" s="341"/>
      <c r="C1" s="341"/>
      <c r="D1" s="341"/>
      <c r="E1" s="341"/>
    </row>
    <row r="2" spans="1:6" ht="19.5" customHeight="1">
      <c r="A2" s="342" t="s">
        <v>181</v>
      </c>
      <c r="B2" s="343"/>
      <c r="C2" s="343"/>
      <c r="D2" s="343"/>
      <c r="E2" s="344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29" t="s">
        <v>185</v>
      </c>
      <c r="E8" s="329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29" t="s">
        <v>187</v>
      </c>
      <c r="E11" s="329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45" t="s">
        <v>253</v>
      </c>
      <c r="B1" s="346"/>
      <c r="C1" s="346"/>
      <c r="D1" s="346"/>
      <c r="E1" s="346"/>
      <c r="F1" s="346"/>
      <c r="G1" s="346"/>
      <c r="H1" s="346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52" t="s">
        <v>194</v>
      </c>
      <c r="F7" s="352"/>
      <c r="G7" s="352"/>
      <c r="H7" s="352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53" t="s">
        <v>200</v>
      </c>
      <c r="F11" s="353"/>
      <c r="G11" s="353"/>
      <c r="H11" s="353"/>
    </row>
    <row r="12" spans="1:8">
      <c r="C12" s="53"/>
      <c r="D12" s="85"/>
      <c r="E12" s="349" t="s">
        <v>201</v>
      </c>
      <c r="F12" s="350"/>
      <c r="G12" s="351"/>
      <c r="H12" s="347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47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48" t="s">
        <v>219</v>
      </c>
      <c r="B22" s="348"/>
      <c r="C22" s="348"/>
      <c r="D22" s="348"/>
      <c r="E22" s="348"/>
      <c r="F22" s="348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27" t="s">
        <v>254</v>
      </c>
      <c r="B1" s="327"/>
      <c r="C1" s="327"/>
      <c r="D1" s="327"/>
      <c r="E1" s="327"/>
      <c r="F1" s="327"/>
      <c r="G1" s="327"/>
      <c r="H1" s="327"/>
      <c r="I1" s="327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62" customWidth="1"/>
    <col min="2" max="2" width="12.140625" style="262" customWidth="1"/>
    <col min="3" max="3" width="10.140625" style="262" customWidth="1"/>
    <col min="4" max="9" width="19.7109375" style="262" customWidth="1"/>
    <col min="10" max="10" width="14.140625" style="262" customWidth="1"/>
    <col min="11" max="11" width="17.140625" style="262" customWidth="1"/>
    <col min="12" max="12" width="15.140625" style="262" customWidth="1"/>
    <col min="13" max="13" width="9" style="262" customWidth="1"/>
    <col min="14" max="16384" width="9.140625" style="262"/>
  </cols>
  <sheetData>
    <row r="1" spans="1:18" ht="40.5" customHeight="1">
      <c r="A1" s="314" t="s">
        <v>563</v>
      </c>
      <c r="B1" s="314"/>
      <c r="C1" s="314"/>
      <c r="D1" s="314"/>
      <c r="E1" s="314"/>
      <c r="F1" s="314"/>
      <c r="G1" s="314"/>
      <c r="H1" s="314"/>
      <c r="I1" s="314"/>
      <c r="J1" s="244"/>
      <c r="K1" s="244"/>
      <c r="L1" s="244"/>
      <c r="M1" s="244"/>
      <c r="N1" s="244"/>
      <c r="O1" s="244"/>
      <c r="P1" s="244"/>
      <c r="Q1" s="244"/>
      <c r="R1" s="244"/>
    </row>
    <row r="2" spans="1:18" ht="9" customHeight="1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44"/>
      <c r="P2" s="244"/>
      <c r="Q2" s="244"/>
      <c r="R2" s="244"/>
    </row>
    <row r="3" spans="1:18">
      <c r="A3" s="380" t="s">
        <v>558</v>
      </c>
      <c r="B3" s="382"/>
      <c r="C3" s="382"/>
      <c r="D3" s="382"/>
      <c r="E3" s="382"/>
      <c r="F3" s="382"/>
      <c r="G3" s="382"/>
      <c r="H3" s="379"/>
      <c r="I3" s="379"/>
      <c r="J3" s="379"/>
      <c r="K3" s="379"/>
      <c r="L3" s="379"/>
      <c r="M3" s="379"/>
      <c r="N3" s="379"/>
    </row>
    <row r="4" spans="1:18">
      <c r="A4" s="380" t="s">
        <v>559</v>
      </c>
      <c r="B4" s="381"/>
      <c r="C4" s="381"/>
      <c r="D4" s="381"/>
      <c r="E4" s="381"/>
      <c r="F4" s="381"/>
      <c r="G4" s="381"/>
      <c r="H4" s="379"/>
      <c r="I4" s="379"/>
      <c r="J4" s="379"/>
      <c r="K4" s="379"/>
      <c r="L4" s="379"/>
      <c r="M4" s="379"/>
      <c r="N4" s="379"/>
    </row>
    <row r="5" spans="1:18" ht="9" customHeight="1"/>
    <row r="6" spans="1:18">
      <c r="A6" s="378" t="s">
        <v>570</v>
      </c>
      <c r="B6" s="378"/>
      <c r="C6" s="378"/>
      <c r="D6" s="378"/>
      <c r="E6" s="378"/>
      <c r="F6" s="378"/>
      <c r="G6" s="378"/>
      <c r="H6" s="378"/>
      <c r="I6" s="378"/>
      <c r="J6" s="379"/>
      <c r="K6" s="379"/>
      <c r="L6" s="379"/>
      <c r="M6" s="379"/>
    </row>
    <row r="7" spans="1:18" ht="45" customHeight="1">
      <c r="A7" s="246" t="s">
        <v>494</v>
      </c>
      <c r="B7" s="247" t="s">
        <v>566</v>
      </c>
      <c r="C7" s="246" t="s">
        <v>546</v>
      </c>
      <c r="D7" s="247" t="s">
        <v>567</v>
      </c>
      <c r="E7" s="247" t="s">
        <v>568</v>
      </c>
      <c r="F7" s="247" t="s">
        <v>82</v>
      </c>
      <c r="G7" s="248" t="s">
        <v>69</v>
      </c>
      <c r="H7" s="249" t="s">
        <v>569</v>
      </c>
      <c r="I7" s="247" t="s">
        <v>260</v>
      </c>
    </row>
    <row r="8" spans="1:18">
      <c r="A8" s="383" t="s">
        <v>562</v>
      </c>
      <c r="B8" s="272"/>
      <c r="C8" s="165"/>
      <c r="D8" s="166"/>
      <c r="E8" s="166"/>
      <c r="F8" s="166"/>
      <c r="G8" s="166"/>
      <c r="H8" s="166"/>
      <c r="I8" s="166"/>
    </row>
    <row r="11" spans="1:18">
      <c r="A11" s="378" t="s">
        <v>572</v>
      </c>
      <c r="B11" s="378"/>
      <c r="C11" s="378"/>
      <c r="D11" s="378"/>
      <c r="E11" s="378"/>
      <c r="F11" s="378"/>
      <c r="G11" s="379"/>
      <c r="H11" s="379"/>
      <c r="I11" s="379"/>
      <c r="J11" s="379"/>
      <c r="K11" s="379"/>
      <c r="L11" s="379"/>
      <c r="M11" s="379"/>
    </row>
    <row r="12" spans="1:18" ht="45" customHeight="1">
      <c r="A12" s="246" t="s">
        <v>494</v>
      </c>
      <c r="B12" s="247" t="s">
        <v>566</v>
      </c>
      <c r="C12" s="246" t="s">
        <v>546</v>
      </c>
      <c r="D12" s="248" t="s">
        <v>506</v>
      </c>
      <c r="E12" s="249" t="s">
        <v>574</v>
      </c>
      <c r="F12" s="249" t="s">
        <v>573</v>
      </c>
    </row>
    <row r="13" spans="1:18">
      <c r="A13" s="383" t="s">
        <v>571</v>
      </c>
      <c r="B13" s="272"/>
      <c r="C13" s="165"/>
      <c r="D13" s="165"/>
      <c r="E13" s="384"/>
      <c r="F13" s="384"/>
    </row>
    <row r="15" spans="1:18">
      <c r="A15" s="378" t="s">
        <v>576</v>
      </c>
      <c r="B15" s="378"/>
      <c r="C15" s="378"/>
      <c r="D15" s="378"/>
      <c r="E15" s="378"/>
      <c r="F15" s="378"/>
      <c r="G15" s="378"/>
    </row>
    <row r="16" spans="1:18" ht="25.5">
      <c r="A16" s="246" t="s">
        <v>494</v>
      </c>
      <c r="B16" s="247" t="s">
        <v>566</v>
      </c>
      <c r="C16" s="246" t="s">
        <v>546</v>
      </c>
      <c r="D16" s="248" t="s">
        <v>577</v>
      </c>
      <c r="E16" s="249" t="s">
        <v>578</v>
      </c>
      <c r="F16" s="249" t="s">
        <v>506</v>
      </c>
      <c r="G16" s="249" t="s">
        <v>483</v>
      </c>
    </row>
    <row r="17" spans="1:7">
      <c r="A17" s="383" t="s">
        <v>575</v>
      </c>
      <c r="B17" s="272"/>
      <c r="C17" s="165"/>
      <c r="D17" s="165"/>
      <c r="E17" s="384"/>
      <c r="F17" s="377"/>
      <c r="G17" s="384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55" t="s">
        <v>547</v>
      </c>
      <c r="B1" s="356"/>
      <c r="C1" s="356"/>
      <c r="D1" s="356"/>
      <c r="E1" s="356"/>
      <c r="F1" s="356"/>
      <c r="G1" s="356"/>
      <c r="H1" s="356"/>
      <c r="I1" s="356"/>
    </row>
    <row r="2" spans="1:9" ht="15.75">
      <c r="A2" s="112"/>
    </row>
    <row r="3" spans="1:9" ht="31.5" customHeight="1">
      <c r="A3" s="354" t="s">
        <v>262</v>
      </c>
      <c r="B3" s="354"/>
      <c r="C3" s="354"/>
      <c r="D3" s="354"/>
      <c r="E3" s="354"/>
      <c r="F3" s="354"/>
      <c r="G3" s="354"/>
      <c r="H3" s="354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55" t="s">
        <v>263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</row>
    <row r="2" spans="1:16" ht="15.75">
      <c r="A2" s="112"/>
      <c r="F2" s="112"/>
      <c r="G2" s="112"/>
      <c r="H2" s="112"/>
      <c r="I2" s="112"/>
    </row>
    <row r="3" spans="1:16" ht="31.5" customHeight="1">
      <c r="A3" s="357" t="s">
        <v>262</v>
      </c>
      <c r="B3" s="357"/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8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59" t="s">
        <v>310</v>
      </c>
      <c r="L4" s="359"/>
      <c r="M4" s="359"/>
      <c r="N4" s="360" t="s">
        <v>311</v>
      </c>
      <c r="O4" s="361"/>
      <c r="P4" s="362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7" t="s">
        <v>364</v>
      </c>
      <c r="B1" s="327"/>
      <c r="C1" s="327"/>
      <c r="D1" s="327"/>
      <c r="E1" s="327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365</v>
      </c>
      <c r="B3" s="205"/>
      <c r="C3" s="205" t="s">
        <v>366</v>
      </c>
      <c r="D3" s="205" t="s">
        <v>367</v>
      </c>
      <c r="E3" s="205" t="s">
        <v>353</v>
      </c>
    </row>
    <row r="4" spans="1:14" ht="30" customHeight="1">
      <c r="A4" s="188" t="s">
        <v>368</v>
      </c>
      <c r="B4" s="188"/>
      <c r="C4" s="210" t="s">
        <v>389</v>
      </c>
      <c r="D4" s="210"/>
      <c r="E4" s="210"/>
    </row>
    <row r="5" spans="1:14">
      <c r="A5" s="189" t="s">
        <v>369</v>
      </c>
      <c r="B5" s="189"/>
      <c r="C5" s="190"/>
      <c r="D5" s="190"/>
      <c r="E5" s="190"/>
    </row>
    <row r="6" spans="1:14">
      <c r="A6" s="189" t="s">
        <v>370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63" t="s">
        <v>371</v>
      </c>
      <c r="B8" s="363"/>
      <c r="C8" s="363"/>
      <c r="D8" s="363"/>
      <c r="E8" s="363"/>
    </row>
    <row r="9" spans="1:14">
      <c r="A9" s="206" t="s">
        <v>365</v>
      </c>
      <c r="B9" s="206" t="s">
        <v>79</v>
      </c>
      <c r="C9" s="206" t="s">
        <v>366</v>
      </c>
      <c r="D9" s="206" t="s">
        <v>367</v>
      </c>
      <c r="E9" s="206" t="s">
        <v>353</v>
      </c>
    </row>
    <row r="10" spans="1:14">
      <c r="A10" s="192" t="s">
        <v>1</v>
      </c>
      <c r="B10" s="193">
        <v>13</v>
      </c>
      <c r="C10" s="194" t="s">
        <v>390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64" t="s">
        <v>382</v>
      </c>
      <c r="B19" s="365"/>
      <c r="C19" s="365"/>
      <c r="D19" s="365"/>
      <c r="E19" s="366"/>
    </row>
    <row r="20" spans="1:5">
      <c r="A20" s="206"/>
      <c r="B20" s="211"/>
      <c r="C20" s="209" t="s">
        <v>372</v>
      </c>
      <c r="D20" s="206" t="s">
        <v>373</v>
      </c>
      <c r="E20" s="206" t="s">
        <v>293</v>
      </c>
    </row>
    <row r="21" spans="1:5">
      <c r="A21" s="189" t="s">
        <v>383</v>
      </c>
      <c r="B21" s="212"/>
      <c r="C21" s="190" t="s">
        <v>377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27" t="s">
        <v>346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187"/>
    </row>
    <row r="3" spans="1:14">
      <c r="A3" s="374" t="s">
        <v>355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  <c r="M3" s="374"/>
    </row>
    <row r="4" spans="1:14" ht="37.5" customHeight="1">
      <c r="A4" s="367" t="s">
        <v>347</v>
      </c>
      <c r="B4" s="371" t="s">
        <v>350</v>
      </c>
      <c r="C4" s="372"/>
      <c r="D4" s="367" t="s">
        <v>329</v>
      </c>
      <c r="E4" s="367" t="s">
        <v>97</v>
      </c>
      <c r="F4" s="183" t="s">
        <v>1</v>
      </c>
      <c r="G4" s="183" t="s">
        <v>2</v>
      </c>
      <c r="H4" s="183" t="s">
        <v>82</v>
      </c>
      <c r="I4" s="371" t="s">
        <v>69</v>
      </c>
      <c r="J4" s="373"/>
      <c r="K4" s="372"/>
      <c r="L4" s="367" t="s">
        <v>351</v>
      </c>
      <c r="M4" s="369" t="s">
        <v>352</v>
      </c>
      <c r="N4" s="186"/>
    </row>
    <row r="5" spans="1:14" ht="33.75" customHeight="1">
      <c r="A5" s="368"/>
      <c r="B5" s="185" t="s">
        <v>348</v>
      </c>
      <c r="C5" s="185" t="s">
        <v>349</v>
      </c>
      <c r="D5" s="368"/>
      <c r="E5" s="368"/>
      <c r="F5" s="185"/>
      <c r="G5" s="185"/>
      <c r="H5" s="185"/>
      <c r="I5" s="185" t="s">
        <v>348</v>
      </c>
      <c r="J5" s="185" t="s">
        <v>349</v>
      </c>
      <c r="K5" s="185" t="s">
        <v>359</v>
      </c>
      <c r="L5" s="368"/>
      <c r="M5" s="370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354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74" t="s">
        <v>356</v>
      </c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</row>
    <row r="12" spans="1:14" ht="37.5" customHeight="1">
      <c r="A12" s="367" t="s">
        <v>347</v>
      </c>
      <c r="B12" s="371" t="s">
        <v>350</v>
      </c>
      <c r="C12" s="372"/>
      <c r="D12" s="367" t="s">
        <v>329</v>
      </c>
      <c r="E12" s="367" t="s">
        <v>97</v>
      </c>
      <c r="F12" s="183" t="s">
        <v>1</v>
      </c>
      <c r="G12" s="183" t="s">
        <v>2</v>
      </c>
      <c r="H12" s="183" t="s">
        <v>82</v>
      </c>
      <c r="I12" s="371" t="s">
        <v>69</v>
      </c>
      <c r="J12" s="373"/>
      <c r="K12" s="372"/>
      <c r="L12" s="367" t="s">
        <v>351</v>
      </c>
      <c r="M12" s="369" t="s">
        <v>352</v>
      </c>
      <c r="N12" s="186"/>
    </row>
    <row r="13" spans="1:14" ht="33.75" customHeight="1">
      <c r="A13" s="368"/>
      <c r="B13" s="185" t="s">
        <v>348</v>
      </c>
      <c r="C13" s="185"/>
      <c r="D13" s="368"/>
      <c r="E13" s="368"/>
      <c r="F13" s="185"/>
      <c r="G13" s="185"/>
      <c r="H13" s="185"/>
      <c r="I13" s="185" t="s">
        <v>348</v>
      </c>
      <c r="J13" s="185" t="s">
        <v>384</v>
      </c>
      <c r="K13" s="185" t="s">
        <v>359</v>
      </c>
      <c r="L13" s="368"/>
      <c r="M13" s="370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357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74" t="s">
        <v>358</v>
      </c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</row>
    <row r="20" spans="1:14" ht="37.5" customHeight="1">
      <c r="A20" s="367" t="s">
        <v>347</v>
      </c>
      <c r="B20" s="371" t="s">
        <v>350</v>
      </c>
      <c r="C20" s="372"/>
      <c r="D20" s="367" t="s">
        <v>329</v>
      </c>
      <c r="E20" s="367" t="s">
        <v>97</v>
      </c>
      <c r="F20" s="183" t="s">
        <v>1</v>
      </c>
      <c r="G20" s="183" t="s">
        <v>2</v>
      </c>
      <c r="H20" s="183" t="s">
        <v>82</v>
      </c>
      <c r="I20" s="371" t="s">
        <v>69</v>
      </c>
      <c r="J20" s="373"/>
      <c r="K20" s="372"/>
      <c r="L20" s="367" t="s">
        <v>351</v>
      </c>
      <c r="M20" s="369" t="s">
        <v>352</v>
      </c>
      <c r="N20" s="186"/>
    </row>
    <row r="21" spans="1:14" ht="33.75" customHeight="1">
      <c r="A21" s="368"/>
      <c r="B21" s="185" t="s">
        <v>348</v>
      </c>
      <c r="C21" s="185"/>
      <c r="D21" s="368"/>
      <c r="E21" s="368"/>
      <c r="F21" s="185"/>
      <c r="G21" s="185"/>
      <c r="H21" s="185"/>
      <c r="I21" s="185" t="s">
        <v>349</v>
      </c>
      <c r="J21" s="185" t="s">
        <v>384</v>
      </c>
      <c r="K21" s="185" t="s">
        <v>359</v>
      </c>
      <c r="L21" s="368"/>
      <c r="M21" s="370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363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29</vt:i4>
      </vt:variant>
      <vt:variant>
        <vt:lpstr>Именованные диапазоны</vt:lpstr>
      </vt:variant>
      <vt:variant>
        <vt:i4>31</vt:i4>
      </vt:variant>
    </vt:vector>
  </HeadingPairs>
  <TitlesOfParts>
    <vt:vector size="60" baseType="lpstr">
      <vt:lpstr>detail_report</vt:lpstr>
      <vt:lpstr>detail_report_2</vt:lpstr>
      <vt:lpstr>error_report</vt:lpstr>
      <vt:lpstr>correcting_report</vt:lpstr>
      <vt:lpstr>tax_retained_report</vt:lpstr>
      <vt:lpstr>dv_sr_detail_report</vt:lpstr>
      <vt:lpstr>f2_error_report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2018-02-17T12:36:23Z</dcterms:modified>
</cp:coreProperties>
</file>