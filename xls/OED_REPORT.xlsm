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5" activeTab="1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f2_load_vych_person" sheetId="332" state="hidden" r:id="rId14"/>
    <sheet name="Settings" sheetId="103" state="hidden" r:id="rId15"/>
    <sheet name="Отчеты" sheetId="6" r:id="rId16"/>
    <sheet name="f2_amount_errors" sheetId="299" state="hidden" r:id="rId17"/>
    <sheet name="synch_error_report" sheetId="283" state="hidden" r:id="rId18"/>
    <sheet name="ndfl6_part2" sheetId="249" state="hidden" r:id="rId19"/>
    <sheet name="ndfl6_part1_general" sheetId="71" state="hidden" r:id="rId20"/>
    <sheet name="ndfl6_part1_rates" sheetId="69" state="hidden" r:id="rId21"/>
    <sheet name="funds_employees" sheetId="73" state="hidden" r:id="rId22"/>
    <sheet name="funds_employees_report" sheetId="123" state="hidden" r:id="rId23"/>
    <sheet name="ndfl6_part1" sheetId="248" state="hidden" r:id="rId24"/>
    <sheet name="f2_ndfl_person_report" sheetId="474" state="hidden" r:id="rId25"/>
    <sheet name="tax_diff_report" sheetId="271" state="hidden" r:id="rId26"/>
    <sheet name="tax_diff_det_report" sheetId="282" state="hidden" r:id="rId27"/>
    <sheet name="cmp_f2ndfl_f6" sheetId="294" state="hidden" r:id="rId28"/>
    <sheet name="cmp_f2ndfl_pers" sheetId="28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4">f2_ndfl_person_report!$B$4</definedName>
    <definedName name="FIO">dv_sr_detail_report!$B$4</definedName>
    <definedName name="GF_PERSON" localSheetId="24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4">Settings!$B$16</definedName>
    <definedName name="report_year" localSheetId="14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6">[1]Отчеты!$C$2</definedName>
    <definedName name="ReportSelected" localSheetId="10">[1]Отчеты!$C$2</definedName>
    <definedName name="ReportSelected" localSheetId="9">[1]Отчеты!$C$2</definedName>
    <definedName name="ReportSelected" localSheetId="8">[1]Отчеты!$C$2</definedName>
    <definedName name="ReportSelected" localSheetId="13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<sst xmlns="http://schemas.openxmlformats.org/spreadsheetml/2006/main" count="1783" uniqueCount="579">
  <si>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</si>
  <si>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</si>
  <si>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</si>
  <si>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</si>
  <si>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</si>
  <si>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</si>
  <si>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</si>
  <si>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</si>
  <si>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</si>
  <si>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</si>
  <si>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</si>
  <si>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</si>
  <si>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</si>
  <si>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</si>
  <si>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</si>
  <si>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</si>
  <si>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</si>
  <si>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</si>
  <si>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</si>
  <si>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</si>
  <si>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</si>
  <si>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</si>
  <si>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</si>
  <si>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</si>
  <si>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</si>
  <si>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</si>
  <si>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</si>
  <si>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</si>
  <si>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</si>
  <si>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</si>
  <si>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</si>
  <si>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</si>
  <si>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</si>
  <si>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</si>
  <si>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</si>
  <si>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</si>
  <si>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</si>
  <si>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</si>
  <si>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</si>
  <si>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</si>
  <si>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</si>
  <si>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</si>
  <si>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</si>
  <si>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</si>
  <si>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</si>
  <si>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</si>
  <si>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</si>
  <si>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</si>
  <si>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</si>
  <si>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</si>
  <si>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</si>
  <si>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</si>
  <si>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</si>
  <si>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</si>
  <si>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</si>
  <si>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</si>
  <si>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</si>
  <si>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</si>
  <si>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</si>
  <si>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</si>
  <si>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</si>
  <si>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</si>
  <si>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</si>
  <si>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</si>
  <si>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</si>
  <si>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</si>
  <si>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</si>
  <si>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</si>
  <si>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</si>
  <si>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</si>
  <si>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</si>
  <si>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</si>
  <si>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</si>
  <si>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</si>
  <si>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</si>
  <si>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</si>
  <si>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</si>
  <si>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</si>
  <si>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</si>
  <si>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</si>
  <si>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</si>
  <si>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</si>
  <si>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</si>
  <si>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</si>
  <si>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</si>
  <si>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</si>
  <si>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</si>
  <si>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</si>
  <si>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</si>
  <si>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</si>
  <si>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</si>
  <si>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</si>
  <si>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</si>
  <si>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</si>
  <si>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</si>
  <si>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</si>
  <si>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</si>
  <si>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</si>
  <si>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</si>
  <si>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</si>
  <si>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</si>
  <si>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</si>
  <si>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</si>
  <si>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</si>
  <si>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</si>
  <si>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</si>
  <si>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</si>
  <si>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</si>
  <si>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</si>
  <si>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</si>
  <si>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</si>
  <si>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</si>
  <si>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</si>
  <si>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</si>
  <si>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</si>
  <si>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</si>
  <si>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</si>
  <si>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</si>
  <si>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</si>
  <si>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</si>
  <si>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</si>
  <si>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</si>
  <si>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</si>
  <si>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</si>
  <si>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</si>
  <si>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</si>
  <si>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</si>
  <si>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</si>
  <si>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</si>
  <si>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</si>
  <si>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</si>
  <si>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</si>
  <si>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</si>
  <si>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</si>
  <si>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</si>
  <si>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</si>
  <si>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</si>
  <si>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</si>
  <si>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</si>
  <si>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</si>
  <si>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</si>
  <si>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</si>
  <si>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</si>
  <si>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</si>
  <si>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</si>
  <si>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</si>
  <si>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</si>
  <si>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</si>
  <si>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</si>
  <si>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</si>
  <si>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</si>
  <si>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</si>
  <si>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</si>
  <si>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</si>
  <si>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</si>
  <si>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</si>
  <si>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</si>
  <si>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</si>
  <si>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</si>
  <si>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</si>
  <si>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</si>
  <si>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</si>
  <si>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</si>
  <si>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</si>
  <si>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</si>
  <si>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</si>
  <si>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</si>
  <si>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</si>
  <si>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</si>
  <si>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</si>
  <si>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</si>
  <si>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</si>
  <si>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</si>
  <si>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</si>
  <si>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</si>
  <si>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</si>
  <si>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</si>
  <si>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</si>
  <si>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</si>
  <si>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</si>
  <si>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</si>
  <si>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</si>
  <si>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</si>
  <si>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</si>
  <si>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</si>
  <si>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</si>
  <si>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</si>
  <si>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</si>
  <si>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</si>
  <si>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</si>
  <si>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</si>
  <si>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</si>
  <si>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</si>
  <si>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</si>
  <si>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</si>
  <si>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</si>
  <si>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</si>
  <si>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</si>
  <si>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</si>
  <si>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</si>
  <si>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</si>
  <si>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</si>
  <si>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</si>
  <si>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</si>
  <si>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</si>
  <si>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</si>
  <si>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</si>
  <si>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</si>
  <si>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</si>
  <si>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</si>
  <si>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</si>
  <si>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</si>
  <si>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</si>
  <si>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</si>
  <si>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</si>
  <si>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</si>
  <si>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</si>
  <si>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</si>
  <si>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</si>
  <si>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</si>
  <si>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</si>
  <si>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</si>
  <si>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</si>
  <si>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</si>
  <si>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</si>
  <si>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</si>
  <si>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</si>
  <si>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</si>
  <si>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</si>
  <si>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</si>
  <si>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</si>
  <si>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</si>
  <si>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</si>
  <si>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</si>
  <si>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</si>
  <si>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</si>
  <si>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</si>
  <si>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</si>
  <si>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</si>
  <si>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</si>
  <si>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</si>
  <si>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</si>
  <si>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</si>
  <si>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</si>
  <si>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</si>
  <si>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</si>
  <si>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</si>
  <si>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</si>
  <si>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</si>
  <si>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</si>
  <si>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</si>
  <si>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</si>
  <si>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</si>
  <si>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</si>
  <si>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</si>
  <si>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</si>
  <si>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</si>
  <si>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</si>
  <si>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</si>
  <si>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</si>
  <si>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</si>
  <si>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</si>
  <si>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</si>
  <si>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</si>
  <si>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</si>
  <si>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</si>
  <si>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</si>
  <si>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</si>
  <si>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</si>
  <si>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</si>
  <si>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</si>
  <si>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</si>
  <si>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</si>
  <si>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</si>
  <si>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</si>
  <si>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</si>
  <si>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</si>
  <si>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</si>
  <si>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</si>
  <si>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</si>
  <si>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</si>
  <si>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</si>
  <si>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</si>
  <si>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</si>
  <si>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</si>
  <si>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</si>
  <si>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</si>
  <si>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</si>
  <si>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</si>
  <si>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</si>
  <si>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</si>
  <si>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</si>
  <si>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</si>
  <si>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</si>
  <si>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</si>
  <si>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</si>
  <si>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</si>
  <si>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</si>
  <si>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</si>
  <si>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</si>
  <si>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</si>
  <si>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</si>
  <si>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</si>
  <si>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</si>
  <si>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</si>
  <si>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</si>
  <si>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</si>
  <si>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</si>
  <si>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</si>
  <si>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</si>
  <si>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</si>
  <si>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</si>
  <si>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</si>
  <si>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</si>
  <si>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</si>
  <si>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</si>
  <si>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</si>
  <si>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</si>
  <si>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</si>
  <si>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</si>
  <si>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</si>
  <si>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</si>
  <si>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</si>
  <si>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</si>
  <si>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</si>
  <si>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</si>
  <si>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</si>
  <si>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</si>
  <si>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</si>
  <si>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</si>
  <si>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</si>
  <si>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</si>
  <si>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</si>
  <si>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</si>
  <si>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</si>
  <si>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</si>
  <si>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</si>
  <si>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</si>
  <si>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</si>
  <si>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</si>
  <si>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</si>
  <si>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</si>
  <si>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</si>
  <si>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</si>
  <si>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</si>
  <si>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</si>
  <si>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</si>
  <si>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</si>
  <si>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</si>
  <si>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</si>
  <si>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</si>
  <si>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</si>
  <si>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</si>
  <si>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</si>
  <si>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</si>
  <si>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</si>
  <si>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</si>
  <si>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</si>
  <si>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</si>
  <si>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</si>
  <si>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</si>
  <si>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</si>
  <si>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</si>
  <si>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</si>
  <si>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</si>
  <si>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</si>
  <si>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</si>
  <si>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</si>
  <si>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</si>
  <si>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</si>
  <si>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</si>
  <si>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</si>
  <si>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</si>
  <si>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</si>
  <si>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</si>
  <si>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</si>
  <si>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</si>
  <si>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</si>
  <si>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</si>
  <si>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</si>
  <si>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</si>
  <si>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</si>
  <si>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</si>
  <si>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</si>
  <si>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</si>
  <si>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</si>
  <si>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</si>
  <si>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</si>
  <si>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</si>
  <si>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</si>
  <si>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</si>
  <si>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</si>
  <si>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</si>
  <si>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</si>
  <si>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</si>
  <si>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</si>
  <si>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</si>
  <si>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</si>
  <si>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</si>
  <si>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</si>
  <si>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</si>
  <si>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</si>
  <si>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</si>
  <si>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</si>
  <si>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</si>
  <si>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</si>
  <si>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</si>
  <si>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</si>
  <si>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</si>
  <si>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</si>
  <si>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</si>
  <si>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</si>
  <si>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</si>
  <si>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</si>
  <si>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</si>
  <si>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</si>
  <si>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</si>
  <si>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</si>
  <si>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</si>
  <si>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</si>
  <si>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</si>
  <si>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</si>
  <si>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</si>
  <si>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</si>
  <si>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</si>
  <si>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</si>
  <si>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</si>
  <si>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</si>
  <si>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</si>
  <si>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</si>
  <si>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</si>
  <si>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</si>
  <si>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</si>
  <si>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</si>
  <si>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</si>
  <si>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</si>
  <si>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</si>
  <si>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</si>
  <si>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</si>
  <si>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</si>
  <si>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</si>
  <si>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</si>
  <si>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</si>
  <si>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</si>
  <si>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</si>
  <si>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</si>
  <si>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</si>
  <si>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</si>
  <si>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</si>
  <si>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</si>
  <si>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</si>
  <si>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</si>
  <si>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</si>
  <si>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</si>
  <si>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</si>
  <si>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</si>
  <si>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</si>
  <si>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</si>
  <si>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</si>
  <si>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</si>
  <si>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</si>
  <si>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</si>
  <si>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</si>
  <si>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</si>
  <si>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</si>
  <si>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</si>
  <si>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</si>
  <si>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</si>
  <si>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</si>
  <si>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</si>
  <si>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</si>
  <si>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</si>
  <si>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</si>
  <si>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</si>
  <si>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</si>
  <si>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</si>
  <si>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</si>
  <si>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</si>
  <si>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</si>
  <si>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</si>
  <si>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</si>
  <si>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</si>
  <si>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</si>
  <si>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</si>
  <si>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</si>
  <si>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</si>
  <si>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</si>
  <si>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</si>
  <si>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</si>
  <si>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</si>
  <si>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</si>
  <si>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</si>
  <si>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</si>
  <si>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</si>
  <si>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</si>
  <si>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</si>
  <si>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</si>
  <si>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</si>
  <si>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</si>
  <si>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</si>
  <si>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</si>
  <si>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</si>
  <si>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</si>
  <si>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</si>
  <si>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</si>
  <si>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</si>
  <si>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</si>
  <si>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</si>
  <si>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</si>
  <si>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</si>
  <si>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</si>
  <si>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</si>
  <si>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</si>
  <si>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</si>
  <si>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</si>
  <si>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</si>
  <si>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</si>
  <si>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</si>
  <si>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</si>
  <si>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</si>
  <si>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</si>
  <si>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</si>
  <si>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</si>
  <si>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</si>
  <si>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</si>
  <si>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</si>
  <si>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</si>
  <si>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</si>
  <si>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</si>
  <si>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</si>
  <si>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</si>
  <si>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</si>
  <si>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</si>
  <si>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</si>
  <si>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</si>
  <si>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</si>
  <si>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</si>
  <si>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</si>
  <si>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</si>
  <si>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</si>
  <si>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</si>
  <si>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</si>
  <si>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</si>
  <si>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</si>
  <si>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</si>
  <si>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</si>
  <si>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</si>
  <si>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</si>
  <si>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</si>
  <si>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</si>
  <si>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</si>
  <si>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</si>
  <si>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</si>
  <si>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</si>
  <si>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</si>
  <si>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</si>
  <si>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</si>
  <si>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</si>
  <si>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</si>
  <si>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</si>
  <si>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</si>
  <si>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</si>
  <si>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</si>
  <si>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</si>
  <si>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</si>
  <si>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</si>
  <si>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</si>
  <si>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</si>
  <si>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01.01.2017</t>
  </si>
  <si>
    <t>31.12.2017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</si>
  <si>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</si>
  <si>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</si>
  <si>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</si>
  <si>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</si>
  <si>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</si>
  <si>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</si>
  <si>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</si>
  <si>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</si>
  <si>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2НФДЛ Ошибки суммовых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</si>
</sst>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00"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99" dataDxfId="597" headerRowBorderDxfId="598" tableBorderDxfId="596" totalsRowBorderDxfId="595">
  <autoFilter ref="A4:J5"/>
  <tableColumns count="10">
    <tableColumn id="1" name="1" dataDxfId="594"/>
    <tableColumn id="2" name="2" dataDxfId="593"/>
    <tableColumn id="5" name="3" dataDxfId="592"/>
    <tableColumn id="6" name="4" dataDxfId="591"/>
    <tableColumn id="7" name="5" dataDxfId="590"/>
    <tableColumn id="10" name="6" dataDxfId="589"/>
    <tableColumn id="11" name="7" dataDxfId="588"/>
    <tableColumn id="12" name="8" dataDxfId="587"/>
    <tableColumn id="13" name="9" dataDxfId="586"/>
    <tableColumn id="14" name="10" dataDxfId="5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84" dataDxfId="582" headerRowBorderDxfId="583" tableBorderDxfId="581" totalsRowBorderDxfId="580">
  <autoFilter ref="A5:P6"/>
  <tableColumns count="16">
    <tableColumn id="1" name="1" dataDxfId="579"/>
    <tableColumn id="2" name="2" dataDxfId="578"/>
    <tableColumn id="3" name="3" dataDxfId="577"/>
    <tableColumn id="4" name="4" dataDxfId="576"/>
    <tableColumn id="5" name="5" dataDxfId="575"/>
    <tableColumn id="6" name="6" dataDxfId="574"/>
    <tableColumn id="7" name="7" dataDxfId="573"/>
    <tableColumn id="8" name="8" dataDxfId="572"/>
    <tableColumn id="9" name="9" dataDxfId="571"/>
    <tableColumn id="10" name="10" dataDxfId="570"/>
    <tableColumn id="11" name="11" dataDxfId="569"/>
    <tableColumn id="12" name="12" dataDxfId="568"/>
    <tableColumn id="13" name="13" dataDxfId="567"/>
    <tableColumn id="14" name="14" dataDxfId="566"/>
    <tableColumn id="15" name="15" dataDxfId="565"/>
    <tableColumn id="16" name="16" dataDxfId="5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63" dataDxfId="561" headerRowBorderDxfId="562" tableBorderDxfId="560" totalsRowBorderDxfId="559">
  <autoFilter ref="A3:I4">
    <filterColumn colId="1"/>
  </autoFilter>
  <tableColumns count="9">
    <tableColumn id="1" name="1" dataDxfId="558"/>
    <tableColumn id="3" name="2" dataDxfId="557"/>
    <tableColumn id="2" name="3" dataDxfId="556"/>
    <tableColumn id="5" name="4" dataDxfId="555"/>
    <tableColumn id="6" name="5" dataDxfId="554"/>
    <tableColumn id="7" name="6" dataDxfId="553"/>
    <tableColumn id="10" name="7" dataDxfId="552"/>
    <tableColumn id="11" name="8" dataDxfId="551"/>
    <tableColumn id="12" name="9" dataDxfId="5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49" dataDxfId="547" headerRowBorderDxfId="548" tableBorderDxfId="546" totalsRowBorderDxfId="54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44"/>
    <tableColumn id="20" name="2" dataDxfId="543"/>
    <tableColumn id="19" name="3" dataDxfId="542"/>
    <tableColumn id="18" name="4" dataDxfId="541"/>
    <tableColumn id="17" name="5" dataDxfId="540"/>
    <tableColumn id="23" name="6" dataDxfId="539"/>
    <tableColumn id="22" name="7" dataDxfId="538"/>
    <tableColumn id="21" name="8" dataDxfId="537"/>
    <tableColumn id="28" name="9" dataDxfId="536"/>
    <tableColumn id="29" name="10" dataDxfId="535"/>
    <tableColumn id="27" name="11" dataDxfId="534"/>
    <tableColumn id="26" name="12" dataDxfId="533"/>
    <tableColumn id="25" name="13" dataDxfId="532"/>
    <tableColumn id="5" name="14" dataDxfId="531"/>
    <tableColumn id="4" name="15" dataDxfId="530"/>
    <tableColumn id="3" name="16" dataDxfId="529"/>
    <tableColumn id="2" name="17" dataDxfId="528"/>
    <tableColumn id="24" name="18" dataDxfId="5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25" totalsRowDxfId="524">
  <tableColumns count="3">
    <tableColumn id="1" name="ВИД ВЫПЛАТЫ" totalsRowLabel="Итого" dataDxfId="523" totalsRowDxfId="522" dataCellStyle="Обычный 5"/>
    <tableColumn id="2" name="13%" totalsRowFunction="sum" dataDxfId="521" totalsRowDxfId="520" dataCellStyle="Обычный 5"/>
    <tableColumn id="3" name="30%" totalsRowFunction="sum" dataDxfId="519" totalsRowDxfId="51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17" dataDxfId="515" headerRowBorderDxfId="516" headerRowCellStyle="Обычный 5" dataCellStyle="Обычный 5">
  <tableColumns count="4">
    <tableColumn id="1" name="Сумма по ставкам" totalsRowFunction="sum" dataDxfId="514" totalsRowDxfId="513" dataCellStyle="Обычный 5"/>
    <tableColumn id="2" name="13%" dataDxfId="512" totalsRowDxfId="511" dataCellStyle="Обычный 5">
      <calculatedColumnFormula>B31+#REF!-Таблица42[[#This Row],[13%]]</calculatedColumnFormula>
    </tableColumn>
    <tableColumn id="3" name="30%" dataDxfId="510" totalsRowDxfId="509" dataCellStyle="Обычный 5"/>
    <tableColumn id="4" name="Расхождение по ставкам" dataDxfId="508" totalsRowDxfId="50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06" totalsRowDxfId="504" headerRowBorderDxfId="505" headerRowCellStyle="Обычный 5">
  <tableColumns count="8">
    <tableColumn id="1" name="ВИД ВЫПЛАТЫ" totalsRowLabel="Итого по ставке" dataDxfId="503" totalsRowDxfId="502" dataCellStyle="Обычный 5"/>
    <tableColumn id="2" name="13%" totalsRowFunction="sum" dataDxfId="501" totalsRowDxfId="500" dataCellStyle="Обычный 5"/>
    <tableColumn id="3" name="30%" totalsRowFunction="sum" dataDxfId="499" totalsRowDxfId="498" dataCellStyle="Обычный 5"/>
    <tableColumn id="4" name="Столбец1" totalsRowDxfId="497" dataCellStyle="Обычный 5"/>
    <tableColumn id="5" name="без исправлений" dataDxfId="496" totalsRowDxfId="495" dataCellStyle="Обычный 5"/>
    <tableColumn id="6" name="с корректоровкой" dataDxfId="494" totalsRowDxfId="493" dataCellStyle="Обычный 5"/>
    <tableColumn id="7" name="без исправлений2" dataDxfId="492" totalsRowDxfId="491" dataCellStyle="Обычный 5"/>
    <tableColumn id="8" name="с корректоровкой3" dataDxfId="490" totalsRowDxfId="48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488" dataDxfId="487">
  <autoFilter ref="A7:L8">
    <filterColumn colId="4"/>
    <filterColumn colId="11"/>
  </autoFilter>
  <tableColumns count="12">
    <tableColumn id="2" name="SSYLKA_FL" dataDxfId="486"/>
    <tableColumn id="3" name="NOM_VKL" dataDxfId="485"/>
    <tableColumn id="4" name="NOM_IPS" dataDxfId="484"/>
    <tableColumn id="5" name="Дата операции" dataDxfId="483"/>
    <tableColumn id="7" name="Дата документа" dataDxfId="482"/>
    <tableColumn id="6" name="Тип дохода" dataDxfId="481"/>
    <tableColumn id="8" name="Вычет" dataDxfId="480"/>
    <tableColumn id="9" name="Доход" dataDxfId="479"/>
    <tableColumn id="10" name="Налог" dataDxfId="478"/>
    <tableColumn id="11" name="№ документа" dataDxfId="477"/>
    <tableColumn id="12" name="№ корректируемого документа" dataDxfId="476"/>
    <tableColumn id="13" name="Ставка налога" dataDxfId="47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74" dataDxfId="473">
  <autoFilter ref="A12:L13"/>
  <tableColumns count="12">
    <tableColumn id="2" name="SSYLKA_FL" dataDxfId="472"/>
    <tableColumn id="3" name="NOM_VKL" dataDxfId="471"/>
    <tableColumn id="4" name="NOM_IPS" dataDxfId="470"/>
    <tableColumn id="5" name="Дата" dataDxfId="469"/>
    <tableColumn id="6" name="Тип дохода" dataDxfId="468"/>
    <tableColumn id="7" name="Тип операции" dataDxfId="467"/>
    <tableColumn id="8" name="Счет" dataDxfId="466"/>
    <tableColumn id="9" name="Субсчет" dataDxfId="465"/>
    <tableColumn id="10" name="Сумма" dataDxfId="464"/>
    <tableColumn id="11" name="№ документа" dataDxfId="463"/>
    <tableColumn id="12" name="№ корректирующего документа" dataDxfId="462"/>
    <tableColumn id="13" name="Ставка налога" dataDxfId="46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7" name="Таблица54138105108" displayName="Таблица54138105108" ref="A2:L3" totalsRowShown="0" headerRowDxfId="460" dataDxfId="458" headerRowBorderDxfId="459" tableBorderDxfId="457" totalsRowBorderDxfId="456">
  <autoFilter ref="A2:L3">
    <filterColumn colId="9"/>
    <filterColumn colId="10"/>
    <filterColumn colId="11"/>
  </autoFilter>
  <tableColumns count="12">
    <tableColumn id="1" name="Ssylka" dataDxfId="455"/>
    <tableColumn id="2" name="nom_vkl" dataDxfId="454"/>
    <tableColumn id="3" name="nom_ips" dataDxfId="453"/>
    <tableColumn id="4" name="ФИО" dataDxfId="452"/>
    <tableColumn id="5" name="Бух.счет" dataDxfId="451"/>
    <tableColumn id="6" name="Код вычета" dataDxfId="450"/>
    <tableColumn id="7" name="Период с" dataDxfId="449"/>
    <tableColumn id="8" name="Период по" dataDxfId="448"/>
    <tableColumn id="9" name="Период с_x000a_(БИТ)" dataDxfId="447"/>
    <tableColumn id="10" name="Период по_x000a_(БИТ)" dataDxfId="446"/>
    <tableColumn id="11" name="Сумма" dataDxfId="445"/>
    <tableColumn id="12" name="Применение вычета в движении" dataDxfId="4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4" name="Таблица54138105" displayName="Таблица54138105" ref="A2:K3" totalsRowShown="0" headerRowDxfId="443" dataDxfId="441" headerRowBorderDxfId="442" tableBorderDxfId="440" totalsRowBorderDxfId="439">
  <autoFilter ref="A2:K3">
    <filterColumn colId="9"/>
    <filterColumn colId="10"/>
  </autoFilter>
  <tableColumns count="11">
    <tableColumn id="1" name="Ssylka" dataDxfId="438"/>
    <tableColumn id="2" name="nom_vkl" dataDxfId="437"/>
    <tableColumn id="3" name="nom_ips" dataDxfId="436"/>
    <tableColumn id="4" name="ФИО" dataDxfId="435"/>
    <tableColumn id="5" name="Бух.счет" dataDxfId="434"/>
    <tableColumn id="6" name="Код вычета" dataDxfId="433"/>
    <tableColumn id="7" name="Период с" dataDxfId="432"/>
    <tableColumn id="8" name="Период по" dataDxfId="431"/>
    <tableColumn id="9" name="Сумма по движению" dataDxfId="430"/>
    <tableColumn id="10" name="Расчетная сумма по БИТ" dataDxfId="429"/>
    <tableColumn id="11" name="Расчетная сумма по БИТ_x000a_по счету" dataDxfId="42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7" name="Таблица54138" displayName="Таблица54138" ref="A2:K3" totalsRowShown="0" headerRowDxfId="427" dataDxfId="425" headerRowBorderDxfId="426" tableBorderDxfId="424" totalsRowBorderDxfId="423">
  <autoFilter ref="A2:K3">
    <filterColumn colId="9"/>
    <filterColumn colId="10"/>
  </autoFilter>
  <tableColumns count="11">
    <tableColumn id="1" name="Ssylka" dataDxfId="422"/>
    <tableColumn id="2" name="nom_vkl" dataDxfId="421"/>
    <tableColumn id="3" name="nom_ips" dataDxfId="420"/>
    <tableColumn id="4" name="ФИО" dataDxfId="419"/>
    <tableColumn id="5" name="Тип дохода" dataDxfId="418"/>
    <tableColumn id="6" name="Месяц" dataDxfId="417"/>
    <tableColumn id="7" name="Shifr_schet" dataDxfId="416"/>
    <tableColumn id="8" name="Код вычета_x000a_(ручн)" dataDxfId="415"/>
    <tableColumn id="9" name="Сумма вычета" dataDxfId="414"/>
    <tableColumn id="10" name="Наличие записей в SP_OGR_PV" dataDxfId="413"/>
    <tableColumn id="11" name="Наличие записей в BIT" dataDxfId="4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Таблица541" displayName="Таблица541" ref="A3:R4" totalsRowShown="0" headerRowDxfId="411" dataDxfId="409" headerRowBorderDxfId="410" tableBorderDxfId="408" totalsRowBorderDxfId="407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06"/>
    <tableColumn id="2" name="Ошибка" dataDxfId="405"/>
    <tableColumn id="3" name="ИД контрагента" dataDxfId="404"/>
    <tableColumn id="4" name="Фамилия" dataDxfId="403"/>
    <tableColumn id="5" name="Имя" dataDxfId="402"/>
    <tableColumn id="6" name="Отчество" dataDxfId="401"/>
    <tableColumn id="7" name="Дата рождения" dataDxfId="400"/>
    <tableColumn id="8" name="ИНН" dataDxfId="399"/>
    <tableColumn id="9" name="Гражданство" dataDxfId="398"/>
    <tableColumn id="10" name="Резидент" dataDxfId="397"/>
    <tableColumn id="11" name="Код УЛ" dataDxfId="396"/>
    <tableColumn id="12" name="Серия и номер УЛ" dataDxfId="395"/>
    <tableColumn id="13" name="№ справки" dataDxfId="394"/>
    <tableColumn id="19" name="ИНН2" dataDxfId="393"/>
    <tableColumn id="14" name="Гражданство2" dataDxfId="392"/>
    <tableColumn id="15" name="Резидент2" dataDxfId="391"/>
    <tableColumn id="16" name="Код УЛ2" dataDxfId="390"/>
    <tableColumn id="17" name="Серия и номер УЛ3" dataDxfId="38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Таблица444493347" displayName="Таблица444493347" ref="A2:H3" totalsRowShown="0" headerRowDxfId="388" dataDxfId="386" headerRowBorderDxfId="387" tableBorderDxfId="385" totalsRowBorderDxfId="384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83"/>
    <tableColumn id="14" name="Имя файла" dataDxfId="382"/>
    <tableColumn id="1" name="Количество справок" dataDxfId="381"/>
    <tableColumn id="16" name="Фамилия с" dataDxfId="380"/>
    <tableColumn id="17" name="Фамилия по" dataDxfId="379"/>
    <tableColumn id="2" name="№ справки с" dataDxfId="378"/>
    <tableColumn id="3" name="№ справки по" dataDxfId="377"/>
    <tableColumn id="25" name="Признак справки" dataDxfId="376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9" name="Таблица3348" displayName="Таблица3348" ref="A7:G9" totalsRowCount="1" headerRowDxfId="375" headerRowBorderDxfId="374" tableBorderDxfId="373" totalsRowBorderDxfId="372">
  <autoFilter ref="A7:G8"/>
  <tableColumns count="7">
    <tableColumn id="1" name="№_x000a_справки" totalsRowLabel="Итог" dataDxfId="371" totalsRowDxfId="370"/>
    <tableColumn id="2" name="Фамилия" dataDxfId="369" totalsRowDxfId="368"/>
    <tableColumn id="3" name="UI_PERSON" dataDxfId="367" totalsRowDxfId="366"/>
    <tableColumn id="4" name="Резидент" dataDxfId="365" totalsRowDxfId="364"/>
    <tableColumn id="5" name="Гражданство" dataDxfId="363" totalsRowDxfId="362"/>
    <tableColumn id="6" name="Задолженность" totalsRowFunction="sum" dataDxfId="361" totalsRowDxfId="360"/>
    <tableColumn id="7" name="Коррекция №" totalsRowFunction="count" dataDxfId="359" totalsRowDxfId="35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6" name="Таблица44449" displayName="Таблица44449" ref="A4:P5" totalsRowShown="0" headerRowDxfId="357" dataDxfId="356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55"/>
    <tableColumn id="14" name="2" dataDxfId="354"/>
    <tableColumn id="1" name="3" dataDxfId="353"/>
    <tableColumn id="16" name="4" dataDxfId="352"/>
    <tableColumn id="17" name="5" dataDxfId="351"/>
    <tableColumn id="2" name="6" dataDxfId="350"/>
    <tableColumn id="3" name="7" dataDxfId="349"/>
    <tableColumn id="25" name="8" dataDxfId="348"/>
    <tableColumn id="18" name="9" dataDxfId="347"/>
    <tableColumn id="19" name="10" dataDxfId="346"/>
    <tableColumn id="20" name="11" dataDxfId="345"/>
    <tableColumn id="21" name="12" dataDxfId="344"/>
    <tableColumn id="22" name="13" dataDxfId="343"/>
    <tableColumn id="23" name="14" dataDxfId="342"/>
    <tableColumn id="24" name="15" dataDxfId="341"/>
    <tableColumn id="26" name="16" dataDxfId="340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57" name="Таблица354258" displayName="Таблица354258" ref="A2:I3" headerRowDxfId="339" dataDxfId="337" totalsRowDxfId="335" headerRowBorderDxfId="338" tableBorderDxfId="336">
  <autoFilter ref="A2:I3"/>
  <tableColumns count="9">
    <tableColumn id="1" name="Таблица" totalsRowLabel="Итог" dataDxfId="334" totalsRowDxfId="333"/>
    <tableColumn id="3" name="SSYLKA" dataDxfId="332" totalsRowDxfId="331"/>
    <tableColumn id="4" name="Тип дохода" dataDxfId="330" totalsRowDxfId="329"/>
    <tableColumn id="5" name="Фамилия" dataDxfId="328" totalsRowDxfId="327"/>
    <tableColumn id="6" name="Имя" dataDxfId="326" totalsRowDxfId="325"/>
    <tableColumn id="8" name="Отчество" dataDxfId="324" totalsRowDxfId="323"/>
    <tableColumn id="9" name="ДР" dataDxfId="322" totalsRowDxfId="321"/>
    <tableColumn id="10" name="SSYLKA_REAL" dataDxfId="320" totalsRowDxfId="319"/>
    <tableColumn id="11" name="UI_PERSON" dataDxfId="318" totalsRowDxfId="3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16"/>
    <tableColumn id="2" name="FND_x000a_SSYLKA" dataDxfId="315"/>
    <tableColumn id="3" name="NOM_VKL" dataDxfId="314"/>
    <tableColumn id="4" name="NOM_IPS" dataDxfId="313"/>
    <tableColumn id="6" name="ФИО" dataDxfId="312"/>
    <tableColumn id="7" name="Дата_x000a_рождения" dataDxfId="311"/>
    <tableColumn id="8" name="Гражданство" dataDxfId="310"/>
    <tableColumn id="5" name="Столбец1" dataDxfId="309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1" name="Таблица4405152" displayName="Таблица4405152" ref="A7:H8" totalsRowShown="0" dataDxfId="308">
  <autoFilter ref="A7:H8">
    <filterColumn colId="6"/>
    <filterColumn colId="7"/>
  </autoFilter>
  <tableColumns count="8">
    <tableColumn id="2" name="Период с" dataDxfId="307"/>
    <tableColumn id="3" name="Период по" dataDxfId="306"/>
    <tableColumn id="4" name="Код вычета" dataDxfId="305"/>
    <tableColumn id="6" name="Сумма" dataDxfId="304"/>
    <tableColumn id="7" name="Описание" dataDxfId="303"/>
    <tableColumn id="8" name="Лимит дохода" dataDxfId="302"/>
    <tableColumn id="5" name="tdappid" dataDxfId="301"/>
    <tableColumn id="9" name="rid" dataDxfId="300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5" name="Таблица440515256" displayName="Таблица440515256" ref="A11:H12" totalsRowShown="0" dataDxfId="299">
  <autoFilter ref="A11:H12">
    <filterColumn colId="6"/>
    <filterColumn colId="7"/>
  </autoFilter>
  <tableColumns count="8">
    <tableColumn id="2" name="Период с" dataDxfId="298"/>
    <tableColumn id="3" name="Период по" dataDxfId="297"/>
    <tableColumn id="4" name="Shifr_schet" dataDxfId="296"/>
    <tableColumn id="6" name="Сумма" dataDxfId="295"/>
    <tableColumn id="7" name="Описание" dataDxfId="294"/>
    <tableColumn id="8" name="Лимит дохода" dataDxfId="293"/>
    <tableColumn id="5" name="tdappid" dataDxfId="292"/>
    <tableColumn id="9" name="rid" dataDxfId="291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6" name="Таблица44051525657" displayName="Таблица44051525657" ref="A15:G16" totalsRowShown="0" dataDxfId="290">
  <autoFilter ref="A15:G16">
    <filterColumn colId="6"/>
  </autoFilter>
  <tableColumns count="7">
    <tableColumn id="1" name="Дата операции" dataDxfId="289"/>
    <tableColumn id="2" name="Тип движения" dataDxfId="288"/>
    <tableColumn id="3" name="Счет" dataDxfId="287"/>
    <tableColumn id="4" name="Сумма" dataDxfId="286"/>
    <tableColumn id="6" name="Документ" dataDxfId="285"/>
    <tableColumn id="7" name="Корректирующий документ" dataDxfId="284"/>
    <tableColumn id="10" name="Субсчет" dataDxfId="28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9" name="Menu" displayName="Menu" ref="D2:E38" totalsRowShown="0">
  <autoFilter ref="D2:E38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Actions" displayName="Actions" ref="G2:L66" totalsRowShown="0">
  <autoFilter ref="G2:L66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Reports" displayName="Reports" ref="N2:T64" totalsRowShown="0">
  <autoFilter ref="N2:T6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GeneralOptions" displayName="GeneralOptions" ref="A2:B16" headerRowBorderDxfId="282" tableBorderDxfId="281" totalsRowBorderDxfId="280">
  <autoFilter ref="A2:B16"/>
  <tableColumns count="2">
    <tableColumn id="1" name="Key" totalsRowLabel="Итог" totalsRowDxfId="279"/>
    <tableColumn id="2" name="Value" totalsRowFunction="count" totalsRowDxfId="27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7" name="ActionTypes" displayName="ActionTypes" ref="AM2:AM4" totalsRowShown="0" tableBorderDxfId="277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Parameters" displayName="Parameters" ref="AE2:AK29" totalsRowShown="0">
  <autoFilter ref="AE2:AK29">
    <filterColumn colId="5"/>
    <filterColumn colId="6"/>
  </autoFilter>
  <tableColumns count="7">
    <tableColumn id="1" name="Program" dataDxfId="27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16" name="Таблица16" displayName="Таблица16" ref="C3:C6" totalsRowShown="0" headerRowDxfId="275" dataDxfId="274" tableBorderDxfId="273">
  <tableColumns count="1">
    <tableColumn id="1" name="Столбец1" dataDxfId="272"/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id="45" name="Таблица440" displayName="Таблица440" ref="A2:N3" totalsRowShown="0" dataDxfId="5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14"/>
    <tableColumn id="20" name="ID справки" dataDxfId="13"/>
    <tableColumn id="15" name="№ справки" dataDxfId="12"/>
    <tableColumn id="16" name="№ коррекции" dataDxfId="11"/>
    <tableColumn id="1" name="GF_PERSON" dataDxfId="10"/>
    <tableColumn id="2" name="FND_x000a_SSYLKA" dataDxfId="9"/>
    <tableColumn id="17" name="NOM_VKL" dataDxfId="8"/>
    <tableColumn id="18" name="NOM_IPS" dataDxfId="7"/>
    <tableColumn id="4" name="Показатель" dataDxfId="3"/>
    <tableColumn id="5" name="Код показателя" dataDxfId="1"/>
    <tableColumn id="6" name="Сумма" dataDxfId="2"/>
    <tableColumn id="21" name="Месяц" dataDxfId="0"/>
    <tableColumn id="22" name="ФИО" dataDxfId="4"/>
    <tableColumn id="7" name="Описание" dataDxfId="6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4" name="Таблица2435" displayName="Таблица2435" ref="A4:L5" totalsRowShown="0" headerRowDxfId="271" dataDxfId="269" headerRowBorderDxfId="270" tableBorderDxfId="268" totalsRowBorderDxfId="267">
  <autoFilter ref="A4:L5">
    <filterColumn colId="1"/>
    <filterColumn colId="8"/>
    <filterColumn colId="9"/>
    <filterColumn colId="10"/>
    <filterColumn colId="11"/>
  </autoFilter>
  <tableColumns count="12">
    <tableColumn id="5" name="1" dataDxfId="266"/>
    <tableColumn id="3" name="2" dataDxfId="265"/>
    <tableColumn id="2" name="3" dataDxfId="264"/>
    <tableColumn id="6" name="4" dataDxfId="263"/>
    <tableColumn id="7" name="5" dataDxfId="262"/>
    <tableColumn id="10" name="6" dataDxfId="261"/>
    <tableColumn id="11" name="7" dataDxfId="260"/>
    <tableColumn id="12" name="8" dataDxfId="259"/>
    <tableColumn id="1" name="9" dataDxfId="258"/>
    <tableColumn id="4" name="10" dataDxfId="257"/>
    <tableColumn id="9" name="12" dataDxfId="256"/>
    <tableColumn id="8" name="11" dataDxfId="25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Таблица26" displayName="Таблица26" ref="B6:D7" totalsRowShown="0" headerRowDxfId="254" headerRowBorderDxfId="253" tableBorderDxfId="252" headerRowCellStyle="Обычный 4">
  <autoFilter ref="B6:D7"/>
  <tableColumns count="3">
    <tableColumn id="1" name="100" dataDxfId="251" dataCellStyle="Обычный 4"/>
    <tableColumn id="2" name="130" dataDxfId="250" dataCellStyle="Обычный 4"/>
    <tableColumn id="3" name="140" dataDxfId="249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48" dataDxfId="247"/>
  </tableColumns>
  <tableStyleInfo showFirstColumn="0" showLastColumn="0" showRowStripes="0" showColumnStripes="0"/>
</table>
</file>

<file path=xl/tables/table4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46" dataDxfId="245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4" name="Таблица4" displayName="Таблица4" ref="B5:E5" headerRowCount="0" totalsRowShown="0" headerRowDxfId="244" dataDxfId="243" tableBorderDxfId="242" totalsRowBorderDxfId="241">
  <tableColumns count="4">
    <tableColumn id="1" name="Столбец1" headerRowDxfId="240" dataDxfId="239" dataCellStyle="Обычный 4"/>
    <tableColumn id="2" name="Столбец2" headerRowDxfId="238" dataDxfId="237" headerRowCellStyle="Обычный 4" dataCellStyle="Обычный 4"/>
    <tableColumn id="3" name="Столбец3" headerRowDxfId="236" dataDxfId="235"/>
    <tableColumn id="4" name="Столбец4" headerRowDxfId="234" dataDxfId="233" headerRowCellStyle="Обычный 4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29" name="Таблица29" displayName="Таблица29" ref="A4:H5" headerRowCount="0" totalsRowCount="1" headerRowDxfId="232" dataDxfId="231">
  <tableColumns count="8">
    <tableColumn id="1" name="Столбец1" totalsRowLabel="Итого:" headerRowDxfId="230" dataDxfId="229" totalsRowDxfId="228"/>
    <tableColumn id="2" name="Столбец2" headerRowDxfId="227" dataDxfId="226" totalsRowDxfId="225"/>
    <tableColumn id="3" name="Столбец3" totalsRowFunction="sum" headerRowDxfId="224" dataDxfId="223" totalsRowDxfId="222"/>
    <tableColumn id="4" name="Столбец4" totalsRowFunction="sum" headerRowDxfId="221" dataDxfId="220" totalsRowDxfId="219"/>
    <tableColumn id="5" name="Столбец5" totalsRowFunction="sum" headerRowDxfId="218" dataDxfId="217" totalsRowDxfId="216"/>
    <tableColumn id="6" name="Столбец6" totalsRowFunction="sum" headerRowDxfId="215" dataDxfId="214" totalsRowDxfId="213"/>
    <tableColumn id="7" name="Столбец7" totalsRowFunction="sum" headerRowDxfId="212" dataDxfId="211" totalsRowDxfId="210"/>
    <tableColumn id="8" name="Столбец8" totalsRowFunction="sum" headerRowDxfId="209" dataDxfId="208" totalsRowDxfId="207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06" totalsRowDxfId="205"/>
    <tableColumn id="4" name="Столбец2" dataDxfId="204"/>
    <tableColumn id="5" name="итог" dataDxfId="203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02"/>
    <tableColumn id="2" name="Столбец2"/>
    <tableColumn id="3" name="Столбец3" totalsRowFunction="sum" headerRowDxfId="201" dataDxfId="200" totalsRowDxfId="199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47" name="Таблица47" displayName="Таблица47" ref="A23:F25" totalsRowCount="1" headerRowDxfId="198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97"/>
    <tableColumn id="5" name="Налог удержанный" totalsRowFunction="sum" dataDxfId="196"/>
    <tableColumn id="6" name="Разница" totalsRowFunction="sum" dataDxfId="195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8" name="Таблица8" displayName="Таблица8" ref="A1:D2" insertRow="1" totalsRowShown="0" headerRowDxfId="194" headerRowBorderDxfId="193" tableBorderDxfId="192" totalsRowBorderDxfId="191">
  <autoFilter ref="A1:D2">
    <filterColumn colId="2"/>
    <filterColumn colId="3"/>
  </autoFilter>
  <tableColumns count="4">
    <tableColumn id="1" name="ФИО" dataDxfId="190"/>
    <tableColumn id="5" name="Дата рождения" dataDxfId="189"/>
    <tableColumn id="2" name="Снилс"/>
    <tableColumn id="3" name="ИНН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5" name="Таблица8526" displayName="Таблица8526" ref="A2:I3" totalsRowShown="0" headerRowDxfId="188" headerRowBorderDxfId="187" tableBorderDxfId="186" totalsRowBorderDxfId="185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84"/>
    <tableColumn id="6" name="Имя" dataDxfId="183"/>
    <tableColumn id="4" name="Отчество" dataDxfId="182"/>
    <tableColumn id="5" name="Дата рождения" dataDxfId="181"/>
    <tableColumn id="3" name="ИНН" dataDxfId="180"/>
    <tableColumn id="1" name="Участник/Не участник" dataDxfId="179"/>
    <tableColumn id="2" name="Доход" dataDxfId="178"/>
    <tableColumn id="8" name="Пенсионные схемы" dataDxfId="177"/>
    <tableColumn id="9" name="Типы дохода" dataDxfId="176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101" name="Таблица44047102" displayName="Таблица44047102" ref="A7:I8" totalsRowShown="0" headerRowDxfId="175" dataDxfId="174">
  <autoFilter ref="A7:I8">
    <filterColumn colId="3"/>
  </autoFilter>
  <tableColumns count="9">
    <tableColumn id="3" name="№ справки" dataDxfId="173"/>
    <tableColumn id="4" name="№ корр" dataDxfId="172"/>
    <tableColumn id="5" name="Ставка налога" dataDxfId="171"/>
    <tableColumn id="7" name="Годовой доход" dataDxfId="170"/>
    <tableColumn id="6" name="Облагаемый доход" dataDxfId="169"/>
    <tableColumn id="8" name="Налог исчисленный" dataDxfId="168"/>
    <tableColumn id="9" name="Налог удержанный" dataDxfId="167"/>
    <tableColumn id="10" name="Переплата" dataDxfId="166"/>
    <tableColumn id="11" name="Недоплата" dataDxfId="165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2" name="Таблица4404762103122123" displayName="Таблица4404762103122123" ref="A12:F13" totalsRowShown="0" headerRowDxfId="164" dataDxfId="163">
  <autoFilter ref="A12:F13"/>
  <tableColumns count="6">
    <tableColumn id="3" name="№ справки" dataDxfId="162"/>
    <tableColumn id="4" name="№ корр" dataDxfId="161"/>
    <tableColumn id="5" name="Ставка налога" dataDxfId="160"/>
    <tableColumn id="6" name="Код вычета" dataDxfId="159"/>
    <tableColumn id="7" name="Сумма предоставленная" dataDxfId="158"/>
    <tableColumn id="8" name="Сумма использованная" dataDxfId="157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5" name="Таблица4404762103122123126" displayName="Таблица4404762103122123126" ref="A16:G17" totalsRowShown="0" headerRowDxfId="156" dataDxfId="155">
  <autoFilter ref="A16:G17">
    <filterColumn colId="6"/>
  </autoFilter>
  <tableColumns count="7">
    <tableColumn id="3" name="№ справки" dataDxfId="154"/>
    <tableColumn id="4" name="№ корр" dataDxfId="153"/>
    <tableColumn id="5" name="Ставка налога" dataDxfId="152"/>
    <tableColumn id="6" name="Код дохода" dataDxfId="151"/>
    <tableColumn id="7" name="Сумма дохода" dataDxfId="150"/>
    <tableColumn id="8" name="Код вычета" dataDxfId="149"/>
    <tableColumn id="1" name="Сумма вычета" dataDxfId="148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2" name="Таблица52" displayName="Таблица52" ref="A5:I6" headerRowDxfId="147">
  <autoFilter ref="A5:I6">
    <filterColumn colId="5"/>
  </autoFilter>
  <tableColumns count="9">
    <tableColumn id="1" name="Контрагент ID" totalsRowLabel="Итог" dataDxfId="146" totalsRowDxfId="145"/>
    <tableColumn id="2" name="Фамилия" dataDxfId="144" totalsRowDxfId="143"/>
    <tableColumn id="3" name="Имя" dataDxfId="142" totalsRowDxfId="141"/>
    <tableColumn id="4" name="Отчество" dataDxfId="140" totalsRowDxfId="139"/>
    <tableColumn id="5" name="Ставка" dataDxfId="138" totalsRowDxfId="137"/>
    <tableColumn id="9" name="Количество счетов" dataDxfId="136" totalsRowDxfId="135"/>
    <tableColumn id="6" name="Исчисленный налог" dataDxfId="134" totalsRowDxfId="133"/>
    <tableColumn id="7" name="Удержанный налог" dataDxfId="132" totalsRowDxfId="131"/>
    <tableColumn id="8" name="Недоплата" totalsRowFunction="sum" dataDxfId="130" totalsRowDxfId="129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8" name="Таблица5229" displayName="Таблица5229" ref="A5:P6" headerRowDxfId="128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27" totalsRowDxfId="126"/>
    <tableColumn id="2" name="Фамилия" dataDxfId="125" totalsRowDxfId="124"/>
    <tableColumn id="3" name="Имя" dataDxfId="123" totalsRowDxfId="122"/>
    <tableColumn id="4" name="Отчество" dataDxfId="121" totalsRowDxfId="120"/>
    <tableColumn id="9" name="SSYLKA" dataDxfId="119" totalsRowDxfId="118"/>
    <tableColumn id="10" name="Вкладчик" dataDxfId="117" totalsRowDxfId="116"/>
    <tableColumn id="11" name="ИПС" dataDxfId="115" totalsRowDxfId="114"/>
    <tableColumn id="12" name="Пенс.схема" dataDxfId="113" totalsRowDxfId="112"/>
    <tableColumn id="14" name="Счет дохода" dataDxfId="111" totalsRowDxfId="110"/>
    <tableColumn id="5" name="Счет налога" dataDxfId="109" totalsRowDxfId="108"/>
    <tableColumn id="16" name="Доход" dataDxfId="107" totalsRowDxfId="106"/>
    <tableColumn id="15" name="Вычет" dataDxfId="105" totalsRowDxfId="104"/>
    <tableColumn id="13" name="Налог" dataDxfId="103" totalsRowDxfId="102"/>
    <tableColumn id="18" name="Удержано налога" dataDxfId="101" totalsRowDxfId="100"/>
    <tableColumn id="17" name="Исчислено налога" dataDxfId="99" totalsRowDxfId="98"/>
    <tableColumn id="8" name="Недоплата2" totalsRowFunction="sum" dataDxfId="97" totalsRowDxfId="96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5" name="Таблица35" displayName="Таблица35" ref="A22:M24" totalsRowCount="1" headerRowDxfId="95" dataDxfId="94">
  <autoFilter ref="A22:M23">
    <filterColumn colId="9"/>
    <filterColumn colId="12"/>
  </autoFilter>
  <tableColumns count="13">
    <tableColumn id="1" name="1" totalsRowLabel="Итог" dataDxfId="93" totalsRowDxfId="92"/>
    <tableColumn id="3" name="2" dataDxfId="91" totalsRowDxfId="90"/>
    <tableColumn id="4" name="3" dataDxfId="89" totalsRowDxfId="88"/>
    <tableColumn id="5" name="4" dataDxfId="87" totalsRowDxfId="86"/>
    <tableColumn id="6" name="5" dataDxfId="85" totalsRowDxfId="84"/>
    <tableColumn id="8" name="6" dataDxfId="83" totalsRowDxfId="82"/>
    <tableColumn id="9" name="7" dataDxfId="81" totalsRowDxfId="80"/>
    <tableColumn id="10" name="8" dataDxfId="79" totalsRowDxfId="78"/>
    <tableColumn id="11" name="9" dataDxfId="77" totalsRowDxfId="76"/>
    <tableColumn id="14" name="10" dataDxfId="75" totalsRowDxfId="74"/>
    <tableColumn id="12" name="11" totalsRowFunction="sum" dataDxfId="73" totalsRowDxfId="72"/>
    <tableColumn id="13" name="12" dataDxfId="71" totalsRowDxfId="70"/>
    <tableColumn id="15" name="13" dataDxfId="69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41" name="Таблица3542" displayName="Таблица3542" ref="A6:M8" totalsRowCount="1" headerRowDxfId="68" dataDxfId="67">
  <autoFilter ref="A6:M7"/>
  <tableColumns count="13">
    <tableColumn id="1" name="1" totalsRowLabel="Итог" dataDxfId="66" totalsRowDxfId="65"/>
    <tableColumn id="3" name="2" dataDxfId="64" totalsRowDxfId="63"/>
    <tableColumn id="4" name="3" dataDxfId="62" totalsRowDxfId="61"/>
    <tableColumn id="5" name="4" dataDxfId="60" totalsRowDxfId="59"/>
    <tableColumn id="6" name="5" dataDxfId="58" totalsRowDxfId="57"/>
    <tableColumn id="8" name="6" dataDxfId="56" totalsRowDxfId="55"/>
    <tableColumn id="9" name="7" dataDxfId="54" totalsRowDxfId="53"/>
    <tableColumn id="10" name="8" dataDxfId="52" totalsRowDxfId="51"/>
    <tableColumn id="11" name="9" dataDxfId="50" totalsRowDxfId="49"/>
    <tableColumn id="14" name="10" dataDxfId="48" totalsRowDxfId="47"/>
    <tableColumn id="12" name="11" totalsRowFunction="sum" dataDxfId="46" totalsRowDxfId="45"/>
    <tableColumn id="13" name="12" dataDxfId="44" totalsRowDxfId="43"/>
    <tableColumn id="15" name="13" dataDxfId="42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8" name="Таблица3549" displayName="Таблица3549" ref="A14:M16" totalsRowCount="1" headerRowDxfId="41" dataDxfId="40">
  <autoFilter ref="A14:M15"/>
  <tableColumns count="13">
    <tableColumn id="1" name="1" totalsRowLabel="Итог" dataDxfId="39" totalsRowDxfId="38"/>
    <tableColumn id="3" name="2" dataDxfId="37" totalsRowDxfId="36"/>
    <tableColumn id="4" name="3" dataDxfId="35" totalsRowDxfId="34"/>
    <tableColumn id="5" name="4" dataDxfId="33" totalsRowDxfId="32"/>
    <tableColumn id="6" name="5" dataDxfId="31" totalsRowDxfId="30"/>
    <tableColumn id="8" name="6" dataDxfId="29" totalsRowDxfId="28"/>
    <tableColumn id="9" name="7" dataDxfId="27" totalsRowDxfId="26"/>
    <tableColumn id="10" name="8" dataDxfId="25" totalsRowDxfId="24"/>
    <tableColumn id="11" name="9" dataDxfId="23" totalsRowDxfId="22"/>
    <tableColumn id="14" name="10" dataDxfId="21" totalsRowDxfId="20"/>
    <tableColumn id="12" name="11" totalsRowFunction="sum" dataDxfId="19" totalsRowDxfId="18"/>
    <tableColumn id="13" name="12" dataDxfId="17" totalsRowDxfId="16"/>
    <tableColumn id="15" name="13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5" t="s">
        <v>248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31.5" customHeight="1">
      <c r="A2" s="293" t="s">
        <v>4</v>
      </c>
      <c r="B2" s="293"/>
      <c r="C2" s="293"/>
      <c r="D2" s="293"/>
      <c r="E2" s="293"/>
      <c r="F2" s="294" t="s">
        <v>23</v>
      </c>
      <c r="G2" s="294"/>
      <c r="H2" s="294"/>
      <c r="I2" s="294"/>
      <c r="J2" s="294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7" t="s">
        <v>248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</row>
    <row r="2" spans="1:16" ht="31.5" customHeight="1">
      <c r="A2" s="302" t="s">
        <v>4</v>
      </c>
      <c r="B2" s="303"/>
      <c r="C2" s="303"/>
      <c r="D2" s="303"/>
      <c r="E2" s="303"/>
      <c r="F2" s="303"/>
      <c r="G2" s="303"/>
      <c r="H2" s="303"/>
      <c r="I2" s="304"/>
      <c r="J2" s="305" t="s">
        <v>23</v>
      </c>
      <c r="K2" s="306"/>
      <c r="L2" s="306"/>
      <c r="M2" s="306"/>
      <c r="N2" s="306"/>
      <c r="O2" s="306"/>
      <c r="P2" s="307"/>
    </row>
    <row r="3" spans="1:16" ht="24" customHeight="1">
      <c r="A3" s="308" t="s">
        <v>0</v>
      </c>
      <c r="B3" s="310" t="s">
        <v>29</v>
      </c>
      <c r="C3" s="310" t="s">
        <v>3</v>
      </c>
      <c r="D3" s="310" t="s">
        <v>30</v>
      </c>
      <c r="E3" s="312" t="s">
        <v>5</v>
      </c>
      <c r="F3" s="313"/>
      <c r="G3" s="314"/>
      <c r="H3" s="312" t="s">
        <v>6</v>
      </c>
      <c r="I3" s="315"/>
      <c r="J3" s="316" t="s">
        <v>28</v>
      </c>
      <c r="K3" s="316" t="s">
        <v>32</v>
      </c>
      <c r="L3" s="298" t="s">
        <v>5</v>
      </c>
      <c r="M3" s="299"/>
      <c r="N3" s="300"/>
      <c r="O3" s="298" t="s">
        <v>6</v>
      </c>
      <c r="P3" s="301"/>
    </row>
    <row r="4" spans="1:16" ht="38.25" customHeight="1">
      <c r="A4" s="309"/>
      <c r="B4" s="311"/>
      <c r="C4" s="311"/>
      <c r="D4" s="311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7"/>
      <c r="K4" s="317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7" t="s">
        <v>249</v>
      </c>
      <c r="B1" s="297"/>
      <c r="C1" s="297"/>
      <c r="D1" s="297"/>
      <c r="E1" s="297"/>
      <c r="F1" s="297"/>
      <c r="G1" s="297"/>
      <c r="H1" s="297"/>
      <c r="I1" s="297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8" t="s">
        <v>250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</row>
    <row r="2" spans="1:18" ht="31.5" customHeight="1">
      <c r="A2" s="293" t="s">
        <v>59</v>
      </c>
      <c r="B2" s="293"/>
      <c r="C2" s="293"/>
      <c r="D2" s="293"/>
      <c r="E2" s="293" t="s">
        <v>58</v>
      </c>
      <c r="F2" s="293"/>
      <c r="G2" s="293"/>
      <c r="H2" s="293"/>
      <c r="I2" s="293"/>
      <c r="J2" s="293"/>
      <c r="K2" s="319" t="s">
        <v>52</v>
      </c>
      <c r="L2" s="319" t="s">
        <v>53</v>
      </c>
      <c r="M2" s="319" t="s">
        <v>38</v>
      </c>
      <c r="N2" s="319" t="s">
        <v>54</v>
      </c>
      <c r="O2" s="293" t="s">
        <v>60</v>
      </c>
      <c r="P2" s="293"/>
      <c r="Q2" s="293"/>
      <c r="R2" s="293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9"/>
      <c r="L3" s="319"/>
      <c r="M3" s="319"/>
      <c r="N3" s="319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2" t="s">
        <v>292</v>
      </c>
      <c r="B1" s="323"/>
      <c r="C1" s="323"/>
      <c r="D1" s="323"/>
      <c r="E1" s="323"/>
      <c r="F1" s="323"/>
      <c r="G1" s="323"/>
      <c r="H1" s="323"/>
    </row>
    <row r="2" spans="1:8" ht="15.75" customHeight="1">
      <c r="A2" s="327"/>
      <c r="B2" s="327"/>
      <c r="C2" s="327"/>
      <c r="D2" s="327"/>
      <c r="E2" s="327"/>
      <c r="F2" s="327"/>
      <c r="G2" s="327"/>
      <c r="H2" s="327"/>
    </row>
    <row r="3" spans="1:8" ht="27" customHeight="1">
      <c r="A3" s="324" t="s">
        <v>267</v>
      </c>
      <c r="B3" s="324"/>
      <c r="C3" s="324"/>
      <c r="D3" s="117"/>
      <c r="E3" s="324" t="s">
        <v>268</v>
      </c>
      <c r="F3" s="324"/>
      <c r="G3" s="324"/>
      <c r="H3" s="324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5" t="s">
        <v>283</v>
      </c>
      <c r="B18" s="325"/>
      <c r="C18" s="325"/>
      <c r="D18" s="119"/>
      <c r="E18" s="325" t="s">
        <v>284</v>
      </c>
      <c r="F18" s="325"/>
      <c r="G18" s="325"/>
      <c r="H18" s="325"/>
    </row>
    <row r="19" spans="1:8" ht="14.25" customHeight="1">
      <c r="A19" s="325"/>
      <c r="B19" s="325"/>
      <c r="C19" s="325"/>
      <c r="D19" s="118"/>
      <c r="E19" s="326" t="s">
        <v>269</v>
      </c>
      <c r="F19" s="326"/>
      <c r="G19" s="326" t="s">
        <v>270</v>
      </c>
      <c r="H19" s="326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0" t="s">
        <v>299</v>
      </c>
      <c r="B41" s="321"/>
      <c r="D41" s="117"/>
    </row>
    <row r="42" spans="1:8">
      <c r="A42" s="320"/>
      <c r="B42" s="321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2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9" customWidth="1"/>
    <col min="2" max="2" width="12.140625" style="259" customWidth="1"/>
    <col min="3" max="4" width="10.140625" style="259" customWidth="1"/>
    <col min="5" max="6" width="13.85546875" style="259" customWidth="1"/>
    <col min="7" max="7" width="17.140625" style="259" customWidth="1"/>
    <col min="8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8" t="s">
        <v>546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547</v>
      </c>
      <c r="B3" s="328"/>
      <c r="C3" s="328"/>
      <c r="D3" s="328"/>
      <c r="E3" s="328"/>
      <c r="F3" s="328"/>
      <c r="G3" s="328"/>
      <c r="H3" s="289"/>
      <c r="I3" s="289"/>
      <c r="J3" s="289"/>
      <c r="K3" s="289"/>
      <c r="L3" s="289"/>
      <c r="M3" s="289"/>
      <c r="N3" s="289"/>
    </row>
    <row r="4" spans="1:18">
      <c r="A4" s="290" t="s">
        <v>548</v>
      </c>
      <c r="B4" s="330"/>
      <c r="C4" s="330"/>
      <c r="D4" s="330"/>
      <c r="E4" s="330"/>
      <c r="F4" s="330"/>
      <c r="G4" s="330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29" t="s">
        <v>544</v>
      </c>
      <c r="B6" s="329"/>
      <c r="C6" s="329"/>
      <c r="D6" s="329"/>
      <c r="E6" s="329"/>
      <c r="F6" s="329"/>
      <c r="G6" s="329"/>
      <c r="H6" s="329"/>
      <c r="I6" s="329"/>
      <c r="J6" s="329"/>
      <c r="K6" s="329"/>
      <c r="L6" s="329"/>
      <c r="M6" s="329"/>
    </row>
    <row r="7" spans="1:18" ht="45" customHeight="1">
      <c r="A7" s="245" t="s">
        <v>535</v>
      </c>
      <c r="B7" s="245" t="s">
        <v>494</v>
      </c>
      <c r="C7" s="246" t="s">
        <v>495</v>
      </c>
      <c r="D7" s="246" t="s">
        <v>35</v>
      </c>
      <c r="E7" s="246" t="s">
        <v>540</v>
      </c>
      <c r="F7" s="246" t="s">
        <v>3</v>
      </c>
      <c r="G7" s="246" t="s">
        <v>2</v>
      </c>
      <c r="H7" s="247" t="s">
        <v>1</v>
      </c>
      <c r="I7" s="248" t="s">
        <v>309</v>
      </c>
      <c r="J7" s="246" t="s">
        <v>536</v>
      </c>
      <c r="K7" s="245" t="s">
        <v>541</v>
      </c>
      <c r="L7" s="245" t="s">
        <v>537</v>
      </c>
    </row>
    <row r="8" spans="1:18">
      <c r="A8" s="260" t="s">
        <v>539</v>
      </c>
      <c r="B8" s="163"/>
      <c r="C8" s="163"/>
      <c r="D8" s="287"/>
      <c r="E8" s="287"/>
      <c r="F8" s="279"/>
      <c r="G8" s="166"/>
      <c r="H8" s="166"/>
      <c r="I8" s="166"/>
      <c r="J8" s="163"/>
      <c r="K8" s="163"/>
      <c r="L8" s="165"/>
    </row>
    <row r="11" spans="1:18">
      <c r="A11" s="329" t="s">
        <v>543</v>
      </c>
      <c r="B11" s="329"/>
      <c r="C11" s="329"/>
      <c r="D11" s="329"/>
      <c r="E11" s="329"/>
      <c r="F11" s="329"/>
      <c r="G11" s="329"/>
      <c r="H11" s="329"/>
      <c r="I11" s="329"/>
      <c r="J11" s="329"/>
      <c r="K11" s="329"/>
      <c r="L11" s="329"/>
      <c r="M11" s="329"/>
    </row>
    <row r="12" spans="1:18" ht="45" customHeight="1">
      <c r="A12" s="245" t="s">
        <v>535</v>
      </c>
      <c r="B12" s="245" t="s">
        <v>494</v>
      </c>
      <c r="C12" s="246" t="s">
        <v>495</v>
      </c>
      <c r="D12" s="246" t="s">
        <v>47</v>
      </c>
      <c r="E12" s="246" t="s">
        <v>3</v>
      </c>
      <c r="F12" s="246" t="s">
        <v>326</v>
      </c>
      <c r="G12" s="246" t="s">
        <v>38</v>
      </c>
      <c r="H12" s="247" t="s">
        <v>39</v>
      </c>
      <c r="I12" s="248" t="s">
        <v>40</v>
      </c>
      <c r="J12" s="246" t="s">
        <v>536</v>
      </c>
      <c r="K12" s="245" t="s">
        <v>542</v>
      </c>
      <c r="L12" s="245" t="s">
        <v>537</v>
      </c>
    </row>
    <row r="13" spans="1:18">
      <c r="A13" s="286" t="s">
        <v>532</v>
      </c>
      <c r="B13" s="163"/>
      <c r="C13" s="163"/>
      <c r="D13" s="287"/>
      <c r="E13" s="279"/>
      <c r="F13" s="279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10" width="13.140625" style="259" customWidth="1"/>
    <col min="11" max="11" width="10" style="259" customWidth="1"/>
    <col min="12" max="12" width="13.42578125" style="259" customWidth="1"/>
    <col min="13" max="16384" width="9.140625" style="259"/>
  </cols>
  <sheetData>
    <row r="1" spans="1:12" ht="67.5" customHeight="1">
      <c r="A1" s="318" t="s">
        <v>525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</row>
    <row r="2" spans="1:12" ht="60.75" customHeight="1">
      <c r="A2" s="262" t="s">
        <v>472</v>
      </c>
      <c r="B2" s="261" t="s">
        <v>396</v>
      </c>
      <c r="C2" s="261" t="s">
        <v>397</v>
      </c>
      <c r="D2" s="261" t="s">
        <v>97</v>
      </c>
      <c r="E2" s="261" t="s">
        <v>518</v>
      </c>
      <c r="F2" s="261" t="s">
        <v>498</v>
      </c>
      <c r="G2" s="261" t="s">
        <v>496</v>
      </c>
      <c r="H2" s="261" t="s">
        <v>497</v>
      </c>
      <c r="I2" s="261" t="s">
        <v>526</v>
      </c>
      <c r="J2" s="261" t="s">
        <v>527</v>
      </c>
      <c r="K2" s="266" t="s">
        <v>40</v>
      </c>
      <c r="L2" s="257" t="s">
        <v>528</v>
      </c>
    </row>
    <row r="3" spans="1:12">
      <c r="A3" s="284" t="s">
        <v>523</v>
      </c>
      <c r="B3" s="255"/>
      <c r="C3" s="255"/>
      <c r="D3" s="263"/>
      <c r="E3" s="264"/>
      <c r="F3" s="264"/>
      <c r="G3" s="264"/>
      <c r="H3" s="264"/>
      <c r="I3" s="264"/>
      <c r="J3" s="264"/>
      <c r="K3" s="282"/>
      <c r="L3" s="265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8" width="12.7109375" style="259" customWidth="1"/>
    <col min="9" max="9" width="19.5703125" style="259" customWidth="1"/>
    <col min="10" max="11" width="10" style="259" customWidth="1"/>
    <col min="12" max="16384" width="9.140625" style="259"/>
  </cols>
  <sheetData>
    <row r="1" spans="1:11" ht="92.25" customHeight="1">
      <c r="A1" s="318" t="s">
        <v>517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</row>
    <row r="2" spans="1:11" ht="60.75" customHeight="1">
      <c r="A2" s="262" t="s">
        <v>472</v>
      </c>
      <c r="B2" s="261" t="s">
        <v>396</v>
      </c>
      <c r="C2" s="261" t="s">
        <v>397</v>
      </c>
      <c r="D2" s="261" t="s">
        <v>97</v>
      </c>
      <c r="E2" s="261" t="s">
        <v>518</v>
      </c>
      <c r="F2" s="261" t="s">
        <v>498</v>
      </c>
      <c r="G2" s="261" t="s">
        <v>496</v>
      </c>
      <c r="H2" s="261" t="s">
        <v>497</v>
      </c>
      <c r="I2" s="261" t="s">
        <v>519</v>
      </c>
      <c r="J2" s="266" t="s">
        <v>520</v>
      </c>
      <c r="K2" s="257" t="s">
        <v>521</v>
      </c>
    </row>
    <row r="3" spans="1:11">
      <c r="A3" s="254" t="s">
        <v>515</v>
      </c>
      <c r="B3" s="255"/>
      <c r="C3" s="255"/>
      <c r="D3" s="263"/>
      <c r="E3" s="264"/>
      <c r="F3" s="264"/>
      <c r="G3" s="264"/>
      <c r="H3" s="264"/>
      <c r="I3" s="282"/>
      <c r="J3" s="282"/>
      <c r="K3" s="28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8" t="s">
        <v>471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</row>
    <row r="2" spans="1:11" ht="65.25" customHeight="1">
      <c r="A2" s="237" t="s">
        <v>472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473</v>
      </c>
      <c r="H2" s="238" t="s">
        <v>474</v>
      </c>
      <c r="I2" s="238" t="s">
        <v>475</v>
      </c>
      <c r="J2" s="239" t="s">
        <v>477</v>
      </c>
      <c r="K2" s="257" t="s">
        <v>478</v>
      </c>
    </row>
    <row r="3" spans="1:11">
      <c r="A3" s="254" t="s">
        <v>469</v>
      </c>
      <c r="B3" s="255"/>
      <c r="C3" s="255"/>
      <c r="D3" s="241"/>
      <c r="E3" s="241"/>
      <c r="F3" s="242"/>
      <c r="G3" s="252"/>
      <c r="H3" s="252"/>
      <c r="I3" s="256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5" t="s">
        <v>420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U1" t="s">
        <v>421</v>
      </c>
    </row>
    <row r="2" spans="1:21" ht="18" customHeight="1">
      <c r="A2" s="331" t="s">
        <v>421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2" t="e">
        <f>report_year-1</f>
        <v>#VALUE!</v>
      </c>
      <c r="N2" s="332"/>
      <c r="O2" s="332"/>
      <c r="P2" s="332"/>
      <c r="Q2" s="332"/>
      <c r="R2" s="332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58" t="s">
        <v>486</v>
      </c>
      <c r="N3" s="258" t="s">
        <v>426</v>
      </c>
      <c r="O3" s="258" t="s">
        <v>427</v>
      </c>
      <c r="P3" s="258" t="s">
        <v>428</v>
      </c>
      <c r="Q3" s="258" t="s">
        <v>429</v>
      </c>
      <c r="R3" s="258" t="s">
        <v>430</v>
      </c>
    </row>
    <row r="4" spans="1:21">
      <c r="A4" s="29" t="s">
        <v>530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8" t="s">
        <v>402</v>
      </c>
      <c r="B1" s="318"/>
      <c r="C1" s="318"/>
      <c r="D1" s="318"/>
      <c r="E1" s="318"/>
      <c r="F1" s="318"/>
      <c r="G1" s="318"/>
      <c r="H1" s="318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8" t="s">
        <v>412</v>
      </c>
      <c r="B6" s="318"/>
      <c r="C6" s="318"/>
      <c r="D6" s="318"/>
      <c r="E6" s="318"/>
      <c r="F6" s="318"/>
      <c r="G6" s="318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5" t="s">
        <v>393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</row>
    <row r="2" spans="1:16" ht="18" customHeight="1">
      <c r="A2" s="333" t="s">
        <v>394</v>
      </c>
      <c r="B2" s="333"/>
      <c r="C2" s="333"/>
      <c r="D2" s="333"/>
      <c r="E2" s="333"/>
      <c r="F2" s="333"/>
      <c r="G2" s="333"/>
      <c r="H2" s="333" t="s">
        <v>395</v>
      </c>
      <c r="I2" s="333"/>
      <c r="J2" s="333"/>
      <c r="K2" s="333"/>
      <c r="L2" s="333"/>
      <c r="M2" s="333"/>
      <c r="N2" s="333"/>
      <c r="O2" s="333"/>
      <c r="P2" s="333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4" t="s">
        <v>460</v>
      </c>
      <c r="B1" s="334"/>
      <c r="C1" s="334"/>
      <c r="D1" s="334"/>
      <c r="E1" s="334"/>
      <c r="F1" s="334"/>
      <c r="G1" s="334"/>
      <c r="H1" s="334"/>
      <c r="I1" s="334"/>
      <c r="J1" s="187"/>
    </row>
    <row r="2" spans="1:10" ht="39.75" customHeight="1">
      <c r="A2" s="33" t="s">
        <v>462</v>
      </c>
      <c r="B2" s="47" t="s">
        <v>62</v>
      </c>
      <c r="C2" s="251" t="s">
        <v>3</v>
      </c>
      <c r="D2" s="47" t="s">
        <v>63</v>
      </c>
      <c r="E2" s="47" t="s">
        <v>64</v>
      </c>
      <c r="F2" s="47" t="s">
        <v>65</v>
      </c>
      <c r="G2" s="47" t="s">
        <v>463</v>
      </c>
      <c r="H2" s="47" t="s">
        <v>464</v>
      </c>
      <c r="I2" s="34" t="s">
        <v>414</v>
      </c>
    </row>
    <row r="3" spans="1:10">
      <c r="A3" s="240" t="s">
        <v>459</v>
      </c>
      <c r="B3" s="252"/>
      <c r="C3" s="242"/>
      <c r="D3" s="241"/>
      <c r="E3" s="241"/>
      <c r="F3" s="241"/>
      <c r="G3" s="242"/>
      <c r="H3" s="252"/>
      <c r="I3" s="253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9" customWidth="1"/>
    <col min="3" max="4" width="13.85546875" style="259" customWidth="1"/>
    <col min="5" max="5" width="39" style="259" customWidth="1"/>
    <col min="6" max="7" width="17.140625" style="259" customWidth="1"/>
    <col min="8" max="8" width="14" style="259" customWidth="1"/>
    <col min="9" max="16384" width="9.140625" style="259"/>
  </cols>
  <sheetData>
    <row r="1" spans="1:10" ht="36" customHeight="1">
      <c r="A1" s="318" t="s">
        <v>493</v>
      </c>
      <c r="B1" s="318"/>
      <c r="C1" s="318"/>
      <c r="D1" s="318"/>
      <c r="E1" s="318"/>
      <c r="F1" s="318"/>
      <c r="G1" s="318"/>
      <c r="H1" s="318"/>
      <c r="I1" s="244"/>
      <c r="J1" s="244"/>
    </row>
    <row r="2" spans="1:10" ht="24" customHeight="1">
      <c r="A2" s="245" t="s">
        <v>513</v>
      </c>
      <c r="B2" s="245" t="s">
        <v>432</v>
      </c>
      <c r="C2" s="245" t="s">
        <v>494</v>
      </c>
      <c r="D2" s="246" t="s">
        <v>495</v>
      </c>
      <c r="E2" s="246" t="s">
        <v>97</v>
      </c>
      <c r="F2" s="247" t="s">
        <v>433</v>
      </c>
      <c r="G2" s="246" t="s">
        <v>416</v>
      </c>
      <c r="H2" s="275" t="s">
        <v>135</v>
      </c>
    </row>
    <row r="3" spans="1:10">
      <c r="A3" s="268" t="s">
        <v>481</v>
      </c>
      <c r="B3" s="163"/>
      <c r="C3" s="163"/>
      <c r="D3" s="163"/>
      <c r="E3" s="114"/>
      <c r="F3" s="269"/>
      <c r="G3" s="269"/>
      <c r="H3" s="274"/>
    </row>
    <row r="4" spans="1:10" ht="15.75" thickBot="1">
      <c r="A4" s="276"/>
      <c r="B4" s="276"/>
      <c r="C4" s="276"/>
      <c r="D4" s="276"/>
      <c r="E4" s="276"/>
      <c r="F4" s="276"/>
      <c r="G4" s="276"/>
      <c r="H4" s="276"/>
    </row>
    <row r="5" spans="1:10" ht="19.5" customHeight="1" thickTop="1"/>
    <row r="6" spans="1:10" ht="30" customHeight="1">
      <c r="A6" s="336" t="s">
        <v>507</v>
      </c>
      <c r="B6" s="336"/>
      <c r="C6" s="336"/>
      <c r="D6" s="336"/>
      <c r="E6" s="336"/>
      <c r="F6" s="336"/>
      <c r="G6" s="336"/>
      <c r="H6" s="336"/>
    </row>
    <row r="7" spans="1:10">
      <c r="A7" s="245" t="s">
        <v>496</v>
      </c>
      <c r="B7" s="245" t="s">
        <v>497</v>
      </c>
      <c r="C7" s="246" t="s">
        <v>498</v>
      </c>
      <c r="D7" s="246" t="s">
        <v>40</v>
      </c>
      <c r="E7" s="247" t="s">
        <v>499</v>
      </c>
      <c r="F7" s="246" t="s">
        <v>500</v>
      </c>
      <c r="G7" s="246" t="s">
        <v>501</v>
      </c>
      <c r="H7" s="246" t="s">
        <v>502</v>
      </c>
    </row>
    <row r="8" spans="1:10">
      <c r="A8" s="269" t="s">
        <v>482</v>
      </c>
      <c r="B8" s="269"/>
      <c r="C8" s="165"/>
      <c r="D8" s="278"/>
      <c r="E8" s="280"/>
      <c r="F8" s="166" t="s">
        <v>191</v>
      </c>
      <c r="G8" s="163"/>
      <c r="H8" s="163"/>
    </row>
    <row r="9" spans="1:10" ht="16.5" customHeight="1"/>
    <row r="10" spans="1:10" ht="30" customHeight="1">
      <c r="A10" s="335" t="s">
        <v>510</v>
      </c>
      <c r="B10" s="336"/>
      <c r="C10" s="336"/>
      <c r="D10" s="336"/>
      <c r="E10" s="336"/>
      <c r="F10" s="336"/>
      <c r="G10" s="336"/>
      <c r="H10" s="336"/>
    </row>
    <row r="11" spans="1:10">
      <c r="A11" s="245" t="s">
        <v>496</v>
      </c>
      <c r="B11" s="245" t="s">
        <v>497</v>
      </c>
      <c r="C11" s="246" t="s">
        <v>473</v>
      </c>
      <c r="D11" s="246" t="s">
        <v>40</v>
      </c>
      <c r="E11" s="247" t="s">
        <v>499</v>
      </c>
      <c r="F11" s="246" t="s">
        <v>500</v>
      </c>
      <c r="G11" s="246" t="s">
        <v>501</v>
      </c>
      <c r="H11" s="246" t="s">
        <v>502</v>
      </c>
    </row>
    <row r="12" spans="1:10">
      <c r="A12" s="267" t="s">
        <v>483</v>
      </c>
      <c r="B12" s="269"/>
      <c r="C12" s="165"/>
      <c r="D12" s="115"/>
      <c r="E12" s="280"/>
      <c r="F12" s="166" t="s">
        <v>191</v>
      </c>
      <c r="G12" s="163"/>
      <c r="H12" s="163"/>
    </row>
    <row r="14" spans="1:10" ht="30" customHeight="1">
      <c r="A14" s="336" t="s">
        <v>508</v>
      </c>
      <c r="B14" s="336"/>
      <c r="C14" s="336"/>
      <c r="D14" s="336"/>
      <c r="E14" s="336"/>
      <c r="F14" s="336"/>
      <c r="G14" s="336"/>
    </row>
    <row r="15" spans="1:10" ht="25.5">
      <c r="A15" s="245" t="s">
        <v>35</v>
      </c>
      <c r="B15" s="245" t="s">
        <v>503</v>
      </c>
      <c r="C15" s="245" t="s">
        <v>38</v>
      </c>
      <c r="D15" s="246" t="s">
        <v>40</v>
      </c>
      <c r="E15" s="246" t="s">
        <v>504</v>
      </c>
      <c r="F15" s="246" t="s">
        <v>505</v>
      </c>
      <c r="G15" s="246" t="s">
        <v>39</v>
      </c>
    </row>
    <row r="16" spans="1:10">
      <c r="A16" s="267" t="s">
        <v>484</v>
      </c>
      <c r="B16" s="279"/>
      <c r="C16" s="269"/>
      <c r="D16" s="115"/>
      <c r="E16" s="277"/>
      <c r="F16" s="270"/>
      <c r="G16" s="270"/>
    </row>
    <row r="18" spans="1:5" ht="30" customHeight="1">
      <c r="A18" s="336" t="s">
        <v>509</v>
      </c>
      <c r="B18" s="336"/>
      <c r="C18" s="336"/>
      <c r="D18" s="336"/>
      <c r="E18" s="336"/>
    </row>
    <row r="19" spans="1:5" ht="15.75" thickBot="1">
      <c r="A19" s="271" t="s">
        <v>3</v>
      </c>
      <c r="B19" s="271" t="s">
        <v>57</v>
      </c>
      <c r="C19" s="272" t="s">
        <v>498</v>
      </c>
      <c r="D19" s="272" t="s">
        <v>40</v>
      </c>
      <c r="E19" s="271" t="s">
        <v>506</v>
      </c>
    </row>
    <row r="20" spans="1:5" ht="15.75" thickTop="1">
      <c r="A20" s="273" t="s">
        <v>485</v>
      </c>
      <c r="B20" s="273"/>
      <c r="C20" s="273"/>
      <c r="D20" s="278"/>
      <c r="E20" s="281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ettings"/>
  <dimension ref="A1:BH66"/>
  <sheetViews>
    <sheetView topLeftCell="I23" workbookViewId="0">
      <selection activeCell="P65" sqref="P6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37" t="s">
        <v>115</v>
      </c>
      <c r="B1" s="337"/>
      <c r="D1" s="338" t="s">
        <v>116</v>
      </c>
      <c r="E1" s="338"/>
      <c r="G1" s="338" t="s">
        <v>111</v>
      </c>
      <c r="H1" s="338"/>
      <c r="I1" s="338"/>
      <c r="J1" s="338"/>
      <c r="K1" s="338"/>
      <c r="L1" s="338"/>
      <c r="N1" s="338" t="s">
        <v>106</v>
      </c>
      <c r="O1" s="338"/>
      <c r="P1" s="338"/>
      <c r="Q1" s="338"/>
      <c r="R1" s="338"/>
      <c r="S1" s="338"/>
      <c r="T1" s="338"/>
      <c r="V1" s="338" t="s">
        <v>112</v>
      </c>
      <c r="W1" s="338"/>
      <c r="Y1" s="338" t="s">
        <v>103</v>
      </c>
      <c r="Z1" s="338"/>
      <c r="AA1" s="338"/>
      <c r="AB1" s="338"/>
      <c r="AC1" s="338"/>
      <c r="AE1" s="338" t="s">
        <v>143</v>
      </c>
      <c r="AF1" s="338"/>
      <c r="AG1" s="338"/>
      <c r="AH1" s="338"/>
      <c r="AI1" s="338"/>
      <c r="AJ1" s="338"/>
      <c r="AK1" s="338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39" t="s">
        <v>245</v>
      </c>
      <c r="BF1" s="339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436</v>
      </c>
      <c r="L2" t="s">
        <v>457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456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0" t="s">
        <v>553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error_report</v>
      </c>
      <c r="D6" s="249" t="s">
        <v>434</v>
      </c>
      <c r="E6" s="177" t="s">
        <v>435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0" t="s">
        <v>554</v>
      </c>
      <c r="AI6" s="6" t="s">
        <v>141</v>
      </c>
      <c r="AJ6" s="6">
        <v>2</v>
      </c>
      <c r="AK6" s="6" t="s">
        <v>140</v>
      </c>
      <c r="BE6" s="259" t="s">
        <v>341</v>
      </c>
      <c r="BF6" s="259" t="s">
        <v>553</v>
      </c>
    </row>
    <row r="7" spans="1:60">
      <c r="A7" s="39" t="s">
        <v>149</v>
      </c>
      <c r="B7" s="260"/>
      <c r="D7" t="s">
        <v>438</v>
      </c>
      <c r="E7" s="177" t="s">
        <v>439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0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568</v>
      </c>
      <c r="D8" t="s">
        <v>466</v>
      </c>
      <c r="E8" s="177" t="s">
        <v>453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0" t="s">
        <v>569</v>
      </c>
      <c r="D9" s="249" t="s">
        <v>434</v>
      </c>
      <c r="E9" s="177" t="s">
        <v>435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0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0" t="s">
        <v>569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456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0"/>
      <c r="BF10" s="260"/>
    </row>
    <row r="11" spans="1:60">
      <c r="A11" s="177" t="s">
        <v>437</v>
      </c>
      <c r="B11" s="260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440</v>
      </c>
      <c r="Z11" s="177" t="s">
        <v>161</v>
      </c>
      <c r="AA11" s="177" t="s">
        <v>141</v>
      </c>
      <c r="AB11" s="177"/>
      <c r="AC11" s="177" t="s">
        <v>441</v>
      </c>
      <c r="AE11" s="46" t="s">
        <v>180</v>
      </c>
      <c r="AF11" s="177" t="s">
        <v>340</v>
      </c>
      <c r="AG11" s="6" t="s">
        <v>148</v>
      </c>
      <c r="AH11" s="260" t="s">
        <v>553</v>
      </c>
      <c r="AI11" s="6" t="s">
        <v>141</v>
      </c>
      <c r="AJ11" s="6">
        <v>4</v>
      </c>
      <c r="AK11" s="6" t="s">
        <v>140</v>
      </c>
    </row>
    <row r="12" spans="1:60">
      <c r="A12" s="177" t="s">
        <v>445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442</v>
      </c>
      <c r="Z12" s="177" t="s">
        <v>161</v>
      </c>
      <c r="AA12" s="177" t="s">
        <v>141</v>
      </c>
      <c r="AB12" s="177"/>
      <c r="AC12" s="260" t="s">
        <v>443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0" t="s">
        <v>487</v>
      </c>
      <c r="B13" s="260" t="s">
        <v>513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0" t="s">
        <v>489</v>
      </c>
      <c r="Z13" s="260" t="s">
        <v>161</v>
      </c>
      <c r="AA13" s="260" t="s">
        <v>141</v>
      </c>
      <c r="AB13" s="260"/>
      <c r="AC13" s="260" t="s">
        <v>490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0" t="s">
        <v>488</v>
      </c>
      <c r="B14" s="260">
        <v>2359657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0" t="s">
        <v>511</v>
      </c>
      <c r="Z14" s="260" t="s">
        <v>161</v>
      </c>
      <c r="AA14" s="260" t="s">
        <v>141</v>
      </c>
      <c r="AB14" s="260"/>
      <c r="AC14" s="260" t="s">
        <v>512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0" t="s">
        <v>553</v>
      </c>
      <c r="B15" s="260">
        <v>2017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0" t="s">
        <v>553</v>
      </c>
      <c r="AI15" s="177" t="s">
        <v>141</v>
      </c>
      <c r="AJ15" s="177">
        <v>4</v>
      </c>
      <c r="AK15" s="177" t="s">
        <v>140</v>
      </c>
    </row>
    <row r="16" spans="1:60">
      <c r="A16" s="260" t="s">
        <v>554</v>
      </c>
      <c r="B16" s="260">
        <v>12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0" t="s">
        <v>554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0" t="s">
        <v>553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440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440</v>
      </c>
      <c r="AF20" s="177" t="s">
        <v>444</v>
      </c>
      <c r="AG20" s="177" t="s">
        <v>148</v>
      </c>
      <c r="AH20" s="177" t="s">
        <v>447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440</v>
      </c>
      <c r="AF21" s="177" t="s">
        <v>340</v>
      </c>
      <c r="AG21" s="177" t="s">
        <v>148</v>
      </c>
      <c r="AH21" s="260" t="s">
        <v>553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454</v>
      </c>
      <c r="W22" s="177" t="s">
        <v>411</v>
      </c>
      <c r="AE22" s="45" t="s">
        <v>440</v>
      </c>
      <c r="AF22" s="177" t="s">
        <v>342</v>
      </c>
      <c r="AG22" s="177" t="s">
        <v>148</v>
      </c>
      <c r="AH22" s="260" t="s">
        <v>554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454</v>
      </c>
      <c r="W23" s="177" t="s">
        <v>419</v>
      </c>
      <c r="AE23" s="45" t="s">
        <v>442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479</v>
      </c>
      <c r="W24" s="177" t="s">
        <v>481</v>
      </c>
      <c r="AE24" s="45" t="s">
        <v>442</v>
      </c>
      <c r="AF24" s="177" t="s">
        <v>446</v>
      </c>
      <c r="AG24" s="177" t="s">
        <v>148</v>
      </c>
      <c r="AH24" s="177" t="s">
        <v>437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479</v>
      </c>
      <c r="W25" s="177" t="s">
        <v>482</v>
      </c>
      <c r="AE25" s="45" t="s">
        <v>442</v>
      </c>
      <c r="AF25" s="177" t="s">
        <v>444</v>
      </c>
      <c r="AG25" s="177" t="s">
        <v>148</v>
      </c>
      <c r="AH25" s="177" t="s">
        <v>447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479</v>
      </c>
      <c r="W26" s="177" t="s">
        <v>483</v>
      </c>
      <c r="AE26" s="45" t="s">
        <v>442</v>
      </c>
      <c r="AF26" s="177" t="s">
        <v>340</v>
      </c>
      <c r="AG26" s="177" t="s">
        <v>148</v>
      </c>
      <c r="AH26" s="260" t="s">
        <v>553</v>
      </c>
      <c r="AI26" s="177" t="s">
        <v>141</v>
      </c>
      <c r="AJ26" s="177">
        <v>4</v>
      </c>
      <c r="AK26" s="177" t="s">
        <v>140</v>
      </c>
    </row>
    <row r="27" spans="4:37">
      <c r="D27" s="250" t="s">
        <v>434</v>
      </c>
      <c r="E27" s="177" t="s">
        <v>435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479</v>
      </c>
      <c r="W27" s="177" t="s">
        <v>484</v>
      </c>
      <c r="AE27" s="45" t="s">
        <v>442</v>
      </c>
      <c r="AF27" s="260" t="s">
        <v>571</v>
      </c>
      <c r="AG27" s="260" t="s">
        <v>148</v>
      </c>
      <c r="AH27" s="260" t="s">
        <v>344</v>
      </c>
      <c r="AI27" s="260" t="s">
        <v>141</v>
      </c>
      <c r="AJ27" s="260">
        <v>10</v>
      </c>
      <c r="AK27" s="260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479</v>
      </c>
      <c r="W28" s="177" t="s">
        <v>485</v>
      </c>
      <c r="AE28" s="45" t="s">
        <v>489</v>
      </c>
      <c r="AF28" s="260" t="s">
        <v>491</v>
      </c>
      <c r="AG28" s="260" t="s">
        <v>148</v>
      </c>
      <c r="AH28" s="260" t="s">
        <v>487</v>
      </c>
      <c r="AI28" s="260" t="s">
        <v>141</v>
      </c>
      <c r="AJ28" s="260">
        <v>20</v>
      </c>
      <c r="AK28" s="260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0" t="s">
        <v>533</v>
      </c>
      <c r="W29" s="260" t="s">
        <v>532</v>
      </c>
      <c r="AE29" s="45" t="s">
        <v>489</v>
      </c>
      <c r="AF29" s="259" t="s">
        <v>492</v>
      </c>
      <c r="AG29" s="260" t="s">
        <v>148</v>
      </c>
      <c r="AH29" s="260" t="s">
        <v>488</v>
      </c>
      <c r="AI29" t="s">
        <v>141</v>
      </c>
      <c r="AJ29">
        <v>512</v>
      </c>
      <c r="AK29" s="260" t="s">
        <v>140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0" t="s">
        <v>533</v>
      </c>
      <c r="W30" s="260" t="s">
        <v>539</v>
      </c>
    </row>
    <row r="31" spans="4:37">
      <c r="D31" s="177" t="s">
        <v>467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0" t="s">
        <v>533</v>
      </c>
      <c r="W31" s="260" t="s">
        <v>545</v>
      </c>
    </row>
    <row r="32" spans="4:37">
      <c r="D32" s="260" t="s">
        <v>531</v>
      </c>
      <c r="E32" s="260" t="s">
        <v>529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0" t="s">
        <v>549</v>
      </c>
      <c r="W32" s="260" t="s">
        <v>545</v>
      </c>
    </row>
    <row r="33" spans="4:23">
      <c r="D33" s="260" t="s">
        <v>573</v>
      </c>
      <c r="E33" s="260" t="s">
        <v>572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0" t="s">
        <v>549</v>
      </c>
      <c r="W33" s="260" t="s">
        <v>551</v>
      </c>
    </row>
    <row r="34" spans="4:23">
      <c r="D34" s="260" t="s">
        <v>468</v>
      </c>
      <c r="E34" s="177" t="s">
        <v>469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0" t="s">
        <v>549</v>
      </c>
      <c r="W34" s="260" t="s">
        <v>560</v>
      </c>
    </row>
    <row r="35" spans="4:23">
      <c r="D35" s="260" t="s">
        <v>514</v>
      </c>
      <c r="E35" s="260" t="s">
        <v>515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0" t="s">
        <v>549</v>
      </c>
      <c r="W35" s="260" t="s">
        <v>564</v>
      </c>
    </row>
    <row r="36" spans="4:23">
      <c r="D36" s="260" t="s">
        <v>522</v>
      </c>
      <c r="E36" s="260" t="s">
        <v>523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D37" s="260" t="s">
        <v>570</v>
      </c>
      <c r="E37" s="260" t="s">
        <v>454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D38" s="260"/>
      <c r="E38" s="260"/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448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454</v>
      </c>
      <c r="O40" s="177" t="s">
        <v>454</v>
      </c>
      <c r="P40" s="177" t="s">
        <v>455</v>
      </c>
      <c r="Q40" t="s">
        <v>128</v>
      </c>
      <c r="R40" s="177"/>
      <c r="T40" t="s">
        <v>118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411</v>
      </c>
      <c r="O41" s="177" t="s">
        <v>190</v>
      </c>
      <c r="P41" s="177" t="s">
        <v>411</v>
      </c>
      <c r="Q41" t="s">
        <v>128</v>
      </c>
      <c r="R41" s="177" t="s">
        <v>380</v>
      </c>
      <c r="S41" t="s">
        <v>126</v>
      </c>
      <c r="T41" t="s">
        <v>134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419</v>
      </c>
      <c r="O42" s="177" t="s">
        <v>190</v>
      </c>
      <c r="P42" s="177" t="s">
        <v>419</v>
      </c>
      <c r="Q42" s="177" t="s">
        <v>128</v>
      </c>
      <c r="R42" s="177" t="s">
        <v>380</v>
      </c>
      <c r="S42" s="177" t="s">
        <v>126</v>
      </c>
      <c r="T42" s="177" t="s">
        <v>134</v>
      </c>
    </row>
    <row r="43" spans="4:23">
      <c r="G43" s="177" t="s">
        <v>458</v>
      </c>
      <c r="H43" s="45" t="s">
        <v>105</v>
      </c>
      <c r="I43" s="45" t="s">
        <v>440</v>
      </c>
      <c r="J43" s="45"/>
      <c r="K43" s="45"/>
      <c r="L43" s="45"/>
      <c r="N43" s="177" t="s">
        <v>459</v>
      </c>
      <c r="O43" s="177" t="s">
        <v>459</v>
      </c>
      <c r="P43" s="177" t="s">
        <v>461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177" t="s">
        <v>458</v>
      </c>
      <c r="H44" s="45" t="s">
        <v>104</v>
      </c>
      <c r="I44" s="45" t="s">
        <v>401</v>
      </c>
      <c r="J44" t="s">
        <v>456</v>
      </c>
      <c r="L44" s="45" t="s">
        <v>440</v>
      </c>
      <c r="N44" s="177" t="s">
        <v>431</v>
      </c>
      <c r="O44" s="177" t="s">
        <v>431</v>
      </c>
      <c r="P44" s="177" t="s">
        <v>465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439</v>
      </c>
      <c r="H45" s="45" t="s">
        <v>105</v>
      </c>
      <c r="I45" s="45" t="s">
        <v>442</v>
      </c>
      <c r="J45" s="45"/>
      <c r="K45" s="45" t="s">
        <v>449</v>
      </c>
      <c r="L45" s="45"/>
      <c r="N45" s="177" t="s">
        <v>469</v>
      </c>
      <c r="O45" s="177" t="s">
        <v>469</v>
      </c>
      <c r="P45" s="177" t="s">
        <v>470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439</v>
      </c>
      <c r="H46" s="177" t="s">
        <v>105</v>
      </c>
      <c r="I46" s="177" t="s">
        <v>442</v>
      </c>
      <c r="J46" s="177"/>
      <c r="K46" s="177" t="s">
        <v>450</v>
      </c>
      <c r="L46" s="177"/>
      <c r="N46" s="177" t="s">
        <v>479</v>
      </c>
      <c r="O46" s="177" t="s">
        <v>479</v>
      </c>
      <c r="P46" s="177" t="s">
        <v>480</v>
      </c>
      <c r="Q46" s="177" t="s">
        <v>128</v>
      </c>
      <c r="R46" s="177" t="s">
        <v>380</v>
      </c>
      <c r="S46" s="177"/>
      <c r="T46" t="s">
        <v>118</v>
      </c>
    </row>
    <row r="47" spans="4:23">
      <c r="G47" s="177" t="s">
        <v>439</v>
      </c>
      <c r="H47" s="177" t="s">
        <v>104</v>
      </c>
      <c r="I47" s="177" t="s">
        <v>469</v>
      </c>
      <c r="K47" s="177"/>
      <c r="L47" s="177"/>
      <c r="N47" s="260" t="s">
        <v>481</v>
      </c>
      <c r="O47" s="260" t="s">
        <v>190</v>
      </c>
      <c r="P47" s="260" t="s">
        <v>481</v>
      </c>
      <c r="Q47" s="259" t="s">
        <v>128</v>
      </c>
      <c r="R47" s="260" t="s">
        <v>380</v>
      </c>
      <c r="S47" s="259" t="s">
        <v>126</v>
      </c>
      <c r="T47" s="259" t="s">
        <v>134</v>
      </c>
    </row>
    <row r="48" spans="4:23">
      <c r="G48" s="260" t="s">
        <v>439</v>
      </c>
      <c r="H48" s="260" t="s">
        <v>104</v>
      </c>
      <c r="I48" s="260" t="s">
        <v>572</v>
      </c>
      <c r="J48" s="259"/>
      <c r="K48" s="260"/>
      <c r="L48" s="260"/>
      <c r="N48" s="177" t="s">
        <v>482</v>
      </c>
      <c r="O48" s="177" t="s">
        <v>190</v>
      </c>
      <c r="P48" s="177" t="s">
        <v>482</v>
      </c>
      <c r="Q48" t="s">
        <v>128</v>
      </c>
      <c r="R48" s="177" t="s">
        <v>380</v>
      </c>
      <c r="S48" t="s">
        <v>126</v>
      </c>
      <c r="T48" t="s">
        <v>134</v>
      </c>
    </row>
    <row r="49" spans="7:20">
      <c r="G49" s="177" t="s">
        <v>439</v>
      </c>
      <c r="H49" s="177" t="s">
        <v>104</v>
      </c>
      <c r="I49" s="177" t="s">
        <v>361</v>
      </c>
      <c r="K49" s="177"/>
      <c r="L49" s="177"/>
      <c r="N49" s="177" t="s">
        <v>483</v>
      </c>
      <c r="O49" s="177" t="s">
        <v>190</v>
      </c>
      <c r="P49" s="177" t="s">
        <v>483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439</v>
      </c>
      <c r="H50" s="177" t="s">
        <v>104</v>
      </c>
      <c r="I50" s="177" t="s">
        <v>374</v>
      </c>
      <c r="J50" t="s">
        <v>456</v>
      </c>
      <c r="K50" s="177"/>
      <c r="L50" s="177" t="s">
        <v>450</v>
      </c>
      <c r="N50" s="177" t="s">
        <v>484</v>
      </c>
      <c r="O50" s="177" t="s">
        <v>190</v>
      </c>
      <c r="P50" s="177" t="s">
        <v>484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439</v>
      </c>
      <c r="H51" s="177" t="s">
        <v>105</v>
      </c>
      <c r="I51" s="177" t="s">
        <v>442</v>
      </c>
      <c r="J51" s="177"/>
      <c r="K51" s="177" t="s">
        <v>451</v>
      </c>
      <c r="L51" s="177"/>
      <c r="N51" s="177" t="s">
        <v>485</v>
      </c>
      <c r="O51" s="177" t="s">
        <v>190</v>
      </c>
      <c r="P51" s="177" t="s">
        <v>485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439</v>
      </c>
      <c r="H52" s="177" t="s">
        <v>104</v>
      </c>
      <c r="I52" s="177" t="s">
        <v>459</v>
      </c>
      <c r="K52" s="177"/>
      <c r="L52" s="177"/>
      <c r="N52" s="260" t="s">
        <v>515</v>
      </c>
      <c r="O52" s="260" t="s">
        <v>515</v>
      </c>
      <c r="P52" s="260" t="s">
        <v>516</v>
      </c>
      <c r="Q52" s="259" t="s">
        <v>128</v>
      </c>
      <c r="R52" s="260" t="s">
        <v>380</v>
      </c>
      <c r="S52" s="259" t="s">
        <v>126</v>
      </c>
      <c r="T52" s="259" t="s">
        <v>134</v>
      </c>
    </row>
    <row r="53" spans="7:20">
      <c r="G53" s="177" t="s">
        <v>439</v>
      </c>
      <c r="H53" s="177" t="s">
        <v>104</v>
      </c>
      <c r="I53" s="177" t="s">
        <v>431</v>
      </c>
      <c r="J53" t="s">
        <v>456</v>
      </c>
      <c r="K53" s="177"/>
      <c r="L53" s="177" t="s">
        <v>451</v>
      </c>
      <c r="N53" s="260" t="s">
        <v>523</v>
      </c>
      <c r="O53" s="260" t="s">
        <v>523</v>
      </c>
      <c r="P53" s="260" t="s">
        <v>524</v>
      </c>
      <c r="Q53" s="259" t="s">
        <v>128</v>
      </c>
      <c r="R53" s="260" t="s">
        <v>380</v>
      </c>
      <c r="S53" s="259" t="s">
        <v>126</v>
      </c>
      <c r="T53" s="259" t="s">
        <v>134</v>
      </c>
    </row>
    <row r="54" spans="7:20">
      <c r="G54" s="177" t="s">
        <v>439</v>
      </c>
      <c r="H54" s="177" t="s">
        <v>105</v>
      </c>
      <c r="I54" s="177" t="s">
        <v>442</v>
      </c>
      <c r="J54" s="177"/>
      <c r="K54" s="177" t="s">
        <v>452</v>
      </c>
      <c r="L54" s="177"/>
      <c r="N54" s="260" t="s">
        <v>529</v>
      </c>
      <c r="O54" s="260" t="s">
        <v>431</v>
      </c>
      <c r="P54" s="260" t="s">
        <v>465</v>
      </c>
      <c r="Q54" s="259" t="s">
        <v>128</v>
      </c>
      <c r="R54" s="260" t="s">
        <v>380</v>
      </c>
      <c r="S54" s="259" t="s">
        <v>126</v>
      </c>
      <c r="T54" s="259" t="s">
        <v>134</v>
      </c>
    </row>
    <row r="55" spans="7:20">
      <c r="G55" s="177" t="s">
        <v>453</v>
      </c>
      <c r="H55" s="177" t="s">
        <v>105</v>
      </c>
      <c r="I55" s="177" t="s">
        <v>442</v>
      </c>
      <c r="J55" s="177"/>
      <c r="K55" s="177" t="s">
        <v>453</v>
      </c>
      <c r="L55" s="177"/>
      <c r="N55" s="260" t="s">
        <v>533</v>
      </c>
      <c r="O55" s="260" t="s">
        <v>533</v>
      </c>
      <c r="P55" s="260" t="s">
        <v>534</v>
      </c>
      <c r="Q55" s="260" t="s">
        <v>128</v>
      </c>
      <c r="R55" s="260" t="s">
        <v>380</v>
      </c>
      <c r="S55" s="260"/>
      <c r="T55" s="259" t="s">
        <v>118</v>
      </c>
    </row>
    <row r="56" spans="7:20">
      <c r="G56" s="177" t="s">
        <v>453</v>
      </c>
      <c r="H56" s="177" t="s">
        <v>104</v>
      </c>
      <c r="I56" s="177" t="s">
        <v>454</v>
      </c>
      <c r="J56" s="177"/>
      <c r="K56" s="177"/>
      <c r="L56" s="177"/>
      <c r="N56" s="260" t="s">
        <v>532</v>
      </c>
      <c r="O56" s="260" t="s">
        <v>190</v>
      </c>
      <c r="P56" s="260" t="s">
        <v>532</v>
      </c>
      <c r="Q56" s="259" t="s">
        <v>128</v>
      </c>
      <c r="R56" s="260" t="s">
        <v>380</v>
      </c>
      <c r="S56" s="259" t="s">
        <v>126</v>
      </c>
      <c r="T56" s="259" t="s">
        <v>134</v>
      </c>
    </row>
    <row r="57" spans="7:20">
      <c r="G57" s="177" t="s">
        <v>431</v>
      </c>
      <c r="H57" s="177" t="s">
        <v>104</v>
      </c>
      <c r="I57" s="177" t="s">
        <v>431</v>
      </c>
      <c r="J57" s="177"/>
      <c r="K57" s="177"/>
      <c r="L57" s="177"/>
      <c r="N57" s="260" t="s">
        <v>539</v>
      </c>
      <c r="O57" s="260" t="s">
        <v>190</v>
      </c>
      <c r="P57" s="260" t="s">
        <v>539</v>
      </c>
      <c r="Q57" s="259" t="s">
        <v>128</v>
      </c>
      <c r="R57" s="260" t="s">
        <v>380</v>
      </c>
      <c r="S57" s="259" t="s">
        <v>126</v>
      </c>
      <c r="T57" s="259" t="s">
        <v>134</v>
      </c>
    </row>
    <row r="58" spans="7:20">
      <c r="G58" s="177" t="s">
        <v>469</v>
      </c>
      <c r="H58" s="177" t="s">
        <v>104</v>
      </c>
      <c r="I58" s="177" t="s">
        <v>469</v>
      </c>
      <c r="J58" s="177"/>
      <c r="K58" s="177"/>
      <c r="L58" s="177"/>
      <c r="N58" s="260" t="s">
        <v>545</v>
      </c>
      <c r="O58" s="260"/>
      <c r="P58" s="260"/>
      <c r="Q58" s="260"/>
      <c r="R58" s="260" t="s">
        <v>380</v>
      </c>
      <c r="S58" s="259" t="s">
        <v>126</v>
      </c>
      <c r="T58" s="260" t="s">
        <v>304</v>
      </c>
    </row>
    <row r="59" spans="7:20">
      <c r="G59" s="177" t="s">
        <v>479</v>
      </c>
      <c r="H59" s="177" t="s">
        <v>104</v>
      </c>
      <c r="I59" s="177" t="s">
        <v>479</v>
      </c>
      <c r="J59" s="177"/>
      <c r="K59" s="177"/>
      <c r="L59" s="177"/>
      <c r="N59" s="260" t="s">
        <v>549</v>
      </c>
      <c r="O59" s="260" t="s">
        <v>549</v>
      </c>
      <c r="P59" s="260" t="s">
        <v>550</v>
      </c>
      <c r="Q59" s="259" t="s">
        <v>128</v>
      </c>
      <c r="R59" s="260" t="s">
        <v>380</v>
      </c>
      <c r="S59" s="260"/>
      <c r="T59" s="259" t="s">
        <v>118</v>
      </c>
    </row>
    <row r="60" spans="7:20">
      <c r="G60" s="260" t="s">
        <v>515</v>
      </c>
      <c r="H60" s="260" t="s">
        <v>104</v>
      </c>
      <c r="I60" s="260" t="s">
        <v>515</v>
      </c>
      <c r="J60" s="260"/>
      <c r="K60" s="260"/>
      <c r="L60" s="260"/>
      <c r="N60" s="260" t="s">
        <v>545</v>
      </c>
      <c r="O60" s="260"/>
      <c r="P60" s="260"/>
      <c r="Q60" s="260"/>
      <c r="R60" s="260" t="s">
        <v>380</v>
      </c>
      <c r="S60" s="260" t="s">
        <v>126</v>
      </c>
      <c r="T60" s="260" t="s">
        <v>304</v>
      </c>
    </row>
    <row r="61" spans="7:20">
      <c r="G61" s="260" t="s">
        <v>523</v>
      </c>
      <c r="H61" s="260" t="s">
        <v>104</v>
      </c>
      <c r="I61" s="260" t="s">
        <v>523</v>
      </c>
      <c r="J61" s="260"/>
      <c r="K61" s="260"/>
      <c r="L61" s="260"/>
      <c r="N61" s="260" t="s">
        <v>551</v>
      </c>
      <c r="O61" s="260" t="s">
        <v>190</v>
      </c>
      <c r="P61" s="260" t="s">
        <v>551</v>
      </c>
      <c r="Q61" s="259" t="s">
        <v>128</v>
      </c>
      <c r="R61" s="260" t="s">
        <v>380</v>
      </c>
      <c r="S61" s="259" t="s">
        <v>126</v>
      </c>
      <c r="T61" s="259" t="s">
        <v>134</v>
      </c>
    </row>
    <row r="62" spans="7:20">
      <c r="G62" s="260" t="s">
        <v>529</v>
      </c>
      <c r="H62" s="260" t="s">
        <v>104</v>
      </c>
      <c r="I62" s="260" t="s">
        <v>529</v>
      </c>
      <c r="J62" s="260"/>
      <c r="K62" s="260"/>
      <c r="L62" s="260"/>
      <c r="N62" s="260" t="s">
        <v>560</v>
      </c>
      <c r="O62" s="260" t="s">
        <v>190</v>
      </c>
      <c r="P62" s="260" t="s">
        <v>560</v>
      </c>
      <c r="Q62" s="260" t="s">
        <v>128</v>
      </c>
      <c r="R62" s="260" t="s">
        <v>380</v>
      </c>
      <c r="S62" s="260" t="s">
        <v>126</v>
      </c>
      <c r="T62" s="260" t="s">
        <v>134</v>
      </c>
    </row>
    <row r="63" spans="7:20">
      <c r="G63" s="260" t="s">
        <v>533</v>
      </c>
      <c r="H63" s="260" t="s">
        <v>104</v>
      </c>
      <c r="I63" s="260" t="s">
        <v>533</v>
      </c>
      <c r="J63" s="260"/>
      <c r="K63" s="260"/>
      <c r="L63" s="260"/>
      <c r="N63" s="260" t="s">
        <v>564</v>
      </c>
      <c r="O63" s="260" t="s">
        <v>190</v>
      </c>
      <c r="P63" s="260" t="s">
        <v>564</v>
      </c>
      <c r="Q63" s="260" t="s">
        <v>128</v>
      </c>
      <c r="R63" s="260" t="s">
        <v>380</v>
      </c>
      <c r="S63" s="260" t="s">
        <v>126</v>
      </c>
      <c r="T63" s="260" t="s">
        <v>134</v>
      </c>
    </row>
    <row r="64" spans="7:20">
      <c r="G64" s="260" t="s">
        <v>549</v>
      </c>
      <c r="H64" s="260" t="s">
        <v>104</v>
      </c>
      <c r="I64" s="260" t="s">
        <v>549</v>
      </c>
      <c r="J64" s="260"/>
      <c r="K64" s="260"/>
      <c r="L64" s="260"/>
      <c r="N64" s="260" t="s">
        <v>572</v>
      </c>
      <c r="O64" s="260" t="s">
        <v>572</v>
      </c>
      <c r="P64" s="260" t="s">
        <v>578</v>
      </c>
      <c r="Q64" s="260" t="s">
        <v>128</v>
      </c>
      <c r="R64" s="260" t="s">
        <v>380</v>
      </c>
      <c r="S64" s="260" t="s">
        <v>126</v>
      </c>
      <c r="T64" s="260" t="s">
        <v>134</v>
      </c>
    </row>
    <row r="65" spans="7:12">
      <c r="G65" s="260" t="s">
        <v>454</v>
      </c>
      <c r="H65" s="260" t="s">
        <v>104</v>
      </c>
      <c r="I65" s="260" t="s">
        <v>454</v>
      </c>
      <c r="J65" s="260"/>
      <c r="K65" s="260"/>
      <c r="L65" s="260"/>
    </row>
    <row r="66" spans="7:12">
      <c r="G66" s="260" t="s">
        <v>572</v>
      </c>
      <c r="H66" s="260" t="s">
        <v>104</v>
      </c>
      <c r="I66" s="260" t="s">
        <v>572</v>
      </c>
      <c r="J66" s="260"/>
      <c r="K66" s="260"/>
      <c r="L66" s="260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Q3:Q64">
      <formula1>INDIRECT("CreateModes[Code]")</formula1>
    </dataValidation>
    <dataValidation type="list" allowBlank="1" showInputMessage="1" showErrorMessage="1" sqref="T3:T64">
      <formula1>INDIRECT("ReportTypes[Code]")</formula1>
    </dataValidation>
    <dataValidation type="list" allowBlank="1" showInputMessage="1" showErrorMessage="1" sqref="S3:S64">
      <formula1>INDIRECT("Programs[Code]")</formula1>
    </dataValidation>
    <dataValidation type="list" allowBlank="1" showInputMessage="1" showErrorMessage="1" sqref="AG3:AG29">
      <formula1>INDIRECT("Direction[Code]")</formula1>
    </dataValidation>
    <dataValidation type="list" allowBlank="1" showInputMessage="1" showErrorMessage="1" sqref="AI3:AI29 AK3:AK29">
      <formula1>INDIRECT("YesNo[Code]")</formula1>
    </dataValidation>
    <dataValidation type="whole" allowBlank="1" showInputMessage="1" showErrorMessage="1" sqref="AJ3:AJ29">
      <formula1>1</formula1>
      <formula2>32767</formula2>
    </dataValidation>
    <dataValidation type="list" allowBlank="1" showInputMessage="1" showErrorMessage="1" sqref="J3:J66">
      <formula1>INDIRECT("AfterAction")</formula1>
    </dataValidation>
    <dataValidation type="list" allowBlank="1" showInputMessage="1" showErrorMessage="1" sqref="H3:H66">
      <formula1>INDIRECT("ActionTypes[Code]")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3"/>
      <c r="B8" s="343"/>
      <c r="C8" s="343"/>
      <c r="D8" s="343"/>
      <c r="E8" s="343"/>
    </row>
    <row r="9" spans="1:6" ht="97.5" customHeight="1">
      <c r="A9" s="44"/>
      <c r="B9" s="344" t="s">
        <v>476</v>
      </c>
      <c r="C9" s="345"/>
      <c r="D9" s="345"/>
      <c r="E9" s="44"/>
    </row>
    <row r="10" spans="1:6" s="43" customFormat="1" ht="14.25" customHeight="1">
      <c r="A10" s="343"/>
      <c r="B10" s="343"/>
      <c r="C10" s="343"/>
      <c r="D10" s="343"/>
      <c r="E10" s="343"/>
    </row>
    <row r="11" spans="1:6" hidden="1">
      <c r="A11" s="340"/>
      <c r="B11" s="341"/>
      <c r="C11" s="341"/>
      <c r="D11" s="341"/>
      <c r="E11" s="34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zoomScale="145" zoomScaleNormal="145" workbookViewId="0">
      <pane ySplit="2" topLeftCell="A3" activePane="bottomLeft" state="frozen"/>
      <selection activeCell="A3" sqref="A3"/>
      <selection pane="bottomLeft" activeCell="L3" sqref="L3"/>
    </sheetView>
  </sheetViews>
  <sheetFormatPr defaultRowHeight="15"/>
  <cols>
    <col min="1" max="1" width="14.140625" customWidth="1"/>
    <col min="2" max="2" width="9.5703125" style="259" customWidth="1"/>
    <col min="3" max="3" width="10.140625" style="259" customWidth="1"/>
    <col min="4" max="4" width="8.28515625" style="259" customWidth="1"/>
    <col min="5" max="6" width="11.140625" customWidth="1"/>
    <col min="7" max="8" width="7.140625" style="259" customWidth="1"/>
    <col min="9" max="9" width="16.140625" customWidth="1"/>
    <col min="10" max="10" width="11.42578125" customWidth="1"/>
    <col min="11" max="11" width="12.85546875" customWidth="1"/>
    <col min="12" max="12" width="10.28515625" style="259" customWidth="1"/>
    <col min="13" max="13" width="27.42578125" style="259" customWidth="1"/>
    <col min="14" max="14" width="36.5703125" customWidth="1"/>
  </cols>
  <sheetData>
    <row r="1" spans="1:16" ht="75" customHeight="1">
      <c r="A1" s="318" t="s">
        <v>574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244"/>
      <c r="P1" s="244"/>
    </row>
    <row r="2" spans="1:16" ht="45" customHeight="1">
      <c r="A2" s="245" t="s">
        <v>462</v>
      </c>
      <c r="B2" s="245" t="s">
        <v>576</v>
      </c>
      <c r="C2" s="245" t="s">
        <v>486</v>
      </c>
      <c r="D2" s="245" t="s">
        <v>575</v>
      </c>
      <c r="E2" s="245" t="s">
        <v>329</v>
      </c>
      <c r="F2" s="245" t="s">
        <v>432</v>
      </c>
      <c r="G2" s="245" t="s">
        <v>494</v>
      </c>
      <c r="H2" s="245" t="s">
        <v>495</v>
      </c>
      <c r="I2" s="246" t="s">
        <v>365</v>
      </c>
      <c r="J2" s="246" t="s">
        <v>577</v>
      </c>
      <c r="K2" s="246" t="s">
        <v>40</v>
      </c>
      <c r="L2" s="246" t="s">
        <v>57</v>
      </c>
      <c r="M2" s="246" t="s">
        <v>97</v>
      </c>
      <c r="N2" s="246" t="s">
        <v>499</v>
      </c>
    </row>
    <row r="3" spans="1:16">
      <c r="A3" s="382" t="s">
        <v>572</v>
      </c>
      <c r="B3" s="291"/>
      <c r="C3" s="291"/>
      <c r="D3" s="291"/>
      <c r="E3" s="270"/>
      <c r="F3" s="270"/>
      <c r="G3" s="270"/>
      <c r="H3" s="270"/>
      <c r="I3" s="279"/>
      <c r="J3" s="163"/>
      <c r="K3" s="166"/>
      <c r="L3" s="165"/>
      <c r="M3" s="280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8" t="s">
        <v>249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</row>
    <row r="2" spans="1:12" ht="44.25" customHeight="1">
      <c r="A2" s="346" t="s">
        <v>327</v>
      </c>
      <c r="B2" s="346"/>
      <c r="C2" s="346"/>
      <c r="D2" s="346" t="s">
        <v>58</v>
      </c>
      <c r="E2" s="346"/>
      <c r="F2" s="346" t="s">
        <v>62</v>
      </c>
      <c r="G2" s="346" t="s">
        <v>52</v>
      </c>
      <c r="H2" s="346" t="s">
        <v>328</v>
      </c>
      <c r="I2" s="346" t="s">
        <v>329</v>
      </c>
      <c r="J2" s="346" t="s">
        <v>3</v>
      </c>
      <c r="K2" s="346" t="s">
        <v>325</v>
      </c>
      <c r="L2" s="34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6"/>
      <c r="G3" s="346" t="s">
        <v>41</v>
      </c>
      <c r="H3" s="346" t="s">
        <v>325</v>
      </c>
      <c r="I3" s="346"/>
      <c r="J3" s="346"/>
      <c r="K3" s="346"/>
      <c r="L3" s="34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5" t="s">
        <v>251</v>
      </c>
      <c r="B1" s="295"/>
      <c r="C1" s="295"/>
      <c r="D1" s="295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7" t="s">
        <v>252</v>
      </c>
      <c r="B1" s="348"/>
      <c r="C1" s="348"/>
      <c r="D1" s="348"/>
      <c r="E1" s="348"/>
    </row>
    <row r="2" spans="1:6" ht="19.5" customHeight="1">
      <c r="A2" s="349" t="s">
        <v>181</v>
      </c>
      <c r="B2" s="350"/>
      <c r="C2" s="350"/>
      <c r="D2" s="350"/>
      <c r="E2" s="35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38" t="s">
        <v>185</v>
      </c>
      <c r="E8" s="33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38" t="s">
        <v>187</v>
      </c>
      <c r="E11" s="33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2" t="s">
        <v>253</v>
      </c>
      <c r="B1" s="353"/>
      <c r="C1" s="353"/>
      <c r="D1" s="353"/>
      <c r="E1" s="353"/>
      <c r="F1" s="353"/>
      <c r="G1" s="353"/>
      <c r="H1" s="35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59" t="s">
        <v>194</v>
      </c>
      <c r="F7" s="359"/>
      <c r="G7" s="359"/>
      <c r="H7" s="35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0" t="s">
        <v>200</v>
      </c>
      <c r="F11" s="360"/>
      <c r="G11" s="360"/>
      <c r="H11" s="360"/>
    </row>
    <row r="12" spans="1:8">
      <c r="C12" s="53"/>
      <c r="D12" s="85"/>
      <c r="E12" s="356" t="s">
        <v>201</v>
      </c>
      <c r="F12" s="357"/>
      <c r="G12" s="358"/>
      <c r="H12" s="35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5" t="s">
        <v>219</v>
      </c>
      <c r="B22" s="355"/>
      <c r="C22" s="355"/>
      <c r="D22" s="355"/>
      <c r="E22" s="355"/>
      <c r="F22" s="35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4" t="s">
        <v>254</v>
      </c>
      <c r="B1" s="334"/>
      <c r="C1" s="334"/>
      <c r="D1" s="334"/>
      <c r="E1" s="334"/>
      <c r="F1" s="334"/>
      <c r="G1" s="334"/>
      <c r="H1" s="334"/>
      <c r="I1" s="334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9" customWidth="1"/>
    <col min="2" max="2" width="12.140625" style="259" customWidth="1"/>
    <col min="3" max="3" width="10.140625" style="259" customWidth="1"/>
    <col min="4" max="9" width="19.7109375" style="259" customWidth="1"/>
    <col min="10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8" t="s">
        <v>552</v>
      </c>
      <c r="B1" s="318"/>
      <c r="C1" s="318"/>
      <c r="D1" s="318"/>
      <c r="E1" s="318"/>
      <c r="F1" s="318"/>
      <c r="G1" s="318"/>
      <c r="H1" s="318"/>
      <c r="I1" s="318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547</v>
      </c>
      <c r="B3" s="328"/>
      <c r="C3" s="328"/>
      <c r="D3" s="328"/>
      <c r="E3" s="328"/>
      <c r="F3" s="328"/>
      <c r="G3" s="328"/>
      <c r="H3" s="289"/>
      <c r="I3" s="289"/>
      <c r="J3" s="289"/>
      <c r="K3" s="289"/>
      <c r="L3" s="289"/>
      <c r="M3" s="289"/>
      <c r="N3" s="289"/>
    </row>
    <row r="4" spans="1:18">
      <c r="A4" s="290" t="s">
        <v>548</v>
      </c>
      <c r="B4" s="330"/>
      <c r="C4" s="330"/>
      <c r="D4" s="330"/>
      <c r="E4" s="330"/>
      <c r="F4" s="330"/>
      <c r="G4" s="330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29" t="s">
        <v>559</v>
      </c>
      <c r="B6" s="329"/>
      <c r="C6" s="329"/>
      <c r="D6" s="329"/>
      <c r="E6" s="329"/>
      <c r="F6" s="329"/>
      <c r="G6" s="329"/>
      <c r="H6" s="329"/>
      <c r="I6" s="329"/>
      <c r="J6" s="289"/>
      <c r="K6" s="289"/>
      <c r="L6" s="289"/>
      <c r="M6" s="289"/>
    </row>
    <row r="7" spans="1:18" ht="45" customHeight="1">
      <c r="A7" s="245" t="s">
        <v>486</v>
      </c>
      <c r="B7" s="246" t="s">
        <v>555</v>
      </c>
      <c r="C7" s="245" t="s">
        <v>537</v>
      </c>
      <c r="D7" s="246" t="s">
        <v>556</v>
      </c>
      <c r="E7" s="246" t="s">
        <v>557</v>
      </c>
      <c r="F7" s="246" t="s">
        <v>82</v>
      </c>
      <c r="G7" s="247" t="s">
        <v>69</v>
      </c>
      <c r="H7" s="248" t="s">
        <v>558</v>
      </c>
      <c r="I7" s="246" t="s">
        <v>260</v>
      </c>
    </row>
    <row r="8" spans="1:18">
      <c r="A8" s="291" t="s">
        <v>551</v>
      </c>
      <c r="B8" s="269"/>
      <c r="C8" s="165"/>
      <c r="D8" s="166"/>
      <c r="E8" s="166"/>
      <c r="F8" s="166"/>
      <c r="G8" s="166"/>
      <c r="H8" s="166"/>
      <c r="I8" s="166"/>
    </row>
    <row r="11" spans="1:18">
      <c r="A11" s="329" t="s">
        <v>561</v>
      </c>
      <c r="B11" s="329"/>
      <c r="C11" s="329"/>
      <c r="D11" s="329"/>
      <c r="E11" s="329"/>
      <c r="F11" s="329"/>
      <c r="G11" s="289"/>
      <c r="H11" s="289"/>
      <c r="I11" s="289"/>
      <c r="J11" s="289"/>
      <c r="K11" s="289"/>
      <c r="L11" s="289"/>
      <c r="M11" s="289"/>
    </row>
    <row r="12" spans="1:18" ht="45" customHeight="1">
      <c r="A12" s="245" t="s">
        <v>486</v>
      </c>
      <c r="B12" s="246" t="s">
        <v>555</v>
      </c>
      <c r="C12" s="245" t="s">
        <v>537</v>
      </c>
      <c r="D12" s="247" t="s">
        <v>498</v>
      </c>
      <c r="E12" s="248" t="s">
        <v>563</v>
      </c>
      <c r="F12" s="248" t="s">
        <v>562</v>
      </c>
    </row>
    <row r="13" spans="1:18">
      <c r="A13" s="291" t="s">
        <v>560</v>
      </c>
      <c r="B13" s="269"/>
      <c r="C13" s="165"/>
      <c r="D13" s="165"/>
      <c r="E13" s="292"/>
      <c r="F13" s="292"/>
    </row>
    <row r="15" spans="1:18">
      <c r="A15" s="329" t="s">
        <v>565</v>
      </c>
      <c r="B15" s="329"/>
      <c r="C15" s="329"/>
      <c r="D15" s="329"/>
      <c r="E15" s="329"/>
      <c r="F15" s="329"/>
      <c r="G15" s="329"/>
    </row>
    <row r="16" spans="1:18" ht="25.5">
      <c r="A16" s="245" t="s">
        <v>486</v>
      </c>
      <c r="B16" s="246" t="s">
        <v>555</v>
      </c>
      <c r="C16" s="245" t="s">
        <v>537</v>
      </c>
      <c r="D16" s="247" t="s">
        <v>566</v>
      </c>
      <c r="E16" s="248" t="s">
        <v>567</v>
      </c>
      <c r="F16" s="248" t="s">
        <v>498</v>
      </c>
      <c r="G16" s="248" t="s">
        <v>475</v>
      </c>
    </row>
    <row r="17" spans="1:7">
      <c r="A17" s="291" t="s">
        <v>564</v>
      </c>
      <c r="B17" s="269"/>
      <c r="C17" s="165"/>
      <c r="D17" s="165"/>
      <c r="E17" s="292"/>
      <c r="F17" s="288"/>
      <c r="G17" s="292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2" t="s">
        <v>538</v>
      </c>
      <c r="B1" s="363"/>
      <c r="C1" s="363"/>
      <c r="D1" s="363"/>
      <c r="E1" s="363"/>
      <c r="F1" s="363"/>
      <c r="G1" s="363"/>
      <c r="H1" s="363"/>
      <c r="I1" s="363"/>
    </row>
    <row r="2" spans="1:9" ht="15.75">
      <c r="A2" s="112"/>
    </row>
    <row r="3" spans="1:9" ht="31.5" customHeight="1">
      <c r="A3" s="361" t="s">
        <v>262</v>
      </c>
      <c r="B3" s="361"/>
      <c r="C3" s="361"/>
      <c r="D3" s="361"/>
      <c r="E3" s="361"/>
      <c r="F3" s="361"/>
      <c r="G3" s="361"/>
      <c r="H3" s="36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2" t="s">
        <v>263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</row>
    <row r="2" spans="1:16" ht="15.75">
      <c r="A2" s="112"/>
      <c r="F2" s="112"/>
      <c r="G2" s="112"/>
      <c r="H2" s="112"/>
      <c r="I2" s="112"/>
    </row>
    <row r="3" spans="1:16" ht="31.5" customHeight="1">
      <c r="A3" s="364" t="s">
        <v>262</v>
      </c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6" t="s">
        <v>310</v>
      </c>
      <c r="L4" s="366"/>
      <c r="M4" s="366"/>
      <c r="N4" s="367" t="s">
        <v>311</v>
      </c>
      <c r="O4" s="368"/>
      <c r="P4" s="36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4" t="s">
        <v>364</v>
      </c>
      <c r="B1" s="334"/>
      <c r="C1" s="334"/>
      <c r="D1" s="334"/>
      <c r="E1" s="334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70" t="s">
        <v>371</v>
      </c>
      <c r="B8" s="370"/>
      <c r="C8" s="370"/>
      <c r="D8" s="370"/>
      <c r="E8" s="370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71" t="s">
        <v>382</v>
      </c>
      <c r="B19" s="372"/>
      <c r="C19" s="372"/>
      <c r="D19" s="372"/>
      <c r="E19" s="373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4" t="s">
        <v>346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187"/>
    </row>
    <row r="3" spans="1:14">
      <c r="A3" s="381" t="s">
        <v>355</v>
      </c>
      <c r="B3" s="381"/>
      <c r="C3" s="381"/>
      <c r="D3" s="381"/>
      <c r="E3" s="381"/>
      <c r="F3" s="381"/>
      <c r="G3" s="381"/>
      <c r="H3" s="381"/>
      <c r="I3" s="381"/>
      <c r="J3" s="381"/>
      <c r="K3" s="381"/>
      <c r="L3" s="381"/>
      <c r="M3" s="381"/>
    </row>
    <row r="4" spans="1:14" ht="37.5" customHeight="1">
      <c r="A4" s="374" t="s">
        <v>347</v>
      </c>
      <c r="B4" s="378" t="s">
        <v>350</v>
      </c>
      <c r="C4" s="379"/>
      <c r="D4" s="374" t="s">
        <v>329</v>
      </c>
      <c r="E4" s="374" t="s">
        <v>97</v>
      </c>
      <c r="F4" s="183" t="s">
        <v>1</v>
      </c>
      <c r="G4" s="183" t="s">
        <v>2</v>
      </c>
      <c r="H4" s="183" t="s">
        <v>82</v>
      </c>
      <c r="I4" s="378" t="s">
        <v>69</v>
      </c>
      <c r="J4" s="380"/>
      <c r="K4" s="379"/>
      <c r="L4" s="374" t="s">
        <v>351</v>
      </c>
      <c r="M4" s="376" t="s">
        <v>352</v>
      </c>
      <c r="N4" s="186"/>
    </row>
    <row r="5" spans="1:14" ht="33.75" customHeight="1">
      <c r="A5" s="375"/>
      <c r="B5" s="185" t="s">
        <v>348</v>
      </c>
      <c r="C5" s="185" t="s">
        <v>349</v>
      </c>
      <c r="D5" s="375"/>
      <c r="E5" s="375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75"/>
      <c r="M5" s="377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81" t="s">
        <v>356</v>
      </c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81"/>
    </row>
    <row r="12" spans="1:14" ht="37.5" customHeight="1">
      <c r="A12" s="374" t="s">
        <v>347</v>
      </c>
      <c r="B12" s="378" t="s">
        <v>350</v>
      </c>
      <c r="C12" s="379"/>
      <c r="D12" s="374" t="s">
        <v>329</v>
      </c>
      <c r="E12" s="374" t="s">
        <v>97</v>
      </c>
      <c r="F12" s="183" t="s">
        <v>1</v>
      </c>
      <c r="G12" s="183" t="s">
        <v>2</v>
      </c>
      <c r="H12" s="183" t="s">
        <v>82</v>
      </c>
      <c r="I12" s="378" t="s">
        <v>69</v>
      </c>
      <c r="J12" s="380"/>
      <c r="K12" s="379"/>
      <c r="L12" s="374" t="s">
        <v>351</v>
      </c>
      <c r="M12" s="376" t="s">
        <v>352</v>
      </c>
      <c r="N12" s="186"/>
    </row>
    <row r="13" spans="1:14" ht="33.75" customHeight="1">
      <c r="A13" s="375"/>
      <c r="B13" s="185" t="s">
        <v>348</v>
      </c>
      <c r="C13" s="185"/>
      <c r="D13" s="375"/>
      <c r="E13" s="375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75"/>
      <c r="M13" s="377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81" t="s">
        <v>358</v>
      </c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81"/>
    </row>
    <row r="20" spans="1:14" ht="37.5" customHeight="1">
      <c r="A20" s="374" t="s">
        <v>347</v>
      </c>
      <c r="B20" s="378" t="s">
        <v>350</v>
      </c>
      <c r="C20" s="379"/>
      <c r="D20" s="374" t="s">
        <v>329</v>
      </c>
      <c r="E20" s="374" t="s">
        <v>97</v>
      </c>
      <c r="F20" s="183" t="s">
        <v>1</v>
      </c>
      <c r="G20" s="183" t="s">
        <v>2</v>
      </c>
      <c r="H20" s="183" t="s">
        <v>82</v>
      </c>
      <c r="I20" s="378" t="s">
        <v>69</v>
      </c>
      <c r="J20" s="380"/>
      <c r="K20" s="379"/>
      <c r="L20" s="374" t="s">
        <v>351</v>
      </c>
      <c r="M20" s="376" t="s">
        <v>352</v>
      </c>
      <c r="N20" s="186"/>
    </row>
    <row r="21" spans="1:14" ht="33.75" customHeight="1">
      <c r="A21" s="375"/>
      <c r="B21" s="185" t="s">
        <v>348</v>
      </c>
      <c r="C21" s="185"/>
      <c r="D21" s="375"/>
      <c r="E21" s="375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75"/>
      <c r="M21" s="377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2018-02-21T10:35:02Z</dcterms:modified>
</cp:coreProperties>
</file>