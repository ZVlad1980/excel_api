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tables/table61.xml" ContentType="application/vnd.openxmlformats-officedocument.spreadsheetml.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tables/table64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tables/table62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drawings/drawing7.xml" ContentType="application/vnd.openxmlformats-officedocument.drawing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tables/table63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30.xml" ContentType="application/vnd.openxmlformats-officedocument.spreadsheetml.table+xml"/>
  <Default Extension="rels" ContentType="application/vnd.openxmlformats-package.relationships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8" activeTab="18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benefit_no_distribute_amounts" sheetId="476" state="hidden" r:id="rId6"/>
    <sheet name="benefit_detail_report" sheetId="475" state="hidden" r:id="rId7"/>
    <sheet name="dv_sr_detail_report" sheetId="404" state="hidden" r:id="rId8"/>
    <sheet name="f2_vych_diff_periods" sheetId="403" state="hidden" r:id="rId9"/>
    <sheet name="f2_vych_diff_amounts" sheetId="400" state="hidden" r:id="rId10"/>
    <sheet name="f2_load_vych_errors" sheetId="321" state="hidden" r:id="rId11"/>
    <sheet name="f2_arh_spravki_errors" sheetId="298" state="hidden" r:id="rId12"/>
    <sheet name="f2_arh_batch_xml_head" sheetId="297" state="hidden" r:id="rId13"/>
    <sheet name="f2_ndfl_nalplat_pers" sheetId="295" state="hidden" r:id="rId14"/>
    <sheet name="f2_enumarate_error" sheetId="320" state="hidden" r:id="rId15"/>
    <sheet name="f2_load_vych_person" sheetId="332" state="hidden" r:id="rId16"/>
    <sheet name="Settings" sheetId="103" state="hidden" r:id="rId17"/>
    <sheet name="cmp_f2ndfl_pers" sheetId="284" state="hidden" r:id="rId18"/>
    <sheet name="Отчеты" sheetId="6" r:id="rId19"/>
    <sheet name="f2_amount_errors" sheetId="299" state="hidden" r:id="rId20"/>
    <sheet name="synch_error_report" sheetId="283" state="hidden" r:id="rId21"/>
    <sheet name="ndfl6_part2" sheetId="249" state="hidden" r:id="rId22"/>
    <sheet name="ndfl6_part1_general" sheetId="71" state="hidden" r:id="rId23"/>
    <sheet name="ndfl6_part1_rates" sheetId="69" state="hidden" r:id="rId24"/>
    <sheet name="funds_employees" sheetId="73" state="hidden" r:id="rId25"/>
    <sheet name="funds_employees_report" sheetId="123" state="hidden" r:id="rId26"/>
    <sheet name="ndfl6_part1" sheetId="248" state="hidden" r:id="rId27"/>
    <sheet name="f2_ndfl_person_report" sheetId="474" state="hidden" r:id="rId28"/>
    <sheet name="tax_diff_report" sheetId="271" state="hidden" r:id="rId29"/>
    <sheet name="tax_diff_det_report" sheetId="282" state="hidden" r:id="rId30"/>
    <sheet name="cmp_f2ndfl_f6" sheetId="294" state="hidden" r:id="rId31"/>
  </sheets>
  <functionGroups/>
  <externalReferences>
    <externalReference r:id="rId32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6">benefit_detail_report!#REF!</definedName>
    <definedName name="FIO" localSheetId="5">benefit_no_distribute_amounts!#REF!</definedName>
    <definedName name="FIO" localSheetId="27">f2_ndfl_person_report!$B$4</definedName>
    <definedName name="FIO">dv_sr_detail_report!$B$4</definedName>
    <definedName name="GF_PERSON" localSheetId="6">benefit_detail_report!#REF!</definedName>
    <definedName name="GF_PERSON" localSheetId="5">benefit_no_distribute_amounts!#REF!</definedName>
    <definedName name="GF_PERSON" localSheetId="27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6">Settings!$B$16</definedName>
    <definedName name="report_year" localSheetId="16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9">[1]Отчеты!$C$2</definedName>
    <definedName name="ReportSelected" localSheetId="12">[1]Отчеты!$C$2</definedName>
    <definedName name="ReportSelected" localSheetId="11">[1]Отчеты!$C$2</definedName>
    <definedName name="ReportSelected" localSheetId="10">[1]Отчеты!$C$2</definedName>
    <definedName name="ReportSelected" localSheetId="15">[1]Отчеты!$C$2</definedName>
    <definedName name="ReportSelected" localSheetId="13">[1]Отчеты!$C$2</definedName>
    <definedName name="ReportSelected" localSheetId="9">[1]Отчеты!$C$2</definedName>
    <definedName name="ReportSelected" localSheetId="8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CALC">tax_retained_report!$B$49</definedName>
    <definedName name="TAX_NOT_RETAINED" localSheetId="4">tax_retained_report!$B$44</definedName>
    <definedName name="TAX_NOT_RETAINED">#REF!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  <definedName name="TAX_RETURN_PREV">tax_retained_report!$B$42</definedName>
  </definedNames>
  <calcPr calcId="125725"/>
</workbook>
</file>

<file path=xl/calcChain.xml><?xml version="1.0" encoding="utf-8"?>
<calcChain xmlns="http://schemas.openxmlformats.org/spreadsheetml/2006/main">
  <c r="B55" i="281"/>
  <c r="B54"/>
  <c r="B53"/>
  <c r="B50"/>
  <c r="B51" s="1"/>
  <c r="B56" s="1"/>
  <c r="M2" i="298" l="1"/>
  <c r="G9" i="297"/>
  <c r="F9"/>
  <c r="E23" i="294"/>
  <c r="D23" l="1"/>
  <c r="C23"/>
  <c r="E22"/>
  <c r="E21"/>
  <c r="P3" i="282" l="1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<sst xmlns="http://schemas.openxmlformats.org/spreadsheetml/2006/main" count="1924" uniqueCount="612">
  <si>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</si>
  <si>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</si>
  <si>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</si>
  <si>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</si>
  <si>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</si>
  <si>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</si>
  <si>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</si>
  <si>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</si>
  <si>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</si>
  <si>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</si>
  <si>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</si>
  <si>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</si>
  <si>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</si>
  <si>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</si>
  <si>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</si>
  <si>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</si>
  <si>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</si>
  <si>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</si>
  <si>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</si>
  <si>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</si>
  <si>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</si>
  <si>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</si>
  <si>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</si>
  <si>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</si>
  <si>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</si>
  <si>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</si>
  <si>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</si>
  <si>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</si>
  <si>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</si>
  <si>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</si>
  <si>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</si>
  <si>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</si>
  <si>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</si>
  <si>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</si>
  <si>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</si>
  <si>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</si>
  <si>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</si>
  <si>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</si>
  <si>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</si>
  <si>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</si>
  <si>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</si>
  <si>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</si>
  <si>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</si>
  <si>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</si>
  <si>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</si>
  <si>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</si>
  <si>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</si>
  <si>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</si>
  <si>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</si>
  <si>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</si>
  <si>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</si>
  <si>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</si>
  <si>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</si>
  <si>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</si>
  <si>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</si>
  <si>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</si>
  <si>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</si>
  <si>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</si>
  <si>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</si>
  <si>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</si>
  <si>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</si>
  <si>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</si>
  <si>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</si>
  <si>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</si>
  <si>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</si>
  <si>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</si>
  <si>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</si>
  <si>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</si>
  <si>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</si>
  <si>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</si>
  <si>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</si>
  <si>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</si>
  <si>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</si>
  <si>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</si>
  <si>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</si>
  <si>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</si>
  <si>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</si>
  <si>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</si>
  <si>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</si>
  <si>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</si>
  <si>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</si>
  <si>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</si>
  <si>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</si>
  <si>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</si>
  <si>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</si>
  <si>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</si>
  <si>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</si>
  <si>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</si>
  <si>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</si>
  <si>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</si>
  <si>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</si>
  <si>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</si>
  <si>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</si>
  <si>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</si>
  <si>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</si>
  <si>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</si>
  <si>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</si>
  <si>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</si>
  <si>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</si>
  <si>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</si>
  <si>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</si>
  <si>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</si>
  <si>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</si>
  <si>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</si>
  <si>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</si>
  <si>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</si>
  <si>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</si>
  <si>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</si>
  <si>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</si>
  <si>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</si>
  <si>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</si>
  <si>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</si>
  <si>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</si>
  <si>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</si>
  <si>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</si>
  <si>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</si>
  <si>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</si>
  <si>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</si>
  <si>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</si>
  <si>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</si>
  <si>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</si>
  <si>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</si>
  <si>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</si>
  <si>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</si>
  <si>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</si>
  <si>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</si>
  <si>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</si>
  <si>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</si>
  <si>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</si>
  <si>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</si>
  <si>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</si>
  <si>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</si>
  <si>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</si>
  <si>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</si>
  <si>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</si>
  <si>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</si>
  <si>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</si>
  <si>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</si>
  <si>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</si>
  <si>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</si>
  <si>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</si>
  <si>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</si>
  <si>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</si>
  <si>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</si>
  <si>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</si>
  <si>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</si>
  <si>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</si>
  <si>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</si>
  <si>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</si>
  <si>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</si>
  <si>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</si>
  <si>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</si>
  <si>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</si>
  <si>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</si>
  <si>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</si>
  <si>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</si>
  <si>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</si>
  <si>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</si>
  <si>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</si>
  <si>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</si>
  <si>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</si>
  <si>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</si>
  <si>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</si>
  <si>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</si>
  <si>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</si>
  <si>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</si>
  <si>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</si>
  <si>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</si>
  <si>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</si>
  <si>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</si>
  <si>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</si>
  <si>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</si>
  <si>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</si>
  <si>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</si>
  <si>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</si>
  <si>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</si>
  <si>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</si>
  <si>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</si>
  <si>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</si>
  <si>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</si>
  <si>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</si>
  <si>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</si>
  <si>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</si>
  <si>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</si>
  <si>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</si>
  <si>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</si>
  <si>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</si>
  <si>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</si>
  <si>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</si>
  <si>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</si>
  <si>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</si>
  <si>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</si>
  <si>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</si>
  <si>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</si>
  <si>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</si>
  <si>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</si>
  <si>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</si>
  <si>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</si>
  <si>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</si>
  <si>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</si>
  <si>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</si>
  <si>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</si>
  <si>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</si>
  <si>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</si>
  <si>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</si>
  <si>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</si>
  <si>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</si>
  <si>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</si>
  <si>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</si>
  <si>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</si>
  <si>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</si>
  <si>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</si>
  <si>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</si>
  <si>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</si>
  <si>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</si>
  <si>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</si>
  <si>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</si>
  <si>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</si>
  <si>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</si>
  <si>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</si>
  <si>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</si>
  <si>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</si>
  <si>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</si>
  <si>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</si>
  <si>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</si>
  <si>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</si>
  <si>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</si>
  <si>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</si>
  <si>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</si>
  <si>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</si>
  <si>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</si>
  <si>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</si>
  <si>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</si>
  <si>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</si>
  <si>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</si>
  <si>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</si>
  <si>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</si>
  <si>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</si>
  <si>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</si>
  <si>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</si>
  <si>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</si>
  <si>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</si>
  <si>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</si>
  <si>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</si>
  <si>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</si>
  <si>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</si>
  <si>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</si>
  <si>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</si>
  <si>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</si>
  <si>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</si>
  <si>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</si>
  <si>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</si>
  <si>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</si>
  <si>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</si>
  <si>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</si>
  <si>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</si>
  <si>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</si>
  <si>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</si>
  <si>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</si>
  <si>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</si>
  <si>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</si>
  <si>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</si>
  <si>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</si>
  <si>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</si>
  <si>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</si>
  <si>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</si>
  <si>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</si>
  <si>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</si>
  <si>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</si>
  <si>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</si>
  <si>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</si>
  <si>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</si>
  <si>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</si>
  <si>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</si>
  <si>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</si>
  <si>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</si>
  <si>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</si>
  <si>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</si>
  <si>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</si>
  <si>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</si>
  <si>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</si>
  <si>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</si>
  <si>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</si>
  <si>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</si>
  <si>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</si>
  <si>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</si>
  <si>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</si>
  <si>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</si>
  <si>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</si>
  <si>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</si>
  <si>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</si>
  <si>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</si>
  <si>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</si>
  <si>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</si>
  <si>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</si>
  <si>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</si>
  <si>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</si>
  <si>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</si>
  <si>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</si>
  <si>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</si>
  <si>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</si>
  <si>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</si>
  <si>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</si>
  <si>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</si>
  <si>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</si>
  <si>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</si>
  <si>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</si>
  <si>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</si>
  <si>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</si>
  <si>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</si>
  <si>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</si>
  <si>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</si>
  <si>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</si>
  <si>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</si>
  <si>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</si>
  <si>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</si>
  <si>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</si>
  <si>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</si>
  <si>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</si>
  <si>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</si>
  <si>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</si>
  <si>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</si>
  <si>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</si>
  <si>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</si>
  <si>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</si>
  <si>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</si>
  <si>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</si>
  <si>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</si>
  <si>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</si>
  <si>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</si>
  <si>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</si>
  <si>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</si>
  <si>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</si>
  <si>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</si>
  <si>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</si>
  <si>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</si>
  <si>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</si>
  <si>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</si>
  <si>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</si>
  <si>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</si>
  <si>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</si>
  <si>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</si>
  <si>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</si>
  <si>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</si>
  <si>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</si>
  <si>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</si>
  <si>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</si>
  <si>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</si>
  <si>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</si>
  <si>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</si>
  <si>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</si>
  <si>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</si>
  <si>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</si>
  <si>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</si>
  <si>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</si>
  <si>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</si>
  <si>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</si>
  <si>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</si>
  <si>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</si>
  <si>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</si>
  <si>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</si>
  <si>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</si>
  <si>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</si>
  <si>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</si>
  <si>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</si>
  <si>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</si>
  <si>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</si>
  <si>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</si>
  <si>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</si>
  <si>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</si>
  <si>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</si>
  <si>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</si>
  <si>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</si>
  <si>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</si>
  <si>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</si>
  <si>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</si>
  <si>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</si>
  <si>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</si>
  <si>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</si>
  <si>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</si>
  <si>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</si>
  <si>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</si>
  <si>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</si>
  <si>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</si>
  <si>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</si>
  <si>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</si>
  <si>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</si>
  <si>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</si>
  <si>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</si>
  <si>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</si>
  <si>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</si>
  <si>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</si>
  <si>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</si>
  <si>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</si>
  <si>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</si>
  <si>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</si>
  <si>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</si>
  <si>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</si>
  <si>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</si>
  <si>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</si>
  <si>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</si>
  <si>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</si>
  <si>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</si>
  <si>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</si>
  <si>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</si>
  <si>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</si>
  <si>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</si>
  <si>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</si>
  <si>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</si>
  <si>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</si>
  <si>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</si>
  <si>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</si>
  <si>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</si>
  <si>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</si>
  <si>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</si>
  <si>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</si>
  <si>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</si>
  <si>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</si>
  <si>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</si>
  <si>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</si>
  <si>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</si>
  <si>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</si>
  <si>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</si>
  <si>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</si>
  <si>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</si>
  <si>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</si>
  <si>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</si>
  <si>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</si>
  <si>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</si>
  <si>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</si>
  <si>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</si>
  <si>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</si>
  <si>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</si>
  <si>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</si>
  <si>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</si>
  <si>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</si>
  <si>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</si>
  <si>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</si>
  <si>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</si>
  <si>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</si>
  <si>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</si>
  <si>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</si>
  <si>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</si>
  <si>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</si>
  <si>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</si>
  <si>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</si>
  <si>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</si>
  <si>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</si>
  <si>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</si>
  <si>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</si>
  <si>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</si>
  <si>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</si>
  <si>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</si>
  <si>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</si>
  <si>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</si>
  <si>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</si>
  <si>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</si>
  <si>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</si>
  <si>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</si>
  <si>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</si>
  <si>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</si>
  <si>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</si>
  <si>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</si>
  <si>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</si>
  <si>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</si>
  <si>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</si>
  <si>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</si>
  <si>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</si>
  <si>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</si>
  <si>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</si>
  <si>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</si>
  <si>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</si>
  <si>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</si>
  <si>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</si>
  <si>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</si>
  <si>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</si>
  <si>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</si>
  <si>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</si>
  <si>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</si>
  <si>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</si>
  <si>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</si>
  <si>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</si>
  <si>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</si>
  <si>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</si>
  <si>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</si>
  <si>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</si>
  <si>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</si>
  <si>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</si>
  <si>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</si>
  <si>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</si>
  <si>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</si>
  <si>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</si>
  <si>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</si>
  <si>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</si>
  <si>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</si>
  <si>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</si>
  <si>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</si>
  <si>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</si>
  <si>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</si>
  <si>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</si>
  <si>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</si>
  <si>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</si>
  <si>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</si>
  <si>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</si>
  <si>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</si>
  <si>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</si>
  <si>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</si>
  <si>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</si>
  <si>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</si>
  <si>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</si>
  <si>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</si>
  <si>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</si>
  <si>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</si>
  <si>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</si>
  <si>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</si>
  <si>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</si>
  <si>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</si>
  <si>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</si>
  <si>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</si>
  <si>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</si>
  <si>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</si>
  <si>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</si>
  <si>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</si>
  <si>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</si>
  <si>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</si>
  <si>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</si>
  <si>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</si>
  <si>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</si>
  <si>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</si>
  <si>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</si>
  <si>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</si>
  <si>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</si>
  <si>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</si>
  <si>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</si>
  <si>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</si>
  <si>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</si>
  <si>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</si>
  <si>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</si>
  <si>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</si>
  <si>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</si>
  <si>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</si>
  <si>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</si>
  <si>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</si>
  <si>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</si>
  <si>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</si>
  <si>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</si>
  <si>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</si>
  <si>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</si>
  <si>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</si>
  <si>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</si>
  <si>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</si>
  <si>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</si>
  <si>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</si>
  <si>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</si>
  <si>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</si>
  <si>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</si>
  <si>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</si>
  <si>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</si>
  <si>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</si>
  <si>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</si>
  <si>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</si>
  <si>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</si>
  <si>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</si>
  <si>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</si>
  <si>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</si>
  <si>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</si>
  <si>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</si>
  <si>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</si>
  <si>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</si>
  <si>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</si>
  <si>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</si>
  <si>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</si>
  <si>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2НДФЛ Ошибки сумм</t>
  </si>
  <si>
    <t>Disabled</t>
  </si>
  <si>
    <t>LOAD</t>
  </si>
  <si>
    <t>ARH</t>
  </si>
  <si>
    <t>DOCS</t>
  </si>
  <si>
    <t>Обновить детализацию вычетов</t>
  </si>
  <si>
    <t>gateway_pkg.update_dv_sr_lspv#</t>
  </si>
  <si>
    <t>update_benefit_detail</t>
  </si>
  <si>
    <t>benefit_detail_report</t>
  </si>
  <si>
    <t>Расхождение детализации вычетов с 2НФДЛ</t>
  </si>
  <si>
    <t>Расхождение дет.вычетов с 2НДФЛ</t>
  </si>
  <si>
    <r>
      <t xml:space="preserve">Расхождение детализации вычетов с данными 2НДФЛ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</si>
  <si>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SHIFR_SCHET</t>
  </si>
  <si>
    <t>Детализация</t>
  </si>
  <si>
    <t>Остаток на счете</t>
  </si>
  <si>
    <t>Ок</t>
  </si>
  <si>
    <t>benefit_no_distribute_amounts</t>
  </si>
  <si>
    <t>Нераспределнные суммы вычетов</t>
  </si>
  <si>
    <t>Нераспределенная сумма</t>
  </si>
  <si>
    <t>Сумма по счету</t>
  </si>
  <si>
    <t>Сумма по кодам</t>
  </si>
  <si>
    <r>
      <t xml:space="preserve">Остатки предоставленных вычетов, не распределенные по кодам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</si>
  <si>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f2_pers_vych_detail</t>
  </si>
  <si>
    <t>ssylka_fl</t>
  </si>
  <si>
    <t>Дата регистрации</t>
  </si>
  <si>
    <t>Описваание</t>
  </si>
  <si>
    <t>recalc_pers_details</t>
  </si>
  <si>
    <t>gateway_pkg.recalc_pers_details</t>
  </si>
  <si>
    <t>28.02.2018</t>
  </si>
  <si>
    <t>01.01.2018</t>
  </si>
  <si>
    <t>Исчисленный налог:</t>
  </si>
  <si>
    <t>Перечислено в ГНИ (должно! Удержанный - возврат</t>
  </si>
  <si>
    <t>из них</t>
  </si>
  <si>
    <t>возврат в прошлые периоды</t>
  </si>
  <si>
    <t>не удержано</t>
  </si>
  <si>
    <t>Сверка исчисленного и удержанного налога</t>
  </si>
  <si>
    <t>зачет в прошлый период</t>
  </si>
  <si>
    <t>Остаток:</t>
  </si>
  <si>
    <t>Исчислено - перечислено</t>
  </si>
  <si>
    <t>в том числе, в прошлые периоды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</si>
</sst>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1"/>
      <name val="Calibri"/>
      <family val="2"/>
      <charset val="204"/>
      <scheme val="minor"/>
    </font>
    <font>
      <b/>
      <sz val="10"/>
      <color theme="4"/>
      <name val="Arial Cyr"/>
      <charset val="204"/>
    </font>
    <font>
      <sz val="1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 diagonalUp="1" diagonalDown="1">
      <left style="thin">
        <color theme="0"/>
      </left>
      <right/>
      <top style="thin">
        <color theme="0"/>
      </top>
      <bottom/>
      <diagonal style="thin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41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" fontId="23" fillId="0" borderId="22" xfId="4" applyNumberFormat="1" applyFont="1" applyFill="1" applyBorder="1" applyAlignment="1">
      <alignment vertical="center"/>
    </xf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39" fillId="0" borderId="0" xfId="0" applyFont="1" applyBorder="1"/>
    <xf numFmtId="49" fontId="11" fillId="7" borderId="51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" fontId="23" fillId="0" borderId="1" xfId="4" applyNumberFormat="1" applyFont="1" applyFill="1" applyBorder="1" applyAlignment="1">
      <alignment horizontal="right" vertical="center"/>
    </xf>
    <xf numFmtId="49" fontId="0" fillId="11" borderId="49" xfId="0" applyNumberFormat="1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43" xfId="0" applyFont="1" applyBorder="1" applyAlignment="1">
      <alignment vertical="center"/>
    </xf>
    <xf numFmtId="0" fontId="0" fillId="0" borderId="43" xfId="0" applyFont="1" applyBorder="1" applyAlignment="1">
      <alignment horizontal="center" vertical="center"/>
    </xf>
    <xf numFmtId="0" fontId="0" fillId="11" borderId="54" xfId="0" applyFont="1" applyFill="1" applyBorder="1" applyAlignment="1">
      <alignment vertical="center"/>
    </xf>
    <xf numFmtId="0" fontId="0" fillId="11" borderId="0" xfId="0" applyFont="1" applyFill="1" applyBorder="1" applyAlignment="1">
      <alignment horizontal="right" vertical="center"/>
    </xf>
    <xf numFmtId="0" fontId="11" fillId="0" borderId="30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49" fontId="11" fillId="0" borderId="0" xfId="0" applyNumberFormat="1" applyFont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 vertical="center" wrapText="1"/>
    </xf>
    <xf numFmtId="49" fontId="11" fillId="0" borderId="58" xfId="0" applyNumberFormat="1" applyFont="1" applyBorder="1" applyAlignment="1">
      <alignment horizontal="center" vertical="center" wrapText="1"/>
    </xf>
    <xf numFmtId="49" fontId="0" fillId="0" borderId="59" xfId="0" applyNumberFormat="1" applyBorder="1" applyAlignment="1">
      <alignment horizontal="center" vertical="center"/>
    </xf>
    <xf numFmtId="49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left" vertical="center"/>
    </xf>
    <xf numFmtId="4" fontId="0" fillId="0" borderId="31" xfId="0" applyNumberFormat="1" applyBorder="1" applyAlignment="1">
      <alignment horizontal="right" vertical="center"/>
    </xf>
    <xf numFmtId="1" fontId="0" fillId="0" borderId="31" xfId="0" applyNumberFormat="1" applyBorder="1" applyAlignment="1">
      <alignment horizontal="right" vertical="center"/>
    </xf>
    <xf numFmtId="1" fontId="0" fillId="0" borderId="61" xfId="0" applyNumberFormat="1" applyBorder="1" applyAlignment="1">
      <alignment horizontal="right" vertical="center"/>
    </xf>
    <xf numFmtId="1" fontId="0" fillId="0" borderId="62" xfId="0" applyNumberFormat="1" applyFont="1" applyBorder="1" applyAlignment="1">
      <alignment horizontal="right" vertical="center"/>
    </xf>
    <xf numFmtId="14" fontId="40" fillId="0" borderId="0" xfId="0" applyNumberFormat="1" applyFont="1" applyAlignment="1">
      <alignment horizontal="center" vertical="center" wrapText="1"/>
    </xf>
    <xf numFmtId="0" fontId="3" fillId="6" borderId="0" xfId="0" applyFont="1" applyFill="1" applyAlignment="1">
      <alignment vertical="center"/>
    </xf>
    <xf numFmtId="0" fontId="11" fillId="7" borderId="53" xfId="0" applyNumberFormat="1" applyFont="1" applyFill="1" applyBorder="1" applyAlignment="1">
      <alignment horizontal="center" vertical="center" wrapText="1"/>
    </xf>
    <xf numFmtId="4" fontId="0" fillId="11" borderId="60" xfId="0" applyNumberFormat="1" applyFont="1" applyFill="1" applyBorder="1" applyAlignment="1">
      <alignment horizontal="right" vertical="center"/>
    </xf>
    <xf numFmtId="4" fontId="0" fillId="11" borderId="50" xfId="0" applyNumberFormat="1" applyFont="1" applyFill="1" applyBorder="1" applyAlignment="1">
      <alignment horizontal="right" vertical="center"/>
    </xf>
    <xf numFmtId="0" fontId="0" fillId="0" borderId="1" xfId="0" applyFill="1" applyBorder="1" applyAlignment="1">
      <alignment horizontal="left" vertical="center" indent="4"/>
    </xf>
    <xf numFmtId="0" fontId="0" fillId="0" borderId="1" xfId="0" applyFill="1" applyBorder="1" applyAlignment="1">
      <alignment horizontal="left" vertical="center" indent="2"/>
    </xf>
    <xf numFmtId="4" fontId="25" fillId="0" borderId="1" xfId="4" applyNumberFormat="1" applyFont="1" applyFill="1" applyBorder="1" applyAlignment="1">
      <alignment horizontal="right" vertical="center" wrapText="1"/>
    </xf>
    <xf numFmtId="0" fontId="3" fillId="0" borderId="1" xfId="0" applyFont="1" applyFill="1" applyBorder="1" applyAlignment="1">
      <alignment vertical="center"/>
    </xf>
    <xf numFmtId="49" fontId="22" fillId="0" borderId="1" xfId="4" applyNumberFormat="1" applyFont="1" applyBorder="1" applyAlignment="1" applyProtection="1">
      <alignment horizontal="left" vertical="center"/>
      <protection locked="0" hidden="1"/>
    </xf>
    <xf numFmtId="0" fontId="7" fillId="0" borderId="1" xfId="4" applyBorder="1" applyAlignment="1">
      <alignment vertical="center"/>
    </xf>
    <xf numFmtId="49" fontId="7" fillId="0" borderId="1" xfId="4" applyNumberFormat="1" applyBorder="1" applyAlignment="1">
      <alignment vertical="center"/>
    </xf>
    <xf numFmtId="49" fontId="22" fillId="0" borderId="22" xfId="4" applyNumberFormat="1" applyFont="1" applyBorder="1" applyAlignment="1" applyProtection="1">
      <alignment vertical="center" wrapText="1"/>
      <protection locked="0" hidden="1"/>
    </xf>
    <xf numFmtId="49" fontId="22" fillId="0" borderId="1" xfId="4" applyNumberFormat="1" applyFont="1" applyBorder="1" applyAlignment="1" applyProtection="1">
      <alignment horizontal="left" vertical="center" wrapText="1"/>
      <protection locked="0" hidden="1"/>
    </xf>
    <xf numFmtId="0" fontId="3" fillId="0" borderId="1" xfId="0" applyFont="1" applyFill="1" applyBorder="1" applyAlignment="1">
      <alignment horizontal="left" vertical="center"/>
    </xf>
    <xf numFmtId="49" fontId="22" fillId="0" borderId="1" xfId="4" applyNumberFormat="1" applyFont="1" applyBorder="1" applyAlignment="1" applyProtection="1">
      <alignment vertical="center" wrapText="1"/>
      <protection locked="0" hidden="1"/>
    </xf>
    <xf numFmtId="49" fontId="41" fillId="0" borderId="1" xfId="4" applyNumberFormat="1" applyFont="1" applyBorder="1" applyAlignment="1" applyProtection="1">
      <alignment horizontal="left" vertical="center" wrapText="1"/>
      <protection locked="0" hidden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12" borderId="0" xfId="4" applyNumberFormat="1" applyFont="1" applyFill="1" applyBorder="1" applyAlignment="1" applyProtection="1">
      <alignment horizontal="center" vertical="center" wrapText="1"/>
      <protection locked="0" hidden="1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49" fontId="11" fillId="7" borderId="52" xfId="0" applyNumberFormat="1" applyFont="1" applyFill="1" applyBorder="1" applyAlignment="1">
      <alignment horizontal="center" vertical="center" wrapText="1"/>
    </xf>
    <xf numFmtId="49" fontId="11" fillId="7" borderId="53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55" xfId="0" applyFont="1" applyFill="1" applyBorder="1" applyAlignment="1">
      <alignment horizontal="center" vertical="center"/>
    </xf>
    <xf numFmtId="0" fontId="3" fillId="6" borderId="56" xfId="0" applyFont="1" applyFill="1" applyBorder="1" applyAlignment="1">
      <alignment horizontal="center" vertical="center"/>
    </xf>
    <xf numFmtId="0" fontId="3" fillId="6" borderId="57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67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ck">
          <color theme="0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0" justifyLastLine="0" shrinkToFit="0" mergeCell="0" readingOrder="0"/>
      <border diagonalUp="1" diagonalDown="1" outline="0">
        <left/>
        <right/>
        <top/>
        <bottom/>
        <diagonal style="thin">
          <color auto="1"/>
        </diagon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general" vertical="center" textRotation="0" wrapText="0" indent="0" relativeIndent="0" justifyLastLine="0" shrinkToFit="0" mergeCell="0" readingOrder="0"/>
      <border diagonalUp="1" diagonalDown="1">
        <left style="thin">
          <color theme="0"/>
        </left>
        <right/>
        <top style="thin">
          <color theme="0"/>
        </top>
        <bottom/>
        <diagonal style="thin">
          <color indexed="64"/>
        </diagonal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243052</xdr:colOff>
      <xdr:row>0</xdr:row>
      <xdr:rowOff>32844</xdr:rowOff>
    </xdr:from>
    <xdr:to>
      <xdr:col>1</xdr:col>
      <xdr:colOff>512379</xdr:colOff>
      <xdr:row>1</xdr:row>
      <xdr:rowOff>32844</xdr:rowOff>
    </xdr:to>
    <xdr:sp macro="[0]!_xludf.request" textlink="">
      <xdr:nvSpPr>
        <xdr:cNvPr id="2" name="Стрелка вправо 1"/>
        <xdr:cNvSpPr/>
      </xdr:nvSpPr>
      <xdr:spPr>
        <a:xfrm>
          <a:off x="243052" y="32844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204955</xdr:colOff>
      <xdr:row>0</xdr:row>
      <xdr:rowOff>7882</xdr:rowOff>
    </xdr:from>
    <xdr:to>
      <xdr:col>8</xdr:col>
      <xdr:colOff>612230</xdr:colOff>
      <xdr:row>1</xdr:row>
      <xdr:rowOff>7882</xdr:rowOff>
    </xdr:to>
    <xdr:sp macro="[0]!recalc_pers_details" textlink="">
      <xdr:nvSpPr>
        <xdr:cNvPr id="5" name="Стрелка вправо 4"/>
        <xdr:cNvSpPr/>
      </xdr:nvSpPr>
      <xdr:spPr>
        <a:xfrm>
          <a:off x="7759265" y="7882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302174</xdr:colOff>
      <xdr:row>0</xdr:row>
      <xdr:rowOff>39407</xdr:rowOff>
    </xdr:from>
    <xdr:to>
      <xdr:col>1</xdr:col>
      <xdr:colOff>571501</xdr:colOff>
      <xdr:row>1</xdr:row>
      <xdr:rowOff>39407</xdr:rowOff>
    </xdr:to>
    <xdr:sp macro="[0]!_xludf.request" textlink="">
      <xdr:nvSpPr>
        <xdr:cNvPr id="2" name="Стрелка вправо 1"/>
        <xdr:cNvSpPr/>
      </xdr:nvSpPr>
      <xdr:spPr>
        <a:xfrm>
          <a:off x="302174" y="39407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676603</xdr:colOff>
      <xdr:row>0</xdr:row>
      <xdr:rowOff>0</xdr:rowOff>
    </xdr:from>
    <xdr:to>
      <xdr:col>9</xdr:col>
      <xdr:colOff>433551</xdr:colOff>
      <xdr:row>1</xdr:row>
      <xdr:rowOff>0</xdr:rowOff>
    </xdr:to>
    <xdr:sp macro="[0]!recalc_pers_details" textlink="">
      <xdr:nvSpPr>
        <xdr:cNvPr id="3" name="Стрелка вправо 2"/>
        <xdr:cNvSpPr/>
      </xdr:nvSpPr>
      <xdr:spPr>
        <a:xfrm>
          <a:off x="8480534" y="0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666" dataDxfId="664" headerRowBorderDxfId="665" tableBorderDxfId="663" totalsRowBorderDxfId="662">
  <autoFilter ref="A4:J5"/>
  <tableColumns count="10">
    <tableColumn id="1" name="1" dataDxfId="661"/>
    <tableColumn id="2" name="2" dataDxfId="660"/>
    <tableColumn id="5" name="3" dataDxfId="659"/>
    <tableColumn id="6" name="4" dataDxfId="658"/>
    <tableColumn id="7" name="5" dataDxfId="657"/>
    <tableColumn id="10" name="6" dataDxfId="656"/>
    <tableColumn id="11" name="7" dataDxfId="655"/>
    <tableColumn id="12" name="8" dataDxfId="654"/>
    <tableColumn id="13" name="9" dataDxfId="653"/>
    <tableColumn id="14" name="10" dataDxfId="65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651" dataDxfId="649" headerRowBorderDxfId="650" tableBorderDxfId="648" totalsRowBorderDxfId="647">
  <autoFilter ref="A5:P6"/>
  <tableColumns count="16">
    <tableColumn id="1" name="1" dataDxfId="646"/>
    <tableColumn id="2" name="2" dataDxfId="645"/>
    <tableColumn id="3" name="3" dataDxfId="644"/>
    <tableColumn id="4" name="4" dataDxfId="643"/>
    <tableColumn id="5" name="5" dataDxfId="642"/>
    <tableColumn id="6" name="6" dataDxfId="641"/>
    <tableColumn id="7" name="7" dataDxfId="640"/>
    <tableColumn id="8" name="8" dataDxfId="639"/>
    <tableColumn id="9" name="9" dataDxfId="638"/>
    <tableColumn id="10" name="10" dataDxfId="637"/>
    <tableColumn id="11" name="11" dataDxfId="636"/>
    <tableColumn id="12" name="12" dataDxfId="635"/>
    <tableColumn id="13" name="13" dataDxfId="634"/>
    <tableColumn id="14" name="14" dataDxfId="633"/>
    <tableColumn id="15" name="15" dataDxfId="632"/>
    <tableColumn id="16" name="16" dataDxfId="6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630" dataDxfId="628" headerRowBorderDxfId="629" tableBorderDxfId="627" totalsRowBorderDxfId="626">
  <autoFilter ref="A3:I4">
    <filterColumn colId="1"/>
  </autoFilter>
  <tableColumns count="9">
    <tableColumn id="1" name="1" dataDxfId="625"/>
    <tableColumn id="3" name="2" dataDxfId="624"/>
    <tableColumn id="2" name="3" dataDxfId="623"/>
    <tableColumn id="5" name="4" dataDxfId="622"/>
    <tableColumn id="6" name="5" dataDxfId="621"/>
    <tableColumn id="7" name="6" dataDxfId="620"/>
    <tableColumn id="10" name="7" dataDxfId="619"/>
    <tableColumn id="11" name="8" dataDxfId="618"/>
    <tableColumn id="12" name="9" dataDxfId="6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616" dataDxfId="614" headerRowBorderDxfId="615" tableBorderDxfId="613" totalsRowBorderDxfId="612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611"/>
    <tableColumn id="20" name="2" dataDxfId="610"/>
    <tableColumn id="19" name="3" dataDxfId="609"/>
    <tableColumn id="18" name="4" dataDxfId="608"/>
    <tableColumn id="17" name="5" dataDxfId="607"/>
    <tableColumn id="23" name="6" dataDxfId="606"/>
    <tableColumn id="22" name="7" dataDxfId="605"/>
    <tableColumn id="21" name="8" dataDxfId="604"/>
    <tableColumn id="28" name="9" dataDxfId="603"/>
    <tableColumn id="29" name="10" dataDxfId="602"/>
    <tableColumn id="27" name="11" dataDxfId="601"/>
    <tableColumn id="26" name="12" dataDxfId="600"/>
    <tableColumn id="25" name="13" dataDxfId="599"/>
    <tableColumn id="5" name="14" dataDxfId="598"/>
    <tableColumn id="4" name="15" dataDxfId="597"/>
    <tableColumn id="3" name="16" dataDxfId="596"/>
    <tableColumn id="2" name="17" dataDxfId="595"/>
    <tableColumn id="24" name="18" dataDxfId="59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90" totalsRowDxfId="589">
  <tableColumns count="3">
    <tableColumn id="1" name="ВИД ВЫПЛАТЫ" totalsRowLabel="Итого" dataDxfId="588" totalsRowDxfId="587" dataCellStyle="Обычный 5"/>
    <tableColumn id="2" name="13%" totalsRowFunction="sum" dataDxfId="586" totalsRowDxfId="585" dataCellStyle="Обычный 5"/>
    <tableColumn id="3" name="30%" totalsRowFunction="sum" dataDxfId="584" totalsRowDxfId="583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82" dataDxfId="580" headerRowBorderDxfId="581" headerRowCellStyle="Обычный 5" dataCellStyle="Обычный 5">
  <tableColumns count="4">
    <tableColumn id="1" name="Сумма по ставкам" totalsRowFunction="sum" dataDxfId="579" totalsRowDxfId="578" dataCellStyle="Обычный 5"/>
    <tableColumn id="2" name="13%" dataDxfId="577" totalsRowDxfId="576" dataCellStyle="Обычный 5">
      <calculatedColumnFormula>B31+#REF!-Таблица42[[#This Row],[13%]]</calculatedColumnFormula>
    </tableColumn>
    <tableColumn id="3" name="30%" dataDxfId="575" totalsRowDxfId="574" dataCellStyle="Обычный 5"/>
    <tableColumn id="4" name="Расхождение по ставкам" dataDxfId="573" totalsRowDxfId="572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71" totalsRowDxfId="569" headerRowBorderDxfId="570" headerRowCellStyle="Обычный 5">
  <tableColumns count="8">
    <tableColumn id="1" name="ВИД ВЫПЛАТЫ" totalsRowLabel="Итого по ставке" dataDxfId="568" totalsRowDxfId="567" dataCellStyle="Обычный 5"/>
    <tableColumn id="2" name="13%" totalsRowFunction="sum" dataDxfId="566" totalsRowDxfId="565" dataCellStyle="Обычный 5"/>
    <tableColumn id="3" name="30%" totalsRowFunction="sum" dataDxfId="564" totalsRowDxfId="563" dataCellStyle="Обычный 5"/>
    <tableColumn id="4" name="Столбец1" totalsRowDxfId="562" dataCellStyle="Обычный 5"/>
    <tableColumn id="5" name="без исправлений" dataDxfId="561" totalsRowDxfId="560" dataCellStyle="Обычный 5"/>
    <tableColumn id="6" name="с корректоровкой" dataDxfId="559" totalsRowDxfId="558" dataCellStyle="Обычный 5"/>
    <tableColumn id="7" name="без исправлений2" dataDxfId="557" totalsRowDxfId="556" dataCellStyle="Обычный 5"/>
    <tableColumn id="8" name="с корректоровкой3" dataDxfId="555" totalsRowDxfId="554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35" name="Таблица44047624936" displayName="Таблица44047624936" ref="A3:I4" totalsRowShown="0" headerRowDxfId="553" dataDxfId="552">
  <autoFilter ref="A3:I4">
    <filterColumn colId="4"/>
    <filterColumn colId="7"/>
  </autoFilter>
  <tableColumns count="9">
    <tableColumn id="2" name="GF_PERSON" dataDxfId="551"/>
    <tableColumn id="3" name="SSYLKA" dataDxfId="550"/>
    <tableColumn id="4" name="NOM_IPS" dataDxfId="549"/>
    <tableColumn id="5" name="NOM_VKL" dataDxfId="548"/>
    <tableColumn id="10" name="ФИО" dataDxfId="547"/>
    <tableColumn id="6" name="SHIFR_SCHET" dataDxfId="546"/>
    <tableColumn id="7" name="Нераспределенная сумма" dataDxfId="545"/>
    <tableColumn id="9" name="Сумма по счету" dataDxfId="544"/>
    <tableColumn id="8" name="Сумма по кодам" dataDxfId="54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48" name="Таблица440476249" displayName="Таблица440476249" ref="A4:J5" totalsRowShown="0" headerRowDxfId="542" dataDxfId="541">
  <autoFilter ref="A4:J5">
    <filterColumn colId="4"/>
    <filterColumn colId="6"/>
  </autoFilter>
  <tableColumns count="10">
    <tableColumn id="2" name="GF_PERSON" dataDxfId="540"/>
    <tableColumn id="3" name="SSYLKA" dataDxfId="539"/>
    <tableColumn id="4" name="NOM_IPS" dataDxfId="538"/>
    <tableColumn id="5" name="NOM_VKL" dataDxfId="537"/>
    <tableColumn id="10" name="ФИО" dataDxfId="536"/>
    <tableColumn id="6" name="SHIFR_SCHET" dataDxfId="535"/>
    <tableColumn id="1" name="Код вычета" dataDxfId="534"/>
    <tableColumn id="7" name="Детализация" dataDxfId="533"/>
    <tableColumn id="8" name="2НДФЛ" dataDxfId="532"/>
    <tableColumn id="9" name="Остаток на счете" dataDxfId="53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6" name="Таблица44047" displayName="Таблица44047" ref="A7:L8" totalsRowShown="0" headerRowDxfId="530" dataDxfId="529">
  <autoFilter ref="A7:L8">
    <filterColumn colId="4"/>
    <filterColumn colId="11"/>
  </autoFilter>
  <tableColumns count="12">
    <tableColumn id="2" name="SSYLKA_FL" dataDxfId="528"/>
    <tableColumn id="3" name="NOM_VKL" dataDxfId="527"/>
    <tableColumn id="4" name="NOM_IPS" dataDxfId="526"/>
    <tableColumn id="5" name="Дата операции" dataDxfId="525"/>
    <tableColumn id="7" name="Дата документа" dataDxfId="524"/>
    <tableColumn id="6" name="Тип дохода" dataDxfId="523"/>
    <tableColumn id="8" name="Вычет" dataDxfId="522"/>
    <tableColumn id="9" name="Доход" dataDxfId="521"/>
    <tableColumn id="10" name="Налог" dataDxfId="520"/>
    <tableColumn id="11" name="№ документа" dataDxfId="519"/>
    <tableColumn id="12" name="№ корректируемого документа" dataDxfId="518"/>
    <tableColumn id="13" name="Ставка налога" dataDxfId="517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61" name="Таблица4404762" displayName="Таблица4404762" ref="A12:L13" totalsRowShown="0" headerRowDxfId="516" dataDxfId="515">
  <autoFilter ref="A12:L13"/>
  <tableColumns count="12">
    <tableColumn id="2" name="SSYLKA_FL" dataDxfId="514"/>
    <tableColumn id="3" name="NOM_VKL" dataDxfId="513"/>
    <tableColumn id="4" name="NOM_IPS" dataDxfId="512"/>
    <tableColumn id="5" name="Дата" dataDxfId="511"/>
    <tableColumn id="6" name="Тип дохода" dataDxfId="510"/>
    <tableColumn id="7" name="Тип операции" dataDxfId="509"/>
    <tableColumn id="8" name="Счет" dataDxfId="508"/>
    <tableColumn id="9" name="Субсчет" dataDxfId="507"/>
    <tableColumn id="10" name="Сумма" dataDxfId="506"/>
    <tableColumn id="11" name="№ документа" dataDxfId="505"/>
    <tableColumn id="12" name="№ корректирующего документа" dataDxfId="504"/>
    <tableColumn id="13" name="Ставка налога" dataDxfId="503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07" name="Таблица54138105108" displayName="Таблица54138105108" ref="A2:L3" totalsRowShown="0" headerRowDxfId="502" dataDxfId="500" headerRowBorderDxfId="501" tableBorderDxfId="499" totalsRowBorderDxfId="498">
  <autoFilter ref="A2:L3">
    <filterColumn colId="9"/>
    <filterColumn colId="10"/>
    <filterColumn colId="11"/>
  </autoFilter>
  <tableColumns count="12">
    <tableColumn id="1" name="Ssylka" dataDxfId="497"/>
    <tableColumn id="2" name="nom_vkl" dataDxfId="496"/>
    <tableColumn id="3" name="nom_ips" dataDxfId="495"/>
    <tableColumn id="4" name="ФИО" dataDxfId="494"/>
    <tableColumn id="5" name="Бух.счет" dataDxfId="493"/>
    <tableColumn id="6" name="Код вычета" dataDxfId="492"/>
    <tableColumn id="7" name="Период с" dataDxfId="491"/>
    <tableColumn id="8" name="Период по" dataDxfId="490"/>
    <tableColumn id="9" name="Период с_x000a_(БИТ)" dataDxfId="489"/>
    <tableColumn id="10" name="Период по_x000a_(БИТ)" dataDxfId="488"/>
    <tableColumn id="11" name="Сумма" dataDxfId="487"/>
    <tableColumn id="12" name="Применение вычета в движении" dataDxfId="48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04" name="Таблица54138105" displayName="Таблица54138105" ref="A2:K3" totalsRowShown="0" headerRowDxfId="485" dataDxfId="483" headerRowBorderDxfId="484" tableBorderDxfId="482" totalsRowBorderDxfId="481">
  <autoFilter ref="A2:K3">
    <filterColumn colId="9"/>
    <filterColumn colId="10"/>
  </autoFilter>
  <tableColumns count="11">
    <tableColumn id="1" name="Ssylka" dataDxfId="480"/>
    <tableColumn id="2" name="nom_vkl" dataDxfId="479"/>
    <tableColumn id="3" name="nom_ips" dataDxfId="478"/>
    <tableColumn id="4" name="ФИО" dataDxfId="477"/>
    <tableColumn id="5" name="Бух.счет" dataDxfId="476"/>
    <tableColumn id="6" name="Код вычета" dataDxfId="475"/>
    <tableColumn id="7" name="Период с" dataDxfId="474"/>
    <tableColumn id="8" name="Период по" dataDxfId="473"/>
    <tableColumn id="9" name="Сумма по движению" dataDxfId="472"/>
    <tableColumn id="10" name="Расчетная сумма по БИТ" dataDxfId="471"/>
    <tableColumn id="11" name="Расчетная сумма по БИТ_x000a_по счету" dataDxfId="47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Таблица54138" displayName="Таблица54138" ref="A2:K3" totalsRowShown="0" headerRowDxfId="469" dataDxfId="467" headerRowBorderDxfId="468" tableBorderDxfId="466" totalsRowBorderDxfId="465">
  <autoFilter ref="A2:K3">
    <filterColumn colId="9"/>
    <filterColumn colId="10"/>
  </autoFilter>
  <tableColumns count="11">
    <tableColumn id="1" name="Ssylka" dataDxfId="464"/>
    <tableColumn id="2" name="nom_vkl" dataDxfId="463"/>
    <tableColumn id="3" name="nom_ips" dataDxfId="462"/>
    <tableColumn id="4" name="ФИО" dataDxfId="461"/>
    <tableColumn id="5" name="Тип дохода" dataDxfId="460"/>
    <tableColumn id="6" name="Месяц" dataDxfId="459"/>
    <tableColumn id="7" name="Shifr_schet" dataDxfId="458"/>
    <tableColumn id="8" name="Код вычета_x000a_(ручн)" dataDxfId="457"/>
    <tableColumn id="9" name="Сумма вычета" dataDxfId="456"/>
    <tableColumn id="10" name="Наличие записей в SP_OGR_PV" dataDxfId="455"/>
    <tableColumn id="11" name="Наличие записей в BIT" dataDxfId="45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0" name="Таблица541" displayName="Таблица541" ref="A3:R4" totalsRowShown="0" headerRowDxfId="453" dataDxfId="451" headerRowBorderDxfId="452" tableBorderDxfId="450" totalsRowBorderDxfId="449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48"/>
    <tableColumn id="2" name="Ошибка" dataDxfId="447"/>
    <tableColumn id="3" name="ИД контрагента" dataDxfId="446"/>
    <tableColumn id="4" name="Фамилия" dataDxfId="445"/>
    <tableColumn id="5" name="Имя" dataDxfId="444"/>
    <tableColumn id="6" name="Отчество" dataDxfId="443"/>
    <tableColumn id="7" name="Дата рождения" dataDxfId="442"/>
    <tableColumn id="8" name="ИНН" dataDxfId="441"/>
    <tableColumn id="9" name="Гражданство" dataDxfId="440"/>
    <tableColumn id="10" name="Резидент" dataDxfId="439"/>
    <tableColumn id="11" name="Код УЛ" dataDxfId="438"/>
    <tableColumn id="12" name="Серия и номер УЛ" dataDxfId="437"/>
    <tableColumn id="13" name="№ справки" dataDxfId="436"/>
    <tableColumn id="19" name="ИНН2" dataDxfId="435"/>
    <tableColumn id="14" name="Гражданство2" dataDxfId="434"/>
    <tableColumn id="15" name="Резидент2" dataDxfId="433"/>
    <tableColumn id="16" name="Код УЛ2" dataDxfId="432"/>
    <tableColumn id="17" name="Серия и номер УЛ3" dataDxfId="43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8" name="Таблица444493347" displayName="Таблица444493347" ref="A2:H3" totalsRowShown="0" headerRowDxfId="430" dataDxfId="428" headerRowBorderDxfId="429" tableBorderDxfId="427" totalsRowBorderDxfId="426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25"/>
    <tableColumn id="14" name="Имя файла" dataDxfId="424"/>
    <tableColumn id="1" name="Количество справок" dataDxfId="423"/>
    <tableColumn id="16" name="Фамилия с" dataDxfId="422"/>
    <tableColumn id="17" name="Фамилия по" dataDxfId="421"/>
    <tableColumn id="2" name="№ справки с" dataDxfId="420"/>
    <tableColumn id="3" name="№ справки по" dataDxfId="419"/>
    <tableColumn id="25" name="Признак справки" dataDxfId="418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39" name="Таблица3348" displayName="Таблица3348" ref="A7:G9" totalsRowCount="1" headerRowDxfId="417" headerRowBorderDxfId="416" tableBorderDxfId="415" totalsRowBorderDxfId="414">
  <autoFilter ref="A7:G8"/>
  <tableColumns count="7">
    <tableColumn id="1" name="№_x000a_справки" totalsRowLabel="Итог" dataDxfId="413" totalsRowDxfId="412"/>
    <tableColumn id="2" name="Фамилия" dataDxfId="411" totalsRowDxfId="410"/>
    <tableColumn id="3" name="UI_PERSON" dataDxfId="409" totalsRowDxfId="408"/>
    <tableColumn id="4" name="Резидент" dataDxfId="407" totalsRowDxfId="406"/>
    <tableColumn id="5" name="Гражданство" dataDxfId="405" totalsRowDxfId="404"/>
    <tableColumn id="6" name="Задолженность" totalsRowFunction="sum" dataDxfId="403" totalsRowDxfId="402"/>
    <tableColumn id="7" name="Коррекция №" totalsRowFunction="count" dataDxfId="401" totalsRowDxfId="40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36" name="Таблица44449" displayName="Таблица44449" ref="A4:P5" totalsRowShown="0" headerRowDxfId="399" dataDxfId="398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97"/>
    <tableColumn id="14" name="2" dataDxfId="396"/>
    <tableColumn id="1" name="3" dataDxfId="395"/>
    <tableColumn id="16" name="4" dataDxfId="394"/>
    <tableColumn id="17" name="5" dataDxfId="393"/>
    <tableColumn id="2" name="6" dataDxfId="392"/>
    <tableColumn id="3" name="7" dataDxfId="391"/>
    <tableColumn id="25" name="8" dataDxfId="390"/>
    <tableColumn id="18" name="9" dataDxfId="389"/>
    <tableColumn id="19" name="10" dataDxfId="388"/>
    <tableColumn id="20" name="11" dataDxfId="387"/>
    <tableColumn id="21" name="12" dataDxfId="386"/>
    <tableColumn id="22" name="13" dataDxfId="385"/>
    <tableColumn id="23" name="14" dataDxfId="384"/>
    <tableColumn id="24" name="15" dataDxfId="383"/>
    <tableColumn id="26" name="16" dataDxfId="382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7" name="Таблица354258" displayName="Таблица354258" ref="A2:I3" headerRowDxfId="381" dataDxfId="379" totalsRowDxfId="377" headerRowBorderDxfId="380" tableBorderDxfId="378">
  <autoFilter ref="A2:I3"/>
  <tableColumns count="9">
    <tableColumn id="1" name="Таблица" totalsRowLabel="Итог" dataDxfId="376" totalsRowDxfId="375"/>
    <tableColumn id="3" name="SSYLKA" dataDxfId="374" totalsRowDxfId="373"/>
    <tableColumn id="4" name="Тип дохода" dataDxfId="372" totalsRowDxfId="371"/>
    <tableColumn id="5" name="Фамилия" dataDxfId="370" totalsRowDxfId="369"/>
    <tableColumn id="6" name="Имя" dataDxfId="368" totalsRowDxfId="367"/>
    <tableColumn id="8" name="Отчество" dataDxfId="366" totalsRowDxfId="365"/>
    <tableColumn id="9" name="ДР" dataDxfId="364" totalsRowDxfId="363"/>
    <tableColumn id="10" name="SSYLKA_REAL" dataDxfId="362" totalsRowDxfId="361"/>
    <tableColumn id="11" name="UI_PERSON" dataDxfId="360" totalsRowDxfId="35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0" name="Таблица44051" displayName="Таблица44051" ref="A2:G3" totalsRowShown="0" dataDxfId="358" tableBorderDxfId="357">
  <autoFilter ref="A2:G3"/>
  <tableColumns count="7">
    <tableColumn id="1" name="gf_person" dataDxfId="356"/>
    <tableColumn id="2" name="FND_x000a_SSYLKA" dataDxfId="355"/>
    <tableColumn id="3" name="NOM_VKL" dataDxfId="354"/>
    <tableColumn id="4" name="NOM_IPS" dataDxfId="353"/>
    <tableColumn id="6" name="ФИО" dataDxfId="352"/>
    <tableColumn id="7" name="Дата_x000a_рождения" dataDxfId="351"/>
    <tableColumn id="8" name="Гражданство" dataDxfId="350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1" name="Таблица4405152" displayName="Таблица4405152" ref="A6:I7" totalsRowShown="0" dataDxfId="349">
  <autoFilter ref="A6:I7">
    <filterColumn colId="0"/>
    <filterColumn colId="7"/>
    <filterColumn colId="8"/>
  </autoFilter>
  <tableColumns count="9">
    <tableColumn id="1" name="Дата регистрации" dataDxfId="348"/>
    <tableColumn id="2" name="Период с" dataDxfId="347"/>
    <tableColumn id="3" name="Период по" dataDxfId="346"/>
    <tableColumn id="4" name="Код вычета" dataDxfId="345"/>
    <tableColumn id="6" name="Сумма" dataDxfId="344"/>
    <tableColumn id="7" name="Описание" dataDxfId="343"/>
    <tableColumn id="8" name="Лимит дохода" dataDxfId="342"/>
    <tableColumn id="5" name="tdappid" dataDxfId="341"/>
    <tableColumn id="9" name="rid" dataDxfId="340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5" name="Таблица440515256" displayName="Таблица440515256" ref="A10:G11" totalsRowShown="0" dataDxfId="339">
  <autoFilter ref="A10:G11">
    <filterColumn colId="5"/>
    <filterColumn colId="6"/>
  </autoFilter>
  <tableColumns count="7">
    <tableColumn id="2" name="Период с" dataDxfId="338"/>
    <tableColumn id="3" name="Период по" dataDxfId="337"/>
    <tableColumn id="4" name="Shifr_schet" dataDxfId="336"/>
    <tableColumn id="7" name="Описваание" dataDxfId="335"/>
    <tableColumn id="8" name="Описание" dataDxfId="334"/>
    <tableColumn id="5" name="tdappid" dataDxfId="333"/>
    <tableColumn id="9" name="rid" dataDxfId="332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56" name="Таблица44051525657" displayName="Таблица44051525657" ref="A14:G15" totalsRowShown="0" dataDxfId="331">
  <autoFilter ref="A14:G15">
    <filterColumn colId="6"/>
  </autoFilter>
  <tableColumns count="7">
    <tableColumn id="1" name="Дата операции" dataDxfId="330"/>
    <tableColumn id="2" name="Тип движения" dataDxfId="329"/>
    <tableColumn id="3" name="SHIFR_SCHET" dataDxfId="328"/>
    <tableColumn id="4" name="Сумма" dataDxfId="327"/>
    <tableColumn id="6" name="Документ" dataDxfId="326"/>
    <tableColumn id="7" name="Корректирующий документ" dataDxfId="325"/>
    <tableColumn id="10" name="Субсчет" dataDxfId="324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97" name="Таблица97" displayName="Таблица97" ref="A19:D20" totalsRowShown="0" headerRowBorderDxfId="323">
  <autoFilter ref="A19:D20"/>
  <tableColumns count="4">
    <tableColumn id="1" name="Дата операции" dataDxfId="322"/>
    <tableColumn id="2" name="SHIFR_SCHET" dataDxfId="321"/>
    <tableColumn id="3" name="Код вычета" dataDxfId="320"/>
    <tableColumn id="4" name="Сумма" dataDxfId="31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8" name="Таблица98" displayName="Таблица98" ref="A23:E24" totalsRowShown="0" headerRowDxfId="318" dataDxfId="316" headerRowBorderDxfId="317" tableBorderDxfId="315">
  <autoFilter ref="A23:E24"/>
  <tableColumns count="5">
    <tableColumn id="1" name="Тип дохода" dataDxfId="314"/>
    <tableColumn id="2" name="Месяц" dataDxfId="313"/>
    <tableColumn id="3" name="Код вычета" dataDxfId="312"/>
    <tableColumn id="4" name="Сумма" dataDxfId="311"/>
    <tableColumn id="5" name="Номер корректировки" dataDxfId="31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9" name="Menu" displayName="Menu" ref="D2:E42" totalsRowShown="0">
  <autoFilter ref="D2:E4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0" name="Actions" displayName="Actions" ref="G2:M73" totalsRowShown="0">
  <autoFilter ref="G2:M73">
    <filterColumn colId="3"/>
    <filterColumn colId="4"/>
    <filterColumn colId="5"/>
    <filterColumn colId="6"/>
  </autoFilter>
  <tableColumns count="7">
    <tableColumn id="1" name="Code"/>
    <tableColumn id="2" name="Type"/>
    <tableColumn id="3" name="ActionCode"/>
    <tableColumn id="4" name="AfterAction"/>
    <tableColumn id="8" name="ActionParameter"/>
    <tableColumn id="5" name="RepeatCode"/>
    <tableColumn id="7" name="Disabled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1" name="Programs" displayName="Programs" ref="Z2:AD16" totalsRowShown="0">
  <autoFilter ref="Z2:AD1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2" name="Reports" displayName="Reports" ref="O2:U67" totalsRowShown="0">
  <autoFilter ref="O2:U67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3" name="SubReports" displayName="SubReports" ref="W2:X36" totalsRowShown="0">
  <autoFilter ref="W2:X36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4" name="GeneralOptions" displayName="GeneralOptions" ref="A2:B16" headerRowBorderDxfId="309" tableBorderDxfId="308" totalsRowBorderDxfId="307">
  <autoFilter ref="A2:B16"/>
  <tableColumns count="2">
    <tableColumn id="1" name="Key" totalsRowLabel="Итог" totalsRowDxfId="306"/>
    <tableColumn id="2" name="Value" totalsRowFunction="count" totalsRowDxfId="30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7" name="ActionTypes" displayName="ActionTypes" ref="AN2:AN4" totalsRowShown="0" tableBorderDxfId="304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8" name="CreateModes" displayName="CreateMod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0" name="ReportTypes" displayName="ReportTypes" ref="AR2:AR5" totalsRowShown="0">
  <autoFilter ref="AR2:AR5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15" name="ProgramTypes" displayName="ProgramTypes" ref="AT2:AT4" totalsRowShown="0">
  <autoFilter ref="AT2:AT4"/>
  <tableColumns count="1">
    <tableColumn id="1" name="Cod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19" name="ParamPurpose" displayName="ParamPurpose" ref="AV2:AV3" totalsRowShown="0">
  <autoFilter ref="AV2:AV3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ReturnTypes" displayName="ReturnTypes" ref="AX2:AX3" totalsRowShown="0">
  <autoFilter ref="AX2:AX3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3" name="Direction" displayName="Direction" ref="AZ2:AZ4" totalsRowShown="0">
  <autoFilter ref="AZ2:AZ4"/>
  <tableColumns count="1">
    <tableColumn id="1" name="Cod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2" name="Parameters" displayName="Parameters" ref="AF2:AL34" totalsRowShown="0">
  <autoFilter ref="AF2:AL34">
    <filterColumn colId="5"/>
    <filterColumn colId="6"/>
  </autoFilter>
  <tableColumns count="7">
    <tableColumn id="1" name="Program" dataDxfId="30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4" name="YesNo" displayName="YesNo" ref="BB2:BB4" totalsRowShown="0">
  <autoFilter ref="BB2:BB4"/>
  <tableColumns count="1">
    <tableColumn id="1" name="Cod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7" name="AfterAction" displayName="AfterAction" ref="BD2:BD4" totalsRowShown="0">
  <autoFilter ref="BD2:BD4"/>
  <tableColumns count="1">
    <tableColumn id="1" name="Cod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7" name="CommonTokens" displayName="CommonTokens" ref="BF2:BG6" totalsRowShown="0">
  <autoFilter ref="BF2:BG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1" name="Таблица3542" displayName="Таблица3542" ref="A6:O8" totalsRowCount="1" headerRowDxfId="290" dataDxfId="289">
  <autoFilter ref="A6:O7">
    <filterColumn colId="0"/>
    <filterColumn colId="9"/>
    <filterColumn colId="10"/>
    <filterColumn colId="11"/>
    <filterColumn colId="12"/>
  </autoFilter>
  <tableColumns count="15">
    <tableColumn id="21" name="1" dataDxfId="288" totalsRowDxfId="287"/>
    <tableColumn id="1" name="2" totalsRowLabel="Итог" dataDxfId="286" totalsRowDxfId="285"/>
    <tableColumn id="3" name="3" dataDxfId="284" totalsRowDxfId="283"/>
    <tableColumn id="4" name="4" dataDxfId="282" totalsRowDxfId="281"/>
    <tableColumn id="6" name="6" dataDxfId="280" totalsRowDxfId="279"/>
    <tableColumn id="8" name="7" dataDxfId="278" totalsRowDxfId="277"/>
    <tableColumn id="9" name="8" dataDxfId="276" totalsRowDxfId="275"/>
    <tableColumn id="10" name="9" dataDxfId="274" totalsRowDxfId="273"/>
    <tableColumn id="11" name="10" dataDxfId="272" totalsRowDxfId="271"/>
    <tableColumn id="17" name="11" dataDxfId="270" totalsRowDxfId="269"/>
    <tableColumn id="16" name="12" dataDxfId="268" totalsRowDxfId="267"/>
    <tableColumn id="7" name="13" dataDxfId="266" totalsRowDxfId="265"/>
    <tableColumn id="2" name="14" dataDxfId="264" totalsRowDxfId="263"/>
    <tableColumn id="14" name="15" dataDxfId="262" totalsRowDxfId="261"/>
    <tableColumn id="12" name="16" dataDxfId="260" totalsRowDxfId="259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54" name="Таблица354255" displayName="Таблица354255" ref="A14:O16" totalsRowCount="1" headerRowDxfId="258" dataDxfId="257">
  <autoFilter ref="A14:O15"/>
  <tableColumns count="15">
    <tableColumn id="21" name="1" dataDxfId="256" totalsRowDxfId="255"/>
    <tableColumn id="1" name="2" totalsRowLabel="Итог" dataDxfId="254" totalsRowDxfId="253"/>
    <tableColumn id="3" name="3" dataDxfId="252" totalsRowDxfId="251"/>
    <tableColumn id="4" name="4" dataDxfId="250" totalsRowDxfId="249"/>
    <tableColumn id="6" name="6" dataDxfId="248" totalsRowDxfId="247"/>
    <tableColumn id="8" name="7" dataDxfId="246" totalsRowDxfId="245"/>
    <tableColumn id="9" name="8" dataDxfId="244" totalsRowDxfId="243"/>
    <tableColumn id="10" name="9" dataDxfId="242" totalsRowDxfId="241"/>
    <tableColumn id="11" name="10" dataDxfId="240" totalsRowDxfId="239"/>
    <tableColumn id="17" name="11" dataDxfId="238" totalsRowDxfId="237"/>
    <tableColumn id="16" name="12" dataDxfId="236" totalsRowDxfId="235"/>
    <tableColumn id="7" name="13" dataDxfId="234" totalsRowDxfId="233"/>
    <tableColumn id="2" name="14" dataDxfId="232" totalsRowDxfId="231"/>
    <tableColumn id="14" name="15" dataDxfId="230" totalsRowDxfId="229"/>
    <tableColumn id="12" name="16" dataDxfId="228" totalsRowDxfId="227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58" name="Таблица35425559" displayName="Таблица35425559" ref="A22:O24" totalsRowCount="1" headerRowDxfId="226" dataDxfId="225">
  <autoFilter ref="A22:O23"/>
  <tableColumns count="15">
    <tableColumn id="21" name="1" dataDxfId="224" totalsRowDxfId="223"/>
    <tableColumn id="1" name="2" totalsRowLabel="Итог" dataDxfId="222" totalsRowDxfId="221"/>
    <tableColumn id="3" name="3" dataDxfId="220" totalsRowDxfId="219"/>
    <tableColumn id="4" name="4" dataDxfId="218" totalsRowDxfId="217"/>
    <tableColumn id="6" name="6" dataDxfId="216" totalsRowDxfId="215"/>
    <tableColumn id="8" name="7" dataDxfId="214" totalsRowDxfId="213"/>
    <tableColumn id="9" name="8" dataDxfId="212" totalsRowDxfId="211"/>
    <tableColumn id="10" name="9" dataDxfId="210" totalsRowDxfId="209"/>
    <tableColumn id="11" name="10" dataDxfId="208" totalsRowDxfId="207"/>
    <tableColumn id="17" name="11" dataDxfId="206" totalsRowDxfId="205"/>
    <tableColumn id="16" name="12" dataDxfId="204" totalsRowDxfId="203"/>
    <tableColumn id="7" name="13" dataDxfId="202" totalsRowDxfId="201"/>
    <tableColumn id="2" name="14" dataDxfId="200" totalsRowDxfId="199"/>
    <tableColumn id="14" name="15" dataDxfId="198" totalsRowDxfId="197"/>
    <tableColumn id="12" name="16" dataDxfId="196" totalsRowDxfId="195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16" name="Таблица16" displayName="Таблица16" ref="C3:C6" totalsRowShown="0" headerRowDxfId="194" dataDxfId="193" tableBorderDxfId="192">
  <tableColumns count="1">
    <tableColumn id="1" name="Столбец1" dataDxfId="191"/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id="45" name="Таблица440" displayName="Таблица440" ref="A2:N3" totalsRowShown="0" dataDxfId="190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189"/>
    <tableColumn id="20" name="ID справки" dataDxfId="188"/>
    <tableColumn id="15" name="№ справки" dataDxfId="187"/>
    <tableColumn id="16" name="№ коррекции" dataDxfId="186"/>
    <tableColumn id="1" name="GF_PERSON" dataDxfId="185"/>
    <tableColumn id="2" name="FND_x000a_SSYLKA" dataDxfId="184"/>
    <tableColumn id="17" name="NOM_VKL" dataDxfId="183"/>
    <tableColumn id="18" name="NOM_IPS" dataDxfId="182"/>
    <tableColumn id="4" name="Показатель" dataDxfId="181"/>
    <tableColumn id="5" name="Код показателя" dataDxfId="180"/>
    <tableColumn id="6" name="Сумма" dataDxfId="179"/>
    <tableColumn id="21" name="Месяц" dataDxfId="178"/>
    <tableColumn id="22" name="ФИО" dataDxfId="177"/>
    <tableColumn id="7" name="Описание" dataDxfId="176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34" name="Таблица2435" displayName="Таблица2435" ref="A4:L5" totalsRowShown="0" headerRowDxfId="175" dataDxfId="173" headerRowBorderDxfId="174" tableBorderDxfId="172" totalsRowBorderDxfId="171">
  <autoFilter ref="A4:L5">
    <filterColumn colId="1"/>
    <filterColumn colId="8"/>
    <filterColumn colId="9"/>
    <filterColumn colId="10"/>
    <filterColumn colId="11"/>
  </autoFilter>
  <tableColumns count="12">
    <tableColumn id="5" name="1" dataDxfId="170"/>
    <tableColumn id="3" name="2" dataDxfId="169"/>
    <tableColumn id="2" name="3" dataDxfId="168"/>
    <tableColumn id="6" name="4" dataDxfId="167"/>
    <tableColumn id="7" name="5" dataDxfId="166"/>
    <tableColumn id="10" name="6" dataDxfId="165"/>
    <tableColumn id="11" name="7" dataDxfId="164"/>
    <tableColumn id="12" name="8" dataDxfId="163"/>
    <tableColumn id="1" name="9" dataDxfId="162"/>
    <tableColumn id="4" name="10" dataDxfId="161"/>
    <tableColumn id="9" name="12" dataDxfId="160"/>
    <tableColumn id="8" name="11" dataDxfId="159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26" name="Таблица26" displayName="Таблица26" ref="B6:D7" totalsRowShown="0" headerRowDxfId="158" headerRowBorderDxfId="157" tableBorderDxfId="156" headerRowCellStyle="Обычный 4">
  <autoFilter ref="B6:D7"/>
  <tableColumns count="3">
    <tableColumn id="1" name="100" dataDxfId="155" dataCellStyle="Обычный 4"/>
    <tableColumn id="2" name="130" dataDxfId="154" dataCellStyle="Обычный 4"/>
    <tableColumn id="3" name="140" dataDxfId="153" dataCellStyle="Обычный 4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52" dataDxfId="151"/>
  </tableColumns>
  <tableStyleInfo showFirstColumn="0" showLastColumn="0" showRowStripes="0" showColumnStripes="0"/>
</table>
</file>

<file path=xl/tables/table51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50" dataDxfId="149"/>
  </tableColumns>
  <tableStyleInfo showFirstColumn="0" showLastColumn="0" showRowStripes="0" showColumnStripes="0"/>
</table>
</file>

<file path=xl/tables/table52.xml><?xml version="1.0" encoding="utf-8"?>
<table xmlns="http://schemas.openxmlformats.org/spreadsheetml/2006/main" id="4" name="Таблица4" displayName="Таблица4" ref="B5:E5" headerRowCount="0" totalsRowShown="0" headerRowDxfId="148" dataDxfId="147" tableBorderDxfId="146" totalsRowBorderDxfId="145">
  <tableColumns count="4">
    <tableColumn id="1" name="Столбец1" headerRowDxfId="144" dataDxfId="143" dataCellStyle="Обычный 4"/>
    <tableColumn id="2" name="Столбец2" headerRowDxfId="142" dataDxfId="141" headerRowCellStyle="Обычный 4" dataCellStyle="Обычный 4"/>
    <tableColumn id="3" name="Столбец3" headerRowDxfId="140" dataDxfId="139"/>
    <tableColumn id="4" name="Столбец4" headerRowDxfId="138" dataDxfId="137" headerRowCellStyle="Обычный 4" dataCellStyle="Обычный 4"/>
  </tableColumns>
  <tableStyleInfo name="TableStyleLight1" showFirstColumn="0" showLastColumn="0" showRowStripes="0" showColumnStripes="0"/>
</table>
</file>

<file path=xl/tables/table53.xml><?xml version="1.0" encoding="utf-8"?>
<table xmlns="http://schemas.openxmlformats.org/spreadsheetml/2006/main" id="29" name="Таблица29" displayName="Таблица29" ref="A4:H5" headerRowCount="0" totalsRowCount="1" headerRowDxfId="136" dataDxfId="135">
  <tableColumns count="8">
    <tableColumn id="1" name="Столбец1" totalsRowLabel="Итого:" headerRowDxfId="134" dataDxfId="133" totalsRowDxfId="132"/>
    <tableColumn id="2" name="Столбец2" headerRowDxfId="131" dataDxfId="130" totalsRowDxfId="129"/>
    <tableColumn id="3" name="Столбец3" totalsRowFunction="sum" headerRowDxfId="128" dataDxfId="127" totalsRowDxfId="126"/>
    <tableColumn id="4" name="Столбец4" totalsRowFunction="sum" headerRowDxfId="125" dataDxfId="124" totalsRowDxfId="123"/>
    <tableColumn id="5" name="Столбец5" totalsRowFunction="sum" headerRowDxfId="122" dataDxfId="121" totalsRowDxfId="120"/>
    <tableColumn id="6" name="Столбец6" totalsRowFunction="sum" headerRowDxfId="119" dataDxfId="118" totalsRowDxfId="117"/>
    <tableColumn id="7" name="Столбец7" totalsRowFunction="sum" headerRowDxfId="116" dataDxfId="115" totalsRowDxfId="114"/>
    <tableColumn id="8" name="Столбец8" totalsRowFunction="sum" headerRowDxfId="113" dataDxfId="112" totalsRowDxfId="111"/>
  </tableColumns>
  <tableStyleInfo name="TableStyleLight1" showFirstColumn="0" showLastColumn="0" showRowStripes="0" showColumnStripes="0"/>
</table>
</file>

<file path=xl/tables/table54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10" totalsRowDxfId="109"/>
    <tableColumn id="4" name="Столбец2" dataDxfId="108"/>
    <tableColumn id="5" name="итог" dataDxfId="107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55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06"/>
    <tableColumn id="2" name="Столбец2"/>
    <tableColumn id="3" name="Столбец3" totalsRowFunction="sum" headerRowDxfId="105" dataDxfId="104" totalsRowDxfId="10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56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7.xml><?xml version="1.0" encoding="utf-8"?>
<table xmlns="http://schemas.openxmlformats.org/spreadsheetml/2006/main" id="47" name="Таблица47" displayName="Таблица47" ref="A23:F25" totalsRowCount="1" headerRowDxfId="102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01"/>
    <tableColumn id="5" name="Налог удержанный" totalsRowFunction="sum" dataDxfId="100"/>
    <tableColumn id="6" name="Разница" totalsRowFunction="sum" dataDxfId="99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8" name="Таблица8" displayName="Таблица8" ref="A1:D2" insertRow="1" totalsRowShown="0" headerRowDxfId="98" headerRowBorderDxfId="97" tableBorderDxfId="96" totalsRowBorderDxfId="95">
  <autoFilter ref="A1:D2">
    <filterColumn colId="2"/>
    <filterColumn colId="3"/>
  </autoFilter>
  <tableColumns count="4">
    <tableColumn id="1" name="ФИО" dataDxfId="94"/>
    <tableColumn id="5" name="Дата рождения" dataDxfId="93"/>
    <tableColumn id="2" name="Снилс"/>
    <tableColumn id="3" name="ИНН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25" name="Таблица8526" displayName="Таблица8526" ref="A2:I3" totalsRowShown="0" headerRowDxfId="92" headerRowBorderDxfId="91" tableBorderDxfId="90" totalsRowBorderDxfId="89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88"/>
    <tableColumn id="6" name="Имя" dataDxfId="87"/>
    <tableColumn id="4" name="Отчество" dataDxfId="86"/>
    <tableColumn id="5" name="Дата рождения" dataDxfId="85"/>
    <tableColumn id="3" name="ИНН" dataDxfId="84"/>
    <tableColumn id="1" name="Участник/Не участник" dataDxfId="83"/>
    <tableColumn id="2" name="Доход" dataDxfId="82"/>
    <tableColumn id="8" name="Пенсионные схемы" dataDxfId="81"/>
    <tableColumn id="9" name="Типы дохода" dataDxfId="80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101" name="Таблица44047102" displayName="Таблица44047102" ref="A7:I8" totalsRowShown="0" headerRowDxfId="79" dataDxfId="78">
  <autoFilter ref="A7:I8">
    <filterColumn colId="3"/>
  </autoFilter>
  <tableColumns count="9">
    <tableColumn id="3" name="№ справки" dataDxfId="77"/>
    <tableColumn id="4" name="№ корр" dataDxfId="76"/>
    <tableColumn id="5" name="Ставка налога" dataDxfId="75"/>
    <tableColumn id="7" name="Годовой доход" dataDxfId="74"/>
    <tableColumn id="6" name="Облагаемый доход" dataDxfId="73"/>
    <tableColumn id="8" name="Налог исчисленный" dataDxfId="72"/>
    <tableColumn id="9" name="Налог удержанный" dataDxfId="71"/>
    <tableColumn id="10" name="Переплата" dataDxfId="70"/>
    <tableColumn id="11" name="Недоплата" dataDxfId="69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id="122" name="Таблица4404762103122123" displayName="Таблица4404762103122123" ref="A12:F13" totalsRowShown="0" headerRowDxfId="68" dataDxfId="67">
  <autoFilter ref="A12:F13"/>
  <tableColumns count="6">
    <tableColumn id="3" name="№ справки" dataDxfId="66"/>
    <tableColumn id="4" name="№ корр" dataDxfId="65"/>
    <tableColumn id="5" name="Ставка налога" dataDxfId="64"/>
    <tableColumn id="6" name="Код вычета" dataDxfId="63"/>
    <tableColumn id="7" name="Сумма предоставленная" dataDxfId="62"/>
    <tableColumn id="8" name="Сумма использованная" dataDxfId="61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125" name="Таблица4404762103122123126" displayName="Таблица4404762103122123126" ref="A16:G17" totalsRowShown="0" headerRowDxfId="60" dataDxfId="59">
  <autoFilter ref="A16:G17">
    <filterColumn colId="6"/>
  </autoFilter>
  <tableColumns count="7">
    <tableColumn id="3" name="№ справки" dataDxfId="58"/>
    <tableColumn id="4" name="№ корр" dataDxfId="57"/>
    <tableColumn id="5" name="Ставка налога" dataDxfId="56"/>
    <tableColumn id="6" name="Код дохода" dataDxfId="55"/>
    <tableColumn id="7" name="Сумма дохода" dataDxfId="54"/>
    <tableColumn id="8" name="Код вычета" dataDxfId="53"/>
    <tableColumn id="1" name="Сумма вычета" dataDxfId="52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28" name="Таблица5229" displayName="Таблица5229" ref="A5:P6" headerRowDxfId="3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0"/>
    <tableColumn id="2" name="Фамилия" dataDxfId="29" totalsRowDxfId="28"/>
    <tableColumn id="3" name="Имя" dataDxfId="27" totalsRowDxfId="26"/>
    <tableColumn id="4" name="Отчество" dataDxfId="25" totalsRowDxfId="24"/>
    <tableColumn id="9" name="SSYLKA" dataDxfId="23" totalsRowDxfId="22"/>
    <tableColumn id="10" name="Вкладчик" dataDxfId="21" totalsRowDxfId="20"/>
    <tableColumn id="11" name="ИПС" dataDxfId="19" totalsRowDxfId="18"/>
    <tableColumn id="12" name="Пенс.схема" dataDxfId="17" totalsRowDxfId="16"/>
    <tableColumn id="14" name="Счет дохода" dataDxfId="15" totalsRowDxfId="14"/>
    <tableColumn id="5" name="Счет налога" dataDxfId="13" totalsRowDxfId="12"/>
    <tableColumn id="16" name="Доход" dataDxfId="11" totalsRowDxfId="10"/>
    <tableColumn id="15" name="Вычет" dataDxfId="9" totalsRowDxfId="8"/>
    <tableColumn id="13" name="Налог" dataDxfId="7" totalsRowDxfId="6"/>
    <tableColumn id="18" name="Удержано налога" dataDxfId="5" totalsRowDxfId="4"/>
    <tableColumn id="17" name="Исчислено налога" dataDxfId="3" totalsRowDxfId="2"/>
    <tableColumn id="8" name="Недоплата2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Relationship Id="rId4" Type="http://schemas.openxmlformats.org/officeDocument/2006/relationships/table" Target="../tables/table5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2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table" Target="../tables/table5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6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327" t="s">
        <v>248</v>
      </c>
      <c r="B1" s="328"/>
      <c r="C1" s="328"/>
      <c r="D1" s="328"/>
      <c r="E1" s="328"/>
      <c r="F1" s="328"/>
      <c r="G1" s="328"/>
      <c r="H1" s="328"/>
      <c r="I1" s="328"/>
      <c r="J1" s="328"/>
    </row>
    <row r="2" spans="1:10" ht="31.5" customHeight="1">
      <c r="A2" s="325" t="s">
        <v>4</v>
      </c>
      <c r="B2" s="325"/>
      <c r="C2" s="325"/>
      <c r="D2" s="325"/>
      <c r="E2" s="325"/>
      <c r="F2" s="326" t="s">
        <v>23</v>
      </c>
      <c r="G2" s="326"/>
      <c r="H2" s="326"/>
      <c r="I2" s="326"/>
      <c r="J2" s="326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329" t="s">
        <v>248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  <c r="P1" s="329"/>
    </row>
    <row r="2" spans="1:16" ht="31.5" customHeight="1">
      <c r="A2" s="334" t="s">
        <v>4</v>
      </c>
      <c r="B2" s="335"/>
      <c r="C2" s="335"/>
      <c r="D2" s="335"/>
      <c r="E2" s="335"/>
      <c r="F2" s="335"/>
      <c r="G2" s="335"/>
      <c r="H2" s="335"/>
      <c r="I2" s="336"/>
      <c r="J2" s="337" t="s">
        <v>23</v>
      </c>
      <c r="K2" s="338"/>
      <c r="L2" s="338"/>
      <c r="M2" s="338"/>
      <c r="N2" s="338"/>
      <c r="O2" s="338"/>
      <c r="P2" s="339"/>
    </row>
    <row r="3" spans="1:16" ht="24" customHeight="1">
      <c r="A3" s="340" t="s">
        <v>0</v>
      </c>
      <c r="B3" s="342" t="s">
        <v>29</v>
      </c>
      <c r="C3" s="342" t="s">
        <v>3</v>
      </c>
      <c r="D3" s="342" t="s">
        <v>30</v>
      </c>
      <c r="E3" s="344" t="s">
        <v>5</v>
      </c>
      <c r="F3" s="345"/>
      <c r="G3" s="346"/>
      <c r="H3" s="344" t="s">
        <v>6</v>
      </c>
      <c r="I3" s="347"/>
      <c r="J3" s="348" t="s">
        <v>28</v>
      </c>
      <c r="K3" s="348" t="s">
        <v>32</v>
      </c>
      <c r="L3" s="330" t="s">
        <v>5</v>
      </c>
      <c r="M3" s="331"/>
      <c r="N3" s="332"/>
      <c r="O3" s="330" t="s">
        <v>6</v>
      </c>
      <c r="P3" s="333"/>
    </row>
    <row r="4" spans="1:16" ht="38.25" customHeight="1">
      <c r="A4" s="341"/>
      <c r="B4" s="343"/>
      <c r="C4" s="343"/>
      <c r="D4" s="343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49"/>
      <c r="K4" s="349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329" t="s">
        <v>249</v>
      </c>
      <c r="B1" s="329"/>
      <c r="C1" s="329"/>
      <c r="D1" s="329"/>
      <c r="E1" s="329"/>
      <c r="F1" s="329"/>
      <c r="G1" s="329"/>
      <c r="H1" s="329"/>
      <c r="I1" s="329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50" t="s">
        <v>250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</row>
    <row r="2" spans="1:18" ht="31.5" customHeight="1">
      <c r="A2" s="325" t="s">
        <v>59</v>
      </c>
      <c r="B2" s="325"/>
      <c r="C2" s="325"/>
      <c r="D2" s="325"/>
      <c r="E2" s="325" t="s">
        <v>58</v>
      </c>
      <c r="F2" s="325"/>
      <c r="G2" s="325"/>
      <c r="H2" s="325"/>
      <c r="I2" s="325"/>
      <c r="J2" s="325"/>
      <c r="K2" s="351" t="s">
        <v>52</v>
      </c>
      <c r="L2" s="351" t="s">
        <v>53</v>
      </c>
      <c r="M2" s="351" t="s">
        <v>38</v>
      </c>
      <c r="N2" s="351" t="s">
        <v>54</v>
      </c>
      <c r="O2" s="325" t="s">
        <v>60</v>
      </c>
      <c r="P2" s="325"/>
      <c r="Q2" s="325"/>
      <c r="R2" s="325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51"/>
      <c r="L3" s="351"/>
      <c r="M3" s="351"/>
      <c r="N3" s="351"/>
      <c r="O3" s="177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6"/>
  <sheetViews>
    <sheetView showGridLines="0" topLeftCell="A34" workbookViewId="0">
      <selection activeCell="B39" sqref="B39"/>
    </sheetView>
  </sheetViews>
  <sheetFormatPr defaultRowHeight="15"/>
  <cols>
    <col min="1" max="1" width="33.28515625" customWidth="1"/>
    <col min="2" max="3" width="29.7109375" customWidth="1"/>
    <col min="4" max="4" width="2.5703125" customWidth="1"/>
    <col min="5" max="8" width="29.7109375" customWidth="1"/>
  </cols>
  <sheetData>
    <row r="1" spans="1:8" ht="33.75" customHeight="1">
      <c r="A1" s="353" t="s">
        <v>292</v>
      </c>
      <c r="B1" s="354"/>
      <c r="C1" s="354"/>
      <c r="D1" s="354"/>
      <c r="E1" s="354"/>
      <c r="F1" s="354"/>
      <c r="G1" s="354"/>
      <c r="H1" s="354"/>
    </row>
    <row r="2" spans="1:8" ht="15.75" customHeight="1">
      <c r="A2" s="358"/>
      <c r="B2" s="358"/>
      <c r="C2" s="358"/>
      <c r="D2" s="358"/>
      <c r="E2" s="358"/>
      <c r="F2" s="358"/>
      <c r="G2" s="358"/>
      <c r="H2" s="358"/>
    </row>
    <row r="3" spans="1:8" ht="27" customHeight="1">
      <c r="A3" s="355" t="s">
        <v>267</v>
      </c>
      <c r="B3" s="355"/>
      <c r="C3" s="355"/>
      <c r="D3" s="117"/>
      <c r="E3" s="355" t="s">
        <v>268</v>
      </c>
      <c r="F3" s="355"/>
      <c r="G3" s="355"/>
      <c r="H3" s="355"/>
    </row>
    <row r="4" spans="1:8">
      <c r="A4" s="152" t="s">
        <v>285</v>
      </c>
      <c r="B4" s="153" t="s">
        <v>269</v>
      </c>
      <c r="C4" s="153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4" t="s">
        <v>272</v>
      </c>
      <c r="B5" s="155"/>
      <c r="C5" s="155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4" t="s">
        <v>273</v>
      </c>
      <c r="B6" s="155"/>
      <c r="C6" s="155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4" t="s">
        <v>274</v>
      </c>
      <c r="B7" s="155"/>
      <c r="C7" s="155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4" t="s">
        <v>275</v>
      </c>
      <c r="B8" s="155"/>
      <c r="C8" s="156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4" t="s">
        <v>276</v>
      </c>
      <c r="B9" s="155"/>
      <c r="C9" s="156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4" t="s">
        <v>277</v>
      </c>
      <c r="B10" s="155"/>
      <c r="C10" s="155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4" t="s">
        <v>278</v>
      </c>
      <c r="B11" s="155"/>
      <c r="C11" s="157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4" t="s">
        <v>279</v>
      </c>
      <c r="B12" s="155"/>
      <c r="C12" s="157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4" t="s">
        <v>280</v>
      </c>
      <c r="B13" s="155"/>
      <c r="C13" s="157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39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56" t="s">
        <v>283</v>
      </c>
      <c r="B18" s="356"/>
      <c r="C18" s="356"/>
      <c r="D18" s="119"/>
      <c r="E18" s="356" t="s">
        <v>284</v>
      </c>
      <c r="F18" s="356"/>
      <c r="G18" s="356"/>
      <c r="H18" s="356"/>
    </row>
    <row r="19" spans="1:8" ht="14.25" customHeight="1">
      <c r="A19" s="356"/>
      <c r="B19" s="356"/>
      <c r="C19" s="356"/>
      <c r="D19" s="118"/>
      <c r="E19" s="357" t="s">
        <v>269</v>
      </c>
      <c r="F19" s="357"/>
      <c r="G19" s="357" t="s">
        <v>270</v>
      </c>
      <c r="H19" s="357"/>
    </row>
    <row r="20" spans="1:8">
      <c r="A20" s="125" t="s">
        <v>285</v>
      </c>
      <c r="B20" s="145" t="s">
        <v>269</v>
      </c>
      <c r="C20" s="125" t="s">
        <v>270</v>
      </c>
      <c r="D20" s="147" t="s">
        <v>135</v>
      </c>
      <c r="E20" s="148" t="s">
        <v>286</v>
      </c>
      <c r="F20" s="146" t="s">
        <v>287</v>
      </c>
      <c r="G20" s="144" t="s">
        <v>295</v>
      </c>
      <c r="H20" s="144" t="s">
        <v>296</v>
      </c>
    </row>
    <row r="21" spans="1:8" ht="18">
      <c r="A21" s="126" t="s">
        <v>266</v>
      </c>
      <c r="B21" s="123"/>
      <c r="C21" s="123"/>
      <c r="D21" s="143"/>
      <c r="E21" s="123"/>
      <c r="F21" s="123"/>
      <c r="G21" s="123"/>
      <c r="H21" s="123"/>
    </row>
    <row r="22" spans="1:8" ht="18">
      <c r="A22" s="151"/>
      <c r="B22" s="123"/>
      <c r="C22" s="123"/>
      <c r="D22" s="143"/>
      <c r="E22" s="123"/>
      <c r="F22" s="123"/>
      <c r="G22" s="123"/>
      <c r="H22" s="123"/>
    </row>
    <row r="23" spans="1:8" ht="18">
      <c r="A23" s="151"/>
      <c r="B23" s="123"/>
      <c r="C23" s="123"/>
      <c r="D23" s="143"/>
      <c r="E23" s="123"/>
      <c r="F23" s="123"/>
      <c r="G23" s="123"/>
      <c r="H23" s="123"/>
    </row>
    <row r="24" spans="1:8" ht="18">
      <c r="A24" s="151"/>
      <c r="B24" s="123"/>
      <c r="C24" s="123"/>
      <c r="D24" s="143"/>
      <c r="E24" s="123"/>
      <c r="F24" s="123"/>
      <c r="G24" s="123"/>
      <c r="H24" s="123"/>
    </row>
    <row r="25" spans="1:8" ht="18">
      <c r="A25" s="151"/>
      <c r="B25" s="123"/>
      <c r="C25" s="123"/>
      <c r="D25" s="143"/>
      <c r="E25" s="123"/>
      <c r="F25" s="123"/>
      <c r="G25" s="123"/>
      <c r="H25" s="123"/>
    </row>
    <row r="26" spans="1:8" ht="18">
      <c r="A26" s="151"/>
      <c r="B26" s="123"/>
      <c r="C26" s="123"/>
      <c r="D26" s="143"/>
      <c r="E26" s="123"/>
      <c r="F26" s="123"/>
      <c r="G26" s="123"/>
      <c r="H26" s="123"/>
    </row>
    <row r="27" spans="1:8" ht="18">
      <c r="A27" s="151"/>
      <c r="B27" s="123"/>
      <c r="C27" s="123"/>
      <c r="D27" s="143"/>
      <c r="E27" s="123"/>
      <c r="F27" s="123"/>
      <c r="G27" s="123"/>
      <c r="H27" s="123"/>
    </row>
    <row r="28" spans="1:8" ht="18">
      <c r="A28" s="151"/>
      <c r="B28" s="123"/>
      <c r="C28" s="123"/>
      <c r="D28" s="143"/>
      <c r="E28" s="123"/>
      <c r="F28" s="123"/>
      <c r="G28" s="123"/>
      <c r="H28" s="123"/>
    </row>
    <row r="29" spans="1:8" ht="18">
      <c r="A29" s="151"/>
      <c r="B29" s="123"/>
      <c r="C29" s="123"/>
      <c r="D29" s="143"/>
      <c r="E29" s="123"/>
      <c r="F29" s="123"/>
      <c r="G29" s="123"/>
      <c r="H29" s="123"/>
    </row>
    <row r="30" spans="1:8" ht="18">
      <c r="A30" s="151"/>
      <c r="B30" s="123"/>
      <c r="C30" s="123"/>
      <c r="D30" s="143"/>
      <c r="E30" s="123"/>
      <c r="F30" s="123"/>
      <c r="G30" s="123"/>
      <c r="H30" s="123"/>
    </row>
    <row r="31" spans="1:8" ht="18">
      <c r="A31" s="126"/>
      <c r="B31" s="138"/>
      <c r="C31" s="123"/>
      <c r="D31" s="117"/>
      <c r="E31" s="123"/>
      <c r="F31" s="123"/>
      <c r="G31" s="123"/>
      <c r="H31" s="123"/>
    </row>
    <row r="32" spans="1:8" ht="18">
      <c r="A32" s="141" t="s">
        <v>281</v>
      </c>
      <c r="B32" s="131">
        <f>SUBTOTAL(109,[13%])</f>
        <v>0</v>
      </c>
      <c r="C32" s="131">
        <f>SUBTOTAL(109,[30%])</f>
        <v>0</v>
      </c>
      <c r="D32" s="149"/>
      <c r="E32" s="150"/>
      <c r="F32" s="150"/>
      <c r="G32" s="150"/>
      <c r="H32" s="150"/>
    </row>
    <row r="33" spans="1:8" ht="18">
      <c r="A33" s="140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6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317" t="s">
        <v>288</v>
      </c>
      <c r="B36" s="318"/>
      <c r="C36" s="117"/>
      <c r="D36" s="117"/>
      <c r="F36" s="117"/>
      <c r="G36" s="117"/>
      <c r="H36" s="117"/>
    </row>
    <row r="37" spans="1:8" ht="18">
      <c r="A37" s="319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319" t="s">
        <v>298</v>
      </c>
      <c r="B38" s="288"/>
      <c r="C38" s="135"/>
      <c r="D38" s="117"/>
      <c r="F38" s="117"/>
      <c r="G38" s="117"/>
      <c r="H38" s="117"/>
    </row>
    <row r="39" spans="1:8" ht="18">
      <c r="A39" s="319" t="s">
        <v>290</v>
      </c>
      <c r="B39" s="123">
        <f>B37-B38</f>
        <v>0</v>
      </c>
      <c r="C39" s="117"/>
      <c r="D39" s="117"/>
    </row>
    <row r="40" spans="1:8">
      <c r="A40" s="178"/>
      <c r="B40" s="178"/>
      <c r="D40" s="117"/>
    </row>
    <row r="41" spans="1:8" ht="37.5" customHeight="1">
      <c r="A41" s="323" t="s">
        <v>299</v>
      </c>
      <c r="B41" s="158"/>
      <c r="D41" s="117"/>
    </row>
    <row r="42" spans="1:8" ht="19.5" customHeight="1">
      <c r="A42" s="324" t="s">
        <v>611</v>
      </c>
      <c r="B42" s="158"/>
      <c r="C42" s="117"/>
      <c r="D42" s="117"/>
    </row>
    <row r="43" spans="1:8" ht="18">
      <c r="A43" s="320"/>
      <c r="B43" s="137"/>
      <c r="C43" s="122"/>
      <c r="D43" s="117"/>
    </row>
    <row r="44" spans="1:8" ht="18">
      <c r="A44" s="317" t="s">
        <v>291</v>
      </c>
      <c r="B44" s="288"/>
      <c r="C44" s="117"/>
      <c r="D44" s="117"/>
    </row>
    <row r="45" spans="1:8">
      <c r="A45" s="178"/>
      <c r="B45" s="178"/>
      <c r="D45" s="117"/>
    </row>
    <row r="46" spans="1:8" ht="51.75" customHeight="1">
      <c r="A46" s="321" t="s">
        <v>300</v>
      </c>
      <c r="B46" s="158"/>
      <c r="D46" s="117"/>
    </row>
    <row r="48" spans="1:8">
      <c r="A48" s="352" t="s">
        <v>607</v>
      </c>
      <c r="B48" s="352"/>
    </row>
    <row r="49" spans="1:2" ht="20.25" customHeight="1">
      <c r="A49" s="317" t="s">
        <v>602</v>
      </c>
      <c r="B49" s="123"/>
    </row>
    <row r="50" spans="1:2" ht="20.25" customHeight="1">
      <c r="A50" s="317" t="s">
        <v>603</v>
      </c>
      <c r="B50" s="123">
        <f>TAX_RETAINED_DATE-TAX_RETURN_PREV</f>
        <v>0</v>
      </c>
    </row>
    <row r="51" spans="1:2" ht="20.25" customHeight="1">
      <c r="A51" s="316" t="s">
        <v>610</v>
      </c>
      <c r="B51" s="315">
        <f>TAX_CALC-B50</f>
        <v>0</v>
      </c>
    </row>
    <row r="52" spans="1:2" ht="20.25" customHeight="1">
      <c r="A52" s="314" t="s">
        <v>604</v>
      </c>
      <c r="B52" s="123"/>
    </row>
    <row r="53" spans="1:2" ht="20.25" customHeight="1">
      <c r="A53" s="313" t="s">
        <v>605</v>
      </c>
      <c r="B53" s="123">
        <f>TAX_RETURN_PREV</f>
        <v>0</v>
      </c>
    </row>
    <row r="54" spans="1:2" ht="20.25" customHeight="1">
      <c r="A54" s="313" t="s">
        <v>606</v>
      </c>
      <c r="B54" s="123">
        <f>TAX_NOT_RETAINED</f>
        <v>0</v>
      </c>
    </row>
    <row r="55" spans="1:2" ht="20.25" customHeight="1">
      <c r="A55" s="313" t="s">
        <v>608</v>
      </c>
      <c r="B55" s="123">
        <f>TAX_RETURN_83</f>
        <v>0</v>
      </c>
    </row>
    <row r="56" spans="1:2" ht="20.25" customHeight="1">
      <c r="A56" s="322" t="s">
        <v>609</v>
      </c>
      <c r="B56" s="315">
        <f>B51-B53-B54-B55</f>
        <v>0</v>
      </c>
    </row>
  </sheetData>
  <mergeCells count="9">
    <mergeCell ref="A48:B48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93" priority="3" operator="notEqual">
      <formula>0</formula>
    </cfRule>
  </conditionalFormatting>
  <conditionalFormatting sqref="B39 B42">
    <cfRule type="expression" dxfId="592" priority="2">
      <formula>$B$39&lt;&gt;-1*$B$42</formula>
    </cfRule>
  </conditionalFormatting>
  <conditionalFormatting sqref="B56">
    <cfRule type="expression" dxfId="591" priority="1">
      <formula>$B$56&lt;&gt;0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7"/>
  <dimension ref="A1:L4"/>
  <sheetViews>
    <sheetView zoomScale="145" zoomScaleNormal="145" workbookViewId="0">
      <pane ySplit="3" topLeftCell="A4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5" width="38.140625" style="253" customWidth="1"/>
    <col min="6" max="6" width="13.85546875" style="253" customWidth="1"/>
    <col min="7" max="9" width="13.42578125" style="253" customWidth="1"/>
    <col min="10" max="16384" width="9.140625" style="253"/>
  </cols>
  <sheetData>
    <row r="1" spans="1:12" ht="40.5" customHeight="1">
      <c r="A1" s="350" t="s">
        <v>593</v>
      </c>
      <c r="B1" s="350"/>
      <c r="C1" s="350"/>
      <c r="D1" s="350"/>
      <c r="E1" s="350"/>
      <c r="F1" s="350"/>
      <c r="G1" s="350"/>
      <c r="H1" s="350"/>
      <c r="I1" s="350"/>
      <c r="J1" s="238"/>
      <c r="K1" s="238"/>
      <c r="L1" s="238"/>
    </row>
    <row r="2" spans="1:12" ht="6" customHeight="1">
      <c r="A2" s="284"/>
      <c r="B2" s="284"/>
      <c r="C2" s="284"/>
      <c r="D2" s="284"/>
      <c r="E2" s="284"/>
      <c r="F2" s="284"/>
      <c r="G2" s="284"/>
      <c r="H2" s="238"/>
      <c r="I2" s="238"/>
      <c r="J2" s="238"/>
      <c r="K2" s="238"/>
      <c r="L2" s="238"/>
    </row>
    <row r="3" spans="1:12" ht="45" customHeight="1">
      <c r="A3" s="239" t="s">
        <v>329</v>
      </c>
      <c r="B3" s="239" t="s">
        <v>62</v>
      </c>
      <c r="C3" s="240" t="s">
        <v>491</v>
      </c>
      <c r="D3" s="240" t="s">
        <v>490</v>
      </c>
      <c r="E3" s="240" t="s">
        <v>97</v>
      </c>
      <c r="F3" s="240" t="s">
        <v>584</v>
      </c>
      <c r="G3" s="240" t="s">
        <v>590</v>
      </c>
      <c r="H3" s="240" t="s">
        <v>591</v>
      </c>
      <c r="I3" s="240" t="s">
        <v>592</v>
      </c>
    </row>
    <row r="4" spans="1:12">
      <c r="A4" s="273" t="s">
        <v>588</v>
      </c>
      <c r="B4" s="159"/>
      <c r="C4" s="159"/>
      <c r="D4" s="159"/>
      <c r="E4" s="262"/>
      <c r="F4" s="159"/>
      <c r="G4" s="162"/>
      <c r="H4" s="162"/>
      <c r="I4" s="162"/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5"/>
  <dimension ref="A1:O5"/>
  <sheetViews>
    <sheetView zoomScale="145" zoomScaleNormal="145" workbookViewId="0">
      <pane ySplit="4" topLeftCell="A5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5" width="38.140625" style="253" customWidth="1"/>
    <col min="6" max="6" width="13.85546875" style="253" customWidth="1"/>
    <col min="7" max="7" width="17.140625" style="253" customWidth="1"/>
    <col min="8" max="8" width="14.140625" style="253" customWidth="1"/>
    <col min="9" max="9" width="9" style="253" customWidth="1"/>
    <col min="10" max="10" width="13.42578125" style="253" customWidth="1"/>
    <col min="11" max="16384" width="9.140625" style="253"/>
  </cols>
  <sheetData>
    <row r="1" spans="1:15" ht="40.5" customHeight="1">
      <c r="A1" s="350" t="s">
        <v>583</v>
      </c>
      <c r="B1" s="350"/>
      <c r="C1" s="350"/>
      <c r="D1" s="350"/>
      <c r="E1" s="350"/>
      <c r="F1" s="350"/>
      <c r="G1" s="350"/>
      <c r="H1" s="350"/>
      <c r="I1" s="350"/>
      <c r="J1" s="350"/>
      <c r="K1" s="238"/>
      <c r="L1" s="238"/>
      <c r="M1" s="238"/>
      <c r="N1" s="238"/>
    </row>
    <row r="2" spans="1:15" ht="6" customHeight="1">
      <c r="A2" s="283"/>
      <c r="B2" s="283"/>
      <c r="C2" s="283"/>
      <c r="D2" s="283"/>
      <c r="E2" s="283"/>
      <c r="F2" s="283"/>
      <c r="G2" s="283"/>
      <c r="H2" s="283"/>
      <c r="I2" s="238"/>
      <c r="J2" s="238"/>
      <c r="K2" s="238"/>
      <c r="L2" s="238"/>
      <c r="M2" s="238"/>
      <c r="N2" s="238"/>
    </row>
    <row r="3" spans="1:15" ht="16.5" customHeight="1" thickBot="1">
      <c r="A3" s="359"/>
      <c r="B3" s="360"/>
      <c r="C3" s="360"/>
      <c r="D3" s="360"/>
      <c r="E3" s="360"/>
      <c r="F3" s="360"/>
      <c r="G3" s="361"/>
      <c r="H3" s="359" t="s">
        <v>472</v>
      </c>
      <c r="I3" s="361"/>
      <c r="J3" s="286"/>
      <c r="K3" s="283"/>
      <c r="L3" s="238"/>
      <c r="M3" s="238"/>
      <c r="N3" s="238"/>
      <c r="O3" s="238"/>
    </row>
    <row r="4" spans="1:15" ht="45" customHeight="1" thickTop="1">
      <c r="A4" s="239" t="s">
        <v>329</v>
      </c>
      <c r="B4" s="239" t="s">
        <v>62</v>
      </c>
      <c r="C4" s="240" t="s">
        <v>491</v>
      </c>
      <c r="D4" s="240" t="s">
        <v>490</v>
      </c>
      <c r="E4" s="240" t="s">
        <v>97</v>
      </c>
      <c r="F4" s="240" t="s">
        <v>584</v>
      </c>
      <c r="G4" s="240" t="s">
        <v>494</v>
      </c>
      <c r="H4" s="240" t="s">
        <v>585</v>
      </c>
      <c r="I4" s="240" t="s">
        <v>365</v>
      </c>
      <c r="J4" s="241" t="s">
        <v>586</v>
      </c>
    </row>
    <row r="5" spans="1:15">
      <c r="A5" s="273" t="s">
        <v>580</v>
      </c>
      <c r="B5" s="159"/>
      <c r="C5" s="159"/>
      <c r="D5" s="159"/>
      <c r="E5" s="262"/>
      <c r="F5" s="159"/>
      <c r="G5" s="159"/>
      <c r="H5" s="162"/>
      <c r="I5" s="162"/>
      <c r="J5" s="162"/>
    </row>
  </sheetData>
  <mergeCells count="3">
    <mergeCell ref="A3:G3"/>
    <mergeCell ref="H3:I3"/>
    <mergeCell ref="A1:J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6" width="13.85546875" style="253" customWidth="1"/>
    <col min="7" max="7" width="17.140625" style="253" customWidth="1"/>
    <col min="8" max="10" width="14.140625" style="253" customWidth="1"/>
    <col min="11" max="11" width="17.140625" style="253" customWidth="1"/>
    <col min="12" max="12" width="15.140625" style="253" customWidth="1"/>
    <col min="13" max="13" width="9" style="253" customWidth="1"/>
    <col min="14" max="16384" width="9.140625" style="253"/>
  </cols>
  <sheetData>
    <row r="1" spans="1:18" ht="40.5" customHeight="1">
      <c r="A1" s="350" t="s">
        <v>542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238"/>
      <c r="N1" s="238"/>
      <c r="O1" s="238"/>
      <c r="P1" s="238"/>
      <c r="Q1" s="238"/>
      <c r="R1" s="238"/>
    </row>
    <row r="2" spans="1:18" ht="9" customHeight="1">
      <c r="A2" s="272"/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38"/>
      <c r="P2" s="238"/>
      <c r="Q2" s="238"/>
      <c r="R2" s="238"/>
    </row>
    <row r="3" spans="1:18">
      <c r="A3" s="277" t="s">
        <v>543</v>
      </c>
      <c r="B3" s="362"/>
      <c r="C3" s="362"/>
      <c r="D3" s="362"/>
      <c r="E3" s="362"/>
      <c r="F3" s="362"/>
      <c r="G3" s="362"/>
      <c r="H3" s="276"/>
      <c r="I3" s="276"/>
      <c r="J3" s="276"/>
      <c r="K3" s="276"/>
      <c r="L3" s="276"/>
      <c r="M3" s="276"/>
      <c r="N3" s="276"/>
    </row>
    <row r="4" spans="1:18">
      <c r="A4" s="277" t="s">
        <v>544</v>
      </c>
      <c r="B4" s="364"/>
      <c r="C4" s="364"/>
      <c r="D4" s="364"/>
      <c r="E4" s="364"/>
      <c r="F4" s="364"/>
      <c r="G4" s="364"/>
      <c r="H4" s="276"/>
      <c r="I4" s="276"/>
      <c r="J4" s="276"/>
      <c r="K4" s="276"/>
      <c r="L4" s="276"/>
      <c r="M4" s="276"/>
      <c r="N4" s="276"/>
    </row>
    <row r="5" spans="1:18" ht="9" customHeight="1"/>
    <row r="6" spans="1:18">
      <c r="A6" s="363" t="s">
        <v>540</v>
      </c>
      <c r="B6" s="363"/>
      <c r="C6" s="363"/>
      <c r="D6" s="363"/>
      <c r="E6" s="363"/>
      <c r="F6" s="363"/>
      <c r="G6" s="363"/>
      <c r="H6" s="363"/>
      <c r="I6" s="363"/>
      <c r="J6" s="363"/>
      <c r="K6" s="363"/>
      <c r="L6" s="363"/>
      <c r="M6" s="363"/>
    </row>
    <row r="7" spans="1:18" ht="45" customHeight="1">
      <c r="A7" s="239" t="s">
        <v>531</v>
      </c>
      <c r="B7" s="239" t="s">
        <v>490</v>
      </c>
      <c r="C7" s="240" t="s">
        <v>491</v>
      </c>
      <c r="D7" s="240" t="s">
        <v>35</v>
      </c>
      <c r="E7" s="240" t="s">
        <v>536</v>
      </c>
      <c r="F7" s="240" t="s">
        <v>3</v>
      </c>
      <c r="G7" s="240" t="s">
        <v>2</v>
      </c>
      <c r="H7" s="241" t="s">
        <v>1</v>
      </c>
      <c r="I7" s="242" t="s">
        <v>309</v>
      </c>
      <c r="J7" s="240" t="s">
        <v>532</v>
      </c>
      <c r="K7" s="239" t="s">
        <v>537</v>
      </c>
      <c r="L7" s="239" t="s">
        <v>533</v>
      </c>
    </row>
    <row r="8" spans="1:18">
      <c r="A8" s="254" t="s">
        <v>535</v>
      </c>
      <c r="B8" s="159"/>
      <c r="C8" s="159"/>
      <c r="D8" s="274"/>
      <c r="E8" s="274"/>
      <c r="F8" s="267"/>
      <c r="G8" s="162"/>
      <c r="H8" s="162"/>
      <c r="I8" s="162"/>
      <c r="J8" s="159"/>
      <c r="K8" s="159"/>
      <c r="L8" s="161"/>
    </row>
    <row r="11" spans="1:18">
      <c r="A11" s="363" t="s">
        <v>539</v>
      </c>
      <c r="B11" s="363"/>
      <c r="C11" s="363"/>
      <c r="D11" s="363"/>
      <c r="E11" s="363"/>
      <c r="F11" s="363"/>
      <c r="G11" s="363"/>
      <c r="H11" s="363"/>
      <c r="I11" s="363"/>
      <c r="J11" s="363"/>
      <c r="K11" s="363"/>
      <c r="L11" s="363"/>
      <c r="M11" s="363"/>
    </row>
    <row r="12" spans="1:18" ht="45" customHeight="1">
      <c r="A12" s="239" t="s">
        <v>531</v>
      </c>
      <c r="B12" s="239" t="s">
        <v>490</v>
      </c>
      <c r="C12" s="240" t="s">
        <v>491</v>
      </c>
      <c r="D12" s="240" t="s">
        <v>47</v>
      </c>
      <c r="E12" s="240" t="s">
        <v>3</v>
      </c>
      <c r="F12" s="240" t="s">
        <v>326</v>
      </c>
      <c r="G12" s="240" t="s">
        <v>38</v>
      </c>
      <c r="H12" s="241" t="s">
        <v>39</v>
      </c>
      <c r="I12" s="242" t="s">
        <v>40</v>
      </c>
      <c r="J12" s="240" t="s">
        <v>532</v>
      </c>
      <c r="K12" s="239" t="s">
        <v>538</v>
      </c>
      <c r="L12" s="239" t="s">
        <v>533</v>
      </c>
    </row>
    <row r="13" spans="1:18">
      <c r="A13" s="273" t="s">
        <v>528</v>
      </c>
      <c r="B13" s="159"/>
      <c r="C13" s="159"/>
      <c r="D13" s="274"/>
      <c r="E13" s="267"/>
      <c r="F13" s="267"/>
      <c r="G13" s="161"/>
      <c r="H13" s="161"/>
      <c r="I13" s="162"/>
      <c r="J13" s="159"/>
      <c r="K13" s="159"/>
      <c r="L13" s="161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3" customWidth="1"/>
    <col min="2" max="3" width="7.7109375" style="253" customWidth="1"/>
    <col min="4" max="4" width="46.42578125" style="253" customWidth="1"/>
    <col min="5" max="5" width="12.140625" style="253" customWidth="1"/>
    <col min="6" max="6" width="15.140625" style="253" customWidth="1"/>
    <col min="7" max="10" width="13.140625" style="253" customWidth="1"/>
    <col min="11" max="11" width="10" style="253" customWidth="1"/>
    <col min="12" max="12" width="13.42578125" style="253" customWidth="1"/>
    <col min="13" max="16384" width="9.140625" style="253"/>
  </cols>
  <sheetData>
    <row r="1" spans="1:12" ht="67.5" customHeight="1">
      <c r="A1" s="350" t="s">
        <v>521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</row>
    <row r="2" spans="1:12" ht="60.75" customHeight="1">
      <c r="A2" s="256" t="s">
        <v>469</v>
      </c>
      <c r="B2" s="255" t="s">
        <v>394</v>
      </c>
      <c r="C2" s="255" t="s">
        <v>395</v>
      </c>
      <c r="D2" s="255" t="s">
        <v>97</v>
      </c>
      <c r="E2" s="255" t="s">
        <v>514</v>
      </c>
      <c r="F2" s="255" t="s">
        <v>494</v>
      </c>
      <c r="G2" s="255" t="s">
        <v>492</v>
      </c>
      <c r="H2" s="255" t="s">
        <v>493</v>
      </c>
      <c r="I2" s="255" t="s">
        <v>522</v>
      </c>
      <c r="J2" s="255" t="s">
        <v>523</v>
      </c>
      <c r="K2" s="260" t="s">
        <v>40</v>
      </c>
      <c r="L2" s="251" t="s">
        <v>524</v>
      </c>
    </row>
    <row r="3" spans="1:12">
      <c r="A3" s="271" t="s">
        <v>519</v>
      </c>
      <c r="B3" s="249"/>
      <c r="C3" s="249"/>
      <c r="D3" s="257"/>
      <c r="E3" s="258"/>
      <c r="F3" s="258"/>
      <c r="G3" s="258"/>
      <c r="H3" s="258"/>
      <c r="I3" s="258"/>
      <c r="J3" s="258"/>
      <c r="K3" s="269"/>
      <c r="L3" s="259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3" customWidth="1"/>
    <col min="2" max="3" width="7.7109375" style="253" customWidth="1"/>
    <col min="4" max="4" width="46.42578125" style="253" customWidth="1"/>
    <col min="5" max="5" width="12.140625" style="253" customWidth="1"/>
    <col min="6" max="6" width="15.140625" style="253" customWidth="1"/>
    <col min="7" max="8" width="12.7109375" style="253" customWidth="1"/>
    <col min="9" max="9" width="19.5703125" style="253" customWidth="1"/>
    <col min="10" max="11" width="10" style="253" customWidth="1"/>
    <col min="12" max="16384" width="9.140625" style="253"/>
  </cols>
  <sheetData>
    <row r="1" spans="1:11" ht="92.25" customHeight="1">
      <c r="A1" s="350" t="s">
        <v>513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</row>
    <row r="2" spans="1:11" ht="60.75" customHeight="1">
      <c r="A2" s="256" t="s">
        <v>469</v>
      </c>
      <c r="B2" s="255" t="s">
        <v>394</v>
      </c>
      <c r="C2" s="255" t="s">
        <v>395</v>
      </c>
      <c r="D2" s="255" t="s">
        <v>97</v>
      </c>
      <c r="E2" s="255" t="s">
        <v>514</v>
      </c>
      <c r="F2" s="255" t="s">
        <v>494</v>
      </c>
      <c r="G2" s="255" t="s">
        <v>492</v>
      </c>
      <c r="H2" s="255" t="s">
        <v>493</v>
      </c>
      <c r="I2" s="255" t="s">
        <v>515</v>
      </c>
      <c r="J2" s="260" t="s">
        <v>516</v>
      </c>
      <c r="K2" s="251" t="s">
        <v>517</v>
      </c>
    </row>
    <row r="3" spans="1:11">
      <c r="A3" s="248" t="s">
        <v>511</v>
      </c>
      <c r="B3" s="249"/>
      <c r="C3" s="249"/>
      <c r="D3" s="257"/>
      <c r="E3" s="258"/>
      <c r="F3" s="258"/>
      <c r="G3" s="258"/>
      <c r="H3" s="258"/>
      <c r="I3" s="269"/>
      <c r="J3" s="269"/>
      <c r="K3" s="270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50" t="s">
        <v>468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</row>
    <row r="2" spans="1:11" ht="65.25" customHeight="1">
      <c r="A2" s="231" t="s">
        <v>469</v>
      </c>
      <c r="B2" s="232" t="s">
        <v>394</v>
      </c>
      <c r="C2" s="232" t="s">
        <v>395</v>
      </c>
      <c r="D2" s="232" t="s">
        <v>97</v>
      </c>
      <c r="E2" s="232" t="s">
        <v>3</v>
      </c>
      <c r="F2" s="232" t="s">
        <v>57</v>
      </c>
      <c r="G2" s="232" t="s">
        <v>470</v>
      </c>
      <c r="H2" s="232" t="s">
        <v>471</v>
      </c>
      <c r="I2" s="232" t="s">
        <v>472</v>
      </c>
      <c r="J2" s="233" t="s">
        <v>473</v>
      </c>
      <c r="K2" s="251" t="s">
        <v>474</v>
      </c>
    </row>
    <row r="3" spans="1:11">
      <c r="A3" s="248" t="s">
        <v>466</v>
      </c>
      <c r="B3" s="249"/>
      <c r="C3" s="249"/>
      <c r="D3" s="235"/>
      <c r="E3" s="235"/>
      <c r="F3" s="236"/>
      <c r="G3" s="246"/>
      <c r="H3" s="246"/>
      <c r="I3" s="250"/>
      <c r="J3" s="236"/>
      <c r="K3" s="237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327" t="s">
        <v>418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U1" t="s">
        <v>419</v>
      </c>
    </row>
    <row r="2" spans="1:21" ht="18" customHeight="1">
      <c r="A2" s="365" t="s">
        <v>419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e">
        <f>report_year-1</f>
        <v>#VALUE!</v>
      </c>
      <c r="N2" s="366"/>
      <c r="O2" s="366"/>
      <c r="P2" s="366"/>
      <c r="Q2" s="366"/>
      <c r="R2" s="366"/>
    </row>
    <row r="3" spans="1:21" ht="31.5" customHeight="1">
      <c r="A3" s="207" t="s">
        <v>420</v>
      </c>
      <c r="B3" s="207" t="s">
        <v>325</v>
      </c>
      <c r="C3" s="207" t="s">
        <v>421</v>
      </c>
      <c r="D3" s="207" t="s">
        <v>63</v>
      </c>
      <c r="E3" s="207" t="s">
        <v>64</v>
      </c>
      <c r="F3" s="207" t="s">
        <v>65</v>
      </c>
      <c r="G3" s="207" t="s">
        <v>98</v>
      </c>
      <c r="H3" s="207" t="s">
        <v>100</v>
      </c>
      <c r="I3" s="207" t="s">
        <v>414</v>
      </c>
      <c r="J3" s="207" t="s">
        <v>413</v>
      </c>
      <c r="K3" s="207" t="s">
        <v>422</v>
      </c>
      <c r="L3" s="207" t="s">
        <v>423</v>
      </c>
      <c r="M3" s="252" t="s">
        <v>482</v>
      </c>
      <c r="N3" s="252" t="s">
        <v>424</v>
      </c>
      <c r="O3" s="252" t="s">
        <v>425</v>
      </c>
      <c r="P3" s="252" t="s">
        <v>426</v>
      </c>
      <c r="Q3" s="252" t="s">
        <v>427</v>
      </c>
      <c r="R3" s="252" t="s">
        <v>428</v>
      </c>
    </row>
    <row r="4" spans="1:21">
      <c r="A4" s="29" t="s">
        <v>526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50" t="s">
        <v>400</v>
      </c>
      <c r="B1" s="350"/>
      <c r="C1" s="350"/>
      <c r="D1" s="350"/>
      <c r="E1" s="350"/>
      <c r="F1" s="350"/>
      <c r="G1" s="350"/>
      <c r="H1" s="350"/>
    </row>
    <row r="2" spans="1:8" ht="25.5">
      <c r="A2" s="215" t="s">
        <v>401</v>
      </c>
      <c r="B2" s="216" t="s">
        <v>402</v>
      </c>
      <c r="C2" s="216" t="s">
        <v>403</v>
      </c>
      <c r="D2" s="216" t="s">
        <v>404</v>
      </c>
      <c r="E2" s="216" t="s">
        <v>405</v>
      </c>
      <c r="F2" s="216" t="s">
        <v>406</v>
      </c>
      <c r="G2" s="216" t="s">
        <v>407</v>
      </c>
      <c r="H2" s="217" t="s">
        <v>408</v>
      </c>
    </row>
    <row r="3" spans="1:8">
      <c r="A3" s="218" t="s">
        <v>409</v>
      </c>
      <c r="B3" s="219"/>
      <c r="C3" s="220"/>
      <c r="D3" s="221"/>
      <c r="E3" s="221"/>
      <c r="F3" s="222"/>
      <c r="G3" s="221"/>
      <c r="H3" s="223"/>
    </row>
    <row r="6" spans="1:8" ht="47.25" customHeight="1">
      <c r="A6" s="350" t="s">
        <v>410</v>
      </c>
      <c r="B6" s="350"/>
      <c r="C6" s="350"/>
      <c r="D6" s="350"/>
      <c r="E6" s="350"/>
      <c r="F6" s="350"/>
      <c r="G6" s="350"/>
    </row>
    <row r="7" spans="1:8" ht="25.5">
      <c r="A7" s="215" t="s">
        <v>411</v>
      </c>
      <c r="B7" s="216" t="s">
        <v>63</v>
      </c>
      <c r="C7" s="216" t="s">
        <v>412</v>
      </c>
      <c r="D7" s="216" t="s">
        <v>413</v>
      </c>
      <c r="E7" s="216" t="s">
        <v>414</v>
      </c>
      <c r="F7" s="224" t="s">
        <v>415</v>
      </c>
      <c r="G7" s="216" t="s">
        <v>416</v>
      </c>
    </row>
    <row r="8" spans="1:8">
      <c r="A8" s="225" t="s">
        <v>417</v>
      </c>
      <c r="B8" s="219"/>
      <c r="C8" s="222"/>
      <c r="D8" s="222"/>
      <c r="E8" s="226"/>
      <c r="F8" s="227"/>
      <c r="G8" s="223"/>
    </row>
    <row r="9" spans="1:8">
      <c r="A9" s="225" t="s">
        <v>218</v>
      </c>
      <c r="B9" s="228"/>
      <c r="C9" s="229"/>
      <c r="D9" s="229"/>
      <c r="E9" s="229"/>
      <c r="F9" s="227">
        <f>SUBTOTAL(109,[Задолженность])</f>
        <v>0</v>
      </c>
      <c r="G9" s="230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327" t="s">
        <v>391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</row>
    <row r="2" spans="1:16" ht="18" customHeight="1">
      <c r="A2" s="367" t="s">
        <v>392</v>
      </c>
      <c r="B2" s="367"/>
      <c r="C2" s="367"/>
      <c r="D2" s="367"/>
      <c r="E2" s="367"/>
      <c r="F2" s="367"/>
      <c r="G2" s="367"/>
      <c r="H2" s="367" t="s">
        <v>393</v>
      </c>
      <c r="I2" s="367"/>
      <c r="J2" s="367"/>
      <c r="K2" s="367"/>
      <c r="L2" s="367"/>
      <c r="M2" s="367"/>
      <c r="N2" s="367"/>
      <c r="O2" s="367"/>
      <c r="P2" s="367"/>
    </row>
    <row r="3" spans="1:16" ht="31.5" customHeight="1">
      <c r="A3" s="207" t="s">
        <v>394</v>
      </c>
      <c r="B3" s="207" t="s">
        <v>395</v>
      </c>
      <c r="C3" s="207" t="s">
        <v>329</v>
      </c>
      <c r="D3" s="207" t="s">
        <v>396</v>
      </c>
      <c r="E3" s="207" t="s">
        <v>397</v>
      </c>
      <c r="F3" s="207" t="s">
        <v>1</v>
      </c>
      <c r="G3" s="207" t="s">
        <v>97</v>
      </c>
      <c r="H3" s="207" t="s">
        <v>398</v>
      </c>
      <c r="I3" s="207" t="s">
        <v>394</v>
      </c>
      <c r="J3" s="207" t="s">
        <v>395</v>
      </c>
      <c r="K3" s="207" t="s">
        <v>329</v>
      </c>
      <c r="L3" s="207" t="s">
        <v>396</v>
      </c>
      <c r="M3" s="207" t="s">
        <v>397</v>
      </c>
      <c r="N3" s="207" t="s">
        <v>1</v>
      </c>
      <c r="O3" s="207" t="s">
        <v>97</v>
      </c>
      <c r="P3" s="207" t="s">
        <v>398</v>
      </c>
    </row>
    <row r="4" spans="1:16">
      <c r="A4" s="208" t="s">
        <v>7</v>
      </c>
      <c r="B4" s="208" t="s">
        <v>8</v>
      </c>
      <c r="C4" s="208" t="s">
        <v>9</v>
      </c>
      <c r="D4" s="208" t="s">
        <v>10</v>
      </c>
      <c r="E4" s="208" t="s">
        <v>11</v>
      </c>
      <c r="F4" s="208" t="s">
        <v>12</v>
      </c>
      <c r="G4" s="208" t="s">
        <v>13</v>
      </c>
      <c r="H4" s="208" t="s">
        <v>14</v>
      </c>
      <c r="I4" s="208" t="s">
        <v>15</v>
      </c>
      <c r="J4" s="208" t="s">
        <v>16</v>
      </c>
      <c r="K4" s="208" t="s">
        <v>17</v>
      </c>
      <c r="L4" s="208" t="s">
        <v>18</v>
      </c>
      <c r="M4" s="208" t="s">
        <v>19</v>
      </c>
      <c r="N4" s="208" t="s">
        <v>20</v>
      </c>
      <c r="O4" s="208" t="s">
        <v>21</v>
      </c>
      <c r="P4" s="209" t="s">
        <v>24</v>
      </c>
    </row>
    <row r="5" spans="1:16">
      <c r="A5" s="210" t="s">
        <v>399</v>
      </c>
      <c r="B5" s="210"/>
      <c r="C5" s="211"/>
      <c r="D5" s="211"/>
      <c r="E5" s="212"/>
      <c r="F5" s="213"/>
      <c r="G5" s="212"/>
      <c r="H5" s="212"/>
      <c r="I5" s="211"/>
      <c r="J5" s="211"/>
      <c r="K5" s="211"/>
      <c r="L5" s="211"/>
      <c r="M5" s="212"/>
      <c r="N5" s="213"/>
      <c r="O5" s="212"/>
      <c r="P5" s="214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68" t="s">
        <v>457</v>
      </c>
      <c r="B1" s="368"/>
      <c r="C1" s="368"/>
      <c r="D1" s="368"/>
      <c r="E1" s="368"/>
      <c r="F1" s="368"/>
      <c r="G1" s="368"/>
      <c r="H1" s="368"/>
      <c r="I1" s="368"/>
      <c r="J1" s="181"/>
    </row>
    <row r="2" spans="1:10" ht="39.75" customHeight="1">
      <c r="A2" s="33" t="s">
        <v>459</v>
      </c>
      <c r="B2" s="47" t="s">
        <v>62</v>
      </c>
      <c r="C2" s="245" t="s">
        <v>3</v>
      </c>
      <c r="D2" s="47" t="s">
        <v>63</v>
      </c>
      <c r="E2" s="47" t="s">
        <v>64</v>
      </c>
      <c r="F2" s="47" t="s">
        <v>65</v>
      </c>
      <c r="G2" s="47" t="s">
        <v>460</v>
      </c>
      <c r="H2" s="47" t="s">
        <v>461</v>
      </c>
      <c r="I2" s="34" t="s">
        <v>412</v>
      </c>
    </row>
    <row r="3" spans="1:10">
      <c r="A3" s="234" t="s">
        <v>456</v>
      </c>
      <c r="B3" s="246"/>
      <c r="C3" s="236"/>
      <c r="D3" s="235"/>
      <c r="E3" s="235"/>
      <c r="F3" s="235"/>
      <c r="G3" s="236"/>
      <c r="H3" s="246"/>
      <c r="I3" s="247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/>
  <dimension ref="A1:J24"/>
  <sheetViews>
    <sheetView zoomScale="145" zoomScaleNormal="145" workbookViewId="0">
      <pane ySplit="4" topLeftCell="A5" activePane="bottomLeft" state="frozen"/>
      <selection pane="bottomLeft" activeCell="E18" sqref="E18"/>
    </sheetView>
  </sheetViews>
  <sheetFormatPr defaultRowHeight="15"/>
  <cols>
    <col min="1" max="1" width="16.28515625" style="253" customWidth="1"/>
    <col min="2" max="2" width="15.28515625" style="253" customWidth="1"/>
    <col min="3" max="4" width="13.85546875" style="253" customWidth="1"/>
    <col min="5" max="5" width="39" style="253" customWidth="1"/>
    <col min="6" max="7" width="17.140625" style="253" customWidth="1"/>
    <col min="8" max="8" width="14" style="253" customWidth="1"/>
    <col min="9" max="16384" width="9.140625" style="253"/>
  </cols>
  <sheetData>
    <row r="1" spans="1:10" ht="36" customHeight="1">
      <c r="A1" s="350" t="s">
        <v>489</v>
      </c>
      <c r="B1" s="350"/>
      <c r="C1" s="350"/>
      <c r="D1" s="350"/>
      <c r="E1" s="350"/>
      <c r="F1" s="350"/>
      <c r="G1" s="350"/>
      <c r="H1" s="350"/>
      <c r="I1" s="238"/>
      <c r="J1" s="238"/>
    </row>
    <row r="2" spans="1:10" ht="24" customHeight="1">
      <c r="A2" s="296" t="s">
        <v>509</v>
      </c>
      <c r="B2" s="296" t="s">
        <v>430</v>
      </c>
      <c r="C2" s="296" t="s">
        <v>490</v>
      </c>
      <c r="D2" s="297" t="s">
        <v>491</v>
      </c>
      <c r="E2" s="297" t="s">
        <v>97</v>
      </c>
      <c r="F2" s="298" t="s">
        <v>431</v>
      </c>
      <c r="G2" s="297" t="s">
        <v>414</v>
      </c>
    </row>
    <row r="3" spans="1:10">
      <c r="A3" s="307" t="s">
        <v>477</v>
      </c>
      <c r="B3" s="273"/>
      <c r="C3" s="273"/>
      <c r="D3" s="273"/>
      <c r="E3" s="280"/>
      <c r="F3" s="290"/>
      <c r="G3" s="290"/>
    </row>
    <row r="4" spans="1:10" ht="15.75" thickBot="1">
      <c r="A4" s="254"/>
      <c r="B4" s="254"/>
      <c r="C4" s="254"/>
      <c r="D4" s="254"/>
      <c r="E4" s="254"/>
      <c r="F4" s="254"/>
      <c r="G4" s="254"/>
      <c r="H4" s="254"/>
    </row>
    <row r="5" spans="1:10" ht="30" customHeight="1">
      <c r="A5" s="369" t="s">
        <v>503</v>
      </c>
      <c r="B5" s="370"/>
      <c r="C5" s="370"/>
      <c r="D5" s="370"/>
      <c r="E5" s="370"/>
      <c r="F5" s="370"/>
      <c r="G5" s="370"/>
      <c r="H5" s="370"/>
      <c r="I5" s="371"/>
    </row>
    <row r="6" spans="1:10" ht="25.5">
      <c r="A6" s="295" t="s">
        <v>596</v>
      </c>
      <c r="B6" s="296" t="s">
        <v>492</v>
      </c>
      <c r="C6" s="296" t="s">
        <v>493</v>
      </c>
      <c r="D6" s="297" t="s">
        <v>494</v>
      </c>
      <c r="E6" s="297" t="s">
        <v>40</v>
      </c>
      <c r="F6" s="298" t="s">
        <v>495</v>
      </c>
      <c r="G6" s="297" t="s">
        <v>496</v>
      </c>
      <c r="H6" s="297" t="s">
        <v>497</v>
      </c>
      <c r="I6" s="299" t="s">
        <v>498</v>
      </c>
    </row>
    <row r="7" spans="1:10" ht="15.75" thickBot="1">
      <c r="A7" s="300" t="s">
        <v>478</v>
      </c>
      <c r="B7" s="301" t="s">
        <v>478</v>
      </c>
      <c r="C7" s="301"/>
      <c r="D7" s="302"/>
      <c r="E7" s="311"/>
      <c r="F7" s="303"/>
      <c r="G7" s="304" t="s">
        <v>191</v>
      </c>
      <c r="H7" s="305"/>
      <c r="I7" s="306"/>
    </row>
    <row r="8" spans="1:10" ht="16.5" customHeight="1"/>
    <row r="9" spans="1:10" ht="30" customHeight="1">
      <c r="A9" s="372" t="s">
        <v>506</v>
      </c>
      <c r="B9" s="372"/>
      <c r="C9" s="372"/>
      <c r="D9" s="372"/>
      <c r="E9" s="372"/>
      <c r="F9" s="372"/>
      <c r="G9" s="372"/>
    </row>
    <row r="10" spans="1:10">
      <c r="A10" s="239" t="s">
        <v>492</v>
      </c>
      <c r="B10" s="239" t="s">
        <v>493</v>
      </c>
      <c r="C10" s="240" t="s">
        <v>470</v>
      </c>
      <c r="D10" s="308" t="s">
        <v>597</v>
      </c>
      <c r="E10" s="241" t="s">
        <v>495</v>
      </c>
      <c r="F10" s="240" t="s">
        <v>497</v>
      </c>
      <c r="G10" s="240" t="s">
        <v>498</v>
      </c>
    </row>
    <row r="11" spans="1:10">
      <c r="A11" s="291" t="s">
        <v>479</v>
      </c>
      <c r="B11" s="261"/>
      <c r="C11" s="161"/>
      <c r="D11" s="293"/>
      <c r="E11" s="268"/>
      <c r="F11" s="159"/>
      <c r="G11" s="159"/>
    </row>
    <row r="13" spans="1:10" ht="30" customHeight="1">
      <c r="A13" s="373" t="s">
        <v>504</v>
      </c>
      <c r="B13" s="373"/>
      <c r="C13" s="373"/>
      <c r="D13" s="373"/>
      <c r="E13" s="373"/>
      <c r="F13" s="373"/>
      <c r="G13" s="373"/>
    </row>
    <row r="14" spans="1:10" ht="26.25" thickBot="1">
      <c r="A14" s="239" t="s">
        <v>35</v>
      </c>
      <c r="B14" s="239" t="s">
        <v>499</v>
      </c>
      <c r="C14" s="263" t="s">
        <v>584</v>
      </c>
      <c r="D14" s="240" t="s">
        <v>40</v>
      </c>
      <c r="E14" s="240" t="s">
        <v>500</v>
      </c>
      <c r="F14" s="240" t="s">
        <v>501</v>
      </c>
      <c r="G14" s="240" t="s">
        <v>39</v>
      </c>
    </row>
    <row r="15" spans="1:10" ht="15.75" thickTop="1">
      <c r="A15" s="292" t="s">
        <v>480</v>
      </c>
      <c r="B15" s="267"/>
      <c r="C15" s="261"/>
      <c r="D15" s="162"/>
      <c r="E15" s="266"/>
      <c r="F15" s="262"/>
      <c r="G15" s="262"/>
    </row>
    <row r="18" spans="1:5" ht="38.25" customHeight="1">
      <c r="A18" s="309" t="s">
        <v>476</v>
      </c>
      <c r="B18" s="309"/>
      <c r="C18" s="309"/>
      <c r="D18" s="309"/>
      <c r="E18" s="309"/>
    </row>
    <row r="19" spans="1:5" ht="15.75" thickBot="1">
      <c r="A19" s="263" t="s">
        <v>35</v>
      </c>
      <c r="B19" s="263" t="s">
        <v>584</v>
      </c>
      <c r="C19" s="287" t="s">
        <v>494</v>
      </c>
      <c r="D19" s="287" t="s">
        <v>40</v>
      </c>
    </row>
    <row r="20" spans="1:5" ht="15.75" thickTop="1">
      <c r="A20" s="289" t="s">
        <v>594</v>
      </c>
      <c r="B20" s="265"/>
      <c r="C20" s="265"/>
      <c r="D20" s="312"/>
    </row>
    <row r="22" spans="1:5" ht="32.25" customHeight="1">
      <c r="A22" s="373" t="s">
        <v>505</v>
      </c>
      <c r="B22" s="373"/>
      <c r="C22" s="373"/>
      <c r="D22" s="373"/>
      <c r="E22" s="373"/>
    </row>
    <row r="23" spans="1:5" ht="15.75" thickBot="1">
      <c r="A23" s="263" t="s">
        <v>3</v>
      </c>
      <c r="B23" s="263" t="s">
        <v>57</v>
      </c>
      <c r="C23" s="264" t="s">
        <v>494</v>
      </c>
      <c r="D23" s="264" t="s">
        <v>40</v>
      </c>
      <c r="E23" s="310" t="s">
        <v>502</v>
      </c>
    </row>
    <row r="24" spans="1:5" ht="15.75" thickTop="1">
      <c r="A24" s="265" t="s">
        <v>481</v>
      </c>
      <c r="B24" s="265"/>
      <c r="C24" s="265"/>
      <c r="D24" s="312"/>
      <c r="E24" s="294"/>
    </row>
  </sheetData>
  <mergeCells count="5">
    <mergeCell ref="A5:I5"/>
    <mergeCell ref="A9:G9"/>
    <mergeCell ref="A1:H1"/>
    <mergeCell ref="A13:G13"/>
    <mergeCell ref="A22:E22"/>
  </mergeCell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ettings"/>
  <dimension ref="A1:BI73"/>
  <sheetViews>
    <sheetView topLeftCell="M1" workbookViewId="0">
      <selection activeCell="W12" sqref="W12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8.42578125" style="253" customWidth="1"/>
    <col min="14" max="14" width="10.85546875" customWidth="1"/>
    <col min="15" max="15" width="30.7109375" bestFit="1" customWidth="1"/>
    <col min="16" max="16" width="32.42578125" bestFit="1" customWidth="1"/>
    <col min="17" max="17" width="34.7109375" customWidth="1"/>
    <col min="18" max="19" width="16.7109375" customWidth="1"/>
    <col min="20" max="20" width="13.85546875" customWidth="1"/>
    <col min="21" max="21" width="13.5703125" bestFit="1" customWidth="1"/>
    <col min="22" max="22" width="23" customWidth="1"/>
    <col min="23" max="23" width="30.7109375" bestFit="1" customWidth="1"/>
    <col min="24" max="24" width="27.140625" bestFit="1" customWidth="1"/>
    <col min="25" max="25" width="19.7109375" bestFit="1" customWidth="1"/>
    <col min="26" max="28" width="17.85546875" customWidth="1"/>
    <col min="29" max="29" width="34" bestFit="1" customWidth="1"/>
    <col min="30" max="30" width="36" bestFit="1" customWidth="1"/>
    <col min="31" max="31" width="19.7109375" bestFit="1" customWidth="1"/>
    <col min="32" max="32" width="18.5703125" bestFit="1" customWidth="1"/>
    <col min="33" max="33" width="14.140625" bestFit="1" customWidth="1"/>
    <col min="34" max="34" width="11.42578125" bestFit="1" customWidth="1"/>
    <col min="35" max="35" width="12.85546875" bestFit="1" customWidth="1"/>
    <col min="36" max="36" width="11.42578125" bestFit="1" customWidth="1"/>
    <col min="37" max="37" width="6.85546875" bestFit="1" customWidth="1"/>
    <col min="38" max="38" width="9.28515625" bestFit="1" customWidth="1"/>
    <col min="39" max="40" width="11.85546875" bestFit="1" customWidth="1"/>
    <col min="41" max="42" width="13.140625" bestFit="1" customWidth="1"/>
    <col min="43" max="44" width="12.140625" bestFit="1" customWidth="1"/>
    <col min="45" max="45" width="13.7109375" bestFit="1" customWidth="1"/>
    <col min="46" max="46" width="7.5703125" customWidth="1"/>
    <col min="47" max="47" width="14" bestFit="1" customWidth="1"/>
    <col min="48" max="48" width="7.5703125" customWidth="1"/>
    <col min="49" max="49" width="12.140625" bestFit="1" customWidth="1"/>
    <col min="50" max="50" width="7.5703125" customWidth="1"/>
    <col min="51" max="51" width="13.5703125" customWidth="1"/>
    <col min="52" max="52" width="7.5703125" customWidth="1"/>
    <col min="55" max="55" width="11.28515625" bestFit="1" customWidth="1"/>
    <col min="57" max="58" width="12.140625" customWidth="1"/>
    <col min="59" max="59" width="11.5703125" bestFit="1" customWidth="1"/>
  </cols>
  <sheetData>
    <row r="1" spans="1:61" ht="29.25" customHeight="1">
      <c r="A1" s="374" t="s">
        <v>115</v>
      </c>
      <c r="B1" s="374"/>
      <c r="D1" s="375" t="s">
        <v>116</v>
      </c>
      <c r="E1" s="375"/>
      <c r="G1" s="375" t="s">
        <v>111</v>
      </c>
      <c r="H1" s="375"/>
      <c r="I1" s="375"/>
      <c r="J1" s="375"/>
      <c r="K1" s="375"/>
      <c r="L1" s="375"/>
      <c r="M1" s="281"/>
      <c r="O1" s="375" t="s">
        <v>106</v>
      </c>
      <c r="P1" s="375"/>
      <c r="Q1" s="375"/>
      <c r="R1" s="375"/>
      <c r="S1" s="375"/>
      <c r="T1" s="375"/>
      <c r="U1" s="375"/>
      <c r="W1" s="375" t="s">
        <v>112</v>
      </c>
      <c r="X1" s="375"/>
      <c r="Z1" s="375" t="s">
        <v>103</v>
      </c>
      <c r="AA1" s="375"/>
      <c r="AB1" s="375"/>
      <c r="AC1" s="375"/>
      <c r="AD1" s="375"/>
      <c r="AF1" s="375" t="s">
        <v>143</v>
      </c>
      <c r="AG1" s="375"/>
      <c r="AH1" s="375"/>
      <c r="AI1" s="375"/>
      <c r="AJ1" s="375"/>
      <c r="AK1" s="375"/>
      <c r="AL1" s="375"/>
      <c r="AN1" s="38" t="s">
        <v>129</v>
      </c>
      <c r="AP1" s="38" t="s">
        <v>131</v>
      </c>
      <c r="AR1" s="38" t="s">
        <v>133</v>
      </c>
      <c r="AT1" s="38" t="s">
        <v>142</v>
      </c>
      <c r="AV1" s="38" t="s">
        <v>151</v>
      </c>
      <c r="AX1" s="38" t="s">
        <v>152</v>
      </c>
      <c r="AZ1" s="38" t="s">
        <v>144</v>
      </c>
      <c r="BB1" s="38" t="s">
        <v>157</v>
      </c>
      <c r="BD1" s="38" t="s">
        <v>164</v>
      </c>
      <c r="BF1" s="376" t="s">
        <v>245</v>
      </c>
      <c r="BG1" s="376"/>
    </row>
    <row r="2" spans="1:61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434</v>
      </c>
      <c r="L2" t="s">
        <v>455</v>
      </c>
      <c r="M2" s="253" t="s">
        <v>573</v>
      </c>
      <c r="O2" t="s">
        <v>107</v>
      </c>
      <c r="P2" t="s">
        <v>31</v>
      </c>
      <c r="Q2" t="s">
        <v>95</v>
      </c>
      <c r="R2" t="s">
        <v>130</v>
      </c>
      <c r="S2" t="s">
        <v>378</v>
      </c>
      <c r="T2" t="s">
        <v>125</v>
      </c>
      <c r="U2" t="s">
        <v>117</v>
      </c>
      <c r="W2" t="s">
        <v>107</v>
      </c>
      <c r="X2" t="s">
        <v>113</v>
      </c>
      <c r="Z2" t="s">
        <v>107</v>
      </c>
      <c r="AA2" t="s">
        <v>123</v>
      </c>
      <c r="AB2" t="s">
        <v>139</v>
      </c>
      <c r="AC2" t="s">
        <v>145</v>
      </c>
      <c r="AD2" t="s">
        <v>127</v>
      </c>
      <c r="AF2" t="s">
        <v>125</v>
      </c>
      <c r="AG2" t="s">
        <v>153</v>
      </c>
      <c r="AH2" t="s">
        <v>144</v>
      </c>
      <c r="AI2" t="s">
        <v>154</v>
      </c>
      <c r="AJ2" t="s">
        <v>155</v>
      </c>
      <c r="AK2" t="s">
        <v>160</v>
      </c>
      <c r="AL2" t="s">
        <v>163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107</v>
      </c>
      <c r="BD2" t="s">
        <v>107</v>
      </c>
      <c r="BF2" t="s">
        <v>136</v>
      </c>
      <c r="BG2" t="s">
        <v>114</v>
      </c>
    </row>
    <row r="3" spans="1:61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O3" t="s">
        <v>27</v>
      </c>
      <c r="P3" t="s">
        <v>27</v>
      </c>
      <c r="Q3" t="s">
        <v>25</v>
      </c>
      <c r="R3" t="s">
        <v>128</v>
      </c>
      <c r="S3" t="s">
        <v>379</v>
      </c>
      <c r="T3" t="s">
        <v>126</v>
      </c>
      <c r="U3" t="s">
        <v>134</v>
      </c>
      <c r="W3" t="s">
        <v>119</v>
      </c>
      <c r="X3" t="s">
        <v>137</v>
      </c>
      <c r="Z3" s="6" t="s">
        <v>170</v>
      </c>
      <c r="AA3" t="s">
        <v>124</v>
      </c>
      <c r="AB3" t="s">
        <v>141</v>
      </c>
      <c r="AD3" t="s">
        <v>172</v>
      </c>
      <c r="AF3" s="6" t="s">
        <v>126</v>
      </c>
      <c r="AG3" t="s">
        <v>162</v>
      </c>
      <c r="AH3" t="s">
        <v>147</v>
      </c>
      <c r="AK3">
        <v>2000</v>
      </c>
      <c r="AL3" t="s">
        <v>141</v>
      </c>
      <c r="AN3" s="36" t="s">
        <v>104</v>
      </c>
      <c r="AP3" t="s">
        <v>128</v>
      </c>
      <c r="AR3" t="s">
        <v>134</v>
      </c>
      <c r="AT3" t="s">
        <v>124</v>
      </c>
      <c r="AV3" t="s">
        <v>150</v>
      </c>
      <c r="AX3" t="s">
        <v>146</v>
      </c>
      <c r="AZ3" t="s">
        <v>148</v>
      </c>
      <c r="BB3" t="s">
        <v>141</v>
      </c>
      <c r="BD3" t="s">
        <v>165</v>
      </c>
      <c r="BF3" t="s">
        <v>246</v>
      </c>
      <c r="BG3" t="s">
        <v>158</v>
      </c>
    </row>
    <row r="4" spans="1:61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O4" t="s">
        <v>33</v>
      </c>
      <c r="P4" t="s">
        <v>33</v>
      </c>
      <c r="Q4" t="s">
        <v>34</v>
      </c>
      <c r="R4" t="s">
        <v>128</v>
      </c>
      <c r="S4" t="s">
        <v>379</v>
      </c>
      <c r="T4" t="s">
        <v>126</v>
      </c>
      <c r="U4" t="s">
        <v>134</v>
      </c>
      <c r="W4" t="s">
        <v>119</v>
      </c>
      <c r="X4" s="6" t="s">
        <v>188</v>
      </c>
      <c r="Z4" s="6" t="s">
        <v>126</v>
      </c>
      <c r="AA4" t="s">
        <v>161</v>
      </c>
      <c r="AB4" t="s">
        <v>141</v>
      </c>
      <c r="AC4" t="s">
        <v>146</v>
      </c>
      <c r="AD4" s="6" t="s">
        <v>242</v>
      </c>
      <c r="AE4" s="6"/>
      <c r="AF4" s="45" t="s">
        <v>126</v>
      </c>
      <c r="AG4" s="6" t="s">
        <v>156</v>
      </c>
      <c r="AH4" s="6" t="s">
        <v>148</v>
      </c>
      <c r="AI4" s="6" t="s">
        <v>149</v>
      </c>
      <c r="AJ4" s="6" t="s">
        <v>141</v>
      </c>
      <c r="AK4" s="6">
        <v>40</v>
      </c>
      <c r="AL4" s="6" t="s">
        <v>140</v>
      </c>
      <c r="AN4" s="37" t="s">
        <v>105</v>
      </c>
      <c r="AP4" t="s">
        <v>132</v>
      </c>
      <c r="AR4" t="s">
        <v>118</v>
      </c>
      <c r="AT4" t="s">
        <v>161</v>
      </c>
      <c r="AZ4" t="s">
        <v>147</v>
      </c>
      <c r="BB4" t="s">
        <v>140</v>
      </c>
      <c r="BD4" s="173" t="s">
        <v>454</v>
      </c>
      <c r="BF4" t="s">
        <v>247</v>
      </c>
      <c r="BG4" t="s">
        <v>159</v>
      </c>
    </row>
    <row r="5" spans="1:61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O5" t="s">
        <v>43</v>
      </c>
      <c r="P5" t="s">
        <v>43</v>
      </c>
      <c r="Q5" t="s">
        <v>44</v>
      </c>
      <c r="R5" t="s">
        <v>128</v>
      </c>
      <c r="S5" t="s">
        <v>379</v>
      </c>
      <c r="T5" t="s">
        <v>126</v>
      </c>
      <c r="U5" t="s">
        <v>134</v>
      </c>
      <c r="W5" t="s">
        <v>119</v>
      </c>
      <c r="X5" s="6" t="s">
        <v>189</v>
      </c>
      <c r="Z5" s="6" t="s">
        <v>166</v>
      </c>
      <c r="AA5" t="s">
        <v>124</v>
      </c>
      <c r="AB5" t="s">
        <v>140</v>
      </c>
      <c r="AC5" s="6"/>
      <c r="AD5" t="s">
        <v>167</v>
      </c>
      <c r="AF5" s="45" t="s">
        <v>126</v>
      </c>
      <c r="AG5" s="173" t="s">
        <v>340</v>
      </c>
      <c r="AH5" s="6" t="s">
        <v>148</v>
      </c>
      <c r="AI5" s="254" t="s">
        <v>549</v>
      </c>
      <c r="AJ5" s="6" t="s">
        <v>141</v>
      </c>
      <c r="AK5" s="6">
        <v>4</v>
      </c>
      <c r="AL5" s="6" t="s">
        <v>140</v>
      </c>
      <c r="AR5" s="6" t="s">
        <v>304</v>
      </c>
      <c r="BF5" s="173" t="s">
        <v>345</v>
      </c>
      <c r="BG5" s="173" t="s">
        <v>344</v>
      </c>
    </row>
    <row r="6" spans="1:61">
      <c r="A6" s="6" t="s">
        <v>122</v>
      </c>
      <c r="B6" s="6" t="str">
        <f>VLOOKUP(ReportSelected,Menu[],2,FALSE)</f>
        <v>check_tax_retained</v>
      </c>
      <c r="D6" s="243" t="s">
        <v>432</v>
      </c>
      <c r="E6" s="173" t="s">
        <v>433</v>
      </c>
      <c r="G6" t="s">
        <v>43</v>
      </c>
      <c r="H6" t="s">
        <v>104</v>
      </c>
      <c r="I6" t="s">
        <v>43</v>
      </c>
      <c r="O6" t="s">
        <v>66</v>
      </c>
      <c r="P6" t="s">
        <v>66</v>
      </c>
      <c r="Q6" t="s">
        <v>67</v>
      </c>
      <c r="R6" t="s">
        <v>128</v>
      </c>
      <c r="S6" t="s">
        <v>379</v>
      </c>
      <c r="T6" t="s">
        <v>126</v>
      </c>
      <c r="U6" t="s">
        <v>134</v>
      </c>
      <c r="W6" s="6" t="s">
        <v>77</v>
      </c>
      <c r="X6" s="6" t="s">
        <v>138</v>
      </c>
      <c r="Z6" s="6" t="s">
        <v>171</v>
      </c>
      <c r="AA6" t="s">
        <v>161</v>
      </c>
      <c r="AB6" t="s">
        <v>141</v>
      </c>
      <c r="AC6" s="6"/>
      <c r="AD6" s="6" t="s">
        <v>243</v>
      </c>
      <c r="AF6" s="45" t="s">
        <v>126</v>
      </c>
      <c r="AG6" s="173" t="s">
        <v>342</v>
      </c>
      <c r="AH6" s="6" t="s">
        <v>148</v>
      </c>
      <c r="AI6" s="254" t="s">
        <v>550</v>
      </c>
      <c r="AJ6" s="6" t="s">
        <v>141</v>
      </c>
      <c r="AK6" s="6">
        <v>2</v>
      </c>
      <c r="AL6" s="6" t="s">
        <v>140</v>
      </c>
      <c r="BF6" s="253" t="s">
        <v>341</v>
      </c>
      <c r="BG6" s="253" t="s">
        <v>549</v>
      </c>
    </row>
    <row r="7" spans="1:61">
      <c r="A7" s="39" t="s">
        <v>149</v>
      </c>
      <c r="B7" s="254"/>
      <c r="D7" t="s">
        <v>436</v>
      </c>
      <c r="E7" s="173" t="s">
        <v>437</v>
      </c>
      <c r="G7" t="s">
        <v>66</v>
      </c>
      <c r="H7" t="s">
        <v>104</v>
      </c>
      <c r="I7" t="s">
        <v>66</v>
      </c>
      <c r="O7" t="s">
        <v>119</v>
      </c>
      <c r="P7" t="s">
        <v>119</v>
      </c>
      <c r="Q7" t="s">
        <v>76</v>
      </c>
      <c r="R7" t="s">
        <v>128</v>
      </c>
      <c r="S7" t="s">
        <v>379</v>
      </c>
      <c r="U7" t="s">
        <v>118</v>
      </c>
      <c r="W7" s="6" t="s">
        <v>77</v>
      </c>
      <c r="X7" s="6" t="s">
        <v>209</v>
      </c>
      <c r="Z7" s="6" t="s">
        <v>180</v>
      </c>
      <c r="AA7" t="s">
        <v>161</v>
      </c>
      <c r="AB7" t="s">
        <v>141</v>
      </c>
      <c r="AC7" s="6"/>
      <c r="AD7" s="6" t="s">
        <v>244</v>
      </c>
      <c r="AF7" s="45" t="s">
        <v>126</v>
      </c>
      <c r="AG7" s="173" t="s">
        <v>343</v>
      </c>
      <c r="AH7" s="173" t="s">
        <v>148</v>
      </c>
      <c r="AI7" s="254" t="s">
        <v>344</v>
      </c>
      <c r="AJ7" s="173" t="s">
        <v>141</v>
      </c>
      <c r="AK7" s="173">
        <v>10</v>
      </c>
      <c r="AL7" s="173" t="s">
        <v>140</v>
      </c>
    </row>
    <row r="8" spans="1:61">
      <c r="A8" s="173" t="s">
        <v>158</v>
      </c>
      <c r="B8" s="176" t="s">
        <v>601</v>
      </c>
      <c r="D8" t="s">
        <v>463</v>
      </c>
      <c r="E8" s="173" t="s">
        <v>451</v>
      </c>
      <c r="G8" t="s">
        <v>119</v>
      </c>
      <c r="H8" t="s">
        <v>104</v>
      </c>
      <c r="I8" t="s">
        <v>119</v>
      </c>
      <c r="O8" t="s">
        <v>77</v>
      </c>
      <c r="P8" t="s">
        <v>77</v>
      </c>
      <c r="Q8" t="s">
        <v>78</v>
      </c>
      <c r="R8" t="s">
        <v>128</v>
      </c>
      <c r="S8" t="s">
        <v>379</v>
      </c>
      <c r="U8" t="s">
        <v>118</v>
      </c>
      <c r="W8" s="6" t="s">
        <v>77</v>
      </c>
      <c r="X8" s="6" t="s">
        <v>210</v>
      </c>
      <c r="Z8" s="6" t="s">
        <v>301</v>
      </c>
      <c r="AA8" s="6" t="s">
        <v>124</v>
      </c>
      <c r="AB8" s="6" t="s">
        <v>141</v>
      </c>
      <c r="AC8" s="6"/>
      <c r="AD8" s="6" t="s">
        <v>302</v>
      </c>
      <c r="AF8" s="6" t="s">
        <v>171</v>
      </c>
      <c r="AG8" t="s">
        <v>162</v>
      </c>
      <c r="AH8" t="s">
        <v>147</v>
      </c>
      <c r="AK8">
        <v>2000</v>
      </c>
      <c r="AL8" t="s">
        <v>141</v>
      </c>
      <c r="BI8" s="108"/>
    </row>
    <row r="9" spans="1:61">
      <c r="A9" s="173" t="s">
        <v>159</v>
      </c>
      <c r="B9" s="254" t="s">
        <v>600</v>
      </c>
      <c r="D9" s="243" t="s">
        <v>432</v>
      </c>
      <c r="E9" s="254" t="s">
        <v>433</v>
      </c>
      <c r="G9" t="s">
        <v>77</v>
      </c>
      <c r="H9" t="s">
        <v>104</v>
      </c>
      <c r="I9" t="s">
        <v>77</v>
      </c>
      <c r="O9" t="s">
        <v>178</v>
      </c>
      <c r="P9" t="s">
        <v>176</v>
      </c>
      <c r="Q9" t="s">
        <v>96</v>
      </c>
      <c r="R9" t="s">
        <v>128</v>
      </c>
      <c r="S9" t="s">
        <v>379</v>
      </c>
      <c r="T9" t="s">
        <v>126</v>
      </c>
      <c r="U9" t="s">
        <v>134</v>
      </c>
      <c r="W9" s="6" t="s">
        <v>77</v>
      </c>
      <c r="X9" s="6" t="s">
        <v>214</v>
      </c>
      <c r="Z9" s="6" t="s">
        <v>332</v>
      </c>
      <c r="AA9" s="6" t="s">
        <v>161</v>
      </c>
      <c r="AB9" s="6" t="s">
        <v>141</v>
      </c>
      <c r="AC9" s="6"/>
      <c r="AD9" s="6" t="s">
        <v>333</v>
      </c>
      <c r="AF9" s="6" t="s">
        <v>171</v>
      </c>
      <c r="AG9" s="6" t="s">
        <v>169</v>
      </c>
      <c r="AH9" s="6" t="s">
        <v>148</v>
      </c>
      <c r="AI9" s="254" t="s">
        <v>344</v>
      </c>
      <c r="AJ9" s="6" t="s">
        <v>141</v>
      </c>
      <c r="AK9" s="6">
        <v>10</v>
      </c>
      <c r="AL9" s="6" t="s">
        <v>140</v>
      </c>
    </row>
    <row r="10" spans="1:61">
      <c r="A10" s="173" t="s">
        <v>344</v>
      </c>
      <c r="B10" s="254" t="s">
        <v>600</v>
      </c>
      <c r="D10" s="253" t="s">
        <v>577</v>
      </c>
      <c r="E10" s="254" t="s">
        <v>579</v>
      </c>
      <c r="G10" t="s">
        <v>108</v>
      </c>
      <c r="H10" t="s">
        <v>104</v>
      </c>
      <c r="I10" t="s">
        <v>177</v>
      </c>
      <c r="J10" t="s">
        <v>454</v>
      </c>
      <c r="O10" t="s">
        <v>177</v>
      </c>
      <c r="P10" t="s">
        <v>94</v>
      </c>
      <c r="Q10" t="s">
        <v>96</v>
      </c>
      <c r="R10" t="s">
        <v>128</v>
      </c>
      <c r="S10" t="s">
        <v>379</v>
      </c>
      <c r="T10" s="6"/>
      <c r="U10" t="s">
        <v>134</v>
      </c>
      <c r="W10" s="6" t="s">
        <v>77</v>
      </c>
      <c r="X10" s="6" t="s">
        <v>216</v>
      </c>
      <c r="Z10" s="6" t="s">
        <v>337</v>
      </c>
      <c r="AA10" t="s">
        <v>161</v>
      </c>
      <c r="AB10" t="s">
        <v>141</v>
      </c>
      <c r="AC10" s="6"/>
      <c r="AD10" s="6" t="s">
        <v>338</v>
      </c>
      <c r="AF10" s="46" t="s">
        <v>180</v>
      </c>
      <c r="AG10" t="s">
        <v>162</v>
      </c>
      <c r="AH10" t="s">
        <v>147</v>
      </c>
      <c r="AK10">
        <v>2000</v>
      </c>
      <c r="AL10" t="s">
        <v>141</v>
      </c>
      <c r="BF10" s="254"/>
      <c r="BG10" s="254"/>
    </row>
    <row r="11" spans="1:61">
      <c r="A11" s="173" t="s">
        <v>435</v>
      </c>
      <c r="B11" s="254"/>
      <c r="D11" s="254" t="s">
        <v>589</v>
      </c>
      <c r="E11" s="254" t="s">
        <v>588</v>
      </c>
      <c r="G11" t="s">
        <v>108</v>
      </c>
      <c r="H11" t="s">
        <v>105</v>
      </c>
      <c r="I11" t="s">
        <v>166</v>
      </c>
      <c r="O11" s="6" t="s">
        <v>188</v>
      </c>
      <c r="P11" s="6" t="s">
        <v>190</v>
      </c>
      <c r="Q11" s="6" t="s">
        <v>188</v>
      </c>
      <c r="R11" t="s">
        <v>128</v>
      </c>
      <c r="S11" t="s">
        <v>379</v>
      </c>
      <c r="T11" t="s">
        <v>126</v>
      </c>
      <c r="U11" t="s">
        <v>134</v>
      </c>
      <c r="W11" s="6" t="s">
        <v>238</v>
      </c>
      <c r="X11" s="6" t="s">
        <v>236</v>
      </c>
      <c r="Z11" s="173" t="s">
        <v>438</v>
      </c>
      <c r="AA11" s="173" t="s">
        <v>161</v>
      </c>
      <c r="AB11" s="173" t="s">
        <v>141</v>
      </c>
      <c r="AC11" s="173"/>
      <c r="AD11" s="173" t="s">
        <v>439</v>
      </c>
      <c r="AF11" s="46" t="s">
        <v>180</v>
      </c>
      <c r="AG11" s="173" t="s">
        <v>340</v>
      </c>
      <c r="AH11" s="6" t="s">
        <v>148</v>
      </c>
      <c r="AI11" s="254" t="s">
        <v>549</v>
      </c>
      <c r="AJ11" s="6" t="s">
        <v>141</v>
      </c>
      <c r="AK11" s="6">
        <v>4</v>
      </c>
      <c r="AL11" s="6" t="s">
        <v>140</v>
      </c>
    </row>
    <row r="12" spans="1:61">
      <c r="A12" s="173" t="s">
        <v>443</v>
      </c>
      <c r="B12" s="173">
        <v>1</v>
      </c>
      <c r="D12" s="253" t="s">
        <v>581</v>
      </c>
      <c r="E12" s="254" t="s">
        <v>580</v>
      </c>
      <c r="G12" t="s">
        <v>168</v>
      </c>
      <c r="H12" t="s">
        <v>105</v>
      </c>
      <c r="I12" t="s">
        <v>170</v>
      </c>
      <c r="O12" s="6" t="s">
        <v>189</v>
      </c>
      <c r="P12" s="6" t="s">
        <v>190</v>
      </c>
      <c r="Q12" s="6" t="s">
        <v>189</v>
      </c>
      <c r="R12" t="s">
        <v>128</v>
      </c>
      <c r="S12" t="s">
        <v>379</v>
      </c>
      <c r="T12" t="s">
        <v>126</v>
      </c>
      <c r="U12" t="s">
        <v>134</v>
      </c>
      <c r="W12" s="6" t="s">
        <v>266</v>
      </c>
      <c r="X12" s="6" t="s">
        <v>303</v>
      </c>
      <c r="Z12" s="173" t="s">
        <v>440</v>
      </c>
      <c r="AA12" s="173" t="s">
        <v>161</v>
      </c>
      <c r="AB12" s="173" t="s">
        <v>141</v>
      </c>
      <c r="AC12" s="173"/>
      <c r="AD12" s="254" t="s">
        <v>441</v>
      </c>
      <c r="AF12" s="142" t="s">
        <v>301</v>
      </c>
      <c r="AG12" t="s">
        <v>162</v>
      </c>
      <c r="AH12" s="6" t="s">
        <v>147</v>
      </c>
      <c r="AI12" s="6"/>
      <c r="AJ12" s="6"/>
      <c r="AK12">
        <v>2000</v>
      </c>
      <c r="AL12" t="s">
        <v>141</v>
      </c>
    </row>
    <row r="13" spans="1:61">
      <c r="A13" s="254" t="s">
        <v>483</v>
      </c>
      <c r="B13" s="254" t="s">
        <v>595</v>
      </c>
      <c r="D13" s="243" t="s">
        <v>432</v>
      </c>
      <c r="E13" s="173" t="s">
        <v>433</v>
      </c>
      <c r="G13" t="s">
        <v>168</v>
      </c>
      <c r="H13" t="s">
        <v>105</v>
      </c>
      <c r="I13" t="s">
        <v>171</v>
      </c>
      <c r="O13" t="s">
        <v>137</v>
      </c>
      <c r="P13" s="6" t="s">
        <v>190</v>
      </c>
      <c r="Q13" t="s">
        <v>137</v>
      </c>
      <c r="R13" t="s">
        <v>128</v>
      </c>
      <c r="S13" t="s">
        <v>379</v>
      </c>
      <c r="T13" t="s">
        <v>126</v>
      </c>
      <c r="U13" t="s">
        <v>134</v>
      </c>
      <c r="W13" s="173" t="s">
        <v>360</v>
      </c>
      <c r="X13" s="173" t="s">
        <v>354</v>
      </c>
      <c r="Z13" s="254" t="s">
        <v>485</v>
      </c>
      <c r="AA13" s="254" t="s">
        <v>161</v>
      </c>
      <c r="AB13" s="254" t="s">
        <v>141</v>
      </c>
      <c r="AC13" s="254"/>
      <c r="AD13" s="254" t="s">
        <v>486</v>
      </c>
      <c r="AF13" s="142" t="s">
        <v>301</v>
      </c>
      <c r="AG13" s="6" t="s">
        <v>156</v>
      </c>
      <c r="AH13" s="6" t="s">
        <v>148</v>
      </c>
      <c r="AI13" s="6" t="s">
        <v>149</v>
      </c>
      <c r="AJ13" s="6" t="s">
        <v>141</v>
      </c>
      <c r="AK13" s="6">
        <v>40</v>
      </c>
      <c r="AL13" s="6" t="s">
        <v>140</v>
      </c>
    </row>
    <row r="14" spans="1:61">
      <c r="A14" s="254" t="s">
        <v>484</v>
      </c>
      <c r="B14" s="254">
        <v>1192795</v>
      </c>
      <c r="D14" t="s">
        <v>25</v>
      </c>
      <c r="E14" t="s">
        <v>27</v>
      </c>
      <c r="G14" t="s">
        <v>168</v>
      </c>
      <c r="H14" t="s">
        <v>104</v>
      </c>
      <c r="I14" t="s">
        <v>178</v>
      </c>
      <c r="O14" t="s">
        <v>138</v>
      </c>
      <c r="P14" s="6" t="s">
        <v>190</v>
      </c>
      <c r="Q14" s="6" t="s">
        <v>138</v>
      </c>
      <c r="R14" t="s">
        <v>128</v>
      </c>
      <c r="S14" t="s">
        <v>379</v>
      </c>
      <c r="T14" t="s">
        <v>126</v>
      </c>
      <c r="U14" t="s">
        <v>134</v>
      </c>
      <c r="W14" s="173" t="s">
        <v>360</v>
      </c>
      <c r="X14" s="173" t="s">
        <v>357</v>
      </c>
      <c r="Z14" s="254" t="s">
        <v>507</v>
      </c>
      <c r="AA14" s="254" t="s">
        <v>161</v>
      </c>
      <c r="AB14" s="254" t="s">
        <v>141</v>
      </c>
      <c r="AC14" s="254"/>
      <c r="AD14" s="254" t="s">
        <v>508</v>
      </c>
      <c r="AF14" s="172" t="s">
        <v>332</v>
      </c>
      <c r="AG14" t="s">
        <v>162</v>
      </c>
      <c r="AH14" t="s">
        <v>147</v>
      </c>
      <c r="AK14">
        <v>2000</v>
      </c>
      <c r="AL14" t="s">
        <v>141</v>
      </c>
    </row>
    <row r="15" spans="1:61">
      <c r="A15" s="254" t="s">
        <v>549</v>
      </c>
      <c r="B15" s="254">
        <v>2018</v>
      </c>
      <c r="D15" t="s">
        <v>34</v>
      </c>
      <c r="E15" t="s">
        <v>33</v>
      </c>
      <c r="G15" t="s">
        <v>109</v>
      </c>
      <c r="H15" t="s">
        <v>104</v>
      </c>
      <c r="I15" t="s">
        <v>178</v>
      </c>
      <c r="O15" s="6" t="s">
        <v>209</v>
      </c>
      <c r="P15" s="6" t="s">
        <v>190</v>
      </c>
      <c r="Q15" s="6" t="s">
        <v>209</v>
      </c>
      <c r="R15" t="s">
        <v>128</v>
      </c>
      <c r="S15" t="s">
        <v>379</v>
      </c>
      <c r="T15" t="s">
        <v>126</v>
      </c>
      <c r="U15" t="s">
        <v>134</v>
      </c>
      <c r="W15" s="173" t="s">
        <v>360</v>
      </c>
      <c r="X15" s="173" t="s">
        <v>362</v>
      </c>
      <c r="Z15" s="254" t="s">
        <v>579</v>
      </c>
      <c r="AA15" s="254" t="s">
        <v>161</v>
      </c>
      <c r="AB15" s="254" t="s">
        <v>141</v>
      </c>
      <c r="AC15" s="254"/>
      <c r="AD15" s="254" t="s">
        <v>578</v>
      </c>
      <c r="AF15" s="172" t="s">
        <v>332</v>
      </c>
      <c r="AG15" s="173" t="s">
        <v>340</v>
      </c>
      <c r="AH15" s="173" t="s">
        <v>148</v>
      </c>
      <c r="AI15" s="254" t="s">
        <v>549</v>
      </c>
      <c r="AJ15" s="173" t="s">
        <v>141</v>
      </c>
      <c r="AK15" s="173">
        <v>4</v>
      </c>
      <c r="AL15" s="173" t="s">
        <v>140</v>
      </c>
    </row>
    <row r="16" spans="1:61">
      <c r="A16" s="254" t="s">
        <v>550</v>
      </c>
      <c r="B16" s="254">
        <v>2</v>
      </c>
      <c r="D16" t="s">
        <v>67</v>
      </c>
      <c r="E16" t="s">
        <v>66</v>
      </c>
      <c r="G16" s="6" t="s">
        <v>180</v>
      </c>
      <c r="H16" t="s">
        <v>105</v>
      </c>
      <c r="I16" s="6" t="s">
        <v>180</v>
      </c>
      <c r="J16" s="6"/>
      <c r="K16" s="173"/>
      <c r="L16" s="173"/>
      <c r="M16" s="254"/>
      <c r="O16" s="6" t="s">
        <v>210</v>
      </c>
      <c r="P16" s="6" t="s">
        <v>190</v>
      </c>
      <c r="Q16" s="6" t="s">
        <v>210</v>
      </c>
      <c r="R16" t="s">
        <v>128</v>
      </c>
      <c r="S16" t="s">
        <v>379</v>
      </c>
      <c r="T16" t="s">
        <v>126</v>
      </c>
      <c r="U16" t="s">
        <v>134</v>
      </c>
      <c r="W16" s="173" t="s">
        <v>373</v>
      </c>
      <c r="X16" s="173" t="s">
        <v>375</v>
      </c>
      <c r="Z16" s="254" t="s">
        <v>598</v>
      </c>
      <c r="AA16" s="254" t="s">
        <v>161</v>
      </c>
      <c r="AB16" s="254" t="s">
        <v>141</v>
      </c>
      <c r="AC16" s="254"/>
      <c r="AD16" s="254" t="s">
        <v>599</v>
      </c>
      <c r="AF16" s="172" t="s">
        <v>332</v>
      </c>
      <c r="AG16" s="173" t="s">
        <v>342</v>
      </c>
      <c r="AH16" s="173" t="s">
        <v>148</v>
      </c>
      <c r="AI16" s="254" t="s">
        <v>550</v>
      </c>
      <c r="AJ16" s="173" t="s">
        <v>141</v>
      </c>
      <c r="AK16" s="173">
        <v>2</v>
      </c>
      <c r="AL16" s="173" t="s">
        <v>140</v>
      </c>
    </row>
    <row r="17" spans="4:38">
      <c r="D17" t="s">
        <v>256</v>
      </c>
      <c r="E17" s="6" t="s">
        <v>257</v>
      </c>
      <c r="G17" s="6" t="s">
        <v>180</v>
      </c>
      <c r="H17" s="6" t="s">
        <v>104</v>
      </c>
      <c r="I17" s="6" t="s">
        <v>324</v>
      </c>
      <c r="J17" s="6"/>
      <c r="K17" s="173"/>
      <c r="L17" s="173"/>
      <c r="M17" s="254"/>
      <c r="O17" s="6" t="s">
        <v>214</v>
      </c>
      <c r="P17" s="6" t="s">
        <v>190</v>
      </c>
      <c r="Q17" s="6" t="s">
        <v>214</v>
      </c>
      <c r="R17" t="s">
        <v>128</v>
      </c>
      <c r="S17" t="s">
        <v>379</v>
      </c>
      <c r="T17" t="s">
        <v>126</v>
      </c>
      <c r="U17" t="s">
        <v>134</v>
      </c>
      <c r="W17" s="173" t="s">
        <v>373</v>
      </c>
      <c r="X17" s="173" t="s">
        <v>374</v>
      </c>
      <c r="AF17" s="45" t="s">
        <v>337</v>
      </c>
      <c r="AG17" t="s">
        <v>162</v>
      </c>
      <c r="AH17" t="s">
        <v>147</v>
      </c>
      <c r="AK17">
        <v>2000</v>
      </c>
      <c r="AL17" t="s">
        <v>141</v>
      </c>
    </row>
    <row r="18" spans="4:38">
      <c r="D18" t="s">
        <v>265</v>
      </c>
      <c r="E18" s="6" t="s">
        <v>301</v>
      </c>
      <c r="G18" s="6" t="s">
        <v>225</v>
      </c>
      <c r="H18" t="s">
        <v>104</v>
      </c>
      <c r="I18" t="s">
        <v>77</v>
      </c>
      <c r="J18" s="6"/>
      <c r="K18" s="173"/>
      <c r="L18" s="173"/>
      <c r="M18" s="254"/>
      <c r="O18" s="6" t="s">
        <v>216</v>
      </c>
      <c r="P18" s="6" t="s">
        <v>190</v>
      </c>
      <c r="Q18" s="6" t="s">
        <v>216</v>
      </c>
      <c r="R18" t="s">
        <v>128</v>
      </c>
      <c r="S18" t="s">
        <v>379</v>
      </c>
      <c r="T18" t="s">
        <v>126</v>
      </c>
      <c r="U18" t="s">
        <v>134</v>
      </c>
      <c r="W18" s="173" t="s">
        <v>373</v>
      </c>
      <c r="X18" s="173" t="s">
        <v>376</v>
      </c>
      <c r="AF18" s="45" t="s">
        <v>337</v>
      </c>
      <c r="AG18" s="173" t="s">
        <v>340</v>
      </c>
      <c r="AH18" s="173" t="s">
        <v>148</v>
      </c>
      <c r="AI18" s="254" t="s">
        <v>549</v>
      </c>
      <c r="AJ18" s="173" t="s">
        <v>141</v>
      </c>
      <c r="AK18" s="173">
        <v>4</v>
      </c>
      <c r="AL18" s="173" t="s">
        <v>140</v>
      </c>
    </row>
    <row r="19" spans="4:38">
      <c r="D19" s="6" t="s">
        <v>240</v>
      </c>
      <c r="E19" s="6" t="s">
        <v>241</v>
      </c>
      <c r="G19" s="6" t="s">
        <v>225</v>
      </c>
      <c r="H19" t="s">
        <v>104</v>
      </c>
      <c r="I19" s="6" t="s">
        <v>119</v>
      </c>
      <c r="J19" s="6"/>
      <c r="K19" s="173"/>
      <c r="L19" s="173"/>
      <c r="M19" s="254"/>
      <c r="O19" s="6" t="s">
        <v>238</v>
      </c>
      <c r="P19" s="6" t="s">
        <v>238</v>
      </c>
      <c r="Q19" s="6" t="s">
        <v>239</v>
      </c>
      <c r="R19" t="s">
        <v>128</v>
      </c>
      <c r="S19" t="s">
        <v>379</v>
      </c>
      <c r="U19" t="s">
        <v>118</v>
      </c>
      <c r="W19" s="173" t="s">
        <v>383</v>
      </c>
      <c r="X19" s="173" t="s">
        <v>384</v>
      </c>
      <c r="AF19" s="45" t="s">
        <v>438</v>
      </c>
      <c r="AG19" t="s">
        <v>162</v>
      </c>
      <c r="AH19" t="s">
        <v>147</v>
      </c>
      <c r="AI19" s="173"/>
      <c r="AJ19" s="173"/>
      <c r="AK19">
        <v>2000</v>
      </c>
      <c r="AL19" t="s">
        <v>141</v>
      </c>
    </row>
    <row r="20" spans="4:38">
      <c r="D20" s="6" t="s">
        <v>224</v>
      </c>
      <c r="E20" t="s">
        <v>225</v>
      </c>
      <c r="G20" s="6" t="s">
        <v>238</v>
      </c>
      <c r="H20" t="s">
        <v>104</v>
      </c>
      <c r="I20" s="6" t="s">
        <v>238</v>
      </c>
      <c r="J20" s="6"/>
      <c r="K20" s="173"/>
      <c r="L20" s="173"/>
      <c r="M20" s="254"/>
      <c r="O20" s="6" t="s">
        <v>236</v>
      </c>
      <c r="P20" s="6" t="s">
        <v>190</v>
      </c>
      <c r="Q20" s="6" t="s">
        <v>236</v>
      </c>
      <c r="R20" t="s">
        <v>128</v>
      </c>
      <c r="S20" t="s">
        <v>379</v>
      </c>
      <c r="T20" t="s">
        <v>126</v>
      </c>
      <c r="U20" t="s">
        <v>134</v>
      </c>
      <c r="W20" s="173" t="s">
        <v>383</v>
      </c>
      <c r="X20" s="173" t="s">
        <v>385</v>
      </c>
      <c r="AF20" s="45" t="s">
        <v>438</v>
      </c>
      <c r="AG20" s="173" t="s">
        <v>442</v>
      </c>
      <c r="AH20" s="173" t="s">
        <v>148</v>
      </c>
      <c r="AI20" s="173" t="s">
        <v>445</v>
      </c>
      <c r="AJ20" s="173" t="s">
        <v>141</v>
      </c>
      <c r="AK20" s="173">
        <v>3</v>
      </c>
      <c r="AL20" s="173" t="s">
        <v>140</v>
      </c>
    </row>
    <row r="21" spans="4:38">
      <c r="D21" t="s">
        <v>76</v>
      </c>
      <c r="E21" t="s">
        <v>119</v>
      </c>
      <c r="G21" s="6" t="s">
        <v>241</v>
      </c>
      <c r="H21" s="6" t="s">
        <v>104</v>
      </c>
      <c r="I21" s="6" t="s">
        <v>238</v>
      </c>
      <c r="J21" s="6"/>
      <c r="K21" s="173"/>
      <c r="L21" s="173"/>
      <c r="M21" s="254"/>
      <c r="O21" s="6" t="s">
        <v>257</v>
      </c>
      <c r="P21" t="s">
        <v>257</v>
      </c>
      <c r="Q21" s="6" t="s">
        <v>255</v>
      </c>
      <c r="R21" t="s">
        <v>128</v>
      </c>
      <c r="S21" t="s">
        <v>379</v>
      </c>
      <c r="T21" t="s">
        <v>126</v>
      </c>
      <c r="U21" t="s">
        <v>134</v>
      </c>
      <c r="W21" s="173" t="s">
        <v>383</v>
      </c>
      <c r="X21" s="173" t="s">
        <v>376</v>
      </c>
      <c r="AF21" s="45" t="s">
        <v>438</v>
      </c>
      <c r="AG21" s="173" t="s">
        <v>340</v>
      </c>
      <c r="AH21" s="173" t="s">
        <v>148</v>
      </c>
      <c r="AI21" s="254" t="s">
        <v>549</v>
      </c>
      <c r="AJ21" s="173" t="s">
        <v>141</v>
      </c>
      <c r="AK21" s="173">
        <v>4</v>
      </c>
      <c r="AL21" s="173" t="s">
        <v>140</v>
      </c>
    </row>
    <row r="22" spans="4:38">
      <c r="D22" t="s">
        <v>78</v>
      </c>
      <c r="E22" t="s">
        <v>77</v>
      </c>
      <c r="G22" s="6" t="s">
        <v>241</v>
      </c>
      <c r="H22" s="6" t="s">
        <v>104</v>
      </c>
      <c r="I22" t="s">
        <v>77</v>
      </c>
      <c r="J22" s="6"/>
      <c r="K22" s="173"/>
      <c r="L22" s="173"/>
      <c r="M22" s="254"/>
      <c r="O22" s="6" t="s">
        <v>266</v>
      </c>
      <c r="P22" s="6" t="s">
        <v>266</v>
      </c>
      <c r="Q22" s="6" t="s">
        <v>265</v>
      </c>
      <c r="R22" t="s">
        <v>128</v>
      </c>
      <c r="S22" t="s">
        <v>379</v>
      </c>
      <c r="T22" t="s">
        <v>126</v>
      </c>
      <c r="U22" t="s">
        <v>118</v>
      </c>
      <c r="W22" s="173" t="s">
        <v>452</v>
      </c>
      <c r="X22" s="173" t="s">
        <v>409</v>
      </c>
      <c r="AF22" s="45" t="s">
        <v>438</v>
      </c>
      <c r="AG22" s="173" t="s">
        <v>342</v>
      </c>
      <c r="AH22" s="173" t="s">
        <v>148</v>
      </c>
      <c r="AI22" s="254" t="s">
        <v>550</v>
      </c>
      <c r="AJ22" s="173" t="s">
        <v>141</v>
      </c>
      <c r="AK22" s="173">
        <v>20</v>
      </c>
      <c r="AL22" s="173" t="s">
        <v>140</v>
      </c>
    </row>
    <row r="23" spans="4:38">
      <c r="D23" s="6" t="s">
        <v>237</v>
      </c>
      <c r="E23" s="6" t="s">
        <v>238</v>
      </c>
      <c r="G23" s="6" t="s">
        <v>241</v>
      </c>
      <c r="H23" s="6" t="s">
        <v>104</v>
      </c>
      <c r="I23" s="6" t="s">
        <v>119</v>
      </c>
      <c r="J23" s="6"/>
      <c r="K23" s="173"/>
      <c r="L23" s="173"/>
      <c r="M23" s="254"/>
      <c r="O23" s="6" t="s">
        <v>303</v>
      </c>
      <c r="P23" s="6"/>
      <c r="Q23" s="6"/>
      <c r="S23" t="s">
        <v>379</v>
      </c>
      <c r="T23" t="s">
        <v>126</v>
      </c>
      <c r="U23" s="6" t="s">
        <v>304</v>
      </c>
      <c r="W23" s="173" t="s">
        <v>452</v>
      </c>
      <c r="X23" s="173" t="s">
        <v>417</v>
      </c>
      <c r="AF23" s="45" t="s">
        <v>438</v>
      </c>
      <c r="AG23" s="254" t="s">
        <v>565</v>
      </c>
      <c r="AH23" s="254" t="s">
        <v>148</v>
      </c>
      <c r="AI23" s="254" t="s">
        <v>344</v>
      </c>
      <c r="AJ23" s="254" t="s">
        <v>141</v>
      </c>
      <c r="AK23" s="254">
        <v>20</v>
      </c>
      <c r="AL23" s="254" t="s">
        <v>140</v>
      </c>
    </row>
    <row r="24" spans="4:38">
      <c r="D24" t="s">
        <v>120</v>
      </c>
      <c r="E24" t="s">
        <v>108</v>
      </c>
      <c r="G24" s="6" t="s">
        <v>257</v>
      </c>
      <c r="H24" s="6" t="s">
        <v>104</v>
      </c>
      <c r="I24" s="6" t="s">
        <v>257</v>
      </c>
      <c r="J24" s="6"/>
      <c r="K24" s="173"/>
      <c r="L24" s="173"/>
      <c r="M24" s="254"/>
      <c r="O24" s="6" t="s">
        <v>312</v>
      </c>
      <c r="P24" t="s">
        <v>312</v>
      </c>
      <c r="Q24" s="6" t="s">
        <v>314</v>
      </c>
      <c r="R24" t="s">
        <v>128</v>
      </c>
      <c r="S24" t="s">
        <v>379</v>
      </c>
      <c r="T24" t="s">
        <v>126</v>
      </c>
      <c r="U24" t="s">
        <v>134</v>
      </c>
      <c r="W24" s="173" t="s">
        <v>475</v>
      </c>
      <c r="X24" s="173" t="s">
        <v>477</v>
      </c>
      <c r="AF24" s="45" t="s">
        <v>440</v>
      </c>
      <c r="AG24" t="s">
        <v>162</v>
      </c>
      <c r="AH24" t="s">
        <v>147</v>
      </c>
      <c r="AK24">
        <v>2000</v>
      </c>
      <c r="AL24" t="s">
        <v>141</v>
      </c>
    </row>
    <row r="25" spans="4:38">
      <c r="D25" t="s">
        <v>93</v>
      </c>
      <c r="E25" t="s">
        <v>109</v>
      </c>
      <c r="G25" s="6" t="s">
        <v>301</v>
      </c>
      <c r="H25" s="6" t="s">
        <v>104</v>
      </c>
      <c r="I25" s="6" t="s">
        <v>266</v>
      </c>
      <c r="O25" s="6" t="s">
        <v>316</v>
      </c>
      <c r="P25" s="6" t="s">
        <v>312</v>
      </c>
      <c r="Q25" s="6" t="s">
        <v>314</v>
      </c>
      <c r="R25" s="6" t="s">
        <v>128</v>
      </c>
      <c r="S25" s="173" t="s">
        <v>379</v>
      </c>
      <c r="T25" s="6" t="s">
        <v>126</v>
      </c>
      <c r="U25" s="6" t="s">
        <v>134</v>
      </c>
      <c r="W25" s="173" t="s">
        <v>475</v>
      </c>
      <c r="X25" s="173" t="s">
        <v>478</v>
      </c>
      <c r="AF25" s="45" t="s">
        <v>440</v>
      </c>
      <c r="AG25" s="173" t="s">
        <v>444</v>
      </c>
      <c r="AH25" s="173" t="s">
        <v>148</v>
      </c>
      <c r="AI25" s="173" t="s">
        <v>435</v>
      </c>
      <c r="AJ25" s="173" t="s">
        <v>141</v>
      </c>
      <c r="AK25" s="173">
        <v>40</v>
      </c>
      <c r="AL25" s="173" t="s">
        <v>140</v>
      </c>
    </row>
    <row r="26" spans="4:38">
      <c r="D26" s="6" t="s">
        <v>315</v>
      </c>
      <c r="E26" s="6" t="s">
        <v>312</v>
      </c>
      <c r="G26" s="6" t="s">
        <v>307</v>
      </c>
      <c r="H26" t="s">
        <v>104</v>
      </c>
      <c r="I26" t="s">
        <v>33</v>
      </c>
      <c r="J26" s="6"/>
      <c r="K26" s="173"/>
      <c r="L26" s="173"/>
      <c r="M26" s="254"/>
      <c r="O26" s="6" t="s">
        <v>324</v>
      </c>
      <c r="P26" s="6" t="s">
        <v>324</v>
      </c>
      <c r="Q26" s="6" t="s">
        <v>323</v>
      </c>
      <c r="R26" s="6" t="s">
        <v>128</v>
      </c>
      <c r="S26" s="173" t="s">
        <v>379</v>
      </c>
      <c r="T26" s="6" t="s">
        <v>126</v>
      </c>
      <c r="U26" s="6" t="s">
        <v>134</v>
      </c>
      <c r="W26" s="173" t="s">
        <v>475</v>
      </c>
      <c r="X26" s="173" t="s">
        <v>479</v>
      </c>
      <c r="AF26" s="45" t="s">
        <v>440</v>
      </c>
      <c r="AG26" s="173" t="s">
        <v>442</v>
      </c>
      <c r="AH26" s="173" t="s">
        <v>148</v>
      </c>
      <c r="AI26" s="173" t="s">
        <v>445</v>
      </c>
      <c r="AJ26" s="173" t="s">
        <v>141</v>
      </c>
      <c r="AK26" s="173">
        <v>3</v>
      </c>
      <c r="AL26" s="173" t="s">
        <v>140</v>
      </c>
    </row>
    <row r="27" spans="4:38">
      <c r="D27" s="6" t="s">
        <v>313</v>
      </c>
      <c r="E27" s="6" t="s">
        <v>316</v>
      </c>
      <c r="G27" s="6" t="s">
        <v>307</v>
      </c>
      <c r="H27" t="s">
        <v>104</v>
      </c>
      <c r="I27" t="s">
        <v>27</v>
      </c>
      <c r="O27" s="6" t="s">
        <v>334</v>
      </c>
      <c r="P27" s="6" t="s">
        <v>312</v>
      </c>
      <c r="Q27" s="6" t="s">
        <v>314</v>
      </c>
      <c r="R27" s="6" t="s">
        <v>128</v>
      </c>
      <c r="S27" s="173" t="s">
        <v>379</v>
      </c>
      <c r="T27" s="6" t="s">
        <v>126</v>
      </c>
      <c r="U27" s="6" t="s">
        <v>134</v>
      </c>
      <c r="W27" s="173" t="s">
        <v>475</v>
      </c>
      <c r="X27" s="173" t="s">
        <v>480</v>
      </c>
      <c r="AF27" s="45" t="s">
        <v>440</v>
      </c>
      <c r="AG27" s="173" t="s">
        <v>340</v>
      </c>
      <c r="AH27" s="173" t="s">
        <v>148</v>
      </c>
      <c r="AI27" s="254" t="s">
        <v>549</v>
      </c>
      <c r="AJ27" s="173" t="s">
        <v>141</v>
      </c>
      <c r="AK27" s="173">
        <v>4</v>
      </c>
      <c r="AL27" s="173" t="s">
        <v>140</v>
      </c>
    </row>
    <row r="28" spans="4:38">
      <c r="D28" s="6" t="s">
        <v>331</v>
      </c>
      <c r="E28" s="6" t="s">
        <v>332</v>
      </c>
      <c r="G28" s="6" t="s">
        <v>307</v>
      </c>
      <c r="H28" t="s">
        <v>104</v>
      </c>
      <c r="I28" t="s">
        <v>66</v>
      </c>
      <c r="O28" s="173" t="s">
        <v>360</v>
      </c>
      <c r="P28" s="173" t="s">
        <v>360</v>
      </c>
      <c r="Q28" s="173" t="s">
        <v>361</v>
      </c>
      <c r="R28" s="173" t="s">
        <v>128</v>
      </c>
      <c r="S28" s="173" t="s">
        <v>379</v>
      </c>
      <c r="T28" s="173"/>
      <c r="U28" t="s">
        <v>118</v>
      </c>
      <c r="W28" s="254" t="s">
        <v>475</v>
      </c>
      <c r="X28" s="254" t="s">
        <v>594</v>
      </c>
      <c r="AF28" s="45" t="s">
        <v>440</v>
      </c>
      <c r="AG28" s="254" t="s">
        <v>565</v>
      </c>
      <c r="AH28" s="254" t="s">
        <v>148</v>
      </c>
      <c r="AI28" s="254" t="s">
        <v>344</v>
      </c>
      <c r="AJ28" s="254" t="s">
        <v>141</v>
      </c>
      <c r="AK28" s="254">
        <v>10</v>
      </c>
      <c r="AL28" s="254" t="s">
        <v>140</v>
      </c>
    </row>
    <row r="29" spans="4:38">
      <c r="D29" s="6" t="s">
        <v>323</v>
      </c>
      <c r="E29" s="6" t="s">
        <v>324</v>
      </c>
      <c r="G29" s="6" t="s">
        <v>307</v>
      </c>
      <c r="H29" s="6" t="s">
        <v>104</v>
      </c>
      <c r="I29" s="6" t="s">
        <v>257</v>
      </c>
      <c r="O29" s="173" t="s">
        <v>354</v>
      </c>
      <c r="P29" s="173" t="s">
        <v>190</v>
      </c>
      <c r="Q29" s="173" t="s">
        <v>354</v>
      </c>
      <c r="R29" s="173" t="s">
        <v>128</v>
      </c>
      <c r="S29" s="173" t="s">
        <v>379</v>
      </c>
      <c r="T29" s="173" t="s">
        <v>126</v>
      </c>
      <c r="U29" s="173" t="s">
        <v>134</v>
      </c>
      <c r="W29" s="173" t="s">
        <v>475</v>
      </c>
      <c r="X29" s="173" t="s">
        <v>481</v>
      </c>
      <c r="AF29" s="45" t="s">
        <v>485</v>
      </c>
      <c r="AG29" s="254" t="s">
        <v>487</v>
      </c>
      <c r="AH29" s="254" t="s">
        <v>148</v>
      </c>
      <c r="AI29" s="254" t="s">
        <v>483</v>
      </c>
      <c r="AJ29" s="254" t="s">
        <v>141</v>
      </c>
      <c r="AK29" s="254">
        <v>20</v>
      </c>
      <c r="AL29" s="254" t="s">
        <v>140</v>
      </c>
    </row>
    <row r="30" spans="4:38">
      <c r="D30" s="6" t="s">
        <v>336</v>
      </c>
      <c r="E30" s="6" t="s">
        <v>337</v>
      </c>
      <c r="G30" s="6" t="s">
        <v>307</v>
      </c>
      <c r="H30" s="6" t="s">
        <v>104</v>
      </c>
      <c r="I30" s="6" t="s">
        <v>266</v>
      </c>
      <c r="O30" s="173" t="s">
        <v>357</v>
      </c>
      <c r="P30" s="173" t="s">
        <v>190</v>
      </c>
      <c r="Q30" s="173" t="s">
        <v>357</v>
      </c>
      <c r="R30" s="173" t="s">
        <v>128</v>
      </c>
      <c r="S30" s="173" t="s">
        <v>379</v>
      </c>
      <c r="T30" s="173" t="s">
        <v>126</v>
      </c>
      <c r="U30" s="173" t="s">
        <v>134</v>
      </c>
      <c r="W30" s="254" t="s">
        <v>529</v>
      </c>
      <c r="X30" s="254" t="s">
        <v>528</v>
      </c>
      <c r="AF30" s="45" t="s">
        <v>485</v>
      </c>
      <c r="AG30" s="253" t="s">
        <v>488</v>
      </c>
      <c r="AH30" s="254" t="s">
        <v>148</v>
      </c>
      <c r="AI30" s="254" t="s">
        <v>484</v>
      </c>
      <c r="AJ30" t="s">
        <v>141</v>
      </c>
      <c r="AK30">
        <v>512</v>
      </c>
      <c r="AL30" s="254" t="s">
        <v>140</v>
      </c>
    </row>
    <row r="31" spans="4:38">
      <c r="D31" s="244" t="s">
        <v>432</v>
      </c>
      <c r="E31" s="173" t="s">
        <v>433</v>
      </c>
      <c r="G31" s="6" t="s">
        <v>307</v>
      </c>
      <c r="H31" s="6" t="s">
        <v>104</v>
      </c>
      <c r="I31" s="6" t="s">
        <v>238</v>
      </c>
      <c r="O31" s="173" t="s">
        <v>362</v>
      </c>
      <c r="P31" s="173" t="s">
        <v>190</v>
      </c>
      <c r="Q31" s="173" t="s">
        <v>362</v>
      </c>
      <c r="R31" s="173" t="s">
        <v>128</v>
      </c>
      <c r="S31" s="173" t="s">
        <v>379</v>
      </c>
      <c r="T31" s="173" t="s">
        <v>126</v>
      </c>
      <c r="U31" s="173" t="s">
        <v>134</v>
      </c>
      <c r="W31" s="254" t="s">
        <v>529</v>
      </c>
      <c r="X31" s="254" t="s">
        <v>535</v>
      </c>
      <c r="AF31" s="285" t="s">
        <v>579</v>
      </c>
      <c r="AG31" s="253" t="s">
        <v>162</v>
      </c>
      <c r="AH31" s="253" t="s">
        <v>147</v>
      </c>
      <c r="AI31" s="253"/>
      <c r="AJ31" s="253"/>
      <c r="AK31" s="253">
        <v>2000</v>
      </c>
      <c r="AL31" s="253" t="s">
        <v>141</v>
      </c>
    </row>
    <row r="32" spans="4:38">
      <c r="D32" s="173" t="s">
        <v>359</v>
      </c>
      <c r="E32" s="173" t="s">
        <v>360</v>
      </c>
      <c r="G32" s="6" t="s">
        <v>307</v>
      </c>
      <c r="H32" s="6" t="s">
        <v>104</v>
      </c>
      <c r="I32" t="s">
        <v>77</v>
      </c>
      <c r="O32" s="173" t="s">
        <v>373</v>
      </c>
      <c r="P32" s="173" t="s">
        <v>373</v>
      </c>
      <c r="Q32" s="173" t="s">
        <v>377</v>
      </c>
      <c r="R32" s="173" t="s">
        <v>128</v>
      </c>
      <c r="S32" s="173" t="s">
        <v>379</v>
      </c>
      <c r="T32" s="173"/>
      <c r="U32" t="s">
        <v>118</v>
      </c>
      <c r="W32" s="254" t="s">
        <v>529</v>
      </c>
      <c r="X32" s="254" t="s">
        <v>541</v>
      </c>
      <c r="AF32" s="285" t="s">
        <v>579</v>
      </c>
      <c r="AG32" s="254" t="s">
        <v>340</v>
      </c>
      <c r="AH32" s="254" t="s">
        <v>148</v>
      </c>
      <c r="AI32" s="254" t="s">
        <v>549</v>
      </c>
      <c r="AJ32" s="254" t="s">
        <v>141</v>
      </c>
      <c r="AK32" s="254">
        <v>4</v>
      </c>
      <c r="AL32" s="254" t="s">
        <v>140</v>
      </c>
    </row>
    <row r="33" spans="4:38">
      <c r="D33" s="173" t="s">
        <v>389</v>
      </c>
      <c r="E33" s="173" t="s">
        <v>373</v>
      </c>
      <c r="G33" s="6" t="s">
        <v>307</v>
      </c>
      <c r="H33" s="6" t="s">
        <v>104</v>
      </c>
      <c r="I33" s="6" t="s">
        <v>119</v>
      </c>
      <c r="O33" s="173" t="s">
        <v>375</v>
      </c>
      <c r="P33" s="173" t="s">
        <v>190</v>
      </c>
      <c r="Q33" s="173" t="s">
        <v>375</v>
      </c>
      <c r="R33" s="173" t="s">
        <v>128</v>
      </c>
      <c r="S33" s="173" t="s">
        <v>380</v>
      </c>
      <c r="T33" s="173" t="s">
        <v>126</v>
      </c>
      <c r="U33" s="173" t="s">
        <v>134</v>
      </c>
      <c r="W33" s="254" t="s">
        <v>545</v>
      </c>
      <c r="X33" s="254" t="s">
        <v>541</v>
      </c>
      <c r="AF33" s="45" t="s">
        <v>598</v>
      </c>
      <c r="AG33" s="253" t="s">
        <v>162</v>
      </c>
      <c r="AH33" s="253" t="s">
        <v>147</v>
      </c>
      <c r="AI33" s="253"/>
      <c r="AJ33" s="253"/>
      <c r="AK33" s="253">
        <v>2000</v>
      </c>
      <c r="AL33" s="253" t="s">
        <v>141</v>
      </c>
    </row>
    <row r="34" spans="4:38">
      <c r="D34" s="173" t="s">
        <v>390</v>
      </c>
      <c r="E34" s="173" t="s">
        <v>383</v>
      </c>
      <c r="G34" s="6" t="s">
        <v>312</v>
      </c>
      <c r="H34" s="6" t="s">
        <v>104</v>
      </c>
      <c r="I34" t="s">
        <v>312</v>
      </c>
      <c r="O34" s="173" t="s">
        <v>374</v>
      </c>
      <c r="P34" s="173" t="s">
        <v>190</v>
      </c>
      <c r="Q34" s="173" t="s">
        <v>374</v>
      </c>
      <c r="R34" s="173" t="s">
        <v>128</v>
      </c>
      <c r="S34" s="173" t="s">
        <v>380</v>
      </c>
      <c r="T34" s="173" t="s">
        <v>126</v>
      </c>
      <c r="U34" s="173" t="s">
        <v>134</v>
      </c>
      <c r="W34" s="254" t="s">
        <v>545</v>
      </c>
      <c r="X34" s="254" t="s">
        <v>547</v>
      </c>
      <c r="AF34" s="45" t="s">
        <v>598</v>
      </c>
      <c r="AG34" s="254" t="s">
        <v>340</v>
      </c>
      <c r="AH34" s="254" t="s">
        <v>148</v>
      </c>
      <c r="AI34" s="254" t="s">
        <v>549</v>
      </c>
      <c r="AJ34" s="254" t="s">
        <v>141</v>
      </c>
      <c r="AK34" s="254">
        <v>4</v>
      </c>
      <c r="AL34" s="254" t="s">
        <v>140</v>
      </c>
    </row>
    <row r="35" spans="4:38">
      <c r="D35" s="173" t="s">
        <v>464</v>
      </c>
      <c r="E35" s="173" t="s">
        <v>429</v>
      </c>
      <c r="G35" s="6" t="s">
        <v>316</v>
      </c>
      <c r="H35" s="6" t="s">
        <v>104</v>
      </c>
      <c r="I35" s="6" t="s">
        <v>316</v>
      </c>
      <c r="J35" s="6"/>
      <c r="K35" s="173"/>
      <c r="L35" s="173"/>
      <c r="M35" s="254"/>
      <c r="O35" s="173" t="s">
        <v>376</v>
      </c>
      <c r="P35" s="173" t="s">
        <v>190</v>
      </c>
      <c r="Q35" s="173" t="s">
        <v>376</v>
      </c>
      <c r="R35" s="173" t="s">
        <v>128</v>
      </c>
      <c r="S35" s="173" t="s">
        <v>380</v>
      </c>
      <c r="T35" s="173" t="s">
        <v>126</v>
      </c>
      <c r="U35" s="173" t="s">
        <v>134</v>
      </c>
      <c r="W35" s="254" t="s">
        <v>545</v>
      </c>
      <c r="X35" s="254" t="s">
        <v>556</v>
      </c>
    </row>
    <row r="36" spans="4:38">
      <c r="D36" s="254" t="s">
        <v>527</v>
      </c>
      <c r="E36" s="254" t="s">
        <v>525</v>
      </c>
      <c r="G36" s="6" t="s">
        <v>324</v>
      </c>
      <c r="H36" s="6" t="s">
        <v>104</v>
      </c>
      <c r="I36" s="6" t="s">
        <v>324</v>
      </c>
      <c r="J36" s="6"/>
      <c r="K36" s="173"/>
      <c r="L36" s="173"/>
      <c r="M36" s="254"/>
      <c r="O36" s="173" t="s">
        <v>383</v>
      </c>
      <c r="P36" s="173" t="s">
        <v>373</v>
      </c>
      <c r="Q36" s="173" t="s">
        <v>386</v>
      </c>
      <c r="R36" s="173" t="s">
        <v>128</v>
      </c>
      <c r="S36" s="173" t="s">
        <v>379</v>
      </c>
      <c r="T36" s="173"/>
      <c r="U36" t="s">
        <v>118</v>
      </c>
      <c r="W36" s="254" t="s">
        <v>545</v>
      </c>
      <c r="X36" s="254" t="s">
        <v>560</v>
      </c>
    </row>
    <row r="37" spans="4:38">
      <c r="D37" s="254" t="s">
        <v>567</v>
      </c>
      <c r="E37" s="254" t="s">
        <v>566</v>
      </c>
      <c r="G37" s="6" t="s">
        <v>332</v>
      </c>
      <c r="H37" s="6" t="s">
        <v>105</v>
      </c>
      <c r="I37" s="6" t="s">
        <v>332</v>
      </c>
      <c r="J37" s="6"/>
      <c r="K37" s="173"/>
      <c r="L37" s="173"/>
      <c r="M37" s="254"/>
      <c r="O37" s="173" t="s">
        <v>384</v>
      </c>
      <c r="P37" s="173" t="s">
        <v>190</v>
      </c>
      <c r="Q37" s="173" t="s">
        <v>384</v>
      </c>
      <c r="R37" s="173" t="s">
        <v>128</v>
      </c>
      <c r="S37" s="173" t="s">
        <v>380</v>
      </c>
      <c r="T37" s="173" t="s">
        <v>126</v>
      </c>
      <c r="U37" s="173" t="s">
        <v>134</v>
      </c>
    </row>
    <row r="38" spans="4:38">
      <c r="D38" s="254" t="s">
        <v>465</v>
      </c>
      <c r="E38" s="173" t="s">
        <v>466</v>
      </c>
      <c r="G38" s="6" t="s">
        <v>332</v>
      </c>
      <c r="H38" s="6" t="s">
        <v>104</v>
      </c>
      <c r="I38" s="6" t="s">
        <v>334</v>
      </c>
      <c r="J38" s="6"/>
      <c r="K38" s="173"/>
      <c r="L38" s="173"/>
      <c r="M38" s="254"/>
      <c r="O38" s="173" t="s">
        <v>385</v>
      </c>
      <c r="P38" s="173" t="s">
        <v>190</v>
      </c>
      <c r="Q38" s="173" t="s">
        <v>385</v>
      </c>
      <c r="R38" s="173" t="s">
        <v>128</v>
      </c>
      <c r="S38" s="173" t="s">
        <v>380</v>
      </c>
      <c r="T38" s="173" t="s">
        <v>126</v>
      </c>
      <c r="U38" s="173" t="s">
        <v>134</v>
      </c>
    </row>
    <row r="39" spans="4:38">
      <c r="D39" s="254" t="s">
        <v>510</v>
      </c>
      <c r="E39" s="254" t="s">
        <v>511</v>
      </c>
      <c r="G39" s="6" t="s">
        <v>337</v>
      </c>
      <c r="H39" s="6" t="s">
        <v>105</v>
      </c>
      <c r="I39" s="6" t="s">
        <v>337</v>
      </c>
      <c r="J39" s="6"/>
      <c r="K39" s="173"/>
      <c r="L39" s="173"/>
      <c r="M39" s="254"/>
      <c r="O39" s="173" t="s">
        <v>399</v>
      </c>
      <c r="P39" s="173" t="s">
        <v>399</v>
      </c>
      <c r="Q39" s="173" t="s">
        <v>446</v>
      </c>
      <c r="R39" s="173" t="s">
        <v>128</v>
      </c>
      <c r="S39" s="173" t="s">
        <v>379</v>
      </c>
      <c r="T39" s="173" t="s">
        <v>126</v>
      </c>
      <c r="U39" s="173" t="s">
        <v>134</v>
      </c>
    </row>
    <row r="40" spans="4:38">
      <c r="D40" s="254" t="s">
        <v>518</v>
      </c>
      <c r="E40" s="254" t="s">
        <v>519</v>
      </c>
      <c r="G40" s="173" t="s">
        <v>360</v>
      </c>
      <c r="H40" s="173" t="s">
        <v>104</v>
      </c>
      <c r="I40" s="173" t="s">
        <v>360</v>
      </c>
      <c r="J40" s="173"/>
      <c r="K40" s="173"/>
      <c r="L40" s="173"/>
      <c r="M40" s="254"/>
      <c r="O40" s="173" t="s">
        <v>452</v>
      </c>
      <c r="P40" s="173" t="s">
        <v>452</v>
      </c>
      <c r="Q40" s="173" t="s">
        <v>453</v>
      </c>
      <c r="R40" t="s">
        <v>128</v>
      </c>
      <c r="S40" s="173"/>
      <c r="U40" t="s">
        <v>118</v>
      </c>
    </row>
    <row r="41" spans="4:38">
      <c r="D41" s="254" t="s">
        <v>564</v>
      </c>
      <c r="E41" s="254" t="s">
        <v>452</v>
      </c>
      <c r="G41" s="173" t="s">
        <v>373</v>
      </c>
      <c r="H41" s="173" t="s">
        <v>104</v>
      </c>
      <c r="I41" s="173" t="s">
        <v>373</v>
      </c>
      <c r="J41" s="173"/>
      <c r="K41" s="173"/>
      <c r="L41" s="173"/>
      <c r="M41" s="254"/>
      <c r="O41" s="173" t="s">
        <v>409</v>
      </c>
      <c r="P41" s="173" t="s">
        <v>190</v>
      </c>
      <c r="Q41" s="173" t="s">
        <v>409</v>
      </c>
      <c r="R41" t="s">
        <v>128</v>
      </c>
      <c r="S41" s="173" t="s">
        <v>379</v>
      </c>
      <c r="T41" t="s">
        <v>126</v>
      </c>
      <c r="U41" t="s">
        <v>134</v>
      </c>
    </row>
    <row r="42" spans="4:38">
      <c r="D42" s="254"/>
      <c r="E42" s="254"/>
      <c r="G42" s="173" t="s">
        <v>383</v>
      </c>
      <c r="H42" s="173" t="s">
        <v>104</v>
      </c>
      <c r="I42" s="173" t="s">
        <v>383</v>
      </c>
      <c r="J42" s="173"/>
      <c r="K42" s="173"/>
      <c r="L42" s="173"/>
      <c r="M42" s="254"/>
      <c r="O42" s="173" t="s">
        <v>417</v>
      </c>
      <c r="P42" s="173" t="s">
        <v>190</v>
      </c>
      <c r="Q42" s="173" t="s">
        <v>417</v>
      </c>
      <c r="R42" s="173" t="s">
        <v>128</v>
      </c>
      <c r="S42" s="173" t="s">
        <v>379</v>
      </c>
      <c r="T42" s="173" t="s">
        <v>126</v>
      </c>
      <c r="U42" s="173" t="s">
        <v>134</v>
      </c>
    </row>
    <row r="43" spans="4:38">
      <c r="G43" s="254" t="s">
        <v>437</v>
      </c>
      <c r="H43" s="45" t="s">
        <v>105</v>
      </c>
      <c r="I43" s="45" t="s">
        <v>438</v>
      </c>
      <c r="J43" s="45"/>
      <c r="K43" s="45"/>
      <c r="L43" s="45"/>
      <c r="M43" s="254"/>
      <c r="O43" s="173" t="s">
        <v>456</v>
      </c>
      <c r="P43" s="173" t="s">
        <v>456</v>
      </c>
      <c r="Q43" s="173" t="s">
        <v>458</v>
      </c>
      <c r="R43" s="173" t="s">
        <v>128</v>
      </c>
      <c r="S43" s="173" t="s">
        <v>379</v>
      </c>
      <c r="T43" s="173" t="s">
        <v>126</v>
      </c>
      <c r="U43" s="173" t="s">
        <v>134</v>
      </c>
    </row>
    <row r="44" spans="4:38">
      <c r="G44" s="254" t="s">
        <v>437</v>
      </c>
      <c r="H44" s="45" t="s">
        <v>104</v>
      </c>
      <c r="I44" s="45" t="s">
        <v>399</v>
      </c>
      <c r="J44" t="s">
        <v>454</v>
      </c>
      <c r="L44" s="45" t="s">
        <v>438</v>
      </c>
      <c r="M44" s="254"/>
      <c r="O44" s="173" t="s">
        <v>429</v>
      </c>
      <c r="P44" s="173" t="s">
        <v>429</v>
      </c>
      <c r="Q44" s="173" t="s">
        <v>462</v>
      </c>
      <c r="R44" s="173" t="s">
        <v>128</v>
      </c>
      <c r="S44" s="173" t="s">
        <v>379</v>
      </c>
      <c r="T44" s="173" t="s">
        <v>126</v>
      </c>
      <c r="U44" s="173" t="s">
        <v>134</v>
      </c>
    </row>
    <row r="45" spans="4:38">
      <c r="G45" s="173" t="s">
        <v>437</v>
      </c>
      <c r="H45" s="45" t="s">
        <v>105</v>
      </c>
      <c r="I45" s="45" t="s">
        <v>440</v>
      </c>
      <c r="J45" s="45"/>
      <c r="K45" s="45" t="s">
        <v>447</v>
      </c>
      <c r="L45" s="45"/>
      <c r="M45" s="254"/>
      <c r="O45" s="173" t="s">
        <v>466</v>
      </c>
      <c r="P45" s="173" t="s">
        <v>466</v>
      </c>
      <c r="Q45" s="173" t="s">
        <v>467</v>
      </c>
      <c r="R45" s="173" t="s">
        <v>128</v>
      </c>
      <c r="S45" s="173" t="s">
        <v>379</v>
      </c>
      <c r="T45" s="173" t="s">
        <v>126</v>
      </c>
      <c r="U45" s="173" t="s">
        <v>134</v>
      </c>
    </row>
    <row r="46" spans="4:38">
      <c r="G46" s="173" t="s">
        <v>437</v>
      </c>
      <c r="H46" s="173" t="s">
        <v>105</v>
      </c>
      <c r="I46" s="173" t="s">
        <v>440</v>
      </c>
      <c r="J46" s="173"/>
      <c r="K46" s="173" t="s">
        <v>448</v>
      </c>
      <c r="L46" s="173"/>
      <c r="M46" s="254"/>
      <c r="O46" s="173" t="s">
        <v>475</v>
      </c>
      <c r="P46" s="173" t="s">
        <v>475</v>
      </c>
      <c r="Q46" s="173" t="s">
        <v>476</v>
      </c>
      <c r="R46" s="173" t="s">
        <v>128</v>
      </c>
      <c r="S46" s="173" t="s">
        <v>379</v>
      </c>
      <c r="T46" s="173"/>
      <c r="U46" t="s">
        <v>118</v>
      </c>
    </row>
    <row r="47" spans="4:38">
      <c r="G47" s="173" t="s">
        <v>437</v>
      </c>
      <c r="H47" s="173" t="s">
        <v>104</v>
      </c>
      <c r="I47" s="173" t="s">
        <v>466</v>
      </c>
      <c r="K47" s="173"/>
      <c r="L47" s="173"/>
      <c r="M47" s="254"/>
      <c r="O47" s="254" t="s">
        <v>477</v>
      </c>
      <c r="P47" s="254" t="s">
        <v>190</v>
      </c>
      <c r="Q47" s="254" t="s">
        <v>477</v>
      </c>
      <c r="R47" s="253" t="s">
        <v>128</v>
      </c>
      <c r="S47" s="254" t="s">
        <v>379</v>
      </c>
      <c r="T47" s="253" t="s">
        <v>126</v>
      </c>
      <c r="U47" s="253" t="s">
        <v>134</v>
      </c>
    </row>
    <row r="48" spans="4:38">
      <c r="G48" s="254" t="s">
        <v>437</v>
      </c>
      <c r="H48" s="254" t="s">
        <v>104</v>
      </c>
      <c r="I48" s="254" t="s">
        <v>566</v>
      </c>
      <c r="J48" s="253"/>
      <c r="K48" s="254"/>
      <c r="L48" s="254"/>
      <c r="M48" s="254"/>
      <c r="O48" s="173" t="s">
        <v>478</v>
      </c>
      <c r="P48" s="173" t="s">
        <v>190</v>
      </c>
      <c r="Q48" s="173" t="s">
        <v>478</v>
      </c>
      <c r="R48" t="s">
        <v>128</v>
      </c>
      <c r="S48" s="173" t="s">
        <v>379</v>
      </c>
      <c r="T48" t="s">
        <v>126</v>
      </c>
      <c r="U48" t="s">
        <v>134</v>
      </c>
    </row>
    <row r="49" spans="7:21">
      <c r="G49" s="173" t="s">
        <v>437</v>
      </c>
      <c r="H49" s="173" t="s">
        <v>104</v>
      </c>
      <c r="I49" s="173" t="s">
        <v>360</v>
      </c>
      <c r="K49" s="173"/>
      <c r="L49" s="173"/>
      <c r="M49" s="254"/>
      <c r="O49" s="173" t="s">
        <v>479</v>
      </c>
      <c r="P49" s="173" t="s">
        <v>190</v>
      </c>
      <c r="Q49" s="173" t="s">
        <v>479</v>
      </c>
      <c r="R49" t="s">
        <v>128</v>
      </c>
      <c r="S49" s="173" t="s">
        <v>379</v>
      </c>
      <c r="T49" t="s">
        <v>126</v>
      </c>
      <c r="U49" t="s">
        <v>134</v>
      </c>
    </row>
    <row r="50" spans="7:21">
      <c r="G50" s="173" t="s">
        <v>437</v>
      </c>
      <c r="H50" s="173" t="s">
        <v>104</v>
      </c>
      <c r="I50" s="173" t="s">
        <v>373</v>
      </c>
      <c r="J50" t="s">
        <v>454</v>
      </c>
      <c r="K50" s="173"/>
      <c r="L50" s="173" t="s">
        <v>448</v>
      </c>
      <c r="M50" s="254"/>
      <c r="O50" s="173" t="s">
        <v>480</v>
      </c>
      <c r="P50" s="173" t="s">
        <v>190</v>
      </c>
      <c r="Q50" s="173" t="s">
        <v>480</v>
      </c>
      <c r="R50" t="s">
        <v>128</v>
      </c>
      <c r="S50" s="173" t="s">
        <v>379</v>
      </c>
      <c r="T50" t="s">
        <v>126</v>
      </c>
      <c r="U50" t="s">
        <v>134</v>
      </c>
    </row>
    <row r="51" spans="7:21">
      <c r="G51" s="173" t="s">
        <v>437</v>
      </c>
      <c r="H51" s="173" t="s">
        <v>105</v>
      </c>
      <c r="I51" s="173" t="s">
        <v>440</v>
      </c>
      <c r="J51" s="173"/>
      <c r="K51" s="173" t="s">
        <v>449</v>
      </c>
      <c r="L51" s="173"/>
      <c r="M51" s="254"/>
      <c r="O51" s="254" t="s">
        <v>594</v>
      </c>
      <c r="P51" s="254" t="s">
        <v>190</v>
      </c>
      <c r="Q51" s="254" t="s">
        <v>594</v>
      </c>
      <c r="R51" s="253" t="s">
        <v>128</v>
      </c>
      <c r="S51" s="254" t="s">
        <v>379</v>
      </c>
      <c r="T51" s="253" t="s">
        <v>126</v>
      </c>
      <c r="U51" s="253" t="s">
        <v>134</v>
      </c>
    </row>
    <row r="52" spans="7:21">
      <c r="G52" s="173" t="s">
        <v>437</v>
      </c>
      <c r="H52" s="173" t="s">
        <v>104</v>
      </c>
      <c r="I52" s="173" t="s">
        <v>456</v>
      </c>
      <c r="K52" s="173"/>
      <c r="L52" s="173"/>
      <c r="M52" s="254"/>
      <c r="O52" s="173" t="s">
        <v>481</v>
      </c>
      <c r="P52" s="173" t="s">
        <v>190</v>
      </c>
      <c r="Q52" s="173" t="s">
        <v>481</v>
      </c>
      <c r="R52" t="s">
        <v>128</v>
      </c>
      <c r="S52" s="173" t="s">
        <v>379</v>
      </c>
      <c r="T52" t="s">
        <v>126</v>
      </c>
      <c r="U52" t="s">
        <v>134</v>
      </c>
    </row>
    <row r="53" spans="7:21">
      <c r="G53" s="173" t="s">
        <v>437</v>
      </c>
      <c r="H53" s="173" t="s">
        <v>104</v>
      </c>
      <c r="I53" s="173" t="s">
        <v>429</v>
      </c>
      <c r="J53" t="s">
        <v>454</v>
      </c>
      <c r="K53" s="173"/>
      <c r="L53" s="173" t="s">
        <v>449</v>
      </c>
      <c r="M53" s="254"/>
      <c r="O53" s="254" t="s">
        <v>511</v>
      </c>
      <c r="P53" s="254" t="s">
        <v>511</v>
      </c>
      <c r="Q53" s="254" t="s">
        <v>512</v>
      </c>
      <c r="R53" s="253" t="s">
        <v>128</v>
      </c>
      <c r="S53" s="254" t="s">
        <v>379</v>
      </c>
      <c r="T53" s="253" t="s">
        <v>126</v>
      </c>
      <c r="U53" s="253" t="s">
        <v>134</v>
      </c>
    </row>
    <row r="54" spans="7:21">
      <c r="G54" s="173" t="s">
        <v>437</v>
      </c>
      <c r="H54" s="173" t="s">
        <v>105</v>
      </c>
      <c r="I54" s="173" t="s">
        <v>440</v>
      </c>
      <c r="J54" s="173"/>
      <c r="K54" s="173" t="s">
        <v>450</v>
      </c>
      <c r="L54" s="173"/>
      <c r="M54" s="254"/>
      <c r="O54" s="254" t="s">
        <v>519</v>
      </c>
      <c r="P54" s="254" t="s">
        <v>519</v>
      </c>
      <c r="Q54" s="254" t="s">
        <v>520</v>
      </c>
      <c r="R54" s="253" t="s">
        <v>128</v>
      </c>
      <c r="S54" s="254" t="s">
        <v>379</v>
      </c>
      <c r="T54" s="253" t="s">
        <v>126</v>
      </c>
      <c r="U54" s="253" t="s">
        <v>134</v>
      </c>
    </row>
    <row r="55" spans="7:21">
      <c r="G55" s="254" t="s">
        <v>437</v>
      </c>
      <c r="H55" s="254" t="s">
        <v>104</v>
      </c>
      <c r="I55" s="254" t="s">
        <v>383</v>
      </c>
      <c r="J55" s="254"/>
      <c r="K55" s="254"/>
      <c r="L55" s="254"/>
      <c r="M55" s="254"/>
      <c r="O55" s="254" t="s">
        <v>525</v>
      </c>
      <c r="P55" s="254" t="s">
        <v>429</v>
      </c>
      <c r="Q55" s="254" t="s">
        <v>462</v>
      </c>
      <c r="R55" s="253" t="s">
        <v>128</v>
      </c>
      <c r="S55" s="254" t="s">
        <v>379</v>
      </c>
      <c r="T55" s="253" t="s">
        <v>126</v>
      </c>
      <c r="U55" s="253" t="s">
        <v>134</v>
      </c>
    </row>
    <row r="56" spans="7:21">
      <c r="G56" s="254" t="s">
        <v>437</v>
      </c>
      <c r="H56" s="254" t="s">
        <v>104</v>
      </c>
      <c r="I56" s="254" t="s">
        <v>566</v>
      </c>
      <c r="J56" s="254"/>
      <c r="K56" s="254"/>
      <c r="L56" s="254"/>
      <c r="M56" s="254"/>
      <c r="O56" s="254" t="s">
        <v>529</v>
      </c>
      <c r="P56" s="254" t="s">
        <v>529</v>
      </c>
      <c r="Q56" s="254" t="s">
        <v>530</v>
      </c>
      <c r="R56" s="254" t="s">
        <v>128</v>
      </c>
      <c r="S56" s="254" t="s">
        <v>379</v>
      </c>
      <c r="T56" s="254"/>
      <c r="U56" s="253" t="s">
        <v>118</v>
      </c>
    </row>
    <row r="57" spans="7:21">
      <c r="G57" s="173" t="s">
        <v>451</v>
      </c>
      <c r="H57" s="173" t="s">
        <v>105</v>
      </c>
      <c r="I57" s="173" t="s">
        <v>440</v>
      </c>
      <c r="J57" s="173"/>
      <c r="K57" s="173" t="s">
        <v>451</v>
      </c>
      <c r="L57" s="173"/>
      <c r="M57" s="254"/>
      <c r="O57" s="254" t="s">
        <v>528</v>
      </c>
      <c r="P57" s="254" t="s">
        <v>190</v>
      </c>
      <c r="Q57" s="254" t="s">
        <v>528</v>
      </c>
      <c r="R57" s="253" t="s">
        <v>128</v>
      </c>
      <c r="S57" s="254" t="s">
        <v>379</v>
      </c>
      <c r="T57" s="253" t="s">
        <v>126</v>
      </c>
      <c r="U57" s="253" t="s">
        <v>134</v>
      </c>
    </row>
    <row r="58" spans="7:21">
      <c r="G58" s="173" t="s">
        <v>451</v>
      </c>
      <c r="H58" s="173" t="s">
        <v>104</v>
      </c>
      <c r="I58" s="173" t="s">
        <v>452</v>
      </c>
      <c r="J58" s="173"/>
      <c r="K58" s="173"/>
      <c r="L58" s="173"/>
      <c r="M58" s="254"/>
      <c r="O58" s="254" t="s">
        <v>535</v>
      </c>
      <c r="P58" s="254" t="s">
        <v>190</v>
      </c>
      <c r="Q58" s="254" t="s">
        <v>535</v>
      </c>
      <c r="R58" s="253" t="s">
        <v>128</v>
      </c>
      <c r="S58" s="254" t="s">
        <v>379</v>
      </c>
      <c r="T58" s="253" t="s">
        <v>126</v>
      </c>
      <c r="U58" s="253" t="s">
        <v>134</v>
      </c>
    </row>
    <row r="59" spans="7:21">
      <c r="G59" s="173" t="s">
        <v>429</v>
      </c>
      <c r="H59" s="173" t="s">
        <v>104</v>
      </c>
      <c r="I59" s="173" t="s">
        <v>429</v>
      </c>
      <c r="J59" s="173"/>
      <c r="K59" s="173"/>
      <c r="L59" s="173"/>
      <c r="M59" s="254"/>
      <c r="O59" s="254" t="s">
        <v>541</v>
      </c>
      <c r="P59" s="254"/>
      <c r="Q59" s="254"/>
      <c r="R59" s="254"/>
      <c r="S59" s="254" t="s">
        <v>379</v>
      </c>
      <c r="T59" s="253" t="s">
        <v>126</v>
      </c>
      <c r="U59" s="254" t="s">
        <v>304</v>
      </c>
    </row>
    <row r="60" spans="7:21">
      <c r="G60" s="173" t="s">
        <v>466</v>
      </c>
      <c r="H60" s="173" t="s">
        <v>104</v>
      </c>
      <c r="I60" s="173" t="s">
        <v>466</v>
      </c>
      <c r="J60" s="173"/>
      <c r="K60" s="173"/>
      <c r="L60" s="173"/>
      <c r="M60" s="254"/>
      <c r="O60" s="254" t="s">
        <v>545</v>
      </c>
      <c r="P60" s="254" t="s">
        <v>545</v>
      </c>
      <c r="Q60" s="254" t="s">
        <v>546</v>
      </c>
      <c r="R60" s="253" t="s">
        <v>128</v>
      </c>
      <c r="S60" s="254" t="s">
        <v>379</v>
      </c>
      <c r="T60" s="254"/>
      <c r="U60" s="253" t="s">
        <v>118</v>
      </c>
    </row>
    <row r="61" spans="7:21">
      <c r="G61" s="173" t="s">
        <v>475</v>
      </c>
      <c r="H61" s="173" t="s">
        <v>104</v>
      </c>
      <c r="I61" s="173" t="s">
        <v>475</v>
      </c>
      <c r="J61" s="173"/>
      <c r="K61" s="173"/>
      <c r="L61" s="173"/>
      <c r="M61" s="254"/>
      <c r="O61" s="254" t="s">
        <v>541</v>
      </c>
      <c r="P61" s="254"/>
      <c r="Q61" s="254"/>
      <c r="R61" s="254"/>
      <c r="S61" s="254" t="s">
        <v>379</v>
      </c>
      <c r="T61" s="254" t="s">
        <v>126</v>
      </c>
      <c r="U61" s="254" t="s">
        <v>304</v>
      </c>
    </row>
    <row r="62" spans="7:21">
      <c r="G62" s="254" t="s">
        <v>511</v>
      </c>
      <c r="H62" s="254" t="s">
        <v>104</v>
      </c>
      <c r="I62" s="254" t="s">
        <v>511</v>
      </c>
      <c r="J62" s="254"/>
      <c r="K62" s="254"/>
      <c r="L62" s="254"/>
      <c r="M62" s="254"/>
      <c r="O62" s="254" t="s">
        <v>547</v>
      </c>
      <c r="P62" s="254" t="s">
        <v>190</v>
      </c>
      <c r="Q62" s="254" t="s">
        <v>547</v>
      </c>
      <c r="R62" s="253" t="s">
        <v>128</v>
      </c>
      <c r="S62" s="254" t="s">
        <v>379</v>
      </c>
      <c r="T62" s="253" t="s">
        <v>126</v>
      </c>
      <c r="U62" s="253" t="s">
        <v>134</v>
      </c>
    </row>
    <row r="63" spans="7:21">
      <c r="G63" s="254" t="s">
        <v>519</v>
      </c>
      <c r="H63" s="254" t="s">
        <v>104</v>
      </c>
      <c r="I63" s="254" t="s">
        <v>519</v>
      </c>
      <c r="J63" s="254"/>
      <c r="K63" s="254"/>
      <c r="L63" s="254"/>
      <c r="M63" s="254"/>
      <c r="O63" s="254" t="s">
        <v>556</v>
      </c>
      <c r="P63" s="254" t="s">
        <v>190</v>
      </c>
      <c r="Q63" s="254" t="s">
        <v>556</v>
      </c>
      <c r="R63" s="254" t="s">
        <v>128</v>
      </c>
      <c r="S63" s="254" t="s">
        <v>379</v>
      </c>
      <c r="T63" s="254" t="s">
        <v>126</v>
      </c>
      <c r="U63" s="254" t="s">
        <v>134</v>
      </c>
    </row>
    <row r="64" spans="7:21">
      <c r="G64" s="254" t="s">
        <v>525</v>
      </c>
      <c r="H64" s="254" t="s">
        <v>104</v>
      </c>
      <c r="I64" s="254" t="s">
        <v>525</v>
      </c>
      <c r="J64" s="254"/>
      <c r="K64" s="254"/>
      <c r="L64" s="254"/>
      <c r="M64" s="254"/>
      <c r="O64" s="254" t="s">
        <v>560</v>
      </c>
      <c r="P64" s="254" t="s">
        <v>190</v>
      </c>
      <c r="Q64" s="254" t="s">
        <v>560</v>
      </c>
      <c r="R64" s="254" t="s">
        <v>128</v>
      </c>
      <c r="S64" s="254" t="s">
        <v>379</v>
      </c>
      <c r="T64" s="254" t="s">
        <v>126</v>
      </c>
      <c r="U64" s="254" t="s">
        <v>134</v>
      </c>
    </row>
    <row r="65" spans="7:21">
      <c r="G65" s="254" t="s">
        <v>529</v>
      </c>
      <c r="H65" s="254" t="s">
        <v>104</v>
      </c>
      <c r="I65" s="254" t="s">
        <v>529</v>
      </c>
      <c r="J65" s="254"/>
      <c r="K65" s="254"/>
      <c r="L65" s="254"/>
      <c r="M65" s="254"/>
      <c r="O65" s="254" t="s">
        <v>566</v>
      </c>
      <c r="P65" s="254" t="s">
        <v>566</v>
      </c>
      <c r="Q65" s="254" t="s">
        <v>572</v>
      </c>
      <c r="R65" s="254" t="s">
        <v>128</v>
      </c>
      <c r="S65" s="254" t="s">
        <v>379</v>
      </c>
      <c r="T65" s="254" t="s">
        <v>126</v>
      </c>
      <c r="U65" s="254" t="s">
        <v>134</v>
      </c>
    </row>
    <row r="66" spans="7:21">
      <c r="G66" s="254" t="s">
        <v>545</v>
      </c>
      <c r="H66" s="254" t="s">
        <v>104</v>
      </c>
      <c r="I66" s="254" t="s">
        <v>545</v>
      </c>
      <c r="J66" s="254"/>
      <c r="K66" s="254"/>
      <c r="L66" s="254"/>
      <c r="M66" s="254"/>
      <c r="O66" s="254" t="s">
        <v>580</v>
      </c>
      <c r="P66" s="254" t="s">
        <v>580</v>
      </c>
      <c r="Q66" s="254" t="s">
        <v>582</v>
      </c>
      <c r="R66" s="254" t="s">
        <v>128</v>
      </c>
      <c r="S66" s="254" t="s">
        <v>379</v>
      </c>
      <c r="T66" s="254" t="s">
        <v>126</v>
      </c>
      <c r="U66" s="254" t="s">
        <v>134</v>
      </c>
    </row>
    <row r="67" spans="7:21">
      <c r="G67" s="254" t="s">
        <v>452</v>
      </c>
      <c r="H67" s="254" t="s">
        <v>104</v>
      </c>
      <c r="I67" s="254" t="s">
        <v>452</v>
      </c>
      <c r="J67" s="254"/>
      <c r="K67" s="254"/>
      <c r="L67" s="254"/>
      <c r="M67" s="254"/>
      <c r="O67" s="254" t="s">
        <v>588</v>
      </c>
      <c r="P67" s="254" t="s">
        <v>588</v>
      </c>
      <c r="Q67" s="254" t="s">
        <v>589</v>
      </c>
      <c r="R67" s="254" t="s">
        <v>128</v>
      </c>
      <c r="S67" s="254" t="s">
        <v>379</v>
      </c>
      <c r="T67" s="254" t="s">
        <v>126</v>
      </c>
      <c r="U67" s="254" t="s">
        <v>134</v>
      </c>
    </row>
    <row r="68" spans="7:21">
      <c r="G68" s="254" t="s">
        <v>566</v>
      </c>
      <c r="H68" s="254" t="s">
        <v>104</v>
      </c>
      <c r="I68" s="254" t="s">
        <v>566</v>
      </c>
      <c r="J68" s="254"/>
      <c r="K68" s="254"/>
      <c r="L68" s="254"/>
      <c r="M68" s="254"/>
    </row>
    <row r="69" spans="7:21">
      <c r="G69" s="254" t="s">
        <v>579</v>
      </c>
      <c r="H69" s="254" t="s">
        <v>105</v>
      </c>
      <c r="I69" s="254" t="s">
        <v>579</v>
      </c>
      <c r="J69" s="254"/>
      <c r="K69" s="254"/>
      <c r="L69" s="254"/>
      <c r="M69" s="254"/>
    </row>
    <row r="70" spans="7:21">
      <c r="G70" s="254" t="s">
        <v>580</v>
      </c>
      <c r="H70" s="254" t="s">
        <v>104</v>
      </c>
      <c r="I70" s="254" t="s">
        <v>580</v>
      </c>
      <c r="J70" s="254"/>
      <c r="K70" s="254"/>
      <c r="L70" s="254"/>
      <c r="M70" s="254"/>
    </row>
    <row r="71" spans="7:21">
      <c r="G71" s="254" t="s">
        <v>588</v>
      </c>
      <c r="H71" s="254" t="s">
        <v>104</v>
      </c>
      <c r="I71" s="254" t="s">
        <v>588</v>
      </c>
      <c r="J71" s="254"/>
      <c r="K71" s="254"/>
      <c r="L71" s="254"/>
      <c r="M71" s="254"/>
    </row>
    <row r="72" spans="7:21">
      <c r="G72" s="254" t="s">
        <v>598</v>
      </c>
      <c r="H72" s="254" t="s">
        <v>105</v>
      </c>
      <c r="I72" s="254" t="s">
        <v>598</v>
      </c>
      <c r="J72" s="254"/>
      <c r="K72" s="254"/>
      <c r="L72" s="254"/>
      <c r="M72" s="254"/>
    </row>
    <row r="73" spans="7:21">
      <c r="G73" s="254" t="s">
        <v>598</v>
      </c>
      <c r="H73" s="254" t="s">
        <v>104</v>
      </c>
      <c r="I73" s="254" t="s">
        <v>588</v>
      </c>
      <c r="J73" s="254"/>
      <c r="K73" s="254"/>
      <c r="L73" s="254"/>
      <c r="M73" s="254"/>
    </row>
  </sheetData>
  <dataConsolidate/>
  <mergeCells count="8">
    <mergeCell ref="A1:B1"/>
    <mergeCell ref="D1:E1"/>
    <mergeCell ref="BF1:BG1"/>
    <mergeCell ref="AF1:AL1"/>
    <mergeCell ref="Z1:AD1"/>
    <mergeCell ref="O1:U1"/>
    <mergeCell ref="W1:X1"/>
    <mergeCell ref="G1:L1"/>
  </mergeCells>
  <dataValidations count="14">
    <dataValidation type="list" allowBlank="1" showInputMessage="1" showErrorMessage="1" sqref="E14:E16 E20:E22 E3 E25">
      <formula1>INDIRECT("Actions[Code]")</formula1>
    </dataValidation>
    <dataValidation type="list" allowBlank="1" showInputMessage="1" showErrorMessage="1" sqref="AM3:AM6">
      <formula1>INDIRECT("ParamPurpose[Code]")</formula1>
    </dataValidation>
    <dataValidation type="list" allowBlank="1" showInputMessage="1" showErrorMessage="1" sqref="O11:O12 X4:X11 W3:W36">
      <formula1>INDIRECT("Reports[Code]")</formula1>
    </dataValidation>
    <dataValidation type="list" allowBlank="1" showInputMessage="1" showErrorMessage="1" sqref="AA3:AA16">
      <formula1>INDIRECT("ProgramTypes[Code]")</formula1>
    </dataValidation>
    <dataValidation type="list" allowBlank="1" showInputMessage="1" showErrorMessage="1" sqref="AC3:AC16">
      <formula1>INDIRECT("ReturnTypes[Code]")</formula1>
    </dataValidation>
    <dataValidation type="list" allowBlank="1" showInputMessage="1" showErrorMessage="1" sqref="J3:J73">
      <formula1>INDIRECT("AfterAction")</formula1>
    </dataValidation>
    <dataValidation type="list" allowBlank="1" showInputMessage="1" showErrorMessage="1" sqref="H3:H73">
      <formula1>INDIRECT("ActionTypes[Code]")</formula1>
    </dataValidation>
    <dataValidation type="list" allowBlank="1" showInputMessage="1" showErrorMessage="1" sqref="AH3:AH34">
      <formula1>INDIRECT("Direction[Code]")</formula1>
    </dataValidation>
    <dataValidation type="list" allowBlank="1" showInputMessage="1" showErrorMessage="1" sqref="AJ3:AJ34 AL3:AL34">
      <formula1>INDIRECT("YesNo[Code]")</formula1>
    </dataValidation>
    <dataValidation type="whole" allowBlank="1" showInputMessage="1" showErrorMessage="1" sqref="AK3:AK34">
      <formula1>1</formula1>
      <formula2>32767</formula2>
    </dataValidation>
    <dataValidation type="list" allowBlank="1" showInputMessage="1" showErrorMessage="1" sqref="M3:M73">
      <formula1>$BB$3:$BB$4</formula1>
    </dataValidation>
    <dataValidation type="list" allowBlank="1" showInputMessage="1" showErrorMessage="1" sqref="R3:R67">
      <formula1>INDIRECT("CreateModes[Code]")</formula1>
    </dataValidation>
    <dataValidation type="list" allowBlank="1" showInputMessage="1" showErrorMessage="1" sqref="U3:U67">
      <formula1>INDIRECT("ReportTypes[Code]")</formula1>
    </dataValidation>
    <dataValidation type="list" allowBlank="1" showInputMessage="1" showErrorMessage="1" sqref="T3:T67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3"/>
  <dimension ref="A1:O24"/>
  <sheetViews>
    <sheetView zoomScaleNormal="100" workbookViewId="0">
      <selection activeCell="K23" sqref="K23"/>
    </sheetView>
  </sheetViews>
  <sheetFormatPr defaultRowHeight="15"/>
  <cols>
    <col min="1" max="1" width="11.7109375" customWidth="1"/>
    <col min="2" max="2" width="7.7109375" customWidth="1"/>
    <col min="3" max="4" width="5" customWidth="1"/>
    <col min="5" max="5" width="38.7109375" customWidth="1"/>
    <col min="6" max="6" width="13.7109375" customWidth="1"/>
    <col min="7" max="9" width="10.28515625" customWidth="1"/>
    <col min="10" max="10" width="13.7109375" customWidth="1"/>
    <col min="11" max="13" width="10.28515625" customWidth="1"/>
    <col min="14" max="15" width="7" customWidth="1"/>
  </cols>
  <sheetData>
    <row r="1" spans="1:15" ht="84" customHeight="1">
      <c r="A1" s="368" t="s">
        <v>346</v>
      </c>
      <c r="B1" s="368"/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181"/>
    </row>
    <row r="3" spans="1:15" ht="15" customHeight="1">
      <c r="A3" s="377" t="s">
        <v>355</v>
      </c>
      <c r="B3" s="377"/>
      <c r="C3" s="377"/>
      <c r="D3" s="377"/>
      <c r="E3" s="377"/>
      <c r="F3" s="377"/>
      <c r="G3" s="377"/>
      <c r="H3" s="377"/>
      <c r="I3" s="377"/>
      <c r="J3" s="377"/>
      <c r="K3" s="377"/>
      <c r="L3" s="377"/>
      <c r="M3" s="377"/>
      <c r="N3" s="377"/>
      <c r="O3" s="377"/>
    </row>
    <row r="4" spans="1:15" ht="37.5" customHeight="1">
      <c r="A4" s="380" t="s">
        <v>329</v>
      </c>
      <c r="B4" s="380" t="s">
        <v>347</v>
      </c>
      <c r="C4" s="378" t="s">
        <v>350</v>
      </c>
      <c r="D4" s="384"/>
      <c r="E4" s="380" t="s">
        <v>97</v>
      </c>
      <c r="F4" s="378" t="s">
        <v>574</v>
      </c>
      <c r="G4" s="379"/>
      <c r="H4" s="379"/>
      <c r="I4" s="379"/>
      <c r="J4" s="378" t="s">
        <v>575</v>
      </c>
      <c r="K4" s="379"/>
      <c r="L4" s="379"/>
      <c r="M4" s="379"/>
      <c r="N4" s="380" t="s">
        <v>351</v>
      </c>
      <c r="O4" s="382" t="s">
        <v>352</v>
      </c>
    </row>
    <row r="5" spans="1:15" ht="33.75" customHeight="1">
      <c r="A5" s="381"/>
      <c r="B5" s="381"/>
      <c r="C5" s="180" t="s">
        <v>348</v>
      </c>
      <c r="D5" s="180" t="s">
        <v>349</v>
      </c>
      <c r="E5" s="381"/>
      <c r="F5" s="282" t="s">
        <v>1</v>
      </c>
      <c r="G5" s="282" t="s">
        <v>2</v>
      </c>
      <c r="H5" s="282" t="s">
        <v>82</v>
      </c>
      <c r="I5" s="282" t="s">
        <v>69</v>
      </c>
      <c r="J5" s="282" t="s">
        <v>1</v>
      </c>
      <c r="K5" s="282" t="s">
        <v>2</v>
      </c>
      <c r="L5" s="282" t="s">
        <v>82</v>
      </c>
      <c r="M5" s="282" t="s">
        <v>69</v>
      </c>
      <c r="N5" s="381"/>
      <c r="O5" s="383"/>
    </row>
    <row r="6" spans="1:15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12</v>
      </c>
      <c r="F6" s="109" t="s">
        <v>13</v>
      </c>
      <c r="G6" s="109" t="s">
        <v>14</v>
      </c>
      <c r="H6" s="109" t="s">
        <v>15</v>
      </c>
      <c r="I6" s="109" t="s">
        <v>16</v>
      </c>
      <c r="J6" s="109" t="s">
        <v>17</v>
      </c>
      <c r="K6" s="109" t="s">
        <v>18</v>
      </c>
      <c r="L6" s="109" t="s">
        <v>19</v>
      </c>
      <c r="M6" s="109" t="s">
        <v>20</v>
      </c>
      <c r="N6" s="109" t="s">
        <v>21</v>
      </c>
      <c r="O6" s="109" t="s">
        <v>24</v>
      </c>
    </row>
    <row r="7" spans="1:15">
      <c r="A7" s="266" t="s">
        <v>354</v>
      </c>
      <c r="B7" s="109"/>
      <c r="C7" s="109"/>
      <c r="D7" s="109"/>
      <c r="E7" s="178"/>
      <c r="F7" s="179"/>
      <c r="G7" s="179"/>
      <c r="H7" s="179"/>
      <c r="I7" s="179"/>
      <c r="J7" s="179"/>
      <c r="K7" s="179"/>
      <c r="L7" s="179"/>
      <c r="M7" s="179"/>
      <c r="N7" s="261"/>
      <c r="O7" s="261"/>
    </row>
    <row r="8" spans="1:15">
      <c r="A8" s="178"/>
      <c r="B8" s="109" t="s">
        <v>218</v>
      </c>
      <c r="C8" s="109"/>
      <c r="D8" s="109"/>
      <c r="E8" s="178"/>
      <c r="F8" s="178"/>
      <c r="G8" s="178"/>
      <c r="H8" s="178"/>
      <c r="I8" s="178"/>
      <c r="J8" s="178"/>
      <c r="K8" s="178"/>
      <c r="L8" s="178"/>
      <c r="M8" s="178"/>
      <c r="N8" s="179"/>
      <c r="O8" s="109"/>
    </row>
    <row r="11" spans="1:15" ht="15" customHeight="1">
      <c r="A11" s="377" t="s">
        <v>356</v>
      </c>
      <c r="B11" s="377"/>
      <c r="C11" s="377"/>
      <c r="D11" s="377"/>
      <c r="E11" s="377"/>
      <c r="F11" s="377"/>
      <c r="G11" s="377"/>
      <c r="H11" s="377"/>
      <c r="I11" s="377"/>
      <c r="J11" s="377"/>
      <c r="K11" s="377"/>
      <c r="L11" s="377"/>
      <c r="M11" s="377"/>
      <c r="N11" s="377"/>
      <c r="O11" s="377"/>
    </row>
    <row r="12" spans="1:15" s="253" customFormat="1" ht="37.5" customHeight="1">
      <c r="A12" s="380" t="s">
        <v>329</v>
      </c>
      <c r="B12" s="380" t="s">
        <v>347</v>
      </c>
      <c r="C12" s="378" t="s">
        <v>350</v>
      </c>
      <c r="D12" s="384"/>
      <c r="E12" s="380" t="s">
        <v>97</v>
      </c>
      <c r="F12" s="378" t="s">
        <v>574</v>
      </c>
      <c r="G12" s="379"/>
      <c r="H12" s="379"/>
      <c r="I12" s="379"/>
      <c r="J12" s="378" t="s">
        <v>576</v>
      </c>
      <c r="K12" s="379"/>
      <c r="L12" s="379"/>
      <c r="M12" s="379"/>
      <c r="N12" s="380" t="s">
        <v>351</v>
      </c>
      <c r="O12" s="382" t="s">
        <v>352</v>
      </c>
    </row>
    <row r="13" spans="1:15" s="253" customFormat="1" ht="33.75" customHeight="1">
      <c r="A13" s="381"/>
      <c r="B13" s="381"/>
      <c r="C13" s="180" t="s">
        <v>348</v>
      </c>
      <c r="D13" s="180"/>
      <c r="E13" s="381"/>
      <c r="F13" s="282" t="s">
        <v>1</v>
      </c>
      <c r="G13" s="282" t="s">
        <v>2</v>
      </c>
      <c r="H13" s="282" t="s">
        <v>82</v>
      </c>
      <c r="I13" s="282" t="s">
        <v>69</v>
      </c>
      <c r="J13" s="282" t="s">
        <v>1</v>
      </c>
      <c r="K13" s="282" t="s">
        <v>2</v>
      </c>
      <c r="L13" s="282" t="s">
        <v>82</v>
      </c>
      <c r="M13" s="282" t="s">
        <v>69</v>
      </c>
      <c r="N13" s="381"/>
      <c r="O13" s="383"/>
    </row>
    <row r="14" spans="1:15" s="253" customFormat="1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12</v>
      </c>
      <c r="F14" s="109" t="s">
        <v>13</v>
      </c>
      <c r="G14" s="109" t="s">
        <v>14</v>
      </c>
      <c r="H14" s="109" t="s">
        <v>15</v>
      </c>
      <c r="I14" s="109" t="s">
        <v>16</v>
      </c>
      <c r="J14" s="109" t="s">
        <v>17</v>
      </c>
      <c r="K14" s="109" t="s">
        <v>18</v>
      </c>
      <c r="L14" s="109" t="s">
        <v>19</v>
      </c>
      <c r="M14" s="109" t="s">
        <v>20</v>
      </c>
      <c r="N14" s="109" t="s">
        <v>21</v>
      </c>
      <c r="O14" s="109" t="s">
        <v>24</v>
      </c>
    </row>
    <row r="15" spans="1:15" s="253" customFormat="1">
      <c r="A15" s="266" t="s">
        <v>357</v>
      </c>
      <c r="B15" s="109"/>
      <c r="C15" s="109"/>
      <c r="D15" s="109"/>
      <c r="E15" s="178"/>
      <c r="F15" s="179"/>
      <c r="G15" s="179"/>
      <c r="H15" s="179"/>
      <c r="I15" s="179"/>
      <c r="J15" s="179"/>
      <c r="K15" s="179"/>
      <c r="L15" s="179"/>
      <c r="M15" s="179"/>
      <c r="N15" s="261"/>
      <c r="O15" s="261"/>
    </row>
    <row r="16" spans="1:15" s="253" customFormat="1">
      <c r="A16" s="178"/>
      <c r="B16" s="109" t="s">
        <v>218</v>
      </c>
      <c r="C16" s="109"/>
      <c r="D16" s="109"/>
      <c r="E16" s="178"/>
      <c r="F16" s="178"/>
      <c r="G16" s="178"/>
      <c r="H16" s="178"/>
      <c r="I16" s="178"/>
      <c r="J16" s="178"/>
      <c r="K16" s="178"/>
      <c r="L16" s="178"/>
      <c r="M16" s="178"/>
      <c r="N16" s="179"/>
      <c r="O16" s="109"/>
    </row>
    <row r="19" spans="1:15" ht="15" customHeight="1">
      <c r="A19" s="377" t="s">
        <v>358</v>
      </c>
      <c r="B19" s="377"/>
      <c r="C19" s="377"/>
      <c r="D19" s="377"/>
      <c r="E19" s="377"/>
      <c r="F19" s="377"/>
      <c r="G19" s="377"/>
      <c r="H19" s="377"/>
      <c r="I19" s="377"/>
      <c r="J19" s="377"/>
      <c r="K19" s="377"/>
      <c r="L19" s="377"/>
      <c r="M19" s="377"/>
      <c r="N19" s="377"/>
      <c r="O19" s="377"/>
    </row>
    <row r="20" spans="1:15" s="253" customFormat="1" ht="37.5" customHeight="1">
      <c r="A20" s="380" t="s">
        <v>329</v>
      </c>
      <c r="B20" s="380" t="s">
        <v>347</v>
      </c>
      <c r="C20" s="378" t="s">
        <v>350</v>
      </c>
      <c r="D20" s="384"/>
      <c r="E20" s="380" t="s">
        <v>97</v>
      </c>
      <c r="F20" s="378" t="s">
        <v>574</v>
      </c>
      <c r="G20" s="379"/>
      <c r="H20" s="379"/>
      <c r="I20" s="379"/>
      <c r="J20" s="378" t="s">
        <v>576</v>
      </c>
      <c r="K20" s="379"/>
      <c r="L20" s="379"/>
      <c r="M20" s="379"/>
      <c r="N20" s="380" t="s">
        <v>351</v>
      </c>
      <c r="O20" s="382" t="s">
        <v>352</v>
      </c>
    </row>
    <row r="21" spans="1:15" s="253" customFormat="1" ht="33.75" customHeight="1">
      <c r="A21" s="381"/>
      <c r="B21" s="381"/>
      <c r="C21" s="180" t="s">
        <v>348</v>
      </c>
      <c r="D21" s="180"/>
      <c r="E21" s="381"/>
      <c r="F21" s="282" t="s">
        <v>1</v>
      </c>
      <c r="G21" s="282" t="s">
        <v>2</v>
      </c>
      <c r="H21" s="282" t="s">
        <v>82</v>
      </c>
      <c r="I21" s="282" t="s">
        <v>69</v>
      </c>
      <c r="J21" s="282" t="s">
        <v>1</v>
      </c>
      <c r="K21" s="282" t="s">
        <v>2</v>
      </c>
      <c r="L21" s="282" t="s">
        <v>82</v>
      </c>
      <c r="M21" s="282" t="s">
        <v>69</v>
      </c>
      <c r="N21" s="381"/>
      <c r="O21" s="383"/>
    </row>
    <row r="22" spans="1:15" s="253" customFormat="1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12</v>
      </c>
      <c r="F22" s="109" t="s">
        <v>13</v>
      </c>
      <c r="G22" s="109" t="s">
        <v>14</v>
      </c>
      <c r="H22" s="109" t="s">
        <v>15</v>
      </c>
      <c r="I22" s="109" t="s">
        <v>16</v>
      </c>
      <c r="J22" s="109" t="s">
        <v>17</v>
      </c>
      <c r="K22" s="109" t="s">
        <v>18</v>
      </c>
      <c r="L22" s="109" t="s">
        <v>19</v>
      </c>
      <c r="M22" s="109" t="s">
        <v>20</v>
      </c>
      <c r="N22" s="109" t="s">
        <v>21</v>
      </c>
      <c r="O22" s="109" t="s">
        <v>24</v>
      </c>
    </row>
    <row r="23" spans="1:15" s="253" customFormat="1">
      <c r="A23" s="266" t="s">
        <v>362</v>
      </c>
      <c r="B23" s="109"/>
      <c r="C23" s="109"/>
      <c r="D23" s="109"/>
      <c r="E23" s="178"/>
      <c r="F23" s="179"/>
      <c r="G23" s="179"/>
      <c r="H23" s="179"/>
      <c r="I23" s="179"/>
      <c r="J23" s="179"/>
      <c r="K23" s="179"/>
      <c r="L23" s="179"/>
      <c r="M23" s="179"/>
      <c r="N23" s="261"/>
      <c r="O23" s="261"/>
    </row>
    <row r="24" spans="1:15" s="253" customFormat="1">
      <c r="A24" s="178"/>
      <c r="B24" s="109" t="s">
        <v>218</v>
      </c>
      <c r="C24" s="109"/>
      <c r="D24" s="109"/>
      <c r="E24" s="178"/>
      <c r="F24" s="178"/>
      <c r="G24" s="178"/>
      <c r="H24" s="178"/>
      <c r="I24" s="178"/>
      <c r="J24" s="178"/>
      <c r="K24" s="178"/>
      <c r="L24" s="178"/>
      <c r="M24" s="178"/>
      <c r="N24" s="179"/>
      <c r="O24" s="109"/>
    </row>
  </sheetData>
  <mergeCells count="28">
    <mergeCell ref="F20:I20"/>
    <mergeCell ref="A12:A13"/>
    <mergeCell ref="E12:E13"/>
    <mergeCell ref="A20:A21"/>
    <mergeCell ref="B20:B21"/>
    <mergeCell ref="C20:D20"/>
    <mergeCell ref="E20:E21"/>
    <mergeCell ref="E4:E5"/>
    <mergeCell ref="F4:I4"/>
    <mergeCell ref="J4:M4"/>
    <mergeCell ref="N12:N13"/>
    <mergeCell ref="O12:O13"/>
    <mergeCell ref="A1:M1"/>
    <mergeCell ref="A3:O3"/>
    <mergeCell ref="J20:M20"/>
    <mergeCell ref="N20:N21"/>
    <mergeCell ref="O20:O21"/>
    <mergeCell ref="A11:O11"/>
    <mergeCell ref="A19:O19"/>
    <mergeCell ref="A4:A5"/>
    <mergeCell ref="B12:B13"/>
    <mergeCell ref="C12:D12"/>
    <mergeCell ref="F12:I12"/>
    <mergeCell ref="J12:M12"/>
    <mergeCell ref="N4:N5"/>
    <mergeCell ref="O4:O5"/>
    <mergeCell ref="B4:B5"/>
    <mergeCell ref="C4:D4"/>
  </mergeCells>
  <conditionalFormatting sqref="J7">
    <cfRule type="expression" dxfId="302" priority="14">
      <formula>F7&lt;&gt;J7</formula>
    </cfRule>
  </conditionalFormatting>
  <conditionalFormatting sqref="K7">
    <cfRule type="expression" dxfId="301" priority="11">
      <formula>G7&lt;&gt;K7</formula>
    </cfRule>
  </conditionalFormatting>
  <conditionalFormatting sqref="L7">
    <cfRule type="expression" dxfId="300" priority="10">
      <formula>H7&lt;&gt;L7</formula>
    </cfRule>
  </conditionalFormatting>
  <conditionalFormatting sqref="M7">
    <cfRule type="expression" dxfId="299" priority="9">
      <formula>I7&lt;&gt;M7</formula>
    </cfRule>
  </conditionalFormatting>
  <conditionalFormatting sqref="J15">
    <cfRule type="expression" dxfId="298" priority="8">
      <formula>F15&lt;&gt;J15</formula>
    </cfRule>
  </conditionalFormatting>
  <conditionalFormatting sqref="K15">
    <cfRule type="expression" dxfId="297" priority="7">
      <formula>G15&lt;&gt;K15</formula>
    </cfRule>
  </conditionalFormatting>
  <conditionalFormatting sqref="L15">
    <cfRule type="expression" dxfId="296" priority="6">
      <formula>H15&lt;&gt;L15</formula>
    </cfRule>
  </conditionalFormatting>
  <conditionalFormatting sqref="M15">
    <cfRule type="expression" dxfId="295" priority="5">
      <formula>I15&lt;&gt;M15</formula>
    </cfRule>
  </conditionalFormatting>
  <conditionalFormatting sqref="J23">
    <cfRule type="expression" dxfId="294" priority="4">
      <formula>F23&lt;&gt;J23</formula>
    </cfRule>
  </conditionalFormatting>
  <conditionalFormatting sqref="K23">
    <cfRule type="expression" dxfId="293" priority="3">
      <formula>G23&lt;&gt;K23</formula>
    </cfRule>
  </conditionalFormatting>
  <conditionalFormatting sqref="L23">
    <cfRule type="expression" dxfId="292" priority="2">
      <formula>H23&lt;&gt;L23</formula>
    </cfRule>
  </conditionalFormatting>
  <conditionalFormatting sqref="M23">
    <cfRule type="expression" dxfId="291" priority="1">
      <formula>I23&lt;&gt;M23</formula>
    </cfRule>
  </conditionalFormatting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265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4">
        <v>2018</v>
      </c>
      <c r="D4" s="32"/>
      <c r="E4" s="32"/>
    </row>
    <row r="5" spans="1:6">
      <c r="A5" s="32"/>
      <c r="B5" s="31" t="s">
        <v>57</v>
      </c>
      <c r="C5" s="175">
        <v>2</v>
      </c>
      <c r="D5" s="32"/>
      <c r="E5" s="32"/>
    </row>
    <row r="6" spans="1:6">
      <c r="A6" s="32"/>
      <c r="B6" s="31" t="s">
        <v>339</v>
      </c>
      <c r="C6" s="41">
        <v>43159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88"/>
      <c r="B8" s="388"/>
      <c r="C8" s="388"/>
      <c r="D8" s="388"/>
      <c r="E8" s="388"/>
    </row>
    <row r="9" spans="1:6" ht="97.5" customHeight="1">
      <c r="A9" s="44"/>
      <c r="B9" s="389" t="s">
        <v>587</v>
      </c>
      <c r="C9" s="390"/>
      <c r="D9" s="390"/>
      <c r="E9" s="44"/>
    </row>
    <row r="10" spans="1:6" s="43" customFormat="1" ht="14.25" customHeight="1">
      <c r="A10" s="388"/>
      <c r="B10" s="388"/>
      <c r="C10" s="388"/>
      <c r="D10" s="388"/>
      <c r="E10" s="388"/>
    </row>
    <row r="11" spans="1:6" hidden="1">
      <c r="A11" s="385"/>
      <c r="B11" s="386"/>
      <c r="C11" s="386"/>
      <c r="D11" s="386"/>
      <c r="E11" s="387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topLeftCell="E1" zoomScale="145" zoomScaleNormal="145" workbookViewId="0">
      <pane ySplit="2" topLeftCell="A3" activePane="bottomLeft" state="frozen"/>
      <selection activeCell="A3" sqref="A3"/>
      <selection pane="bottomLeft" activeCell="N3" sqref="N3"/>
    </sheetView>
  </sheetViews>
  <sheetFormatPr defaultRowHeight="15"/>
  <cols>
    <col min="1" max="1" width="14.140625" customWidth="1"/>
    <col min="2" max="2" width="9.5703125" style="253" customWidth="1"/>
    <col min="3" max="3" width="10.140625" style="253" customWidth="1"/>
    <col min="4" max="4" width="8.28515625" style="253" customWidth="1"/>
    <col min="5" max="6" width="11.140625" customWidth="1"/>
    <col min="7" max="8" width="7.140625" style="253" customWidth="1"/>
    <col min="9" max="9" width="16.140625" customWidth="1"/>
    <col min="10" max="10" width="11.42578125" customWidth="1"/>
    <col min="11" max="11" width="12.85546875" customWidth="1"/>
    <col min="12" max="12" width="10.28515625" style="253" customWidth="1"/>
    <col min="13" max="13" width="27.42578125" style="253" customWidth="1"/>
    <col min="14" max="14" width="36.5703125" customWidth="1"/>
  </cols>
  <sheetData>
    <row r="1" spans="1:16" ht="75" customHeight="1">
      <c r="A1" s="350" t="s">
        <v>568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238"/>
      <c r="P1" s="238"/>
    </row>
    <row r="2" spans="1:16" ht="45" customHeight="1">
      <c r="A2" s="239" t="s">
        <v>459</v>
      </c>
      <c r="B2" s="239" t="s">
        <v>570</v>
      </c>
      <c r="C2" s="239" t="s">
        <v>482</v>
      </c>
      <c r="D2" s="239" t="s">
        <v>569</v>
      </c>
      <c r="E2" s="239" t="s">
        <v>329</v>
      </c>
      <c r="F2" s="239" t="s">
        <v>430</v>
      </c>
      <c r="G2" s="239" t="s">
        <v>490</v>
      </c>
      <c r="H2" s="239" t="s">
        <v>491</v>
      </c>
      <c r="I2" s="240" t="s">
        <v>364</v>
      </c>
      <c r="J2" s="240" t="s">
        <v>571</v>
      </c>
      <c r="K2" s="240" t="s">
        <v>40</v>
      </c>
      <c r="L2" s="240" t="s">
        <v>57</v>
      </c>
      <c r="M2" s="240" t="s">
        <v>97</v>
      </c>
      <c r="N2" s="240" t="s">
        <v>495</v>
      </c>
    </row>
    <row r="3" spans="1:16">
      <c r="A3" s="280" t="s">
        <v>566</v>
      </c>
      <c r="B3" s="278"/>
      <c r="C3" s="278"/>
      <c r="D3" s="278"/>
      <c r="E3" s="262"/>
      <c r="F3" s="262"/>
      <c r="G3" s="262"/>
      <c r="H3" s="262"/>
      <c r="I3" s="267"/>
      <c r="J3" s="159"/>
      <c r="K3" s="162"/>
      <c r="L3" s="161"/>
      <c r="M3" s="268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50" t="s">
        <v>249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</row>
    <row r="2" spans="1:12" ht="44.25" customHeight="1">
      <c r="A2" s="391" t="s">
        <v>327</v>
      </c>
      <c r="B2" s="391"/>
      <c r="C2" s="391"/>
      <c r="D2" s="391" t="s">
        <v>58</v>
      </c>
      <c r="E2" s="391"/>
      <c r="F2" s="391" t="s">
        <v>62</v>
      </c>
      <c r="G2" s="391" t="s">
        <v>52</v>
      </c>
      <c r="H2" s="391" t="s">
        <v>328</v>
      </c>
      <c r="I2" s="391" t="s">
        <v>329</v>
      </c>
      <c r="J2" s="391" t="s">
        <v>3</v>
      </c>
      <c r="K2" s="391" t="s">
        <v>325</v>
      </c>
      <c r="L2" s="391" t="s">
        <v>330</v>
      </c>
    </row>
    <row r="3" spans="1:12" ht="31.5">
      <c r="A3" s="166" t="s">
        <v>326</v>
      </c>
      <c r="B3" s="167" t="s">
        <v>47</v>
      </c>
      <c r="C3" s="167" t="s">
        <v>61</v>
      </c>
      <c r="D3" s="167" t="s">
        <v>47</v>
      </c>
      <c r="E3" s="167" t="s">
        <v>61</v>
      </c>
      <c r="F3" s="391"/>
      <c r="G3" s="391" t="s">
        <v>41</v>
      </c>
      <c r="H3" s="391" t="s">
        <v>325</v>
      </c>
      <c r="I3" s="391"/>
      <c r="J3" s="391"/>
      <c r="K3" s="391"/>
      <c r="L3" s="391"/>
    </row>
    <row r="4" spans="1:12">
      <c r="A4" s="169" t="s">
        <v>7</v>
      </c>
      <c r="B4" s="169" t="s">
        <v>8</v>
      </c>
      <c r="C4" s="169" t="s">
        <v>9</v>
      </c>
      <c r="D4" s="169" t="s">
        <v>10</v>
      </c>
      <c r="E4" s="169" t="s">
        <v>11</v>
      </c>
      <c r="F4" s="170" t="s">
        <v>12</v>
      </c>
      <c r="G4" s="170" t="s">
        <v>13</v>
      </c>
      <c r="H4" s="169" t="s">
        <v>14</v>
      </c>
      <c r="I4" s="171" t="s">
        <v>15</v>
      </c>
      <c r="J4" s="171" t="s">
        <v>16</v>
      </c>
      <c r="K4" s="171" t="s">
        <v>18</v>
      </c>
      <c r="L4" s="171" t="s">
        <v>17</v>
      </c>
    </row>
    <row r="5" spans="1:12">
      <c r="A5" s="29" t="s">
        <v>324</v>
      </c>
      <c r="B5" s="29"/>
      <c r="C5" s="28"/>
      <c r="D5" s="168"/>
      <c r="E5" s="28"/>
      <c r="F5" s="29"/>
      <c r="G5" s="168"/>
      <c r="H5" s="168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327" t="s">
        <v>251</v>
      </c>
      <c r="B1" s="327"/>
      <c r="C1" s="327"/>
      <c r="D1" s="327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92" t="s">
        <v>252</v>
      </c>
      <c r="B1" s="393"/>
      <c r="C1" s="393"/>
      <c r="D1" s="393"/>
      <c r="E1" s="393"/>
    </row>
    <row r="2" spans="1:6" ht="19.5" customHeight="1">
      <c r="A2" s="394" t="s">
        <v>181</v>
      </c>
      <c r="B2" s="395"/>
      <c r="C2" s="395"/>
      <c r="D2" s="395"/>
      <c r="E2" s="396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75" t="s">
        <v>185</v>
      </c>
      <c r="E8" s="375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75" t="s">
        <v>187</v>
      </c>
      <c r="E11" s="375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97" t="s">
        <v>253</v>
      </c>
      <c r="B1" s="398"/>
      <c r="C1" s="398"/>
      <c r="D1" s="398"/>
      <c r="E1" s="398"/>
      <c r="F1" s="398"/>
      <c r="G1" s="398"/>
      <c r="H1" s="398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99" t="s">
        <v>194</v>
      </c>
      <c r="F7" s="399"/>
      <c r="G7" s="399"/>
      <c r="H7" s="39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400" t="s">
        <v>200</v>
      </c>
      <c r="F11" s="400"/>
      <c r="G11" s="400"/>
      <c r="H11" s="400"/>
    </row>
    <row r="12" spans="1:8">
      <c r="C12" s="53"/>
      <c r="D12" s="85"/>
      <c r="E12" s="401" t="s">
        <v>201</v>
      </c>
      <c r="F12" s="402"/>
      <c r="G12" s="403"/>
      <c r="H12" s="40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40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405" t="s">
        <v>219</v>
      </c>
      <c r="B22" s="405"/>
      <c r="C22" s="405"/>
      <c r="D22" s="405"/>
      <c r="E22" s="405"/>
      <c r="F22" s="40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68" t="s">
        <v>254</v>
      </c>
      <c r="B1" s="368"/>
      <c r="C1" s="368"/>
      <c r="D1" s="368"/>
      <c r="E1" s="368"/>
      <c r="F1" s="368"/>
      <c r="G1" s="368"/>
      <c r="H1" s="368"/>
      <c r="I1" s="368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3" customWidth="1"/>
    <col min="2" max="2" width="12.140625" style="253" customWidth="1"/>
    <col min="3" max="3" width="10.140625" style="253" customWidth="1"/>
    <col min="4" max="9" width="19.7109375" style="253" customWidth="1"/>
    <col min="10" max="10" width="14.140625" style="253" customWidth="1"/>
    <col min="11" max="11" width="17.140625" style="253" customWidth="1"/>
    <col min="12" max="12" width="15.140625" style="253" customWidth="1"/>
    <col min="13" max="13" width="9" style="253" customWidth="1"/>
    <col min="14" max="16384" width="9.140625" style="253"/>
  </cols>
  <sheetData>
    <row r="1" spans="1:18" ht="40.5" customHeight="1">
      <c r="A1" s="350" t="s">
        <v>548</v>
      </c>
      <c r="B1" s="350"/>
      <c r="C1" s="350"/>
      <c r="D1" s="350"/>
      <c r="E1" s="350"/>
      <c r="F1" s="350"/>
      <c r="G1" s="350"/>
      <c r="H1" s="350"/>
      <c r="I1" s="350"/>
      <c r="J1" s="238"/>
      <c r="K1" s="238"/>
      <c r="L1" s="238"/>
      <c r="M1" s="238"/>
      <c r="N1" s="238"/>
      <c r="O1" s="238"/>
      <c r="P1" s="238"/>
      <c r="Q1" s="238"/>
      <c r="R1" s="238"/>
    </row>
    <row r="2" spans="1:18" ht="9" customHeight="1">
      <c r="A2" s="272"/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38"/>
      <c r="P2" s="238"/>
      <c r="Q2" s="238"/>
      <c r="R2" s="238"/>
    </row>
    <row r="3" spans="1:18">
      <c r="A3" s="277" t="s">
        <v>543</v>
      </c>
      <c r="B3" s="362"/>
      <c r="C3" s="362"/>
      <c r="D3" s="362"/>
      <c r="E3" s="362"/>
      <c r="F3" s="362"/>
      <c r="G3" s="362"/>
      <c r="H3" s="276"/>
      <c r="I3" s="276"/>
      <c r="J3" s="276"/>
      <c r="K3" s="276"/>
      <c r="L3" s="276"/>
      <c r="M3" s="276"/>
      <c r="N3" s="276"/>
    </row>
    <row r="4" spans="1:18">
      <c r="A4" s="277" t="s">
        <v>544</v>
      </c>
      <c r="B4" s="364"/>
      <c r="C4" s="364"/>
      <c r="D4" s="364"/>
      <c r="E4" s="364"/>
      <c r="F4" s="364"/>
      <c r="G4" s="364"/>
      <c r="H4" s="276"/>
      <c r="I4" s="276"/>
      <c r="J4" s="276"/>
      <c r="K4" s="276"/>
      <c r="L4" s="276"/>
      <c r="M4" s="276"/>
      <c r="N4" s="276"/>
    </row>
    <row r="5" spans="1:18" ht="9" customHeight="1"/>
    <row r="6" spans="1:18">
      <c r="A6" s="363" t="s">
        <v>555</v>
      </c>
      <c r="B6" s="363"/>
      <c r="C6" s="363"/>
      <c r="D6" s="363"/>
      <c r="E6" s="363"/>
      <c r="F6" s="363"/>
      <c r="G6" s="363"/>
      <c r="H6" s="363"/>
      <c r="I6" s="363"/>
      <c r="J6" s="276"/>
      <c r="K6" s="276"/>
      <c r="L6" s="276"/>
      <c r="M6" s="276"/>
    </row>
    <row r="7" spans="1:18" ht="45" customHeight="1">
      <c r="A7" s="239" t="s">
        <v>482</v>
      </c>
      <c r="B7" s="240" t="s">
        <v>551</v>
      </c>
      <c r="C7" s="239" t="s">
        <v>533</v>
      </c>
      <c r="D7" s="240" t="s">
        <v>552</v>
      </c>
      <c r="E7" s="240" t="s">
        <v>553</v>
      </c>
      <c r="F7" s="240" t="s">
        <v>82</v>
      </c>
      <c r="G7" s="241" t="s">
        <v>69</v>
      </c>
      <c r="H7" s="242" t="s">
        <v>554</v>
      </c>
      <c r="I7" s="240" t="s">
        <v>260</v>
      </c>
    </row>
    <row r="8" spans="1:18">
      <c r="A8" s="278" t="s">
        <v>547</v>
      </c>
      <c r="B8" s="261"/>
      <c r="C8" s="161"/>
      <c r="D8" s="162"/>
      <c r="E8" s="162"/>
      <c r="F8" s="162"/>
      <c r="G8" s="162"/>
      <c r="H8" s="162"/>
      <c r="I8" s="162"/>
    </row>
    <row r="11" spans="1:18">
      <c r="A11" s="363" t="s">
        <v>557</v>
      </c>
      <c r="B11" s="363"/>
      <c r="C11" s="363"/>
      <c r="D11" s="363"/>
      <c r="E11" s="363"/>
      <c r="F11" s="363"/>
      <c r="G11" s="276"/>
      <c r="H11" s="276"/>
      <c r="I11" s="276"/>
      <c r="J11" s="276"/>
      <c r="K11" s="276"/>
      <c r="L11" s="276"/>
      <c r="M11" s="276"/>
    </row>
    <row r="12" spans="1:18" ht="45" customHeight="1">
      <c r="A12" s="239" t="s">
        <v>482</v>
      </c>
      <c r="B12" s="240" t="s">
        <v>551</v>
      </c>
      <c r="C12" s="239" t="s">
        <v>533</v>
      </c>
      <c r="D12" s="241" t="s">
        <v>494</v>
      </c>
      <c r="E12" s="242" t="s">
        <v>559</v>
      </c>
      <c r="F12" s="242" t="s">
        <v>558</v>
      </c>
    </row>
    <row r="13" spans="1:18">
      <c r="A13" s="278" t="s">
        <v>556</v>
      </c>
      <c r="B13" s="261"/>
      <c r="C13" s="161"/>
      <c r="D13" s="161"/>
      <c r="E13" s="279"/>
      <c r="F13" s="279"/>
    </row>
    <row r="15" spans="1:18">
      <c r="A15" s="363" t="s">
        <v>561</v>
      </c>
      <c r="B15" s="363"/>
      <c r="C15" s="363"/>
      <c r="D15" s="363"/>
      <c r="E15" s="363"/>
      <c r="F15" s="363"/>
      <c r="G15" s="363"/>
    </row>
    <row r="16" spans="1:18" ht="25.5">
      <c r="A16" s="239" t="s">
        <v>482</v>
      </c>
      <c r="B16" s="240" t="s">
        <v>551</v>
      </c>
      <c r="C16" s="239" t="s">
        <v>533</v>
      </c>
      <c r="D16" s="241" t="s">
        <v>562</v>
      </c>
      <c r="E16" s="242" t="s">
        <v>563</v>
      </c>
      <c r="F16" s="242" t="s">
        <v>494</v>
      </c>
      <c r="G16" s="242" t="s">
        <v>472</v>
      </c>
    </row>
    <row r="17" spans="1:7">
      <c r="A17" s="278" t="s">
        <v>560</v>
      </c>
      <c r="B17" s="261"/>
      <c r="C17" s="161"/>
      <c r="D17" s="161"/>
      <c r="E17" s="279"/>
      <c r="F17" s="275"/>
      <c r="G17" s="279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407" t="s">
        <v>534</v>
      </c>
      <c r="B1" s="408"/>
      <c r="C1" s="408"/>
      <c r="D1" s="408"/>
      <c r="E1" s="408"/>
      <c r="F1" s="408"/>
      <c r="G1" s="408"/>
      <c r="H1" s="408"/>
      <c r="I1" s="408"/>
    </row>
    <row r="2" spans="1:9" ht="15.75">
      <c r="A2" s="112"/>
    </row>
    <row r="3" spans="1:9" ht="31.5" customHeight="1">
      <c r="A3" s="406" t="s">
        <v>262</v>
      </c>
      <c r="B3" s="406"/>
      <c r="C3" s="406"/>
      <c r="D3" s="406"/>
      <c r="E3" s="406"/>
      <c r="F3" s="406"/>
      <c r="G3" s="406"/>
      <c r="H3" s="406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407" t="s">
        <v>263</v>
      </c>
      <c r="B1" s="407"/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</row>
    <row r="2" spans="1:16" ht="15.75">
      <c r="A2" s="112"/>
      <c r="F2" s="112"/>
      <c r="G2" s="112"/>
      <c r="H2" s="112"/>
      <c r="I2" s="112"/>
    </row>
    <row r="3" spans="1:16" ht="31.5" customHeight="1">
      <c r="A3" s="409" t="s">
        <v>262</v>
      </c>
      <c r="B3" s="409"/>
      <c r="C3" s="409"/>
      <c r="D3" s="409"/>
      <c r="E3" s="409"/>
      <c r="F3" s="409"/>
      <c r="G3" s="409"/>
      <c r="H3" s="409"/>
      <c r="I3" s="409"/>
      <c r="J3" s="409"/>
      <c r="K3" s="409"/>
      <c r="L3" s="409"/>
      <c r="M3" s="409"/>
      <c r="N3" s="409"/>
      <c r="O3" s="410"/>
      <c r="P3" s="160">
        <f>SUBTOTAL(109,Таблица5229[Недоплата2])</f>
        <v>0</v>
      </c>
    </row>
    <row r="4" spans="1:16" ht="37.5" customHeight="1">
      <c r="A4" s="163"/>
      <c r="B4" s="164"/>
      <c r="C4" s="164"/>
      <c r="D4" s="164"/>
      <c r="E4" s="164"/>
      <c r="F4" s="164"/>
      <c r="G4" s="164"/>
      <c r="H4" s="164"/>
      <c r="I4" s="164"/>
      <c r="J4" s="165"/>
      <c r="K4" s="411" t="s">
        <v>310</v>
      </c>
      <c r="L4" s="411"/>
      <c r="M4" s="411"/>
      <c r="N4" s="412" t="s">
        <v>311</v>
      </c>
      <c r="O4" s="413"/>
      <c r="P4" s="414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59"/>
      <c r="G6" s="159"/>
      <c r="H6" s="161"/>
      <c r="I6" s="161"/>
      <c r="J6" s="161"/>
      <c r="K6" s="162"/>
      <c r="L6" s="162"/>
      <c r="M6" s="162"/>
      <c r="N6" s="162"/>
      <c r="O6" s="162"/>
      <c r="P6" s="162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68" t="s">
        <v>363</v>
      </c>
      <c r="B1" s="368"/>
      <c r="C1" s="368"/>
      <c r="D1" s="368"/>
      <c r="E1" s="368"/>
      <c r="F1" s="181"/>
      <c r="G1" s="181"/>
      <c r="H1" s="181"/>
      <c r="I1" s="181"/>
      <c r="J1" s="181"/>
      <c r="K1" s="181"/>
      <c r="L1" s="181"/>
      <c r="M1" s="181"/>
      <c r="N1" s="181"/>
    </row>
    <row r="3" spans="1:14">
      <c r="A3" s="199" t="s">
        <v>364</v>
      </c>
      <c r="B3" s="199"/>
      <c r="C3" s="199" t="s">
        <v>365</v>
      </c>
      <c r="D3" s="199" t="s">
        <v>366</v>
      </c>
      <c r="E3" s="199" t="s">
        <v>353</v>
      </c>
    </row>
    <row r="4" spans="1:14" ht="30" customHeight="1">
      <c r="A4" s="182" t="s">
        <v>367</v>
      </c>
      <c r="B4" s="182"/>
      <c r="C4" s="204" t="s">
        <v>387</v>
      </c>
      <c r="D4" s="204"/>
      <c r="E4" s="204"/>
    </row>
    <row r="5" spans="1:14">
      <c r="A5" s="183" t="s">
        <v>368</v>
      </c>
      <c r="B5" s="183"/>
      <c r="C5" s="184"/>
      <c r="D5" s="184"/>
      <c r="E5" s="184"/>
    </row>
    <row r="6" spans="1:14">
      <c r="A6" s="183" t="s">
        <v>369</v>
      </c>
      <c r="B6" s="183"/>
      <c r="C6" s="184"/>
      <c r="D6" s="185"/>
      <c r="E6" s="184"/>
    </row>
    <row r="7" spans="1:14">
      <c r="A7" s="201"/>
      <c r="B7" s="202"/>
      <c r="C7" s="198"/>
      <c r="D7" s="198"/>
      <c r="E7" s="198"/>
    </row>
    <row r="8" spans="1:14">
      <c r="A8" s="415" t="s">
        <v>370</v>
      </c>
      <c r="B8" s="415"/>
      <c r="C8" s="415"/>
      <c r="D8" s="415"/>
      <c r="E8" s="415"/>
    </row>
    <row r="9" spans="1:14">
      <c r="A9" s="200" t="s">
        <v>364</v>
      </c>
      <c r="B9" s="200" t="s">
        <v>79</v>
      </c>
      <c r="C9" s="200" t="s">
        <v>365</v>
      </c>
      <c r="D9" s="200" t="s">
        <v>366</v>
      </c>
      <c r="E9" s="200" t="s">
        <v>353</v>
      </c>
    </row>
    <row r="10" spans="1:14">
      <c r="A10" s="186" t="s">
        <v>1</v>
      </c>
      <c r="B10" s="187">
        <v>13</v>
      </c>
      <c r="C10" s="188" t="s">
        <v>388</v>
      </c>
      <c r="D10" s="189"/>
      <c r="E10" s="190"/>
    </row>
    <row r="11" spans="1:14">
      <c r="A11" s="183" t="s">
        <v>81</v>
      </c>
      <c r="B11" s="191">
        <v>13</v>
      </c>
      <c r="C11" s="192"/>
      <c r="D11" s="193"/>
      <c r="E11" s="194"/>
    </row>
    <row r="12" spans="1:14">
      <c r="A12" s="183" t="s">
        <v>82</v>
      </c>
      <c r="B12" s="191">
        <v>13</v>
      </c>
      <c r="C12" s="192"/>
      <c r="D12" s="193"/>
      <c r="E12" s="194"/>
    </row>
    <row r="13" spans="1:14">
      <c r="A13" s="183" t="s">
        <v>69</v>
      </c>
      <c r="B13" s="191">
        <v>13</v>
      </c>
      <c r="C13" s="192"/>
      <c r="D13" s="184"/>
      <c r="E13" s="194"/>
    </row>
    <row r="14" spans="1:14">
      <c r="A14" s="186" t="s">
        <v>1</v>
      </c>
      <c r="B14" s="187">
        <v>30</v>
      </c>
      <c r="C14" s="188"/>
      <c r="D14" s="189"/>
      <c r="E14" s="195"/>
    </row>
    <row r="15" spans="1:14">
      <c r="A15" s="183" t="s">
        <v>81</v>
      </c>
      <c r="B15" s="191">
        <v>30</v>
      </c>
      <c r="C15" s="192"/>
      <c r="D15" s="193"/>
      <c r="E15" s="194"/>
    </row>
    <row r="16" spans="1:14">
      <c r="A16" s="183" t="s">
        <v>82</v>
      </c>
      <c r="B16" s="191">
        <v>30</v>
      </c>
      <c r="C16" s="192"/>
      <c r="D16" s="193"/>
      <c r="E16" s="194"/>
    </row>
    <row r="17" spans="1:5">
      <c r="A17" s="183" t="s">
        <v>69</v>
      </c>
      <c r="B17" s="191">
        <v>30</v>
      </c>
      <c r="C17" s="192"/>
      <c r="D17" s="184"/>
      <c r="E17" s="194"/>
    </row>
    <row r="18" spans="1:5">
      <c r="A18" s="178"/>
      <c r="B18" s="178"/>
      <c r="C18" s="178"/>
      <c r="D18" s="178"/>
      <c r="E18" s="178"/>
    </row>
    <row r="19" spans="1:5">
      <c r="A19" s="416" t="s">
        <v>381</v>
      </c>
      <c r="B19" s="417"/>
      <c r="C19" s="417"/>
      <c r="D19" s="417"/>
      <c r="E19" s="418"/>
    </row>
    <row r="20" spans="1:5">
      <c r="A20" s="200"/>
      <c r="B20" s="205"/>
      <c r="C20" s="203" t="s">
        <v>371</v>
      </c>
      <c r="D20" s="200" t="s">
        <v>372</v>
      </c>
      <c r="E20" s="200" t="s">
        <v>293</v>
      </c>
    </row>
    <row r="21" spans="1:5">
      <c r="A21" s="183" t="s">
        <v>382</v>
      </c>
      <c r="B21" s="206"/>
      <c r="C21" s="184" t="s">
        <v>376</v>
      </c>
      <c r="D21" s="184"/>
      <c r="E21" s="184" t="e">
        <f>C21+D21</f>
        <v>#VALUE!</v>
      </c>
    </row>
    <row r="22" spans="1:5">
      <c r="A22" s="196">
        <v>83</v>
      </c>
      <c r="B22" s="206"/>
      <c r="C22" s="184"/>
      <c r="D22" s="193"/>
      <c r="E22" s="184">
        <f>C22+D22</f>
        <v>0</v>
      </c>
    </row>
    <row r="23" spans="1:5">
      <c r="A23" s="197"/>
      <c r="B23" s="197"/>
      <c r="C23" s="184" t="e">
        <f>C21+C22</f>
        <v>#VALUE!</v>
      </c>
      <c r="D23" s="184">
        <f>D21+D22</f>
        <v>0</v>
      </c>
      <c r="E23" s="185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33</vt:i4>
      </vt:variant>
    </vt:vector>
  </HeadingPairs>
  <TitlesOfParts>
    <vt:vector size="64" baseType="lpstr">
      <vt:lpstr>detail_report</vt:lpstr>
      <vt:lpstr>detail_report_2</vt:lpstr>
      <vt:lpstr>error_report</vt:lpstr>
      <vt:lpstr>correcting_report</vt:lpstr>
      <vt:lpstr>tax_retained_report</vt:lpstr>
      <vt:lpstr>benefit_no_distribute_amounts</vt:lpstr>
      <vt:lpstr>benefit_detail_report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cmp_f2ndfl_pers</vt:lpstr>
      <vt:lpstr>Отчеты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TAX_CALC</vt:lpstr>
      <vt:lpstr>tax_retained_report!TAX_NOT_RETAINED</vt:lpstr>
      <vt:lpstr>tax_retained_report!TAX_RETAINED_DATE</vt:lpstr>
      <vt:lpstr>tax_retained_report!TAX_RETURN</vt:lpstr>
      <vt:lpstr>tax_retained_report!TAX_RETURN_83</vt:lpstr>
      <vt:lpstr>TAX_RETURN_PREV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2018-03-24T09:14:30Z</dcterms:modified>
</cp:coreProperties>
</file>