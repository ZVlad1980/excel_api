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Override PartName="/xl/tables/table5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ЭтаКнига"/>
  <bookViews>
    <workbookView showHorizontalScroll="0" showVerticalScroll="0" xWindow="0" yWindow="0" windowWidth="12450" windowHeight="11685" tabRatio="698" firstSheet="14" activeTab="14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f2_error_report" sheetId="299" state="hidden" r:id="rId6"/>
    <sheet name="f2_vych_diff_periods" sheetId="403" state="hidden" r:id="rId7"/>
    <sheet name="f2_vych_diff_amounts" sheetId="400" state="hidden" r:id="rId8"/>
    <sheet name="f2_load_vych_errors" sheetId="321" state="hidden" r:id="rId9"/>
    <sheet name="f2_arh_spravki_errors" sheetId="298" state="hidden" r:id="rId10"/>
    <sheet name="f2_arh_batch_xml_head" sheetId="297" state="hidden" r:id="rId11"/>
    <sheet name="f2_ndfl_nalplat_pers" sheetId="295" state="hidden" r:id="rId12"/>
    <sheet name="f2_enumarate_error" sheetId="320" state="hidden" r:id="rId13"/>
    <sheet name="Settings" sheetId="103" state="hidden" r:id="rId14"/>
    <sheet name="Отчеты" sheetId="6" r:id="rId15"/>
    <sheet name="f2_load_vych_person" sheetId="332" state="hidden" r:id="rId16"/>
    <sheet name="synch_error_report" sheetId="283" state="hidden" r:id="rId17"/>
    <sheet name="ndfl6_part2" sheetId="249" state="hidden" r:id="rId18"/>
    <sheet name="ndfl6_part1_general" sheetId="71" state="hidden" r:id="rId19"/>
    <sheet name="ndfl6_part1_rates" sheetId="69" state="hidden" r:id="rId20"/>
    <sheet name="funds_employees" sheetId="73" state="hidden" r:id="rId21"/>
    <sheet name="funds_employees_report" sheetId="123" state="hidden" r:id="rId22"/>
    <sheet name="ndfl6_part1" sheetId="248" state="hidden" r:id="rId23"/>
    <sheet name="tax_diff_report" sheetId="271" state="hidden" r:id="rId24"/>
    <sheet name="tax_diff_det_report" sheetId="282" state="hidden" r:id="rId25"/>
    <sheet name="cmp_f2ndfl_f6" sheetId="294" state="hidden" r:id="rId26"/>
    <sheet name="cmp_f2ndfl_pers" sheetId="284" state="hidden" r:id="rId27"/>
  </sheets>
  <functionGroups/>
  <externalReferences>
    <externalReference r:id="rId28"/>
    <externalReference r:id="rId29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0">[1]Отчеты!$C$2</definedName>
    <definedName name="ReportSelected" localSheetId="9">[1]Отчеты!$C$2</definedName>
    <definedName name="ReportSelected" localSheetId="5">[1]Отчеты!$C$2</definedName>
    <definedName name="ReportSelected" localSheetId="8">[1]Отчеты!$C$2</definedName>
    <definedName name="ReportSelected" localSheetId="15">[1]Отчеты!$C$2</definedName>
    <definedName name="ReportSelected" localSheetId="11">[1]Отчеты!$C$2</definedName>
    <definedName name="ReportSelected" localSheetId="7">[1]Отчеты!$C$2</definedName>
    <definedName name="ReportSelected" localSheetId="6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<sst xmlns="http://schemas.openxmlformats.org/spreadsheetml/2006/main" count="1628" uniqueCount="546">
  <si>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</si>
  <si>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</si>
  <si>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</si>
  <si>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</si>
  <si>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</si>
  <si>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</si>
  <si>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</si>
  <si>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</si>
  <si>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</si>
  <si>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</si>
  <si>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</si>
  <si>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</si>
  <si>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</si>
  <si>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</si>
  <si>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</si>
  <si>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</si>
  <si>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</si>
  <si>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</si>
  <si>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</si>
  <si>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</si>
  <si>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</si>
  <si>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</si>
  <si>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</si>
  <si>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</si>
  <si>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</si>
  <si>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</si>
  <si>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</si>
  <si>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</si>
  <si>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</si>
  <si>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</si>
  <si>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</si>
  <si>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</si>
  <si>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</si>
  <si>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</si>
  <si>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</si>
  <si>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</si>
  <si>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</si>
  <si>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</si>
  <si>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</si>
  <si>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</si>
  <si>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</si>
  <si>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</si>
  <si>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</si>
  <si>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</si>
  <si>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</si>
  <si>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</si>
  <si>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</si>
  <si>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</si>
  <si>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</si>
  <si>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</si>
  <si>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</si>
  <si>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</si>
  <si>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</si>
  <si>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</si>
  <si>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</si>
  <si>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</si>
  <si>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</si>
  <si>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</si>
  <si>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</si>
  <si>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</si>
  <si>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</si>
  <si>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</si>
  <si>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</si>
  <si>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</si>
  <si>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</si>
  <si>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</si>
  <si>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</si>
  <si>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</si>
  <si>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</si>
  <si>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</si>
  <si>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</si>
  <si>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</si>
  <si>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</si>
  <si>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</si>
  <si>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</si>
  <si>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</si>
  <si>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</si>
  <si>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</si>
  <si>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</si>
  <si>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</si>
  <si>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</si>
  <si>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</si>
  <si>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</si>
  <si>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</si>
  <si>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</si>
  <si>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</si>
  <si>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</si>
  <si>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</si>
  <si>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</si>
  <si>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</si>
  <si>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</si>
  <si>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</si>
  <si>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</si>
  <si>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</si>
  <si>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</si>
  <si>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</si>
  <si>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</si>
  <si>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</si>
  <si>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</si>
  <si>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</si>
  <si>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</si>
  <si>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</si>
  <si>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</si>
  <si>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</si>
  <si>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</si>
  <si>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</si>
  <si>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</si>
  <si>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</si>
  <si>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</si>
  <si>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</si>
  <si>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</si>
  <si>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</si>
  <si>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</si>
  <si>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</si>
  <si>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</si>
  <si>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</si>
  <si>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</si>
  <si>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</si>
  <si>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</si>
  <si>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</si>
  <si>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</si>
  <si>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</si>
  <si>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</si>
  <si>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</si>
  <si>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</si>
  <si>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</si>
  <si>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</si>
  <si>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</si>
  <si>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</si>
  <si>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</si>
  <si>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</si>
  <si>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</si>
  <si>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</si>
  <si>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</si>
  <si>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</si>
  <si>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</si>
  <si>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</si>
  <si>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</si>
  <si>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</si>
  <si>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</si>
  <si>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</si>
  <si>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</si>
  <si>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</si>
  <si>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</si>
  <si>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</si>
  <si>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</si>
  <si>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</si>
  <si>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</si>
  <si>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</si>
  <si>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</si>
  <si>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</si>
  <si>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</si>
  <si>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</si>
  <si>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</si>
  <si>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</si>
  <si>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</si>
  <si>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</si>
  <si>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</si>
  <si>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</si>
  <si>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</si>
  <si>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</si>
  <si>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</si>
  <si>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</si>
  <si>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</si>
  <si>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</si>
  <si>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</si>
  <si>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</si>
  <si>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</si>
  <si>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</si>
  <si>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</si>
  <si>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</si>
  <si>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</si>
  <si>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</si>
  <si>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</si>
  <si>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</si>
  <si>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</si>
  <si>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</si>
  <si>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</si>
  <si>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</si>
  <si>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</si>
  <si>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</si>
  <si>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</si>
  <si>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</si>
  <si>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</si>
  <si>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</si>
  <si>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</si>
  <si>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</si>
  <si>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</si>
  <si>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</si>
  <si>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</si>
  <si>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</si>
  <si>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</si>
  <si>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</si>
  <si>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</si>
  <si>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</si>
  <si>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</si>
  <si>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</si>
  <si>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</si>
  <si>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</si>
  <si>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</si>
  <si>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</si>
  <si>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</si>
  <si>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</si>
  <si>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</si>
  <si>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</si>
  <si>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</si>
  <si>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</si>
  <si>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</si>
  <si>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</si>
  <si>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</si>
  <si>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</si>
  <si>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</si>
  <si>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</si>
  <si>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</si>
  <si>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</si>
  <si>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</si>
  <si>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</si>
  <si>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</si>
  <si>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</si>
  <si>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</si>
  <si>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</si>
  <si>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</si>
  <si>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</si>
  <si>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</si>
  <si>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</si>
  <si>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</si>
  <si>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</si>
  <si>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</si>
  <si>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</si>
  <si>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</si>
  <si>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</si>
  <si>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</si>
  <si>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</si>
  <si>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</si>
  <si>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</si>
  <si>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</si>
  <si>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</si>
  <si>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</si>
  <si>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</si>
  <si>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</si>
  <si>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</si>
  <si>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</si>
  <si>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</si>
  <si>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</si>
  <si>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</si>
  <si>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</si>
  <si>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</si>
  <si>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</si>
  <si>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</si>
  <si>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</si>
  <si>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</si>
  <si>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</si>
  <si>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</si>
  <si>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</si>
  <si>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</si>
  <si>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</si>
  <si>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</si>
  <si>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</si>
  <si>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</si>
  <si>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</si>
  <si>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</si>
  <si>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</si>
  <si>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</si>
  <si>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</si>
  <si>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</si>
  <si>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</si>
  <si>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</si>
  <si>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</si>
  <si>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</si>
  <si>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</si>
  <si>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</si>
  <si>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</si>
  <si>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</si>
  <si>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</si>
  <si>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</si>
  <si>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</si>
  <si>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</si>
  <si>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</si>
  <si>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</si>
  <si>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</si>
  <si>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</si>
  <si>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</si>
  <si>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</si>
  <si>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</si>
  <si>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</si>
  <si>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</si>
  <si>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</si>
  <si>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</si>
  <si>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</si>
  <si>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</si>
  <si>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</si>
  <si>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</si>
  <si>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</si>
  <si>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</si>
  <si>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</si>
  <si>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</si>
  <si>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</si>
  <si>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</si>
  <si>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</si>
  <si>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</si>
  <si>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</si>
  <si>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</si>
  <si>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</si>
  <si>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</si>
  <si>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</si>
  <si>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</si>
  <si>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</si>
  <si>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</si>
  <si>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</si>
  <si>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</si>
  <si>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</si>
  <si>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</si>
  <si>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</si>
  <si>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</si>
  <si>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</si>
  <si>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</si>
  <si>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</si>
  <si>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</si>
  <si>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</si>
  <si>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</si>
  <si>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</si>
  <si>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</si>
  <si>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</si>
  <si>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</si>
  <si>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</si>
  <si>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</si>
  <si>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</si>
  <si>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</si>
  <si>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</si>
  <si>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</si>
  <si>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</si>
  <si>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</si>
  <si>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</si>
  <si>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</si>
  <si>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</si>
  <si>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</si>
  <si>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</si>
  <si>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</si>
  <si>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</si>
  <si>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</si>
  <si>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</si>
  <si>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</si>
  <si>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</si>
  <si>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</si>
  <si>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</si>
  <si>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</si>
  <si>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</si>
  <si>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</si>
  <si>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</si>
  <si>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</si>
  <si>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</si>
  <si>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</si>
  <si>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</si>
  <si>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</si>
  <si>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</si>
  <si>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</si>
  <si>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</si>
  <si>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</si>
  <si>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</si>
  <si>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</si>
  <si>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</si>
  <si>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</si>
  <si>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</si>
  <si>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</si>
  <si>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</si>
  <si>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</si>
  <si>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</si>
  <si>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</si>
  <si>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</si>
  <si>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</si>
  <si>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</si>
  <si>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</si>
  <si>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</si>
  <si>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</si>
  <si>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</si>
  <si>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</si>
  <si>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</si>
  <si>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</si>
  <si>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</si>
  <si>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</si>
  <si>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</si>
  <si>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</si>
  <si>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</si>
  <si>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</si>
  <si>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</si>
  <si>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</si>
  <si>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</si>
  <si>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</si>
  <si>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</si>
  <si>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</si>
  <si>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</si>
  <si>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</si>
  <si>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</si>
  <si>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</si>
  <si>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</si>
  <si>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</si>
  <si>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</si>
  <si>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</si>
  <si>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</si>
  <si>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</si>
  <si>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</si>
  <si>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</si>
  <si>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</si>
  <si>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</si>
  <si>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</si>
  <si>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</si>
  <si>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</si>
  <si>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</si>
  <si>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</si>
  <si>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</si>
  <si>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</si>
  <si>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</si>
  <si>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</si>
  <si>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</si>
  <si>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</si>
  <si>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</si>
  <si>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</si>
  <si>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</si>
  <si>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</si>
  <si>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</si>
  <si>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</si>
  <si>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</si>
  <si>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</si>
  <si>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</si>
  <si>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</si>
  <si>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</si>
  <si>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</si>
  <si>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</si>
  <si>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</si>
  <si>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</si>
  <si>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</si>
  <si>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</si>
  <si>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</si>
  <si>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</si>
  <si>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</si>
  <si>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</si>
  <si>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</si>
  <si>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</si>
  <si>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</si>
  <si>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</si>
  <si>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</si>
  <si>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</si>
  <si>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</si>
  <si>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</si>
  <si>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</si>
  <si>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</si>
  <si>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</si>
  <si>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</si>
  <si>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</si>
  <si>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</si>
  <si>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</si>
  <si>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</si>
  <si>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</si>
  <si>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</si>
  <si>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</si>
  <si>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</si>
  <si>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</si>
  <si>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</si>
  <si>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</si>
  <si>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</si>
  <si>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</si>
  <si>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</si>
  <si>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</si>
  <si>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</si>
  <si>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</si>
  <si>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</si>
  <si>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</si>
  <si>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</si>
  <si>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</si>
  <si>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</si>
  <si>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</si>
  <si>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</si>
  <si>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</si>
  <si>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</si>
  <si>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</si>
  <si>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</si>
  <si>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</si>
  <si>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</si>
  <si>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</si>
  <si>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</si>
  <si>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</si>
  <si>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</si>
  <si>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</si>
  <si>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</si>
  <si>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</si>
  <si>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</si>
  <si>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</si>
  <si>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</si>
  <si>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</si>
  <si>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</si>
  <si>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</si>
  <si>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</si>
  <si>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</si>
  <si>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</si>
  <si>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</si>
  <si>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</si>
  <si>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</si>
  <si>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</si>
  <si>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</si>
  <si>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</si>
  <si>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</si>
  <si>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</si>
  <si>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</si>
  <si>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</si>
  <si>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</si>
  <si>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</si>
  <si>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</si>
  <si>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</si>
  <si>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</si>
  <si>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</si>
  <si>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</si>
  <si>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</si>
  <si>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</si>
  <si>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</si>
  <si>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</si>
  <si>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</si>
  <si>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</si>
  <si>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</si>
  <si>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</si>
  <si>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</si>
  <si>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</si>
  <si>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</si>
  <si>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</si>
  <si>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ssylka_fl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</si>
  <si>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</si>
  <si>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</si>
  <si>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</si>
  <si>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</si>
  <si>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</si>
  <si>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</si>
  <si>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</si>
  <si>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</si>
  <si>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</si>
  <si>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</si>
  <si>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</si>
  <si>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</si>
  <si>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</si>
  <si>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</si>
  <si>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</si>
  <si>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</si>
  <si>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</si>
  <si>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</si>
  <si>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</si>
  <si>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</si>
  <si>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</si>
  <si>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28.02.2018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</si>
</sst>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7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530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2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/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29" dataDxfId="527" headerRowBorderDxfId="528" tableBorderDxfId="526" totalsRowBorderDxfId="525">
  <autoFilter ref="A4:J5"/>
  <tableColumns count="10">
    <tableColumn id="1" name="1" dataDxfId="524"/>
    <tableColumn id="2" name="2" dataDxfId="523"/>
    <tableColumn id="5" name="3" dataDxfId="522"/>
    <tableColumn id="6" name="4" dataDxfId="521"/>
    <tableColumn id="7" name="5" dataDxfId="520"/>
    <tableColumn id="10" name="6" dataDxfId="519"/>
    <tableColumn id="11" name="7" dataDxfId="518"/>
    <tableColumn id="12" name="8" dataDxfId="517"/>
    <tableColumn id="13" name="9" dataDxfId="516"/>
    <tableColumn id="14" name="10" dataDxfId="5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514" dataDxfId="512" headerRowBorderDxfId="513" tableBorderDxfId="511" totalsRowBorderDxfId="510">
  <autoFilter ref="A5:P6"/>
  <tableColumns count="16">
    <tableColumn id="1" name="1" dataDxfId="509"/>
    <tableColumn id="2" name="2" dataDxfId="508"/>
    <tableColumn id="3" name="3" dataDxfId="507"/>
    <tableColumn id="4" name="4" dataDxfId="506"/>
    <tableColumn id="5" name="5" dataDxfId="505"/>
    <tableColumn id="6" name="6" dataDxfId="504"/>
    <tableColumn id="7" name="7" dataDxfId="503"/>
    <tableColumn id="8" name="8" dataDxfId="502"/>
    <tableColumn id="9" name="9" dataDxfId="501"/>
    <tableColumn id="10" name="10" dataDxfId="500"/>
    <tableColumn id="11" name="11" dataDxfId="499"/>
    <tableColumn id="12" name="12" dataDxfId="498"/>
    <tableColumn id="13" name="13" dataDxfId="497"/>
    <tableColumn id="14" name="14" dataDxfId="496"/>
    <tableColumn id="15" name="15" dataDxfId="495"/>
    <tableColumn id="16" name="16" dataDxfId="49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493" dataDxfId="491" headerRowBorderDxfId="492" tableBorderDxfId="490" totalsRowBorderDxfId="489">
  <autoFilter ref="A3:I4">
    <filterColumn colId="1"/>
  </autoFilter>
  <tableColumns count="9">
    <tableColumn id="1" name="1" dataDxfId="488"/>
    <tableColumn id="3" name="2" dataDxfId="487"/>
    <tableColumn id="2" name="3" dataDxfId="486"/>
    <tableColumn id="5" name="4" dataDxfId="485"/>
    <tableColumn id="6" name="5" dataDxfId="484"/>
    <tableColumn id="7" name="6" dataDxfId="483"/>
    <tableColumn id="10" name="7" dataDxfId="482"/>
    <tableColumn id="11" name="8" dataDxfId="481"/>
    <tableColumn id="12" name="9" dataDxfId="48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479" dataDxfId="477" headerRowBorderDxfId="478" tableBorderDxfId="476" totalsRowBorderDxfId="47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74"/>
    <tableColumn id="20" name="2" dataDxfId="473"/>
    <tableColumn id="19" name="3" dataDxfId="472"/>
    <tableColumn id="18" name="4" dataDxfId="471"/>
    <tableColumn id="17" name="5" dataDxfId="470"/>
    <tableColumn id="23" name="6" dataDxfId="469"/>
    <tableColumn id="22" name="7" dataDxfId="468"/>
    <tableColumn id="21" name="8" dataDxfId="467"/>
    <tableColumn id="28" name="9" dataDxfId="466"/>
    <tableColumn id="29" name="10" dataDxfId="465"/>
    <tableColumn id="27" name="11" dataDxfId="464"/>
    <tableColumn id="26" name="12" dataDxfId="463"/>
    <tableColumn id="25" name="13" dataDxfId="462"/>
    <tableColumn id="5" name="14" dataDxfId="461"/>
    <tableColumn id="4" name="15" dataDxfId="460"/>
    <tableColumn id="3" name="16" dataDxfId="459"/>
    <tableColumn id="2" name="17" dataDxfId="458"/>
    <tableColumn id="24" name="18" dataDxfId="4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455" totalsRowDxfId="454">
  <tableColumns count="3">
    <tableColumn id="1" name="ВИД ВЫПЛАТЫ" totalsRowLabel="Итого" dataDxfId="453" totalsRowDxfId="452" dataCellStyle="Обычный 5"/>
    <tableColumn id="2" name="13%" totalsRowFunction="sum" dataDxfId="451" totalsRowDxfId="450" dataCellStyle="Обычный 5"/>
    <tableColumn id="3" name="30%" totalsRowFunction="sum" dataDxfId="449" totalsRowDxfId="448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447" dataDxfId="445" headerRowBorderDxfId="446" headerRowCellStyle="Обычный 5" dataCellStyle="Обычный 5">
  <tableColumns count="4">
    <tableColumn id="1" name="Сумма по ставкам" totalsRowFunction="sum" dataDxfId="444" totalsRowDxfId="443" dataCellStyle="Обычный 5"/>
    <tableColumn id="2" name="13%" dataDxfId="442" totalsRowDxfId="441" dataCellStyle="Обычный 5">
      <calculatedColumnFormula>B31+#REF!-Таблица42[[#This Row],[13%]]</calculatedColumnFormula>
    </tableColumn>
    <tableColumn id="3" name="30%" dataDxfId="440" totalsRowDxfId="439" dataCellStyle="Обычный 5"/>
    <tableColumn id="4" name="Расхождение по ставкам" dataDxfId="438" totalsRowDxfId="437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436" totalsRowDxfId="434" headerRowBorderDxfId="435" headerRowCellStyle="Обычный 5">
  <tableColumns count="8">
    <tableColumn id="1" name="ВИД ВЫПЛАТЫ" totalsRowLabel="Итого по ставке" dataDxfId="433" totalsRowDxfId="432" dataCellStyle="Обычный 5"/>
    <tableColumn id="2" name="13%" totalsRowFunction="sum" dataDxfId="431" totalsRowDxfId="430" dataCellStyle="Обычный 5"/>
    <tableColumn id="3" name="30%" totalsRowFunction="sum" dataDxfId="429" totalsRowDxfId="428" dataCellStyle="Обычный 5"/>
    <tableColumn id="4" name="Столбец1" totalsRowDxfId="427" dataCellStyle="Обычный 5"/>
    <tableColumn id="5" name="без исправлений" dataDxfId="426" totalsRowDxfId="425" dataCellStyle="Обычный 5"/>
    <tableColumn id="6" name="с корректоровкой" dataDxfId="424" totalsRowDxfId="423" dataCellStyle="Обычный 5"/>
    <tableColumn id="7" name="без исправлений2" dataDxfId="422" totalsRowDxfId="421" dataCellStyle="Обычный 5"/>
    <tableColumn id="8" name="с корректоровкой3" dataDxfId="420" totalsRowDxfId="419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18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7" name="Таблица54138105108" displayName="Таблица54138105108" ref="A2:L3" totalsRowShown="0" headerRowDxfId="417" dataDxfId="415" headerRowBorderDxfId="416" tableBorderDxfId="414" totalsRowBorderDxfId="413">
  <autoFilter ref="A2:L3">
    <filterColumn colId="9"/>
    <filterColumn colId="10"/>
    <filterColumn colId="11"/>
  </autoFilter>
  <tableColumns count="12">
    <tableColumn id="1" name="Ssylka" dataDxfId="412"/>
    <tableColumn id="2" name="nom_vkl" dataDxfId="411"/>
    <tableColumn id="3" name="nom_ips" dataDxfId="410"/>
    <tableColumn id="4" name="ФИО" dataDxfId="409"/>
    <tableColumn id="5" name="Бух.счет" dataDxfId="408"/>
    <tableColumn id="6" name="Код вычета" dataDxfId="407"/>
    <tableColumn id="7" name="Период с" dataDxfId="406"/>
    <tableColumn id="8" name="Период по" dataDxfId="405"/>
    <tableColumn id="9" name="Период с_x000a_(БИТ)" dataDxfId="404"/>
    <tableColumn id="10" name="Период по_x000a_(БИТ)" dataDxfId="403"/>
    <tableColumn id="11" name="Сумма" dataDxfId="402"/>
    <tableColumn id="12" name="Применение вычета в движении" dataDxfId="4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4" name="Таблица54138105" displayName="Таблица54138105" ref="A2:K3" totalsRowShown="0" headerRowDxfId="400" dataDxfId="398" headerRowBorderDxfId="399" tableBorderDxfId="397" totalsRowBorderDxfId="396">
  <autoFilter ref="A2:K3">
    <filterColumn colId="9"/>
    <filterColumn colId="10"/>
  </autoFilter>
  <tableColumns count="11">
    <tableColumn id="1" name="Ssylka" dataDxfId="395"/>
    <tableColumn id="2" name="nom_vkl" dataDxfId="394"/>
    <tableColumn id="3" name="nom_ips" dataDxfId="393"/>
    <tableColumn id="4" name="ФИО" dataDxfId="392"/>
    <tableColumn id="5" name="Бух.счет" dataDxfId="391"/>
    <tableColumn id="6" name="Код вычета" dataDxfId="390"/>
    <tableColumn id="7" name="Период с" dataDxfId="389"/>
    <tableColumn id="8" name="Период по" dataDxfId="388"/>
    <tableColumn id="9" name="Сумма по движению" dataDxfId="387"/>
    <tableColumn id="10" name="Расчетная сумма по БИТ" dataDxfId="386"/>
    <tableColumn id="11" name="Расчетная сумма по БИТ_x000a_по счету" dataDxfId="3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7" name="Таблица54138" displayName="Таблица54138" ref="A2:K3" totalsRowShown="0" headerRowDxfId="384" dataDxfId="382" headerRowBorderDxfId="383" tableBorderDxfId="381" totalsRowBorderDxfId="380">
  <autoFilter ref="A2:K3">
    <filterColumn colId="9"/>
    <filterColumn colId="10"/>
  </autoFilter>
  <tableColumns count="11">
    <tableColumn id="1" name="Ssylka" dataDxfId="379"/>
    <tableColumn id="2" name="nom_vkl" dataDxfId="378"/>
    <tableColumn id="3" name="nom_ips" dataDxfId="377"/>
    <tableColumn id="4" name="ФИО" dataDxfId="376"/>
    <tableColumn id="5" name="Тип дохода" dataDxfId="375"/>
    <tableColumn id="6" name="Месяц" dataDxfId="374"/>
    <tableColumn id="7" name="Shifr_schet" dataDxfId="373"/>
    <tableColumn id="8" name="Код вычета_x000a_(ручн)" dataDxfId="372"/>
    <tableColumn id="9" name="Сумма вычета" dataDxfId="371"/>
    <tableColumn id="10" name="Наличие записей в SP_OGR_PV" dataDxfId="370"/>
    <tableColumn id="11" name="Наличие записей в BIT" dataDxfId="36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40" name="Таблица541" displayName="Таблица541" ref="A3:R4" totalsRowShown="0" headerRowDxfId="368" dataDxfId="366" headerRowBorderDxfId="367" tableBorderDxfId="365" totalsRowBorderDxfId="364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363"/>
    <tableColumn id="2" name="Ошибка" dataDxfId="362"/>
    <tableColumn id="3" name="ИД контрагента" dataDxfId="361"/>
    <tableColumn id="4" name="Фамилия" dataDxfId="360"/>
    <tableColumn id="5" name="Имя" dataDxfId="359"/>
    <tableColumn id="6" name="Отчество" dataDxfId="358"/>
    <tableColumn id="7" name="Дата рождения" dataDxfId="357"/>
    <tableColumn id="8" name="ИНН" dataDxfId="356"/>
    <tableColumn id="9" name="Гражданство" dataDxfId="355"/>
    <tableColumn id="10" name="Резидент" dataDxfId="354"/>
    <tableColumn id="11" name="Код УЛ" dataDxfId="353"/>
    <tableColumn id="12" name="Серия и номер УЛ" dataDxfId="352"/>
    <tableColumn id="13" name="№ справки" dataDxfId="351"/>
    <tableColumn id="19" name="ИНН2" dataDxfId="350"/>
    <tableColumn id="14" name="Гражданство2" dataDxfId="349"/>
    <tableColumn id="15" name="Резидент2" dataDxfId="348"/>
    <tableColumn id="16" name="Код УЛ2" dataDxfId="347"/>
    <tableColumn id="17" name="Серия и номер УЛ3" dataDxfId="34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8" name="Таблица444493347" displayName="Таблица444493347" ref="A2:H3" totalsRowShown="0" headerRowDxfId="345" dataDxfId="343" headerRowBorderDxfId="344" tableBorderDxfId="342" totalsRowBorderDxfId="341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40"/>
    <tableColumn id="14" name="Имя файла" dataDxfId="339"/>
    <tableColumn id="1" name="Количество справок" dataDxfId="338"/>
    <tableColumn id="16" name="Фамилия с" dataDxfId="337"/>
    <tableColumn id="17" name="Фамилия по" dataDxfId="336"/>
    <tableColumn id="2" name="№ справки с" dataDxfId="335"/>
    <tableColumn id="3" name="№ справки по" dataDxfId="334"/>
    <tableColumn id="25" name="Признак справки" dataDxfId="333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39" name="Таблица3348" displayName="Таблица3348" ref="A7:G9" totalsRowCount="1" headerRowDxfId="332" headerRowBorderDxfId="331" tableBorderDxfId="330" totalsRowBorderDxfId="329">
  <autoFilter ref="A7:G8"/>
  <tableColumns count="7">
    <tableColumn id="1" name="№_x000a_справки" totalsRowLabel="Итог" dataDxfId="328" totalsRowDxfId="327"/>
    <tableColumn id="2" name="Фамилия" dataDxfId="326" totalsRowDxfId="325"/>
    <tableColumn id="3" name="UI_PERSON" dataDxfId="324" totalsRowDxfId="323"/>
    <tableColumn id="4" name="Резидент" dataDxfId="322" totalsRowDxfId="321"/>
    <tableColumn id="5" name="Гражданство" dataDxfId="320" totalsRowDxfId="319"/>
    <tableColumn id="6" name="Задолженность" totalsRowFunction="sum" dataDxfId="318" totalsRowDxfId="317"/>
    <tableColumn id="7" name="Коррекция №" totalsRowFunction="count" dataDxfId="316" totalsRowDxfId="3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6" name="Таблица44449" displayName="Таблица44449" ref="A4:P5" totalsRowShown="0" headerRowDxfId="314" dataDxfId="313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12"/>
    <tableColumn id="14" name="2" dataDxfId="311"/>
    <tableColumn id="1" name="3" dataDxfId="310"/>
    <tableColumn id="16" name="4" dataDxfId="309"/>
    <tableColumn id="17" name="5" dataDxfId="308"/>
    <tableColumn id="2" name="6" dataDxfId="307"/>
    <tableColumn id="3" name="7" dataDxfId="306"/>
    <tableColumn id="25" name="8" dataDxfId="305"/>
    <tableColumn id="18" name="9" dataDxfId="304"/>
    <tableColumn id="19" name="10" dataDxfId="303"/>
    <tableColumn id="20" name="11" dataDxfId="302"/>
    <tableColumn id="21" name="12" dataDxfId="301"/>
    <tableColumn id="22" name="13" dataDxfId="300"/>
    <tableColumn id="23" name="14" dataDxfId="299"/>
    <tableColumn id="24" name="15" dataDxfId="298"/>
    <tableColumn id="26" name="16" dataDxfId="297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57" name="Таблица354258" displayName="Таблица354258" ref="A2:I3" headerRowDxfId="296" dataDxfId="294" totalsRowDxfId="292" headerRowBorderDxfId="295" tableBorderDxfId="293">
  <autoFilter ref="A2:I3"/>
  <tableColumns count="9">
    <tableColumn id="1" name="Таблица" totalsRowLabel="Итог" dataDxfId="291" totalsRowDxfId="290"/>
    <tableColumn id="3" name="SSYLKA" dataDxfId="289" totalsRowDxfId="288"/>
    <tableColumn id="4" name="Тип дохода" dataDxfId="287" totalsRowDxfId="286"/>
    <tableColumn id="5" name="Фамилия" dataDxfId="285" totalsRowDxfId="284"/>
    <tableColumn id="6" name="Имя" dataDxfId="283" totalsRowDxfId="282"/>
    <tableColumn id="8" name="Отчество" dataDxfId="281" totalsRowDxfId="280"/>
    <tableColumn id="9" name="ДР" dataDxfId="279" totalsRowDxfId="278"/>
    <tableColumn id="10" name="SSYLKA_REAL" dataDxfId="277" totalsRowDxfId="276"/>
    <tableColumn id="11" name="UI_PERSON" dataDxfId="275" totalsRowDxfId="27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Menu" displayName="Menu" ref="D2:E35" totalsRowShown="0">
  <autoFilter ref="D2:E3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Actions" displayName="Actions" ref="G2:L62" totalsRowShown="0">
  <autoFilter ref="G2:L62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Reports" displayName="Reports" ref="N2:T55" totalsRowShown="0">
  <autoFilter ref="N2:T55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3" name="SubReports" displayName="SubReports" ref="V2:W28" totalsRowShown="0">
  <autoFilter ref="V2:W28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4" name="GeneralOptions" displayName="GeneralOptions" ref="A2:B14" headerRowBorderDxfId="273" tableBorderDxfId="272" totalsRowBorderDxfId="271">
  <autoFilter ref="A2:B14"/>
  <tableColumns count="2">
    <tableColumn id="1" name="Key" totalsRowLabel="Итог" totalsRowDxfId="270"/>
    <tableColumn id="2" name="Value" totalsRowFunction="count" totalsRowDxfId="26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7" name="ActionTypes" displayName="ActionTypes" ref="AM2:AM4" totalsRowShown="0" tableBorderDxfId="268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2" name="Parameters" displayName="Parameters" ref="AE2:AK28" totalsRowShown="0">
  <autoFilter ref="AE2:AK28">
    <filterColumn colId="5"/>
    <filterColumn colId="6"/>
  </autoFilter>
  <tableColumns count="7">
    <tableColumn id="1" name="Program" dataDxfId="267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16" name="Таблица16" displayName="Таблица16" ref="C3:C6" totalsRowShown="0" headerRowDxfId="266" dataDxfId="265" tableBorderDxfId="264">
  <tableColumns count="1">
    <tableColumn id="1" name="Столбец1" dataDxfId="263"/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262"/>
    <tableColumn id="2" name="FND_x000a_SSYLKA" dataDxfId="261"/>
    <tableColumn id="3" name="NOM_VKL" dataDxfId="260"/>
    <tableColumn id="4" name="NOM_IPS" dataDxfId="259"/>
    <tableColumn id="6" name="ФИО" dataDxfId="258"/>
    <tableColumn id="7" name="Дата_x000a_рождения" dataDxfId="257"/>
    <tableColumn id="8" name="Гражданство" dataDxfId="256"/>
    <tableColumn id="5" name="Столбец1" dataDxfId="255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51" name="Таблица4405152" displayName="Таблица4405152" ref="A7:H8" totalsRowShown="0" dataDxfId="254">
  <autoFilter ref="A7:H8">
    <filterColumn colId="6"/>
    <filterColumn colId="7"/>
  </autoFilter>
  <tableColumns count="8">
    <tableColumn id="2" name="Период с" dataDxfId="253"/>
    <tableColumn id="3" name="Период по" dataDxfId="252"/>
    <tableColumn id="4" name="Код вычета" dataDxfId="251"/>
    <tableColumn id="6" name="Сумма" dataDxfId="250"/>
    <tableColumn id="7" name="Описание" dataDxfId="249"/>
    <tableColumn id="8" name="Лимит дохода" dataDxfId="248"/>
    <tableColumn id="5" name="tdappid" dataDxfId="247"/>
    <tableColumn id="9" name="rid" dataDxfId="246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55" name="Таблица440515256" displayName="Таблица440515256" ref="A11:H12" totalsRowShown="0" dataDxfId="245">
  <autoFilter ref="A11:H12">
    <filterColumn colId="6"/>
    <filterColumn colId="7"/>
  </autoFilter>
  <tableColumns count="8">
    <tableColumn id="2" name="Период с" dataDxfId="244"/>
    <tableColumn id="3" name="Период по" dataDxfId="243"/>
    <tableColumn id="4" name="Shifr_schet" dataDxfId="242"/>
    <tableColumn id="6" name="Сумма" dataDxfId="241"/>
    <tableColumn id="7" name="Описание" dataDxfId="240"/>
    <tableColumn id="8" name="Лимит дохода" dataDxfId="239"/>
    <tableColumn id="5" name="tdappid" dataDxfId="238"/>
    <tableColumn id="9" name="rid" dataDxfId="237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6" name="Таблица44051525657" displayName="Таблица44051525657" ref="A15:G16" totalsRowShown="0" dataDxfId="236">
  <autoFilter ref="A15:G16">
    <filterColumn colId="6"/>
  </autoFilter>
  <tableColumns count="7">
    <tableColumn id="1" name="Дата операции" dataDxfId="235"/>
    <tableColumn id="2" name="Тип движения" dataDxfId="234"/>
    <tableColumn id="3" name="Счет" dataDxfId="233"/>
    <tableColumn id="4" name="Сумма" dataDxfId="232"/>
    <tableColumn id="6" name="Документ" dataDxfId="231"/>
    <tableColumn id="7" name="Корректирующий документ" dataDxfId="230"/>
    <tableColumn id="10" name="Субсчет" dataDxfId="229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34" name="Таблица2435" displayName="Таблица2435" ref="A4:L5" totalsRowShown="0" headerRowDxfId="228" dataDxfId="226" headerRowBorderDxfId="227" tableBorderDxfId="225" totalsRowBorderDxfId="224">
  <autoFilter ref="A4:L5">
    <filterColumn colId="1"/>
    <filterColumn colId="8"/>
    <filterColumn colId="9"/>
    <filterColumn colId="10"/>
    <filterColumn colId="11"/>
  </autoFilter>
  <tableColumns count="12">
    <tableColumn id="5" name="1" dataDxfId="223"/>
    <tableColumn id="3" name="2" dataDxfId="222"/>
    <tableColumn id="2" name="3" dataDxfId="221"/>
    <tableColumn id="6" name="4" dataDxfId="220"/>
    <tableColumn id="7" name="5" dataDxfId="219"/>
    <tableColumn id="10" name="6" dataDxfId="218"/>
    <tableColumn id="11" name="7" dataDxfId="217"/>
    <tableColumn id="12" name="8" dataDxfId="216"/>
    <tableColumn id="1" name="9" dataDxfId="215"/>
    <tableColumn id="4" name="10" dataDxfId="214"/>
    <tableColumn id="9" name="12" dataDxfId="213"/>
    <tableColumn id="8" name="11" dataDxfId="21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41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42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43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45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18" Type="http://schemas.openxmlformats.org/officeDocument/2006/relationships/table" Target="../tables/table3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17" Type="http://schemas.openxmlformats.org/officeDocument/2006/relationships/table" Target="../tables/table32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0" t="s">
        <v>248</v>
      </c>
      <c r="B1" s="291"/>
      <c r="C1" s="291"/>
      <c r="D1" s="291"/>
      <c r="E1" s="291"/>
      <c r="F1" s="291"/>
      <c r="G1" s="291"/>
      <c r="H1" s="291"/>
      <c r="I1" s="291"/>
      <c r="J1" s="291"/>
    </row>
    <row r="2" spans="1:10" ht="31.5" customHeight="1">
      <c r="A2" s="288" t="s">
        <v>4</v>
      </c>
      <c r="B2" s="288"/>
      <c r="C2" s="288"/>
      <c r="D2" s="288"/>
      <c r="E2" s="288"/>
      <c r="F2" s="289" t="s">
        <v>23</v>
      </c>
      <c r="G2" s="289"/>
      <c r="H2" s="289"/>
      <c r="I2" s="289"/>
      <c r="J2" s="289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2" t="s">
        <v>248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</row>
    <row r="2" spans="1:16" ht="31.5" customHeight="1">
      <c r="A2" s="297" t="s">
        <v>4</v>
      </c>
      <c r="B2" s="298"/>
      <c r="C2" s="298"/>
      <c r="D2" s="298"/>
      <c r="E2" s="298"/>
      <c r="F2" s="298"/>
      <c r="G2" s="298"/>
      <c r="H2" s="298"/>
      <c r="I2" s="299"/>
      <c r="J2" s="300" t="s">
        <v>23</v>
      </c>
      <c r="K2" s="301"/>
      <c r="L2" s="301"/>
      <c r="M2" s="301"/>
      <c r="N2" s="301"/>
      <c r="O2" s="301"/>
      <c r="P2" s="302"/>
    </row>
    <row r="3" spans="1:16" ht="24" customHeight="1">
      <c r="A3" s="303" t="s">
        <v>0</v>
      </c>
      <c r="B3" s="305" t="s">
        <v>29</v>
      </c>
      <c r="C3" s="305" t="s">
        <v>3</v>
      </c>
      <c r="D3" s="305" t="s">
        <v>30</v>
      </c>
      <c r="E3" s="307" t="s">
        <v>5</v>
      </c>
      <c r="F3" s="308"/>
      <c r="G3" s="309"/>
      <c r="H3" s="307" t="s">
        <v>6</v>
      </c>
      <c r="I3" s="310"/>
      <c r="J3" s="311" t="s">
        <v>28</v>
      </c>
      <c r="K3" s="311" t="s">
        <v>32</v>
      </c>
      <c r="L3" s="293" t="s">
        <v>5</v>
      </c>
      <c r="M3" s="294"/>
      <c r="N3" s="295"/>
      <c r="O3" s="293" t="s">
        <v>6</v>
      </c>
      <c r="P3" s="296"/>
    </row>
    <row r="4" spans="1:16" ht="38.25" customHeight="1">
      <c r="A4" s="304"/>
      <c r="B4" s="306"/>
      <c r="C4" s="306"/>
      <c r="D4" s="30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2"/>
      <c r="K4" s="31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2" t="s">
        <v>249</v>
      </c>
      <c r="B1" s="292"/>
      <c r="C1" s="292"/>
      <c r="D1" s="292"/>
      <c r="E1" s="292"/>
      <c r="F1" s="292"/>
      <c r="G1" s="292"/>
      <c r="H1" s="292"/>
      <c r="I1" s="292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3" t="s">
        <v>250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</row>
    <row r="2" spans="1:18" ht="31.5" customHeight="1">
      <c r="A2" s="288" t="s">
        <v>59</v>
      </c>
      <c r="B2" s="288"/>
      <c r="C2" s="288"/>
      <c r="D2" s="288"/>
      <c r="E2" s="288" t="s">
        <v>58</v>
      </c>
      <c r="F2" s="288"/>
      <c r="G2" s="288"/>
      <c r="H2" s="288"/>
      <c r="I2" s="288"/>
      <c r="J2" s="288"/>
      <c r="K2" s="314" t="s">
        <v>52</v>
      </c>
      <c r="L2" s="314" t="s">
        <v>53</v>
      </c>
      <c r="M2" s="314" t="s">
        <v>38</v>
      </c>
      <c r="N2" s="314" t="s">
        <v>54</v>
      </c>
      <c r="O2" s="288" t="s">
        <v>60</v>
      </c>
      <c r="P2" s="288"/>
      <c r="Q2" s="288"/>
      <c r="R2" s="288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14"/>
      <c r="L3" s="314"/>
      <c r="M3" s="314"/>
      <c r="N3" s="314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17" t="s">
        <v>292</v>
      </c>
      <c r="B1" s="318"/>
      <c r="C1" s="318"/>
      <c r="D1" s="318"/>
      <c r="E1" s="318"/>
      <c r="F1" s="318"/>
      <c r="G1" s="318"/>
      <c r="H1" s="318"/>
    </row>
    <row r="2" spans="1:8" ht="15.75" customHeight="1">
      <c r="A2" s="322"/>
      <c r="B2" s="322"/>
      <c r="C2" s="322"/>
      <c r="D2" s="322"/>
      <c r="E2" s="322"/>
      <c r="F2" s="322"/>
      <c r="G2" s="322"/>
      <c r="H2" s="322"/>
    </row>
    <row r="3" spans="1:8" ht="27" customHeight="1">
      <c r="A3" s="319" t="s">
        <v>267</v>
      </c>
      <c r="B3" s="319"/>
      <c r="C3" s="319"/>
      <c r="D3" s="117"/>
      <c r="E3" s="319" t="s">
        <v>268</v>
      </c>
      <c r="F3" s="319"/>
      <c r="G3" s="319"/>
      <c r="H3" s="319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0" t="s">
        <v>283</v>
      </c>
      <c r="B18" s="320"/>
      <c r="C18" s="320"/>
      <c r="D18" s="119"/>
      <c r="E18" s="320" t="s">
        <v>284</v>
      </c>
      <c r="F18" s="320"/>
      <c r="G18" s="320"/>
      <c r="H18" s="320"/>
    </row>
    <row r="19" spans="1:8" ht="14.25" customHeight="1">
      <c r="A19" s="320"/>
      <c r="B19" s="320"/>
      <c r="C19" s="320"/>
      <c r="D19" s="118"/>
      <c r="E19" s="321" t="s">
        <v>269</v>
      </c>
      <c r="F19" s="321"/>
      <c r="G19" s="321" t="s">
        <v>270</v>
      </c>
      <c r="H19" s="321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15" t="s">
        <v>299</v>
      </c>
      <c r="B41" s="316"/>
      <c r="D41" s="117"/>
    </row>
    <row r="42" spans="1:8">
      <c r="A42" s="315"/>
      <c r="B42" s="316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456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313" t="s">
        <v>436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244"/>
      <c r="N1" s="244"/>
      <c r="O1" s="244"/>
      <c r="P1" s="244"/>
      <c r="Q1" s="244"/>
      <c r="R1" s="244"/>
    </row>
    <row r="2" spans="1:18" ht="45" customHeight="1">
      <c r="A2" s="245" t="s">
        <v>437</v>
      </c>
      <c r="B2" s="246" t="s">
        <v>438</v>
      </c>
      <c r="C2" s="246" t="s">
        <v>439</v>
      </c>
      <c r="D2" s="247" t="s">
        <v>100</v>
      </c>
      <c r="E2" s="247" t="s">
        <v>420</v>
      </c>
      <c r="F2" s="247" t="s">
        <v>63</v>
      </c>
      <c r="G2" s="247" t="s">
        <v>64</v>
      </c>
      <c r="H2" s="247" t="s">
        <v>65</v>
      </c>
      <c r="I2" s="248" t="s">
        <v>440</v>
      </c>
      <c r="J2" s="249" t="s">
        <v>441</v>
      </c>
      <c r="K2" s="247" t="s">
        <v>442</v>
      </c>
      <c r="L2" s="250" t="s">
        <v>443</v>
      </c>
      <c r="M2" s="246" t="s">
        <v>325</v>
      </c>
    </row>
    <row r="3" spans="1:18">
      <c r="A3" t="s">
        <v>444</v>
      </c>
      <c r="I3" s="251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10" width="13.140625" style="262" customWidth="1"/>
    <col min="11" max="11" width="10" style="262" customWidth="1"/>
    <col min="12" max="12" width="13.42578125" style="262" customWidth="1"/>
    <col min="13" max="16384" width="9.140625" style="262"/>
  </cols>
  <sheetData>
    <row r="1" spans="1:12" ht="67.5" customHeight="1">
      <c r="A1" s="313" t="s">
        <v>538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2" ht="60.75" customHeight="1">
      <c r="A2" s="265" t="s">
        <v>484</v>
      </c>
      <c r="B2" s="264" t="s">
        <v>400</v>
      </c>
      <c r="C2" s="264" t="s">
        <v>401</v>
      </c>
      <c r="D2" s="264" t="s">
        <v>97</v>
      </c>
      <c r="E2" s="264" t="s">
        <v>531</v>
      </c>
      <c r="F2" s="264" t="s">
        <v>510</v>
      </c>
      <c r="G2" s="264" t="s">
        <v>508</v>
      </c>
      <c r="H2" s="264" t="s">
        <v>509</v>
      </c>
      <c r="I2" s="264" t="s">
        <v>539</v>
      </c>
      <c r="J2" s="264" t="s">
        <v>540</v>
      </c>
      <c r="K2" s="269" t="s">
        <v>40</v>
      </c>
      <c r="L2" s="260" t="s">
        <v>541</v>
      </c>
    </row>
    <row r="3" spans="1:12">
      <c r="A3" s="287" t="s">
        <v>536</v>
      </c>
      <c r="B3" s="258"/>
      <c r="C3" s="258"/>
      <c r="D3" s="266"/>
      <c r="E3" s="267"/>
      <c r="F3" s="267"/>
      <c r="G3" s="267"/>
      <c r="H3" s="267"/>
      <c r="I3" s="267"/>
      <c r="J3" s="267"/>
      <c r="K3" s="285"/>
      <c r="L3" s="268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8" width="12.7109375" style="262" customWidth="1"/>
    <col min="9" max="9" width="19.5703125" style="262" customWidth="1"/>
    <col min="10" max="11" width="10" style="262" customWidth="1"/>
    <col min="12" max="16384" width="9.140625" style="262"/>
  </cols>
  <sheetData>
    <row r="1" spans="1:11" ht="92.25" customHeight="1">
      <c r="A1" s="313" t="s">
        <v>530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1" ht="60.75" customHeight="1">
      <c r="A2" s="265" t="s">
        <v>484</v>
      </c>
      <c r="B2" s="264" t="s">
        <v>400</v>
      </c>
      <c r="C2" s="264" t="s">
        <v>401</v>
      </c>
      <c r="D2" s="264" t="s">
        <v>97</v>
      </c>
      <c r="E2" s="264" t="s">
        <v>531</v>
      </c>
      <c r="F2" s="264" t="s">
        <v>510</v>
      </c>
      <c r="G2" s="264" t="s">
        <v>508</v>
      </c>
      <c r="H2" s="264" t="s">
        <v>509</v>
      </c>
      <c r="I2" s="264" t="s">
        <v>532</v>
      </c>
      <c r="J2" s="269" t="s">
        <v>533</v>
      </c>
      <c r="K2" s="260" t="s">
        <v>534</v>
      </c>
    </row>
    <row r="3" spans="1:11">
      <c r="A3" s="257" t="s">
        <v>528</v>
      </c>
      <c r="B3" s="258"/>
      <c r="C3" s="258"/>
      <c r="D3" s="266"/>
      <c r="E3" s="267"/>
      <c r="F3" s="267"/>
      <c r="G3" s="267"/>
      <c r="H3" s="267"/>
      <c r="I3" s="285"/>
      <c r="J3" s="285"/>
      <c r="K3" s="286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3" t="s">
        <v>483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1" ht="65.25" customHeight="1">
      <c r="A2" s="237" t="s">
        <v>484</v>
      </c>
      <c r="B2" s="238" t="s">
        <v>400</v>
      </c>
      <c r="C2" s="238" t="s">
        <v>401</v>
      </c>
      <c r="D2" s="238" t="s">
        <v>97</v>
      </c>
      <c r="E2" s="238" t="s">
        <v>3</v>
      </c>
      <c r="F2" s="238" t="s">
        <v>57</v>
      </c>
      <c r="G2" s="238" t="s">
        <v>485</v>
      </c>
      <c r="H2" s="238" t="s">
        <v>486</v>
      </c>
      <c r="I2" s="238" t="s">
        <v>487</v>
      </c>
      <c r="J2" s="239" t="s">
        <v>489</v>
      </c>
      <c r="K2" s="260" t="s">
        <v>490</v>
      </c>
    </row>
    <row r="3" spans="1:11">
      <c r="A3" s="257" t="s">
        <v>481</v>
      </c>
      <c r="B3" s="258"/>
      <c r="C3" s="258"/>
      <c r="D3" s="241"/>
      <c r="E3" s="241"/>
      <c r="F3" s="242"/>
      <c r="G3" s="255"/>
      <c r="H3" s="255"/>
      <c r="I3" s="259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0" t="s">
        <v>424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U1" t="s">
        <v>425</v>
      </c>
    </row>
    <row r="2" spans="1:21" ht="18" customHeight="1">
      <c r="A2" s="323" t="s">
        <v>425</v>
      </c>
      <c r="B2" s="323"/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4" t="e">
        <f>report_year-1</f>
        <v>#VALUE!</v>
      </c>
      <c r="N2" s="324"/>
      <c r="O2" s="324"/>
      <c r="P2" s="324"/>
      <c r="Q2" s="324"/>
      <c r="R2" s="324"/>
    </row>
    <row r="3" spans="1:21" ht="31.5" customHeight="1">
      <c r="A3" s="213" t="s">
        <v>426</v>
      </c>
      <c r="B3" s="213" t="s">
        <v>325</v>
      </c>
      <c r="C3" s="213" t="s">
        <v>427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420</v>
      </c>
      <c r="J3" s="213" t="s">
        <v>419</v>
      </c>
      <c r="K3" s="213" t="s">
        <v>428</v>
      </c>
      <c r="L3" s="213" t="s">
        <v>429</v>
      </c>
      <c r="M3" s="261" t="s">
        <v>498</v>
      </c>
      <c r="N3" s="261" t="s">
        <v>430</v>
      </c>
      <c r="O3" s="261" t="s">
        <v>431</v>
      </c>
      <c r="P3" s="261" t="s">
        <v>432</v>
      </c>
      <c r="Q3" s="261" t="s">
        <v>433</v>
      </c>
      <c r="R3" s="261" t="s">
        <v>434</v>
      </c>
    </row>
    <row r="4" spans="1:21">
      <c r="A4" s="29" t="s">
        <v>543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3" t="s">
        <v>406</v>
      </c>
      <c r="B1" s="313"/>
      <c r="C1" s="313"/>
      <c r="D1" s="313"/>
      <c r="E1" s="313"/>
      <c r="F1" s="313"/>
      <c r="G1" s="313"/>
      <c r="H1" s="313"/>
    </row>
    <row r="2" spans="1:8" ht="25.5">
      <c r="A2" s="221" t="s">
        <v>407</v>
      </c>
      <c r="B2" s="222" t="s">
        <v>408</v>
      </c>
      <c r="C2" s="222" t="s">
        <v>409</v>
      </c>
      <c r="D2" s="222" t="s">
        <v>410</v>
      </c>
      <c r="E2" s="222" t="s">
        <v>411</v>
      </c>
      <c r="F2" s="222" t="s">
        <v>412</v>
      </c>
      <c r="G2" s="222" t="s">
        <v>413</v>
      </c>
      <c r="H2" s="223" t="s">
        <v>414</v>
      </c>
    </row>
    <row r="3" spans="1:8">
      <c r="A3" s="224" t="s">
        <v>415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313" t="s">
        <v>416</v>
      </c>
      <c r="B6" s="313"/>
      <c r="C6" s="313"/>
      <c r="D6" s="313"/>
      <c r="E6" s="313"/>
      <c r="F6" s="313"/>
      <c r="G6" s="313"/>
    </row>
    <row r="7" spans="1:8" ht="25.5">
      <c r="A7" s="221" t="s">
        <v>417</v>
      </c>
      <c r="B7" s="222" t="s">
        <v>63</v>
      </c>
      <c r="C7" s="222" t="s">
        <v>418</v>
      </c>
      <c r="D7" s="222" t="s">
        <v>419</v>
      </c>
      <c r="E7" s="222" t="s">
        <v>420</v>
      </c>
      <c r="F7" s="230" t="s">
        <v>421</v>
      </c>
      <c r="G7" s="222" t="s">
        <v>422</v>
      </c>
    </row>
    <row r="8" spans="1:8">
      <c r="A8" s="231" t="s">
        <v>423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0" t="s">
        <v>397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</row>
    <row r="2" spans="1:16" ht="18" customHeight="1">
      <c r="A2" s="325" t="s">
        <v>398</v>
      </c>
      <c r="B2" s="325"/>
      <c r="C2" s="325"/>
      <c r="D2" s="325"/>
      <c r="E2" s="325"/>
      <c r="F2" s="325"/>
      <c r="G2" s="325"/>
      <c r="H2" s="325" t="s">
        <v>399</v>
      </c>
      <c r="I2" s="325"/>
      <c r="J2" s="325"/>
      <c r="K2" s="325"/>
      <c r="L2" s="325"/>
      <c r="M2" s="325"/>
      <c r="N2" s="325"/>
      <c r="O2" s="325"/>
      <c r="P2" s="325"/>
    </row>
    <row r="3" spans="1:16" ht="31.5" customHeight="1">
      <c r="A3" s="213" t="s">
        <v>400</v>
      </c>
      <c r="B3" s="213" t="s">
        <v>401</v>
      </c>
      <c r="C3" s="213" t="s">
        <v>329</v>
      </c>
      <c r="D3" s="213" t="s">
        <v>402</v>
      </c>
      <c r="E3" s="213" t="s">
        <v>403</v>
      </c>
      <c r="F3" s="213" t="s">
        <v>1</v>
      </c>
      <c r="G3" s="213" t="s">
        <v>97</v>
      </c>
      <c r="H3" s="213" t="s">
        <v>404</v>
      </c>
      <c r="I3" s="213" t="s">
        <v>400</v>
      </c>
      <c r="J3" s="213" t="s">
        <v>401</v>
      </c>
      <c r="K3" s="213" t="s">
        <v>329</v>
      </c>
      <c r="L3" s="213" t="s">
        <v>402</v>
      </c>
      <c r="M3" s="213" t="s">
        <v>403</v>
      </c>
      <c r="N3" s="213" t="s">
        <v>1</v>
      </c>
      <c r="O3" s="213" t="s">
        <v>97</v>
      </c>
      <c r="P3" s="213" t="s">
        <v>404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405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26" t="s">
        <v>472</v>
      </c>
      <c r="B1" s="326"/>
      <c r="C1" s="326"/>
      <c r="D1" s="326"/>
      <c r="E1" s="326"/>
      <c r="F1" s="326"/>
      <c r="G1" s="326"/>
      <c r="H1" s="326"/>
      <c r="I1" s="326"/>
      <c r="J1" s="187"/>
    </row>
    <row r="2" spans="1:10" ht="39.75" customHeight="1">
      <c r="A2" s="33" t="s">
        <v>474</v>
      </c>
      <c r="B2" s="47" t="s">
        <v>62</v>
      </c>
      <c r="C2" s="254" t="s">
        <v>3</v>
      </c>
      <c r="D2" s="47" t="s">
        <v>63</v>
      </c>
      <c r="E2" s="47" t="s">
        <v>64</v>
      </c>
      <c r="F2" s="47" t="s">
        <v>65</v>
      </c>
      <c r="G2" s="47" t="s">
        <v>475</v>
      </c>
      <c r="H2" s="47" t="s">
        <v>476</v>
      </c>
      <c r="I2" s="34" t="s">
        <v>418</v>
      </c>
    </row>
    <row r="3" spans="1:10">
      <c r="A3" s="240" t="s">
        <v>471</v>
      </c>
      <c r="B3" s="255"/>
      <c r="C3" s="242"/>
      <c r="D3" s="241"/>
      <c r="E3" s="241"/>
      <c r="F3" s="241"/>
      <c r="G3" s="242"/>
      <c r="H3" s="255"/>
      <c r="I3" s="25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ettings"/>
  <dimension ref="A1:BH62"/>
  <sheetViews>
    <sheetView topLeftCell="K22" workbookViewId="0">
      <selection activeCell="N55" sqref="N5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27" t="s">
        <v>115</v>
      </c>
      <c r="B1" s="327"/>
      <c r="D1" s="328" t="s">
        <v>116</v>
      </c>
      <c r="E1" s="328"/>
      <c r="G1" s="328" t="s">
        <v>111</v>
      </c>
      <c r="H1" s="328"/>
      <c r="I1" s="328"/>
      <c r="J1" s="328"/>
      <c r="K1" s="328"/>
      <c r="L1" s="328"/>
      <c r="N1" s="328" t="s">
        <v>106</v>
      </c>
      <c r="O1" s="328"/>
      <c r="P1" s="328"/>
      <c r="Q1" s="328"/>
      <c r="R1" s="328"/>
      <c r="S1" s="328"/>
      <c r="T1" s="328"/>
      <c r="V1" s="328" t="s">
        <v>112</v>
      </c>
      <c r="W1" s="328"/>
      <c r="Y1" s="328" t="s">
        <v>103</v>
      </c>
      <c r="Z1" s="328"/>
      <c r="AA1" s="328"/>
      <c r="AB1" s="328"/>
      <c r="AC1" s="328"/>
      <c r="AE1" s="328" t="s">
        <v>143</v>
      </c>
      <c r="AF1" s="328"/>
      <c r="AG1" s="328"/>
      <c r="AH1" s="328"/>
      <c r="AI1" s="328"/>
      <c r="AJ1" s="328"/>
      <c r="AK1" s="328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29" t="s">
        <v>245</v>
      </c>
      <c r="BF1" s="329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447</v>
      </c>
      <c r="L2" t="s">
        <v>469</v>
      </c>
      <c r="N2" t="s">
        <v>107</v>
      </c>
      <c r="O2" t="s">
        <v>31</v>
      </c>
      <c r="P2" t="s">
        <v>95</v>
      </c>
      <c r="Q2" t="s">
        <v>130</v>
      </c>
      <c r="R2" t="s">
        <v>381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382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382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468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382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177" t="s">
        <v>341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347</v>
      </c>
      <c r="BF5" s="177" t="s">
        <v>346</v>
      </c>
    </row>
    <row r="6" spans="1:60">
      <c r="A6" s="6" t="s">
        <v>122</v>
      </c>
      <c r="B6" s="6" t="str">
        <f>VLOOKUP(ReportSelected,Menu[],2,FALSE)</f>
        <v>error_report</v>
      </c>
      <c r="D6" s="252" t="s">
        <v>445</v>
      </c>
      <c r="E6" s="177" t="s">
        <v>446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382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177" t="s">
        <v>343</v>
      </c>
      <c r="AI6" s="6" t="s">
        <v>141</v>
      </c>
      <c r="AJ6" s="6">
        <v>2</v>
      </c>
      <c r="AK6" s="6" t="s">
        <v>140</v>
      </c>
      <c r="BE6" s="262" t="s">
        <v>341</v>
      </c>
      <c r="BF6" s="262" t="s">
        <v>341</v>
      </c>
    </row>
    <row r="7" spans="1:60">
      <c r="A7" s="39" t="s">
        <v>149</v>
      </c>
      <c r="B7" s="263"/>
      <c r="D7" t="s">
        <v>449</v>
      </c>
      <c r="E7" s="177" t="s">
        <v>450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382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344</v>
      </c>
      <c r="AG7" s="177" t="s">
        <v>148</v>
      </c>
      <c r="AH7" s="177" t="s">
        <v>345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396</v>
      </c>
      <c r="D8" t="s">
        <v>478</v>
      </c>
      <c r="E8" s="177" t="s">
        <v>465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382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3" t="s">
        <v>386</v>
      </c>
      <c r="D9" s="252" t="s">
        <v>445</v>
      </c>
      <c r="E9" s="177" t="s">
        <v>446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382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177" t="s">
        <v>345</v>
      </c>
      <c r="AI9" s="6" t="s">
        <v>141</v>
      </c>
      <c r="AJ9" s="6">
        <v>10</v>
      </c>
      <c r="AK9" s="6" t="s">
        <v>140</v>
      </c>
    </row>
    <row r="10" spans="1:60">
      <c r="A10" s="177" t="s">
        <v>346</v>
      </c>
      <c r="B10" s="263" t="s">
        <v>545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468</v>
      </c>
      <c r="N10" t="s">
        <v>177</v>
      </c>
      <c r="O10" t="s">
        <v>94</v>
      </c>
      <c r="P10" t="s">
        <v>96</v>
      </c>
      <c r="Q10" t="s">
        <v>128</v>
      </c>
      <c r="R10" t="s">
        <v>382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3"/>
      <c r="BF10" s="263"/>
    </row>
    <row r="11" spans="1:60">
      <c r="A11" s="177" t="s">
        <v>448</v>
      </c>
      <c r="B11" s="263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382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451</v>
      </c>
      <c r="Z11" s="177" t="s">
        <v>161</v>
      </c>
      <c r="AA11" s="177" t="s">
        <v>141</v>
      </c>
      <c r="AB11" s="177"/>
      <c r="AC11" s="177" t="s">
        <v>452</v>
      </c>
      <c r="AE11" s="46" t="s">
        <v>180</v>
      </c>
      <c r="AF11" s="177" t="s">
        <v>340</v>
      </c>
      <c r="AG11" s="6" t="s">
        <v>148</v>
      </c>
      <c r="AH11" s="177" t="s">
        <v>341</v>
      </c>
      <c r="AI11" s="6" t="s">
        <v>141</v>
      </c>
      <c r="AJ11" s="6">
        <v>4</v>
      </c>
      <c r="AK11" s="6" t="s">
        <v>140</v>
      </c>
    </row>
    <row r="12" spans="1:60">
      <c r="A12" s="177" t="s">
        <v>456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382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453</v>
      </c>
      <c r="Z12" s="177" t="s">
        <v>161</v>
      </c>
      <c r="AA12" s="177" t="s">
        <v>141</v>
      </c>
      <c r="AB12" s="177"/>
      <c r="AC12" s="263" t="s">
        <v>454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3" t="s">
        <v>499</v>
      </c>
      <c r="B13" s="263" t="s">
        <v>523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382</v>
      </c>
      <c r="S13" t="s">
        <v>126</v>
      </c>
      <c r="T13" t="s">
        <v>134</v>
      </c>
      <c r="V13" s="177" t="s">
        <v>363</v>
      </c>
      <c r="W13" s="177" t="s">
        <v>356</v>
      </c>
      <c r="Y13" s="263" t="s">
        <v>501</v>
      </c>
      <c r="Z13" s="263" t="s">
        <v>161</v>
      </c>
      <c r="AA13" s="263" t="s">
        <v>141</v>
      </c>
      <c r="AB13" s="263"/>
      <c r="AC13" s="263" t="s">
        <v>502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3" t="s">
        <v>500</v>
      </c>
      <c r="B14" s="263">
        <v>1195218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382</v>
      </c>
      <c r="S14" t="s">
        <v>126</v>
      </c>
      <c r="T14" t="s">
        <v>134</v>
      </c>
      <c r="V14" s="177" t="s">
        <v>363</v>
      </c>
      <c r="W14" s="177" t="s">
        <v>359</v>
      </c>
      <c r="Y14" s="263" t="s">
        <v>524</v>
      </c>
      <c r="Z14" s="263" t="s">
        <v>161</v>
      </c>
      <c r="AA14" s="263" t="s">
        <v>141</v>
      </c>
      <c r="AB14" s="263"/>
      <c r="AC14" s="263" t="s">
        <v>525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382</v>
      </c>
      <c r="S15" t="s">
        <v>126</v>
      </c>
      <c r="T15" t="s">
        <v>134</v>
      </c>
      <c r="V15" s="177" t="s">
        <v>363</v>
      </c>
      <c r="W15" s="177" t="s">
        <v>365</v>
      </c>
      <c r="AE15" s="176" t="s">
        <v>332</v>
      </c>
      <c r="AF15" s="177" t="s">
        <v>340</v>
      </c>
      <c r="AG15" s="177" t="s">
        <v>148</v>
      </c>
      <c r="AH15" s="177" t="s">
        <v>341</v>
      </c>
      <c r="AI15" s="177" t="s">
        <v>141</v>
      </c>
      <c r="AJ15" s="177">
        <v>4</v>
      </c>
      <c r="AK15" s="177" t="s">
        <v>140</v>
      </c>
    </row>
    <row r="16" spans="1:60"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382</v>
      </c>
      <c r="S16" t="s">
        <v>126</v>
      </c>
      <c r="T16" t="s">
        <v>134</v>
      </c>
      <c r="V16" s="177" t="s">
        <v>376</v>
      </c>
      <c r="W16" s="177" t="s">
        <v>378</v>
      </c>
      <c r="AE16" s="176" t="s">
        <v>332</v>
      </c>
      <c r="AF16" s="177" t="s">
        <v>342</v>
      </c>
      <c r="AG16" s="177" t="s">
        <v>148</v>
      </c>
      <c r="AH16" s="177" t="s">
        <v>343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382</v>
      </c>
      <c r="S17" t="s">
        <v>126</v>
      </c>
      <c r="T17" t="s">
        <v>134</v>
      </c>
      <c r="V17" s="177" t="s">
        <v>376</v>
      </c>
      <c r="W17" s="177" t="s">
        <v>377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382</v>
      </c>
      <c r="S18" t="s">
        <v>126</v>
      </c>
      <c r="T18" t="s">
        <v>134</v>
      </c>
      <c r="V18" s="177" t="s">
        <v>376</v>
      </c>
      <c r="W18" s="177" t="s">
        <v>379</v>
      </c>
      <c r="AE18" s="45" t="s">
        <v>337</v>
      </c>
      <c r="AF18" s="177" t="s">
        <v>340</v>
      </c>
      <c r="AG18" s="177" t="s">
        <v>148</v>
      </c>
      <c r="AH18" s="177" t="s">
        <v>341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382</v>
      </c>
      <c r="T19" t="s">
        <v>118</v>
      </c>
      <c r="V19" s="177" t="s">
        <v>388</v>
      </c>
      <c r="W19" s="177" t="s">
        <v>389</v>
      </c>
      <c r="AE19" s="45" t="s">
        <v>451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382</v>
      </c>
      <c r="S20" t="s">
        <v>126</v>
      </c>
      <c r="T20" t="s">
        <v>134</v>
      </c>
      <c r="V20" s="177" t="s">
        <v>388</v>
      </c>
      <c r="W20" s="177" t="s">
        <v>390</v>
      </c>
      <c r="AE20" s="45" t="s">
        <v>451</v>
      </c>
      <c r="AF20" s="177" t="s">
        <v>455</v>
      </c>
      <c r="AG20" s="177" t="s">
        <v>148</v>
      </c>
      <c r="AH20" s="177" t="s">
        <v>458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382</v>
      </c>
      <c r="S21" t="s">
        <v>126</v>
      </c>
      <c r="T21" t="s">
        <v>134</v>
      </c>
      <c r="V21" s="177" t="s">
        <v>388</v>
      </c>
      <c r="W21" s="177" t="s">
        <v>379</v>
      </c>
      <c r="AE21" s="45" t="s">
        <v>451</v>
      </c>
      <c r="AF21" s="177" t="s">
        <v>340</v>
      </c>
      <c r="AG21" s="177" t="s">
        <v>148</v>
      </c>
      <c r="AH21" s="177" t="s">
        <v>341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382</v>
      </c>
      <c r="S22" t="s">
        <v>126</v>
      </c>
      <c r="T22" t="s">
        <v>118</v>
      </c>
      <c r="V22" s="177" t="s">
        <v>466</v>
      </c>
      <c r="W22" s="177" t="s">
        <v>415</v>
      </c>
      <c r="AE22" s="45" t="s">
        <v>451</v>
      </c>
      <c r="AF22" s="177" t="s">
        <v>342</v>
      </c>
      <c r="AG22" s="177" t="s">
        <v>148</v>
      </c>
      <c r="AH22" s="177" t="s">
        <v>343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382</v>
      </c>
      <c r="S23" t="s">
        <v>126</v>
      </c>
      <c r="T23" s="6" t="s">
        <v>304</v>
      </c>
      <c r="V23" s="177" t="s">
        <v>466</v>
      </c>
      <c r="W23" s="177" t="s">
        <v>423</v>
      </c>
      <c r="AE23" s="45" t="s">
        <v>453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382</v>
      </c>
      <c r="S24" t="s">
        <v>126</v>
      </c>
      <c r="T24" t="s">
        <v>134</v>
      </c>
      <c r="V24" s="177" t="s">
        <v>491</v>
      </c>
      <c r="W24" s="177" t="s">
        <v>493</v>
      </c>
      <c r="AE24" s="45" t="s">
        <v>453</v>
      </c>
      <c r="AF24" s="177" t="s">
        <v>457</v>
      </c>
      <c r="AG24" s="177" t="s">
        <v>148</v>
      </c>
      <c r="AH24" s="177" t="s">
        <v>448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382</v>
      </c>
      <c r="S25" s="6" t="s">
        <v>126</v>
      </c>
      <c r="T25" s="6" t="s">
        <v>134</v>
      </c>
      <c r="V25" s="177" t="s">
        <v>491</v>
      </c>
      <c r="W25" s="177" t="s">
        <v>494</v>
      </c>
      <c r="AE25" s="45" t="s">
        <v>453</v>
      </c>
      <c r="AF25" s="177" t="s">
        <v>455</v>
      </c>
      <c r="AG25" s="177" t="s">
        <v>148</v>
      </c>
      <c r="AH25" s="177" t="s">
        <v>458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382</v>
      </c>
      <c r="S26" s="6" t="s">
        <v>126</v>
      </c>
      <c r="T26" s="6" t="s">
        <v>134</v>
      </c>
      <c r="V26" s="177" t="s">
        <v>491</v>
      </c>
      <c r="W26" s="177" t="s">
        <v>495</v>
      </c>
      <c r="AE26" s="45" t="s">
        <v>453</v>
      </c>
      <c r="AF26" s="177" t="s">
        <v>340</v>
      </c>
      <c r="AG26" s="177" t="s">
        <v>148</v>
      </c>
      <c r="AH26" s="177" t="s">
        <v>341</v>
      </c>
      <c r="AI26" s="177" t="s">
        <v>141</v>
      </c>
      <c r="AJ26" s="177">
        <v>4</v>
      </c>
      <c r="AK26" s="177" t="s">
        <v>140</v>
      </c>
    </row>
    <row r="27" spans="4:37">
      <c r="D27" s="253" t="s">
        <v>445</v>
      </c>
      <c r="E27" s="177" t="s">
        <v>446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382</v>
      </c>
      <c r="S27" s="6" t="s">
        <v>126</v>
      </c>
      <c r="T27" s="6" t="s">
        <v>134</v>
      </c>
      <c r="V27" s="177" t="s">
        <v>491</v>
      </c>
      <c r="W27" s="177" t="s">
        <v>496</v>
      </c>
      <c r="AE27" s="45" t="s">
        <v>501</v>
      </c>
      <c r="AF27" s="263" t="s">
        <v>503</v>
      </c>
      <c r="AG27" s="263" t="s">
        <v>148</v>
      </c>
      <c r="AH27" s="263" t="s">
        <v>499</v>
      </c>
      <c r="AI27" s="263" t="s">
        <v>141</v>
      </c>
      <c r="AJ27" s="263">
        <v>20</v>
      </c>
      <c r="AK27" s="263" t="s">
        <v>140</v>
      </c>
    </row>
    <row r="28" spans="4:37">
      <c r="D28" s="177" t="s">
        <v>362</v>
      </c>
      <c r="E28" s="177" t="s">
        <v>363</v>
      </c>
      <c r="G28" s="6" t="s">
        <v>307</v>
      </c>
      <c r="H28" t="s">
        <v>104</v>
      </c>
      <c r="I28" t="s">
        <v>66</v>
      </c>
      <c r="N28" s="177" t="s">
        <v>363</v>
      </c>
      <c r="O28" s="177" t="s">
        <v>363</v>
      </c>
      <c r="P28" s="177" t="s">
        <v>364</v>
      </c>
      <c r="Q28" s="177" t="s">
        <v>128</v>
      </c>
      <c r="R28" s="177" t="s">
        <v>382</v>
      </c>
      <c r="S28" s="177"/>
      <c r="T28" t="s">
        <v>118</v>
      </c>
      <c r="V28" s="177" t="s">
        <v>491</v>
      </c>
      <c r="W28" s="177" t="s">
        <v>497</v>
      </c>
      <c r="AE28" s="45" t="s">
        <v>501</v>
      </c>
      <c r="AF28" s="262" t="s">
        <v>504</v>
      </c>
      <c r="AG28" s="263" t="s">
        <v>148</v>
      </c>
      <c r="AH28" s="263" t="s">
        <v>500</v>
      </c>
      <c r="AI28" t="s">
        <v>141</v>
      </c>
      <c r="AJ28">
        <v>512</v>
      </c>
      <c r="AK28" s="263" t="s">
        <v>140</v>
      </c>
    </row>
    <row r="29" spans="4:37">
      <c r="D29" s="177" t="s">
        <v>394</v>
      </c>
      <c r="E29" s="177" t="s">
        <v>376</v>
      </c>
      <c r="G29" s="6" t="s">
        <v>307</v>
      </c>
      <c r="H29" s="6" t="s">
        <v>104</v>
      </c>
      <c r="I29" s="6" t="s">
        <v>257</v>
      </c>
      <c r="N29" s="177" t="s">
        <v>356</v>
      </c>
      <c r="O29" s="177" t="s">
        <v>190</v>
      </c>
      <c r="P29" s="177" t="s">
        <v>356</v>
      </c>
      <c r="Q29" s="177" t="s">
        <v>128</v>
      </c>
      <c r="R29" s="177" t="s">
        <v>382</v>
      </c>
      <c r="S29" s="177" t="s">
        <v>126</v>
      </c>
      <c r="T29" s="177" t="s">
        <v>134</v>
      </c>
    </row>
    <row r="30" spans="4:37">
      <c r="D30" s="177" t="s">
        <v>395</v>
      </c>
      <c r="E30" s="177" t="s">
        <v>388</v>
      </c>
      <c r="G30" s="6" t="s">
        <v>307</v>
      </c>
      <c r="H30" s="6" t="s">
        <v>104</v>
      </c>
      <c r="I30" s="6" t="s">
        <v>266</v>
      </c>
      <c r="N30" s="177" t="s">
        <v>359</v>
      </c>
      <c r="O30" s="177" t="s">
        <v>190</v>
      </c>
      <c r="P30" s="177" t="s">
        <v>359</v>
      </c>
      <c r="Q30" s="177" t="s">
        <v>128</v>
      </c>
      <c r="R30" s="177" t="s">
        <v>382</v>
      </c>
      <c r="S30" s="177" t="s">
        <v>126</v>
      </c>
      <c r="T30" s="177" t="s">
        <v>134</v>
      </c>
    </row>
    <row r="31" spans="4:37">
      <c r="D31" s="177" t="s">
        <v>479</v>
      </c>
      <c r="E31" s="177" t="s">
        <v>435</v>
      </c>
      <c r="G31" s="6" t="s">
        <v>307</v>
      </c>
      <c r="H31" s="6" t="s">
        <v>104</v>
      </c>
      <c r="I31" s="6" t="s">
        <v>238</v>
      </c>
      <c r="N31" s="177" t="s">
        <v>365</v>
      </c>
      <c r="O31" s="177" t="s">
        <v>190</v>
      </c>
      <c r="P31" s="177" t="s">
        <v>365</v>
      </c>
      <c r="Q31" s="177" t="s">
        <v>128</v>
      </c>
      <c r="R31" s="177" t="s">
        <v>382</v>
      </c>
      <c r="S31" s="177" t="s">
        <v>126</v>
      </c>
      <c r="T31" s="177" t="s">
        <v>134</v>
      </c>
    </row>
    <row r="32" spans="4:37">
      <c r="D32" s="263" t="s">
        <v>544</v>
      </c>
      <c r="E32" s="263" t="s">
        <v>542</v>
      </c>
      <c r="G32" s="6" t="s">
        <v>307</v>
      </c>
      <c r="H32" s="6" t="s">
        <v>104</v>
      </c>
      <c r="I32" t="s">
        <v>77</v>
      </c>
      <c r="N32" s="177" t="s">
        <v>376</v>
      </c>
      <c r="O32" s="177" t="s">
        <v>376</v>
      </c>
      <c r="P32" s="177" t="s">
        <v>380</v>
      </c>
      <c r="Q32" s="177" t="s">
        <v>128</v>
      </c>
      <c r="R32" s="177" t="s">
        <v>382</v>
      </c>
      <c r="S32" s="177"/>
      <c r="T32" t="s">
        <v>118</v>
      </c>
    </row>
    <row r="33" spans="4:20">
      <c r="D33" s="263" t="s">
        <v>480</v>
      </c>
      <c r="E33" s="177" t="s">
        <v>481</v>
      </c>
      <c r="G33" s="6" t="s">
        <v>307</v>
      </c>
      <c r="H33" s="6" t="s">
        <v>104</v>
      </c>
      <c r="I33" s="6" t="s">
        <v>119</v>
      </c>
      <c r="N33" s="177" t="s">
        <v>378</v>
      </c>
      <c r="O33" s="177" t="s">
        <v>190</v>
      </c>
      <c r="P33" s="177" t="s">
        <v>378</v>
      </c>
      <c r="Q33" s="177" t="s">
        <v>128</v>
      </c>
      <c r="R33" s="177" t="s">
        <v>383</v>
      </c>
      <c r="S33" s="177" t="s">
        <v>126</v>
      </c>
      <c r="T33" s="177" t="s">
        <v>134</v>
      </c>
    </row>
    <row r="34" spans="4:20">
      <c r="D34" s="263" t="s">
        <v>527</v>
      </c>
      <c r="E34" s="263" t="s">
        <v>528</v>
      </c>
      <c r="G34" s="6" t="s">
        <v>312</v>
      </c>
      <c r="H34" s="6" t="s">
        <v>104</v>
      </c>
      <c r="I34" t="s">
        <v>312</v>
      </c>
      <c r="N34" s="177" t="s">
        <v>377</v>
      </c>
      <c r="O34" s="177" t="s">
        <v>190</v>
      </c>
      <c r="P34" s="177" t="s">
        <v>377</v>
      </c>
      <c r="Q34" s="177" t="s">
        <v>128</v>
      </c>
      <c r="R34" s="177" t="s">
        <v>383</v>
      </c>
      <c r="S34" s="177" t="s">
        <v>126</v>
      </c>
      <c r="T34" s="177" t="s">
        <v>134</v>
      </c>
    </row>
    <row r="35" spans="4:20">
      <c r="D35" s="263" t="s">
        <v>535</v>
      </c>
      <c r="E35" s="263" t="s">
        <v>536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379</v>
      </c>
      <c r="O35" s="177" t="s">
        <v>190</v>
      </c>
      <c r="P35" s="177" t="s">
        <v>379</v>
      </c>
      <c r="Q35" s="177" t="s">
        <v>128</v>
      </c>
      <c r="R35" s="177" t="s">
        <v>383</v>
      </c>
      <c r="S35" s="177" t="s">
        <v>126</v>
      </c>
      <c r="T35" s="177" t="s">
        <v>134</v>
      </c>
    </row>
    <row r="36" spans="4:20"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388</v>
      </c>
      <c r="O36" s="177" t="s">
        <v>376</v>
      </c>
      <c r="P36" s="177" t="s">
        <v>391</v>
      </c>
      <c r="Q36" s="177" t="s">
        <v>128</v>
      </c>
      <c r="R36" s="177" t="s">
        <v>382</v>
      </c>
      <c r="S36" s="177"/>
      <c r="T36" t="s">
        <v>118</v>
      </c>
    </row>
    <row r="37" spans="4:20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389</v>
      </c>
      <c r="O37" s="177" t="s">
        <v>190</v>
      </c>
      <c r="P37" s="177" t="s">
        <v>389</v>
      </c>
      <c r="Q37" s="177" t="s">
        <v>128</v>
      </c>
      <c r="R37" s="177" t="s">
        <v>383</v>
      </c>
      <c r="S37" s="177" t="s">
        <v>126</v>
      </c>
      <c r="T37" s="177" t="s">
        <v>134</v>
      </c>
    </row>
    <row r="38" spans="4:20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390</v>
      </c>
      <c r="O38" s="177" t="s">
        <v>190</v>
      </c>
      <c r="P38" s="177" t="s">
        <v>390</v>
      </c>
      <c r="Q38" s="177" t="s">
        <v>128</v>
      </c>
      <c r="R38" s="177" t="s">
        <v>383</v>
      </c>
      <c r="S38" s="177" t="s">
        <v>126</v>
      </c>
      <c r="T38" s="177" t="s">
        <v>134</v>
      </c>
    </row>
    <row r="39" spans="4:20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405</v>
      </c>
      <c r="O39" s="177" t="s">
        <v>405</v>
      </c>
      <c r="P39" s="177" t="s">
        <v>459</v>
      </c>
      <c r="Q39" s="177" t="s">
        <v>128</v>
      </c>
      <c r="R39" s="177" t="s">
        <v>382</v>
      </c>
      <c r="S39" s="177" t="s">
        <v>126</v>
      </c>
      <c r="T39" s="177" t="s">
        <v>134</v>
      </c>
    </row>
    <row r="40" spans="4:20">
      <c r="G40" s="177" t="s">
        <v>363</v>
      </c>
      <c r="H40" s="177" t="s">
        <v>104</v>
      </c>
      <c r="I40" s="177" t="s">
        <v>363</v>
      </c>
      <c r="J40" s="177"/>
      <c r="K40" s="177"/>
      <c r="L40" s="177"/>
      <c r="N40" s="177" t="s">
        <v>444</v>
      </c>
      <c r="O40" s="177" t="s">
        <v>444</v>
      </c>
      <c r="P40" s="177" t="s">
        <v>461</v>
      </c>
      <c r="Q40" s="177" t="s">
        <v>128</v>
      </c>
      <c r="R40" s="177" t="s">
        <v>382</v>
      </c>
      <c r="S40" s="177" t="s">
        <v>126</v>
      </c>
      <c r="T40" s="177" t="s">
        <v>134</v>
      </c>
    </row>
    <row r="41" spans="4:20">
      <c r="G41" s="177" t="s">
        <v>376</v>
      </c>
      <c r="H41" s="177" t="s">
        <v>104</v>
      </c>
      <c r="I41" s="177" t="s">
        <v>376</v>
      </c>
      <c r="J41" s="177"/>
      <c r="K41" s="177"/>
      <c r="L41" s="177"/>
      <c r="N41" s="177" t="s">
        <v>466</v>
      </c>
      <c r="O41" s="177" t="s">
        <v>466</v>
      </c>
      <c r="P41" s="177" t="s">
        <v>467</v>
      </c>
      <c r="Q41" t="s">
        <v>128</v>
      </c>
      <c r="R41" s="177"/>
      <c r="T41" t="s">
        <v>118</v>
      </c>
    </row>
    <row r="42" spans="4:20">
      <c r="G42" s="177" t="s">
        <v>388</v>
      </c>
      <c r="H42" s="177" t="s">
        <v>104</v>
      </c>
      <c r="I42" s="177" t="s">
        <v>388</v>
      </c>
      <c r="J42" s="177"/>
      <c r="K42" s="177"/>
      <c r="L42" s="177"/>
      <c r="N42" s="177" t="s">
        <v>415</v>
      </c>
      <c r="O42" s="177" t="s">
        <v>190</v>
      </c>
      <c r="P42" s="177" t="s">
        <v>415</v>
      </c>
      <c r="Q42" t="s">
        <v>128</v>
      </c>
      <c r="R42" s="177" t="s">
        <v>382</v>
      </c>
      <c r="S42" t="s">
        <v>126</v>
      </c>
      <c r="T42" t="s">
        <v>134</v>
      </c>
    </row>
    <row r="43" spans="4:20">
      <c r="G43" s="177" t="s">
        <v>470</v>
      </c>
      <c r="H43" s="45" t="s">
        <v>105</v>
      </c>
      <c r="I43" s="45" t="s">
        <v>451</v>
      </c>
      <c r="J43" s="45"/>
      <c r="K43" s="45"/>
      <c r="L43" s="45"/>
      <c r="N43" s="177" t="s">
        <v>423</v>
      </c>
      <c r="O43" s="177" t="s">
        <v>190</v>
      </c>
      <c r="P43" s="177" t="s">
        <v>423</v>
      </c>
      <c r="Q43" s="177" t="s">
        <v>128</v>
      </c>
      <c r="R43" s="177" t="s">
        <v>382</v>
      </c>
      <c r="S43" s="177" t="s">
        <v>126</v>
      </c>
      <c r="T43" s="177" t="s">
        <v>134</v>
      </c>
    </row>
    <row r="44" spans="4:20">
      <c r="G44" s="177" t="s">
        <v>470</v>
      </c>
      <c r="H44" s="45" t="s">
        <v>104</v>
      </c>
      <c r="I44" s="45" t="s">
        <v>405</v>
      </c>
      <c r="J44" t="s">
        <v>468</v>
      </c>
      <c r="L44" s="45" t="s">
        <v>451</v>
      </c>
      <c r="N44" s="177" t="s">
        <v>471</v>
      </c>
      <c r="O44" s="177" t="s">
        <v>471</v>
      </c>
      <c r="P44" s="177" t="s">
        <v>473</v>
      </c>
      <c r="Q44" s="177" t="s">
        <v>128</v>
      </c>
      <c r="R44" s="177" t="s">
        <v>382</v>
      </c>
      <c r="S44" s="177" t="s">
        <v>126</v>
      </c>
      <c r="T44" s="177" t="s">
        <v>134</v>
      </c>
    </row>
    <row r="45" spans="4:20">
      <c r="G45" s="177" t="s">
        <v>450</v>
      </c>
      <c r="H45" s="45" t="s">
        <v>105</v>
      </c>
      <c r="I45" s="45" t="s">
        <v>453</v>
      </c>
      <c r="J45" s="45"/>
      <c r="K45" s="45" t="s">
        <v>460</v>
      </c>
      <c r="L45" s="45"/>
      <c r="N45" s="177" t="s">
        <v>435</v>
      </c>
      <c r="O45" s="177" t="s">
        <v>435</v>
      </c>
      <c r="P45" s="177" t="s">
        <v>477</v>
      </c>
      <c r="Q45" s="177" t="s">
        <v>128</v>
      </c>
      <c r="R45" s="177" t="s">
        <v>382</v>
      </c>
      <c r="S45" s="177" t="s">
        <v>126</v>
      </c>
      <c r="T45" s="177" t="s">
        <v>134</v>
      </c>
    </row>
    <row r="46" spans="4:20">
      <c r="G46" s="177" t="s">
        <v>450</v>
      </c>
      <c r="H46" s="177" t="s">
        <v>104</v>
      </c>
      <c r="I46" s="177" t="s">
        <v>444</v>
      </c>
      <c r="K46" s="177"/>
      <c r="L46" s="45" t="s">
        <v>460</v>
      </c>
      <c r="N46" s="177" t="s">
        <v>481</v>
      </c>
      <c r="O46" s="177" t="s">
        <v>481</v>
      </c>
      <c r="P46" s="177" t="s">
        <v>482</v>
      </c>
      <c r="Q46" s="177" t="s">
        <v>128</v>
      </c>
      <c r="R46" s="177" t="s">
        <v>382</v>
      </c>
      <c r="S46" s="177" t="s">
        <v>126</v>
      </c>
      <c r="T46" s="177" t="s">
        <v>134</v>
      </c>
    </row>
    <row r="47" spans="4:20">
      <c r="G47" s="177" t="s">
        <v>450</v>
      </c>
      <c r="H47" s="177" t="s">
        <v>105</v>
      </c>
      <c r="I47" s="177" t="s">
        <v>453</v>
      </c>
      <c r="J47" s="177"/>
      <c r="K47" s="177" t="s">
        <v>462</v>
      </c>
      <c r="L47" s="177"/>
      <c r="N47" s="177" t="s">
        <v>491</v>
      </c>
      <c r="O47" s="177" t="s">
        <v>491</v>
      </c>
      <c r="P47" s="177" t="s">
        <v>492</v>
      </c>
      <c r="Q47" s="177" t="s">
        <v>128</v>
      </c>
      <c r="R47" s="177" t="s">
        <v>382</v>
      </c>
      <c r="S47" s="177"/>
      <c r="T47" t="s">
        <v>118</v>
      </c>
    </row>
    <row r="48" spans="4:20">
      <c r="G48" s="177" t="s">
        <v>450</v>
      </c>
      <c r="H48" s="177" t="s">
        <v>104</v>
      </c>
      <c r="I48" s="177" t="s">
        <v>481</v>
      </c>
      <c r="K48" s="177"/>
      <c r="L48" s="177"/>
      <c r="N48" s="263" t="s">
        <v>493</v>
      </c>
      <c r="O48" s="263" t="s">
        <v>190</v>
      </c>
      <c r="P48" s="263" t="s">
        <v>493</v>
      </c>
      <c r="Q48" s="262" t="s">
        <v>128</v>
      </c>
      <c r="R48" s="263" t="s">
        <v>382</v>
      </c>
      <c r="S48" s="262" t="s">
        <v>126</v>
      </c>
      <c r="T48" s="262" t="s">
        <v>134</v>
      </c>
    </row>
    <row r="49" spans="7:20">
      <c r="G49" s="177" t="s">
        <v>450</v>
      </c>
      <c r="H49" s="177" t="s">
        <v>104</v>
      </c>
      <c r="I49" s="177" t="s">
        <v>363</v>
      </c>
      <c r="K49" s="177"/>
      <c r="L49" s="177"/>
      <c r="N49" s="177" t="s">
        <v>494</v>
      </c>
      <c r="O49" s="177" t="s">
        <v>190</v>
      </c>
      <c r="P49" s="177" t="s">
        <v>494</v>
      </c>
      <c r="Q49" t="s">
        <v>128</v>
      </c>
      <c r="R49" s="177" t="s">
        <v>382</v>
      </c>
      <c r="S49" t="s">
        <v>126</v>
      </c>
      <c r="T49" t="s">
        <v>134</v>
      </c>
    </row>
    <row r="50" spans="7:20">
      <c r="G50" s="177" t="s">
        <v>450</v>
      </c>
      <c r="H50" s="177" t="s">
        <v>104</v>
      </c>
      <c r="I50" s="177" t="s">
        <v>376</v>
      </c>
      <c r="J50" t="s">
        <v>468</v>
      </c>
      <c r="K50" s="177"/>
      <c r="L50" s="177" t="s">
        <v>462</v>
      </c>
      <c r="N50" s="177" t="s">
        <v>495</v>
      </c>
      <c r="O50" s="177" t="s">
        <v>190</v>
      </c>
      <c r="P50" s="177" t="s">
        <v>495</v>
      </c>
      <c r="Q50" t="s">
        <v>128</v>
      </c>
      <c r="R50" s="177" t="s">
        <v>382</v>
      </c>
      <c r="S50" t="s">
        <v>126</v>
      </c>
      <c r="T50" t="s">
        <v>134</v>
      </c>
    </row>
    <row r="51" spans="7:20">
      <c r="G51" s="177" t="s">
        <v>450</v>
      </c>
      <c r="H51" s="177" t="s">
        <v>105</v>
      </c>
      <c r="I51" s="177" t="s">
        <v>453</v>
      </c>
      <c r="J51" s="177"/>
      <c r="K51" s="177" t="s">
        <v>463</v>
      </c>
      <c r="L51" s="177"/>
      <c r="N51" s="177" t="s">
        <v>496</v>
      </c>
      <c r="O51" s="177" t="s">
        <v>190</v>
      </c>
      <c r="P51" s="177" t="s">
        <v>496</v>
      </c>
      <c r="Q51" t="s">
        <v>128</v>
      </c>
      <c r="R51" s="177" t="s">
        <v>382</v>
      </c>
      <c r="S51" t="s">
        <v>126</v>
      </c>
      <c r="T51" t="s">
        <v>134</v>
      </c>
    </row>
    <row r="52" spans="7:20">
      <c r="G52" s="177" t="s">
        <v>450</v>
      </c>
      <c r="H52" s="177" t="s">
        <v>104</v>
      </c>
      <c r="I52" s="177" t="s">
        <v>471</v>
      </c>
      <c r="K52" s="177"/>
      <c r="L52" s="177"/>
      <c r="N52" s="177" t="s">
        <v>497</v>
      </c>
      <c r="O52" s="177" t="s">
        <v>190</v>
      </c>
      <c r="P52" s="177" t="s">
        <v>497</v>
      </c>
      <c r="Q52" t="s">
        <v>128</v>
      </c>
      <c r="R52" s="177" t="s">
        <v>382</v>
      </c>
      <c r="S52" t="s">
        <v>126</v>
      </c>
      <c r="T52" t="s">
        <v>134</v>
      </c>
    </row>
    <row r="53" spans="7:20">
      <c r="G53" s="177" t="s">
        <v>450</v>
      </c>
      <c r="H53" s="177" t="s">
        <v>104</v>
      </c>
      <c r="I53" s="177" t="s">
        <v>435</v>
      </c>
      <c r="J53" t="s">
        <v>468</v>
      </c>
      <c r="K53" s="177"/>
      <c r="L53" s="177" t="s">
        <v>463</v>
      </c>
      <c r="N53" s="263" t="s">
        <v>528</v>
      </c>
      <c r="O53" s="263" t="s">
        <v>528</v>
      </c>
      <c r="P53" s="263" t="s">
        <v>529</v>
      </c>
      <c r="Q53" s="262" t="s">
        <v>128</v>
      </c>
      <c r="R53" s="263" t="s">
        <v>382</v>
      </c>
      <c r="S53" s="262" t="s">
        <v>126</v>
      </c>
      <c r="T53" s="262" t="s">
        <v>134</v>
      </c>
    </row>
    <row r="54" spans="7:20">
      <c r="G54" s="177" t="s">
        <v>450</v>
      </c>
      <c r="H54" s="177" t="s">
        <v>105</v>
      </c>
      <c r="I54" s="177" t="s">
        <v>453</v>
      </c>
      <c r="J54" s="177"/>
      <c r="K54" s="177" t="s">
        <v>464</v>
      </c>
      <c r="L54" s="177"/>
      <c r="N54" s="263" t="s">
        <v>536</v>
      </c>
      <c r="O54" s="263" t="s">
        <v>536</v>
      </c>
      <c r="P54" s="263" t="s">
        <v>537</v>
      </c>
      <c r="Q54" s="262" t="s">
        <v>128</v>
      </c>
      <c r="R54" s="263" t="s">
        <v>382</v>
      </c>
      <c r="S54" s="262" t="s">
        <v>126</v>
      </c>
      <c r="T54" s="262" t="s">
        <v>134</v>
      </c>
    </row>
    <row r="55" spans="7:20">
      <c r="G55" s="177" t="s">
        <v>465</v>
      </c>
      <c r="H55" s="177" t="s">
        <v>105</v>
      </c>
      <c r="I55" s="177" t="s">
        <v>453</v>
      </c>
      <c r="J55" s="177"/>
      <c r="K55" s="177" t="s">
        <v>465</v>
      </c>
      <c r="L55" s="177"/>
      <c r="N55" s="263" t="s">
        <v>542</v>
      </c>
      <c r="O55" s="263" t="s">
        <v>435</v>
      </c>
      <c r="P55" s="263" t="s">
        <v>477</v>
      </c>
      <c r="Q55" s="262" t="s">
        <v>128</v>
      </c>
      <c r="R55" s="263" t="s">
        <v>382</v>
      </c>
      <c r="S55" s="262" t="s">
        <v>126</v>
      </c>
      <c r="T55" s="262" t="s">
        <v>134</v>
      </c>
    </row>
    <row r="56" spans="7:20">
      <c r="G56" s="177" t="s">
        <v>465</v>
      </c>
      <c r="H56" s="177" t="s">
        <v>104</v>
      </c>
      <c r="I56" s="177" t="s">
        <v>466</v>
      </c>
      <c r="J56" s="177"/>
      <c r="K56" s="177"/>
      <c r="L56" s="177"/>
    </row>
    <row r="57" spans="7:20">
      <c r="G57" s="177" t="s">
        <v>435</v>
      </c>
      <c r="H57" s="177" t="s">
        <v>104</v>
      </c>
      <c r="I57" s="177" t="s">
        <v>435</v>
      </c>
      <c r="J57" s="177"/>
      <c r="K57" s="177"/>
      <c r="L57" s="177"/>
    </row>
    <row r="58" spans="7:20">
      <c r="G58" s="177" t="s">
        <v>481</v>
      </c>
      <c r="H58" s="177" t="s">
        <v>104</v>
      </c>
      <c r="I58" s="177" t="s">
        <v>481</v>
      </c>
      <c r="J58" s="177"/>
      <c r="K58" s="177"/>
      <c r="L58" s="177"/>
    </row>
    <row r="59" spans="7:20">
      <c r="G59" s="177" t="s">
        <v>491</v>
      </c>
      <c r="H59" s="177" t="s">
        <v>104</v>
      </c>
      <c r="I59" s="177" t="s">
        <v>491</v>
      </c>
      <c r="J59" s="177"/>
      <c r="K59" s="177"/>
      <c r="L59" s="177"/>
    </row>
    <row r="60" spans="7:20">
      <c r="G60" s="263" t="s">
        <v>528</v>
      </c>
      <c r="H60" s="263" t="s">
        <v>104</v>
      </c>
      <c r="I60" s="263" t="s">
        <v>528</v>
      </c>
      <c r="J60" s="263"/>
      <c r="K60" s="263"/>
      <c r="L60" s="263"/>
    </row>
    <row r="61" spans="7:20">
      <c r="G61" s="263" t="s">
        <v>536</v>
      </c>
      <c r="H61" s="263" t="s">
        <v>104</v>
      </c>
      <c r="I61" s="263" t="s">
        <v>536</v>
      </c>
      <c r="J61" s="263"/>
      <c r="K61" s="263"/>
      <c r="L61" s="263"/>
    </row>
    <row r="62" spans="7:20">
      <c r="G62" s="263" t="s">
        <v>542</v>
      </c>
      <c r="H62" s="263" t="s">
        <v>104</v>
      </c>
      <c r="I62" s="263" t="s">
        <v>542</v>
      </c>
      <c r="J62" s="263"/>
      <c r="K62" s="263"/>
      <c r="L62" s="263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V3:V28 W4:W11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AG3:AG28">
      <formula1>INDIRECT("Direction[Code]")</formula1>
    </dataValidation>
    <dataValidation type="list" allowBlank="1" showInputMessage="1" showErrorMessage="1" sqref="AI3:AI28 AK3:AK28">
      <formula1>INDIRECT("YesNo[Code]")</formula1>
    </dataValidation>
    <dataValidation type="whole" allowBlank="1" showInputMessage="1" showErrorMessage="1" sqref="AJ3:AJ28">
      <formula1>1</formula1>
      <formula2>32767</formula2>
    </dataValidation>
    <dataValidation type="list" allowBlank="1" showInputMessage="1" showErrorMessage="1" sqref="J3:J62">
      <formula1>INDIRECT("AfterAction")</formula1>
    </dataValidation>
    <dataValidation type="list" allowBlank="1" showInputMessage="1" showErrorMessage="1" sqref="H3:H62">
      <formula1>INDIRECT("ActionTypes[Code]")</formula1>
    </dataValidation>
    <dataValidation type="list" allowBlank="1" showInputMessage="1" showErrorMessage="1" sqref="Q3:Q55">
      <formula1>INDIRECT("CreateModes[Code]")</formula1>
    </dataValidation>
    <dataValidation type="list" allowBlank="1" showInputMessage="1" showErrorMessage="1" sqref="T3:T55">
      <formula1>INDIRECT("ReportTypes[Code]")</formula1>
    </dataValidation>
    <dataValidation type="list" allowBlank="1" showInputMessage="1" showErrorMessage="1" sqref="S3:S55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6" sqref="C6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2018</v>
      </c>
      <c r="D4" s="32"/>
      <c r="E4" s="32"/>
    </row>
    <row r="5" spans="1:6">
      <c r="A5" s="32"/>
      <c r="B5" s="31" t="s">
        <v>57</v>
      </c>
      <c r="C5" s="179">
        <v>1</v>
      </c>
      <c r="D5" s="32"/>
      <c r="E5" s="32"/>
    </row>
    <row r="6" spans="1:6">
      <c r="A6" s="32"/>
      <c r="B6" s="31" t="s">
        <v>339</v>
      </c>
      <c r="C6" s="41">
        <v>43159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33"/>
      <c r="B8" s="333"/>
      <c r="C8" s="333"/>
      <c r="D8" s="333"/>
      <c r="E8" s="333"/>
    </row>
    <row r="9" spans="1:6" ht="97.5" customHeight="1">
      <c r="A9" s="44"/>
      <c r="B9" s="334" t="s">
        <v>488</v>
      </c>
      <c r="C9" s="335"/>
      <c r="D9" s="335"/>
      <c r="E9" s="44"/>
    </row>
    <row r="10" spans="1:6" s="43" customFormat="1" ht="14.25" customHeight="1">
      <c r="A10" s="333"/>
      <c r="B10" s="333"/>
      <c r="C10" s="333"/>
      <c r="D10" s="333"/>
      <c r="E10" s="333"/>
    </row>
    <row r="11" spans="1:6" hidden="1">
      <c r="A11" s="330"/>
      <c r="B11" s="331"/>
      <c r="C11" s="331"/>
      <c r="D11" s="331"/>
      <c r="E11" s="33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F12" sqref="F12"/>
    </sheetView>
  </sheetViews>
  <sheetFormatPr defaultRowHeight="15"/>
  <cols>
    <col min="1" max="2" width="12.42578125" style="262" customWidth="1"/>
    <col min="3" max="4" width="13.85546875" style="262" customWidth="1"/>
    <col min="5" max="5" width="39" style="262" customWidth="1"/>
    <col min="6" max="7" width="17.140625" style="262" customWidth="1"/>
    <col min="8" max="8" width="14" style="262" customWidth="1"/>
    <col min="9" max="16384" width="9.140625" style="262"/>
  </cols>
  <sheetData>
    <row r="1" spans="1:10" ht="36" customHeight="1">
      <c r="A1" s="313" t="s">
        <v>505</v>
      </c>
      <c r="B1" s="313"/>
      <c r="C1" s="313"/>
      <c r="D1" s="313"/>
      <c r="E1" s="313"/>
      <c r="F1" s="313"/>
      <c r="G1" s="313"/>
      <c r="H1" s="313"/>
      <c r="I1" s="244"/>
      <c r="J1" s="244"/>
    </row>
    <row r="2" spans="1:10" ht="24" customHeight="1">
      <c r="A2" s="246" t="s">
        <v>526</v>
      </c>
      <c r="B2" s="246" t="s">
        <v>438</v>
      </c>
      <c r="C2" s="246" t="s">
        <v>506</v>
      </c>
      <c r="D2" s="247" t="s">
        <v>507</v>
      </c>
      <c r="E2" s="247" t="s">
        <v>97</v>
      </c>
      <c r="F2" s="248" t="s">
        <v>440</v>
      </c>
      <c r="G2" s="247" t="s">
        <v>420</v>
      </c>
      <c r="H2" s="278" t="s">
        <v>135</v>
      </c>
    </row>
    <row r="3" spans="1:10">
      <c r="A3" s="271" t="s">
        <v>493</v>
      </c>
      <c r="B3" s="163"/>
      <c r="C3" s="163"/>
      <c r="D3" s="163"/>
      <c r="E3" s="114"/>
      <c r="F3" s="272"/>
      <c r="G3" s="272"/>
      <c r="H3" s="277"/>
    </row>
    <row r="4" spans="1:10" ht="15.75" thickBot="1">
      <c r="A4" s="279"/>
      <c r="B4" s="279"/>
      <c r="C4" s="279"/>
      <c r="D4" s="279"/>
      <c r="E4" s="279"/>
      <c r="F4" s="279"/>
      <c r="G4" s="279"/>
      <c r="H4" s="279"/>
    </row>
    <row r="5" spans="1:10" ht="19.5" customHeight="1" thickTop="1"/>
    <row r="6" spans="1:10" ht="30" customHeight="1">
      <c r="A6" s="337" t="s">
        <v>519</v>
      </c>
      <c r="B6" s="337"/>
      <c r="C6" s="337"/>
      <c r="D6" s="337"/>
      <c r="E6" s="337"/>
      <c r="F6" s="337"/>
      <c r="G6" s="337"/>
      <c r="H6" s="337"/>
    </row>
    <row r="7" spans="1:10">
      <c r="A7" s="246" t="s">
        <v>508</v>
      </c>
      <c r="B7" s="246" t="s">
        <v>509</v>
      </c>
      <c r="C7" s="247" t="s">
        <v>510</v>
      </c>
      <c r="D7" s="247" t="s">
        <v>40</v>
      </c>
      <c r="E7" s="248" t="s">
        <v>511</v>
      </c>
      <c r="F7" s="247" t="s">
        <v>512</v>
      </c>
      <c r="G7" s="247" t="s">
        <v>513</v>
      </c>
      <c r="H7" s="247" t="s">
        <v>514</v>
      </c>
    </row>
    <row r="8" spans="1:10">
      <c r="A8" s="272" t="s">
        <v>494</v>
      </c>
      <c r="B8" s="272"/>
      <c r="C8" s="165"/>
      <c r="D8" s="281"/>
      <c r="E8" s="283"/>
      <c r="F8" s="166" t="s">
        <v>191</v>
      </c>
      <c r="G8" s="163"/>
      <c r="H8" s="163"/>
    </row>
    <row r="9" spans="1:10" ht="16.5" customHeight="1"/>
    <row r="10" spans="1:10" ht="30" customHeight="1">
      <c r="A10" s="336" t="s">
        <v>522</v>
      </c>
      <c r="B10" s="337"/>
      <c r="C10" s="337"/>
      <c r="D10" s="337"/>
      <c r="E10" s="337"/>
      <c r="F10" s="337"/>
      <c r="G10" s="337"/>
      <c r="H10" s="337"/>
    </row>
    <row r="11" spans="1:10">
      <c r="A11" s="246" t="s">
        <v>508</v>
      </c>
      <c r="B11" s="246" t="s">
        <v>509</v>
      </c>
      <c r="C11" s="247" t="s">
        <v>485</v>
      </c>
      <c r="D11" s="247" t="s">
        <v>40</v>
      </c>
      <c r="E11" s="248" t="s">
        <v>511</v>
      </c>
      <c r="F11" s="247" t="s">
        <v>512</v>
      </c>
      <c r="G11" s="247" t="s">
        <v>513</v>
      </c>
      <c r="H11" s="247" t="s">
        <v>514</v>
      </c>
    </row>
    <row r="12" spans="1:10">
      <c r="A12" s="270" t="s">
        <v>495</v>
      </c>
      <c r="B12" s="272"/>
      <c r="C12" s="165"/>
      <c r="D12" s="115"/>
      <c r="E12" s="283"/>
      <c r="F12" s="166" t="s">
        <v>191</v>
      </c>
      <c r="G12" s="163"/>
      <c r="H12" s="163"/>
    </row>
    <row r="14" spans="1:10" ht="30" customHeight="1">
      <c r="A14" s="337" t="s">
        <v>520</v>
      </c>
      <c r="B14" s="337"/>
      <c r="C14" s="337"/>
      <c r="D14" s="337"/>
      <c r="E14" s="337"/>
      <c r="F14" s="337"/>
      <c r="G14" s="337"/>
    </row>
    <row r="15" spans="1:10" ht="25.5">
      <c r="A15" s="246" t="s">
        <v>35</v>
      </c>
      <c r="B15" s="246" t="s">
        <v>515</v>
      </c>
      <c r="C15" s="246" t="s">
        <v>38</v>
      </c>
      <c r="D15" s="247" t="s">
        <v>40</v>
      </c>
      <c r="E15" s="247" t="s">
        <v>516</v>
      </c>
      <c r="F15" s="247" t="s">
        <v>517</v>
      </c>
      <c r="G15" s="247" t="s">
        <v>39</v>
      </c>
    </row>
    <row r="16" spans="1:10">
      <c r="A16" s="270" t="s">
        <v>496</v>
      </c>
      <c r="B16" s="282"/>
      <c r="C16" s="272"/>
      <c r="D16" s="115"/>
      <c r="E16" s="280"/>
      <c r="F16" s="273"/>
      <c r="G16" s="273"/>
    </row>
    <row r="18" spans="1:5" ht="30" customHeight="1">
      <c r="A18" s="337" t="s">
        <v>521</v>
      </c>
      <c r="B18" s="337"/>
      <c r="C18" s="337"/>
      <c r="D18" s="337"/>
      <c r="E18" s="337"/>
    </row>
    <row r="19" spans="1:5" ht="15.75" thickBot="1">
      <c r="A19" s="274" t="s">
        <v>3</v>
      </c>
      <c r="B19" s="274" t="s">
        <v>57</v>
      </c>
      <c r="C19" s="275" t="s">
        <v>510</v>
      </c>
      <c r="D19" s="275" t="s">
        <v>40</v>
      </c>
      <c r="E19" s="274" t="s">
        <v>518</v>
      </c>
    </row>
    <row r="20" spans="1:5" ht="15.75" thickTop="1">
      <c r="A20" s="276" t="s">
        <v>497</v>
      </c>
      <c r="B20" s="276"/>
      <c r="C20" s="276"/>
      <c r="D20" s="281"/>
      <c r="E20" s="284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3" t="s">
        <v>249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</row>
    <row r="2" spans="1:12" ht="44.25" customHeight="1">
      <c r="A2" s="338" t="s">
        <v>327</v>
      </c>
      <c r="B2" s="338"/>
      <c r="C2" s="338"/>
      <c r="D2" s="338" t="s">
        <v>58</v>
      </c>
      <c r="E2" s="338"/>
      <c r="F2" s="338" t="s">
        <v>62</v>
      </c>
      <c r="G2" s="338" t="s">
        <v>52</v>
      </c>
      <c r="H2" s="338" t="s">
        <v>328</v>
      </c>
      <c r="I2" s="338" t="s">
        <v>329</v>
      </c>
      <c r="J2" s="338" t="s">
        <v>3</v>
      </c>
      <c r="K2" s="338" t="s">
        <v>325</v>
      </c>
      <c r="L2" s="338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38"/>
      <c r="G3" s="338" t="s">
        <v>41</v>
      </c>
      <c r="H3" s="338" t="s">
        <v>325</v>
      </c>
      <c r="I3" s="338"/>
      <c r="J3" s="338"/>
      <c r="K3" s="338"/>
      <c r="L3" s="338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0" t="s">
        <v>251</v>
      </c>
      <c r="B1" s="290"/>
      <c r="C1" s="290"/>
      <c r="D1" s="290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39" t="s">
        <v>252</v>
      </c>
      <c r="B1" s="340"/>
      <c r="C1" s="340"/>
      <c r="D1" s="340"/>
      <c r="E1" s="340"/>
    </row>
    <row r="2" spans="1:6" ht="19.5" customHeight="1">
      <c r="A2" s="341" t="s">
        <v>181</v>
      </c>
      <c r="B2" s="342"/>
      <c r="C2" s="342"/>
      <c r="D2" s="342"/>
      <c r="E2" s="343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28" t="s">
        <v>185</v>
      </c>
      <c r="E8" s="328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28" t="s">
        <v>187</v>
      </c>
      <c r="E11" s="328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44" t="s">
        <v>253</v>
      </c>
      <c r="B1" s="345"/>
      <c r="C1" s="345"/>
      <c r="D1" s="345"/>
      <c r="E1" s="345"/>
      <c r="F1" s="345"/>
      <c r="G1" s="345"/>
      <c r="H1" s="345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51" t="s">
        <v>194</v>
      </c>
      <c r="F7" s="351"/>
      <c r="G7" s="351"/>
      <c r="H7" s="351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52" t="s">
        <v>200</v>
      </c>
      <c r="F11" s="352"/>
      <c r="G11" s="352"/>
      <c r="H11" s="352"/>
    </row>
    <row r="12" spans="1:8">
      <c r="C12" s="53"/>
      <c r="D12" s="85"/>
      <c r="E12" s="348" t="s">
        <v>201</v>
      </c>
      <c r="F12" s="349"/>
      <c r="G12" s="350"/>
      <c r="H12" s="346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46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47" t="s">
        <v>219</v>
      </c>
      <c r="B22" s="347"/>
      <c r="C22" s="347"/>
      <c r="D22" s="347"/>
      <c r="E22" s="347"/>
      <c r="F22" s="347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26" t="s">
        <v>254</v>
      </c>
      <c r="B1" s="326"/>
      <c r="C1" s="326"/>
      <c r="D1" s="326"/>
      <c r="E1" s="326"/>
      <c r="F1" s="326"/>
      <c r="G1" s="326"/>
      <c r="H1" s="326"/>
      <c r="I1" s="326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54" t="s">
        <v>263</v>
      </c>
      <c r="B1" s="355"/>
      <c r="C1" s="355"/>
      <c r="D1" s="355"/>
      <c r="E1" s="355"/>
      <c r="F1" s="355"/>
      <c r="G1" s="355"/>
      <c r="H1" s="355"/>
      <c r="I1" s="355"/>
    </row>
    <row r="2" spans="1:9" ht="15.75">
      <c r="A2" s="112"/>
    </row>
    <row r="3" spans="1:9" ht="31.5" customHeight="1">
      <c r="A3" s="353" t="s">
        <v>262</v>
      </c>
      <c r="B3" s="353"/>
      <c r="C3" s="353"/>
      <c r="D3" s="353"/>
      <c r="E3" s="353"/>
      <c r="F3" s="353"/>
      <c r="G3" s="353"/>
      <c r="H3" s="353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54" t="s">
        <v>263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</row>
    <row r="2" spans="1:16" ht="15.75">
      <c r="A2" s="112"/>
      <c r="F2" s="112"/>
      <c r="G2" s="112"/>
      <c r="H2" s="112"/>
      <c r="I2" s="112"/>
    </row>
    <row r="3" spans="1:16" ht="31.5" customHeight="1">
      <c r="A3" s="356" t="s">
        <v>262</v>
      </c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7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58" t="s">
        <v>310</v>
      </c>
      <c r="L4" s="358"/>
      <c r="M4" s="358"/>
      <c r="N4" s="359" t="s">
        <v>311</v>
      </c>
      <c r="O4" s="360"/>
      <c r="P4" s="361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26" t="s">
        <v>366</v>
      </c>
      <c r="B1" s="326"/>
      <c r="C1" s="326"/>
      <c r="D1" s="326"/>
      <c r="E1" s="326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367</v>
      </c>
      <c r="B3" s="205"/>
      <c r="C3" s="205" t="s">
        <v>368</v>
      </c>
      <c r="D3" s="205" t="s">
        <v>369</v>
      </c>
      <c r="E3" s="205" t="s">
        <v>355</v>
      </c>
    </row>
    <row r="4" spans="1:14" ht="30" customHeight="1">
      <c r="A4" s="188" t="s">
        <v>370</v>
      </c>
      <c r="B4" s="188"/>
      <c r="C4" s="210" t="s">
        <v>392</v>
      </c>
      <c r="D4" s="210"/>
      <c r="E4" s="210"/>
    </row>
    <row r="5" spans="1:14">
      <c r="A5" s="189" t="s">
        <v>371</v>
      </c>
      <c r="B5" s="189"/>
      <c r="C5" s="190"/>
      <c r="D5" s="190"/>
      <c r="E5" s="190"/>
    </row>
    <row r="6" spans="1:14">
      <c r="A6" s="189" t="s">
        <v>372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62" t="s">
        <v>373</v>
      </c>
      <c r="B8" s="362"/>
      <c r="C8" s="362"/>
      <c r="D8" s="362"/>
      <c r="E8" s="362"/>
    </row>
    <row r="9" spans="1:14">
      <c r="A9" s="206" t="s">
        <v>367</v>
      </c>
      <c r="B9" s="206" t="s">
        <v>79</v>
      </c>
      <c r="C9" s="206" t="s">
        <v>368</v>
      </c>
      <c r="D9" s="206" t="s">
        <v>369</v>
      </c>
      <c r="E9" s="206" t="s">
        <v>355</v>
      </c>
    </row>
    <row r="10" spans="1:14">
      <c r="A10" s="192" t="s">
        <v>1</v>
      </c>
      <c r="B10" s="193">
        <v>13</v>
      </c>
      <c r="C10" s="194" t="s">
        <v>393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63" t="s">
        <v>384</v>
      </c>
      <c r="B19" s="364"/>
      <c r="C19" s="364"/>
      <c r="D19" s="364"/>
      <c r="E19" s="365"/>
    </row>
    <row r="20" spans="1:5">
      <c r="A20" s="206"/>
      <c r="B20" s="211"/>
      <c r="C20" s="209" t="s">
        <v>374</v>
      </c>
      <c r="D20" s="206" t="s">
        <v>375</v>
      </c>
      <c r="E20" s="206" t="s">
        <v>293</v>
      </c>
    </row>
    <row r="21" spans="1:5">
      <c r="A21" s="189" t="s">
        <v>385</v>
      </c>
      <c r="B21" s="212"/>
      <c r="C21" s="190" t="s">
        <v>379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26" t="s">
        <v>348</v>
      </c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187"/>
    </row>
    <row r="3" spans="1:14">
      <c r="A3" s="366" t="s">
        <v>357</v>
      </c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</row>
    <row r="4" spans="1:14" ht="37.5" customHeight="1">
      <c r="A4" s="367" t="s">
        <v>349</v>
      </c>
      <c r="B4" s="369" t="s">
        <v>352</v>
      </c>
      <c r="C4" s="370"/>
      <c r="D4" s="367" t="s">
        <v>329</v>
      </c>
      <c r="E4" s="367" t="s">
        <v>97</v>
      </c>
      <c r="F4" s="183" t="s">
        <v>1</v>
      </c>
      <c r="G4" s="183" t="s">
        <v>2</v>
      </c>
      <c r="H4" s="183" t="s">
        <v>82</v>
      </c>
      <c r="I4" s="369" t="s">
        <v>69</v>
      </c>
      <c r="J4" s="371"/>
      <c r="K4" s="370"/>
      <c r="L4" s="367" t="s">
        <v>353</v>
      </c>
      <c r="M4" s="372" t="s">
        <v>354</v>
      </c>
      <c r="N4" s="186"/>
    </row>
    <row r="5" spans="1:14" ht="33.75" customHeight="1">
      <c r="A5" s="368"/>
      <c r="B5" s="185" t="s">
        <v>350</v>
      </c>
      <c r="C5" s="185" t="s">
        <v>351</v>
      </c>
      <c r="D5" s="368"/>
      <c r="E5" s="368"/>
      <c r="F5" s="185"/>
      <c r="G5" s="185"/>
      <c r="H5" s="185"/>
      <c r="I5" s="185" t="s">
        <v>350</v>
      </c>
      <c r="J5" s="185" t="s">
        <v>351</v>
      </c>
      <c r="K5" s="185" t="s">
        <v>361</v>
      </c>
      <c r="L5" s="368"/>
      <c r="M5" s="373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356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66" t="s">
        <v>358</v>
      </c>
      <c r="B11" s="366"/>
      <c r="C11" s="366"/>
      <c r="D11" s="366"/>
      <c r="E11" s="366"/>
      <c r="F11" s="366"/>
      <c r="G11" s="366"/>
      <c r="H11" s="366"/>
      <c r="I11" s="366"/>
      <c r="J11" s="366"/>
      <c r="K11" s="366"/>
      <c r="L11" s="366"/>
      <c r="M11" s="366"/>
    </row>
    <row r="12" spans="1:14" ht="37.5" customHeight="1">
      <c r="A12" s="367" t="s">
        <v>349</v>
      </c>
      <c r="B12" s="369" t="s">
        <v>352</v>
      </c>
      <c r="C12" s="370"/>
      <c r="D12" s="367" t="s">
        <v>329</v>
      </c>
      <c r="E12" s="367" t="s">
        <v>97</v>
      </c>
      <c r="F12" s="183" t="s">
        <v>1</v>
      </c>
      <c r="G12" s="183" t="s">
        <v>2</v>
      </c>
      <c r="H12" s="183" t="s">
        <v>82</v>
      </c>
      <c r="I12" s="369" t="s">
        <v>69</v>
      </c>
      <c r="J12" s="371"/>
      <c r="K12" s="370"/>
      <c r="L12" s="367" t="s">
        <v>353</v>
      </c>
      <c r="M12" s="372" t="s">
        <v>354</v>
      </c>
      <c r="N12" s="186"/>
    </row>
    <row r="13" spans="1:14" ht="33.75" customHeight="1">
      <c r="A13" s="368"/>
      <c r="B13" s="185" t="s">
        <v>350</v>
      </c>
      <c r="C13" s="185"/>
      <c r="D13" s="368"/>
      <c r="E13" s="368"/>
      <c r="F13" s="185"/>
      <c r="G13" s="185"/>
      <c r="H13" s="185"/>
      <c r="I13" s="185" t="s">
        <v>350</v>
      </c>
      <c r="J13" s="185" t="s">
        <v>387</v>
      </c>
      <c r="K13" s="185" t="s">
        <v>361</v>
      </c>
      <c r="L13" s="368"/>
      <c r="M13" s="373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359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66" t="s">
        <v>360</v>
      </c>
      <c r="B19" s="366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</row>
    <row r="20" spans="1:14" ht="37.5" customHeight="1">
      <c r="A20" s="367" t="s">
        <v>349</v>
      </c>
      <c r="B20" s="369" t="s">
        <v>352</v>
      </c>
      <c r="C20" s="370"/>
      <c r="D20" s="367" t="s">
        <v>329</v>
      </c>
      <c r="E20" s="367" t="s">
        <v>97</v>
      </c>
      <c r="F20" s="183" t="s">
        <v>1</v>
      </c>
      <c r="G20" s="183" t="s">
        <v>2</v>
      </c>
      <c r="H20" s="183" t="s">
        <v>82</v>
      </c>
      <c r="I20" s="369" t="s">
        <v>69</v>
      </c>
      <c r="J20" s="371"/>
      <c r="K20" s="370"/>
      <c r="L20" s="367" t="s">
        <v>353</v>
      </c>
      <c r="M20" s="372" t="s">
        <v>354</v>
      </c>
      <c r="N20" s="186"/>
    </row>
    <row r="21" spans="1:14" ht="33.75" customHeight="1">
      <c r="A21" s="368"/>
      <c r="B21" s="185" t="s">
        <v>350</v>
      </c>
      <c r="C21" s="185"/>
      <c r="D21" s="368"/>
      <c r="E21" s="368"/>
      <c r="F21" s="185"/>
      <c r="G21" s="185"/>
      <c r="H21" s="185"/>
      <c r="I21" s="185" t="s">
        <v>351</v>
      </c>
      <c r="J21" s="185" t="s">
        <v>387</v>
      </c>
      <c r="K21" s="185" t="s">
        <v>361</v>
      </c>
      <c r="L21" s="368"/>
      <c r="M21" s="373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365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25</vt:i4>
      </vt:variant>
    </vt:vector>
  </HeadingPairs>
  <TitlesOfParts>
    <vt:vector size="52" baseType="lpstr">
      <vt:lpstr>detail_report</vt:lpstr>
      <vt:lpstr>detail_report_2</vt:lpstr>
      <vt:lpstr>error_report</vt:lpstr>
      <vt:lpstr>correcting_report</vt:lpstr>
      <vt:lpstr>tax_retained_report</vt:lpstr>
      <vt:lpstr>f2_error_report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Settings</vt:lpstr>
      <vt:lpstr>Отчеты</vt:lpstr>
      <vt:lpstr>f2_load_vych_person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2018-02-17T06:23:38Z</dcterms:modified>
</cp:coreProperties>
</file>