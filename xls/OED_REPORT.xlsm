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7" activeTab="17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detail_report" sheetId="475" state="hidden" r:id="rId6"/>
    <sheet name="dv_sr_detail_report" sheetId="404" state="hidden" r:id="rId7"/>
    <sheet name="f2_vych_diff_periods" sheetId="403" state="hidden" r:id="rId8"/>
    <sheet name="f2_vych_diff_amounts" sheetId="400" state="hidden" r:id="rId9"/>
    <sheet name="f2_load_vych_errors" sheetId="321" state="hidden" r:id="rId10"/>
    <sheet name="f2_arh_spravki_errors" sheetId="298" state="hidden" r:id="rId11"/>
    <sheet name="f2_arh_batch_xml_head" sheetId="297" state="hidden" r:id="rId12"/>
    <sheet name="f2_ndfl_nalplat_pers" sheetId="295" state="hidden" r:id="rId13"/>
    <sheet name="f2_enumarate_error" sheetId="320" state="hidden" r:id="rId14"/>
    <sheet name="f2_load_vych_person" sheetId="332" state="hidden" r:id="rId15"/>
    <sheet name="Settings" sheetId="103" state="hidden" r:id="rId16"/>
    <sheet name="cmp_f2ndfl_pers" sheetId="284" state="hidden" r:id="rId17"/>
    <sheet name="Отчеты" sheetId="6" r:id="rId18"/>
    <sheet name="f2_amount_errors" sheetId="299" state="hidden" r:id="rId19"/>
    <sheet name="synch_error_report" sheetId="283" state="hidden" r:id="rId20"/>
    <sheet name="ndfl6_part2" sheetId="249" state="hidden" r:id="rId21"/>
    <sheet name="ndfl6_part1_general" sheetId="71" state="hidden" r:id="rId22"/>
    <sheet name="ndfl6_part1_rates" sheetId="69" state="hidden" r:id="rId23"/>
    <sheet name="funds_employees" sheetId="73" state="hidden" r:id="rId24"/>
    <sheet name="funds_employees_report" sheetId="123" state="hidden" r:id="rId25"/>
    <sheet name="ndfl6_part1" sheetId="248" state="hidden" r:id="rId26"/>
    <sheet name="f2_ndfl_person_report" sheetId="474" state="hidden" r:id="rId27"/>
    <sheet name="tax_diff_report" sheetId="271" state="hidden" r:id="rId28"/>
    <sheet name="tax_diff_det_report" sheetId="282" state="hidden" r:id="rId29"/>
    <sheet name="cmp_f2ndfl_f6" sheetId="294" state="hidden" r:id="rId30"/>
  </sheets>
  <functionGroups/>
  <externalReferences>
    <externalReference r:id="rId31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5">benefit_detail_report!#REF!</definedName>
    <definedName name="FIO" localSheetId="26">f2_ndfl_person_report!$B$4</definedName>
    <definedName name="FIO">dv_sr_detail_report!$B$4</definedName>
    <definedName name="GF_PERSON" localSheetId="5">benefit_detail_report!#REF!</definedName>
    <definedName name="GF_PERSON" localSheetId="26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5">Settings!$B$16</definedName>
    <definedName name="report_year" localSheetId="15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8">[1]Отчеты!$C$2</definedName>
    <definedName name="ReportSelected" localSheetId="11">[1]Отчеты!$C$2</definedName>
    <definedName name="ReportSelected" localSheetId="10">[1]Отчеты!$C$2</definedName>
    <definedName name="ReportSelected" localSheetId="9">[1]Отчеты!$C$2</definedName>
    <definedName name="ReportSelected" localSheetId="14">[1]Отчеты!$C$2</definedName>
    <definedName name="ReportSelected" localSheetId="12">[1]Отчеты!$C$2</definedName>
    <definedName name="ReportSelected" localSheetId="8">[1]Отчеты!$C$2</definedName>
    <definedName name="ReportSelected" localSheetId="7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<sst xmlns="http://schemas.openxmlformats.org/spreadsheetml/2006/main" count="1857" uniqueCount="590">
  <si>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</si>
  <si>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</si>
  <si>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</si>
  <si>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</si>
  <si>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</si>
  <si>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</si>
  <si>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</si>
  <si>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</si>
  <si>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</si>
  <si>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</si>
  <si>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</si>
  <si>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</si>
  <si>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</si>
  <si>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</si>
  <si>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</si>
  <si>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</si>
  <si>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</si>
  <si>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</si>
  <si>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</si>
  <si>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</si>
  <si>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</si>
  <si>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</si>
  <si>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</si>
  <si>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</si>
  <si>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</si>
  <si>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</si>
  <si>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</si>
  <si>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</si>
  <si>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</si>
  <si>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</si>
  <si>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</si>
  <si>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</si>
  <si>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</si>
  <si>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</si>
  <si>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</si>
  <si>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</si>
  <si>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</si>
  <si>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</si>
  <si>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</si>
  <si>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</si>
  <si>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</si>
  <si>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</si>
  <si>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</si>
  <si>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</si>
  <si>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</si>
  <si>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</si>
  <si>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</si>
  <si>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</si>
  <si>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</si>
  <si>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</si>
  <si>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</si>
  <si>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</si>
  <si>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</si>
  <si>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</si>
  <si>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</si>
  <si>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</si>
  <si>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</si>
  <si>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</si>
  <si>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</si>
  <si>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</si>
  <si>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</si>
  <si>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</si>
  <si>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</si>
  <si>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</si>
  <si>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</si>
  <si>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</si>
  <si>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</si>
  <si>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</si>
  <si>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</si>
  <si>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</si>
  <si>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</si>
  <si>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</si>
  <si>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</si>
  <si>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</si>
  <si>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</si>
  <si>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</si>
  <si>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</si>
  <si>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</si>
  <si>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</si>
  <si>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</si>
  <si>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</si>
  <si>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</si>
  <si>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</si>
  <si>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</si>
  <si>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</si>
  <si>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</si>
  <si>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</si>
  <si>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</si>
  <si>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</si>
  <si>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</si>
  <si>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</si>
  <si>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</si>
  <si>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</si>
  <si>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</si>
  <si>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</si>
  <si>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</si>
  <si>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</si>
  <si>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</si>
  <si>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</si>
  <si>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</si>
  <si>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</si>
  <si>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</si>
  <si>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</si>
  <si>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</si>
  <si>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</si>
  <si>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</si>
  <si>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</si>
  <si>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</si>
  <si>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</si>
  <si>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</si>
  <si>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</si>
  <si>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</si>
  <si>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</si>
  <si>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</si>
  <si>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</si>
  <si>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</si>
  <si>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</si>
  <si>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</si>
  <si>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</si>
  <si>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</si>
  <si>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</si>
  <si>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</si>
  <si>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</si>
  <si>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</si>
  <si>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</si>
  <si>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</si>
  <si>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</si>
  <si>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</si>
  <si>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</si>
  <si>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</si>
  <si>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</si>
  <si>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</si>
  <si>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</si>
  <si>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</si>
  <si>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</si>
  <si>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</si>
  <si>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</si>
  <si>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</si>
  <si>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</si>
  <si>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</si>
  <si>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</si>
  <si>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</si>
  <si>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</si>
  <si>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</si>
  <si>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</si>
  <si>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</si>
  <si>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</si>
  <si>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</si>
  <si>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</si>
  <si>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</si>
  <si>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</si>
  <si>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</si>
  <si>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</si>
  <si>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</si>
  <si>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</si>
  <si>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</si>
  <si>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</si>
  <si>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</si>
  <si>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</si>
  <si>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</si>
  <si>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</si>
  <si>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</si>
  <si>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</si>
  <si>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</si>
  <si>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</si>
  <si>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</si>
  <si>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</si>
  <si>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</si>
  <si>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</si>
  <si>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</si>
  <si>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</si>
  <si>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</si>
  <si>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</si>
  <si>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</si>
  <si>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</si>
  <si>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</si>
  <si>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</si>
  <si>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</si>
  <si>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</si>
  <si>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</si>
  <si>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</si>
  <si>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</si>
  <si>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</si>
  <si>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</si>
  <si>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</si>
  <si>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</si>
  <si>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</si>
  <si>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</si>
  <si>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</si>
  <si>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</si>
  <si>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</si>
  <si>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</si>
  <si>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</si>
  <si>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</si>
  <si>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</si>
  <si>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</si>
  <si>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</si>
  <si>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</si>
  <si>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</si>
  <si>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</si>
  <si>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</si>
  <si>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</si>
  <si>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</si>
  <si>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</si>
  <si>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</si>
  <si>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</si>
  <si>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</si>
  <si>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</si>
  <si>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</si>
  <si>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</si>
  <si>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</si>
  <si>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</si>
  <si>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</si>
  <si>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</si>
  <si>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</si>
  <si>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</si>
  <si>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</si>
  <si>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</si>
  <si>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</si>
  <si>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</si>
  <si>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</si>
  <si>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</si>
  <si>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</si>
  <si>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</si>
  <si>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</si>
  <si>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</si>
  <si>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</si>
  <si>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</si>
  <si>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</si>
  <si>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</si>
  <si>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</si>
  <si>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</si>
  <si>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</si>
  <si>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</si>
  <si>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</si>
  <si>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</si>
  <si>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</si>
  <si>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</si>
  <si>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</si>
  <si>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</si>
  <si>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</si>
  <si>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</si>
  <si>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</si>
  <si>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</si>
  <si>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</si>
  <si>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</si>
  <si>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</si>
  <si>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</si>
  <si>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</si>
  <si>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</si>
  <si>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</si>
  <si>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</si>
  <si>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</si>
  <si>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</si>
  <si>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</si>
  <si>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</si>
  <si>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</si>
  <si>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</si>
  <si>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</si>
  <si>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</si>
  <si>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</si>
  <si>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</si>
  <si>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</si>
  <si>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</si>
  <si>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</si>
  <si>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</si>
  <si>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</si>
  <si>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</si>
  <si>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</si>
  <si>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</si>
  <si>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</si>
  <si>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</si>
  <si>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</si>
  <si>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</si>
  <si>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</si>
  <si>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</si>
  <si>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</si>
  <si>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</si>
  <si>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</si>
  <si>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</si>
  <si>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</si>
  <si>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</si>
  <si>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</si>
  <si>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</si>
  <si>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</si>
  <si>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</si>
  <si>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</si>
  <si>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</si>
  <si>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</si>
  <si>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</si>
  <si>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</si>
  <si>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</si>
  <si>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</si>
  <si>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</si>
  <si>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</si>
  <si>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</si>
  <si>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</si>
  <si>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</si>
  <si>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</si>
  <si>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</si>
  <si>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</si>
  <si>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</si>
  <si>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</si>
  <si>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</si>
  <si>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</si>
  <si>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</si>
  <si>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</si>
  <si>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</si>
  <si>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</si>
  <si>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</si>
  <si>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</si>
  <si>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</si>
  <si>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</si>
  <si>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</si>
  <si>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</si>
  <si>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</si>
  <si>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</si>
  <si>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</si>
  <si>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</si>
  <si>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</si>
  <si>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</si>
  <si>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</si>
  <si>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</si>
  <si>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</si>
  <si>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</si>
  <si>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</si>
  <si>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</si>
  <si>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</si>
  <si>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</si>
  <si>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</si>
  <si>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</si>
  <si>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</si>
  <si>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</si>
  <si>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</si>
  <si>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</si>
  <si>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</si>
  <si>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</si>
  <si>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</si>
  <si>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</si>
  <si>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</si>
  <si>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</si>
  <si>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</si>
  <si>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</si>
  <si>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</si>
  <si>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</si>
  <si>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</si>
  <si>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</si>
  <si>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</si>
  <si>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</si>
  <si>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</si>
  <si>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</si>
  <si>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</si>
  <si>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</si>
  <si>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</si>
  <si>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</si>
  <si>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</si>
  <si>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</si>
  <si>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</si>
  <si>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</si>
  <si>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</si>
  <si>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</si>
  <si>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</si>
  <si>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</si>
  <si>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</si>
  <si>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</si>
  <si>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</si>
  <si>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</si>
  <si>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</si>
  <si>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</si>
  <si>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</si>
  <si>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</si>
  <si>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</si>
  <si>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</si>
  <si>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</si>
  <si>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</si>
  <si>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</si>
  <si>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</si>
  <si>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</si>
  <si>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</si>
  <si>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</si>
  <si>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</si>
  <si>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</si>
  <si>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</si>
  <si>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</si>
  <si>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</si>
  <si>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</si>
  <si>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</si>
  <si>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</si>
  <si>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</si>
  <si>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</si>
  <si>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</si>
  <si>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</si>
  <si>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</si>
  <si>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</si>
  <si>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</si>
  <si>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</si>
  <si>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</si>
  <si>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</si>
  <si>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</si>
  <si>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</si>
  <si>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</si>
  <si>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</si>
  <si>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</si>
  <si>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</si>
  <si>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</si>
  <si>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</si>
  <si>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</si>
  <si>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</si>
  <si>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</si>
  <si>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</si>
  <si>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</si>
  <si>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</si>
  <si>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</si>
  <si>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</si>
  <si>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</si>
  <si>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</si>
  <si>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</si>
  <si>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</si>
  <si>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</si>
  <si>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</si>
  <si>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</si>
  <si>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</si>
  <si>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</si>
  <si>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</si>
  <si>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</si>
  <si>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</si>
  <si>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</si>
  <si>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</si>
  <si>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</si>
  <si>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</si>
  <si>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</si>
  <si>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</si>
  <si>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</si>
  <si>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</si>
  <si>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</si>
  <si>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</si>
  <si>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</si>
  <si>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</si>
  <si>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</si>
  <si>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</si>
  <si>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</si>
  <si>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</si>
  <si>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</si>
  <si>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</si>
  <si>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</si>
  <si>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</si>
  <si>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</si>
  <si>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</si>
  <si>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</si>
  <si>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</si>
  <si>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</si>
  <si>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</si>
  <si>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</si>
  <si>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</si>
  <si>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</si>
  <si>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</si>
  <si>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</si>
  <si>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</si>
  <si>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</si>
  <si>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</si>
  <si>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</si>
  <si>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</si>
  <si>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</si>
  <si>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</si>
  <si>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</si>
  <si>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</si>
  <si>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</si>
  <si>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</si>
  <si>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</si>
  <si>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</si>
  <si>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</si>
  <si>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</si>
  <si>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</si>
  <si>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</si>
  <si>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</si>
  <si>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</si>
  <si>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</si>
  <si>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</si>
  <si>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</si>
  <si>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</si>
  <si>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</si>
  <si>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</si>
  <si>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</si>
  <si>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</si>
  <si>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</si>
  <si>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</si>
  <si>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</si>
  <si>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</si>
  <si>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</si>
  <si>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</si>
  <si>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</si>
  <si>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</si>
  <si>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</si>
  <si>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</si>
  <si>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</si>
  <si>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</si>
  <si>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</si>
  <si>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</si>
  <si>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</si>
  <si>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</si>
  <si>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</si>
  <si>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</si>
  <si>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</si>
  <si>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</si>
  <si>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</si>
  <si>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</si>
  <si>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</si>
  <si>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</si>
  <si>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</si>
  <si>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</si>
  <si>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</si>
  <si>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</si>
  <si>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</si>
  <si>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</si>
  <si>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</si>
  <si>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</si>
  <si>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</si>
  <si>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</si>
  <si>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</si>
  <si>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</si>
  <si>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</si>
  <si>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</si>
  <si>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</si>
  <si>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</si>
  <si>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</si>
  <si>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</si>
  <si>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</si>
  <si>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</si>
  <si>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</si>
  <si>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</si>
  <si>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</si>
  <si>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</si>
  <si>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</si>
  <si>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</si>
  <si>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</si>
  <si>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</si>
  <si>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</si>
  <si>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</si>
  <si>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</si>
  <si>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</si>
  <si>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</si>
  <si>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</si>
  <si>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</si>
  <si>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</si>
  <si>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</si>
  <si>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</si>
  <si>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</si>
  <si>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</si>
  <si>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</si>
  <si>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</si>
  <si>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</si>
  <si>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</si>
  <si>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</si>
  <si>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</si>
  <si>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</si>
  <si>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</si>
  <si>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</si>
  <si>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</si>
  <si>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</si>
  <si>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</si>
  <si>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</si>
  <si>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</si>
  <si>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</si>
  <si>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</si>
  <si>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</si>
  <si>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</si>
  <si>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</si>
  <si>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</si>
  <si>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</si>
  <si>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</si>
  <si>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</si>
  <si>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</si>
  <si>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</si>
  <si>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01.01.2018</t>
  </si>
  <si>
    <t>31.01.2018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</si>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</sst>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  <font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40" fillId="0" borderId="0" xfId="0" applyFont="1" applyBorder="1"/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54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11" fillId="7" borderId="55" xfId="0" applyNumberFormat="1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39"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38" dataDxfId="636" headerRowBorderDxfId="637" tableBorderDxfId="635" totalsRowBorderDxfId="634">
  <autoFilter ref="A4:J5"/>
  <tableColumns count="10">
    <tableColumn id="1" name="1" dataDxfId="633"/>
    <tableColumn id="2" name="2" dataDxfId="632"/>
    <tableColumn id="5" name="3" dataDxfId="631"/>
    <tableColumn id="6" name="4" dataDxfId="630"/>
    <tableColumn id="7" name="5" dataDxfId="629"/>
    <tableColumn id="10" name="6" dataDxfId="628"/>
    <tableColumn id="11" name="7" dataDxfId="627"/>
    <tableColumn id="12" name="8" dataDxfId="626"/>
    <tableColumn id="13" name="9" dataDxfId="625"/>
    <tableColumn id="14" name="10" dataDxfId="6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23" dataDxfId="621" headerRowBorderDxfId="622" tableBorderDxfId="620" totalsRowBorderDxfId="619">
  <autoFilter ref="A5:P6"/>
  <tableColumns count="16">
    <tableColumn id="1" name="1" dataDxfId="618"/>
    <tableColumn id="2" name="2" dataDxfId="617"/>
    <tableColumn id="3" name="3" dataDxfId="616"/>
    <tableColumn id="4" name="4" dataDxfId="615"/>
    <tableColumn id="5" name="5" dataDxfId="614"/>
    <tableColumn id="6" name="6" dataDxfId="613"/>
    <tableColumn id="7" name="7" dataDxfId="612"/>
    <tableColumn id="8" name="8" dataDxfId="611"/>
    <tableColumn id="9" name="9" dataDxfId="610"/>
    <tableColumn id="10" name="10" dataDxfId="609"/>
    <tableColumn id="11" name="11" dataDxfId="608"/>
    <tableColumn id="12" name="12" dataDxfId="607"/>
    <tableColumn id="13" name="13" dataDxfId="606"/>
    <tableColumn id="14" name="14" dataDxfId="605"/>
    <tableColumn id="15" name="15" dataDxfId="604"/>
    <tableColumn id="16" name="16" dataDxfId="6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02" dataDxfId="600" headerRowBorderDxfId="601" tableBorderDxfId="599" totalsRowBorderDxfId="598">
  <autoFilter ref="A3:I4">
    <filterColumn colId="1"/>
  </autoFilter>
  <tableColumns count="9">
    <tableColumn id="1" name="1" dataDxfId="597"/>
    <tableColumn id="3" name="2" dataDxfId="596"/>
    <tableColumn id="2" name="3" dataDxfId="595"/>
    <tableColumn id="5" name="4" dataDxfId="594"/>
    <tableColumn id="6" name="5" dataDxfId="593"/>
    <tableColumn id="7" name="6" dataDxfId="592"/>
    <tableColumn id="10" name="7" dataDxfId="591"/>
    <tableColumn id="11" name="8" dataDxfId="590"/>
    <tableColumn id="12" name="9" dataDxfId="5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88" dataDxfId="586" headerRowBorderDxfId="587" tableBorderDxfId="585" totalsRowBorderDxfId="584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83"/>
    <tableColumn id="20" name="2" dataDxfId="582"/>
    <tableColumn id="19" name="3" dataDxfId="581"/>
    <tableColumn id="18" name="4" dataDxfId="580"/>
    <tableColumn id="17" name="5" dataDxfId="579"/>
    <tableColumn id="23" name="6" dataDxfId="578"/>
    <tableColumn id="22" name="7" dataDxfId="577"/>
    <tableColumn id="21" name="8" dataDxfId="576"/>
    <tableColumn id="28" name="9" dataDxfId="575"/>
    <tableColumn id="29" name="10" dataDxfId="574"/>
    <tableColumn id="27" name="11" dataDxfId="573"/>
    <tableColumn id="26" name="12" dataDxfId="572"/>
    <tableColumn id="25" name="13" dataDxfId="571"/>
    <tableColumn id="5" name="14" dataDxfId="570"/>
    <tableColumn id="4" name="15" dataDxfId="569"/>
    <tableColumn id="3" name="16" dataDxfId="568"/>
    <tableColumn id="2" name="17" dataDxfId="567"/>
    <tableColumn id="24" name="18" dataDxfId="5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64" totalsRowDxfId="563">
  <tableColumns count="3">
    <tableColumn id="1" name="ВИД ВЫПЛАТЫ" totalsRowLabel="Итого" dataDxfId="562" totalsRowDxfId="561" dataCellStyle="Обычный 5"/>
    <tableColumn id="2" name="13%" totalsRowFunction="sum" dataDxfId="560" totalsRowDxfId="559" dataCellStyle="Обычный 5"/>
    <tableColumn id="3" name="30%" totalsRowFunction="sum" dataDxfId="558" totalsRowDxfId="557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56" dataDxfId="554" headerRowBorderDxfId="555" headerRowCellStyle="Обычный 5" dataCellStyle="Обычный 5">
  <tableColumns count="4">
    <tableColumn id="1" name="Сумма по ставкам" totalsRowFunction="sum" dataDxfId="553" totalsRowDxfId="552" dataCellStyle="Обычный 5"/>
    <tableColumn id="2" name="13%" dataDxfId="551" totalsRowDxfId="550" dataCellStyle="Обычный 5">
      <calculatedColumnFormula>B31+#REF!-Таблица42[[#This Row],[13%]]</calculatedColumnFormula>
    </tableColumn>
    <tableColumn id="3" name="30%" dataDxfId="549" totalsRowDxfId="548" dataCellStyle="Обычный 5"/>
    <tableColumn id="4" name="Расхождение по ставкам" dataDxfId="547" totalsRowDxfId="54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45" totalsRowDxfId="543" headerRowBorderDxfId="544" headerRowCellStyle="Обычный 5">
  <tableColumns count="8">
    <tableColumn id="1" name="ВИД ВЫПЛАТЫ" totalsRowLabel="Итого по ставке" dataDxfId="542" totalsRowDxfId="541" dataCellStyle="Обычный 5"/>
    <tableColumn id="2" name="13%" totalsRowFunction="sum" dataDxfId="540" totalsRowDxfId="539" dataCellStyle="Обычный 5"/>
    <tableColumn id="3" name="30%" totalsRowFunction="sum" dataDxfId="538" totalsRowDxfId="537" dataCellStyle="Обычный 5"/>
    <tableColumn id="4" name="Столбец1" totalsRowDxfId="536" dataCellStyle="Обычный 5"/>
    <tableColumn id="5" name="без исправлений" dataDxfId="535" totalsRowDxfId="534" dataCellStyle="Обычный 5"/>
    <tableColumn id="6" name="с корректоровкой" dataDxfId="533" totalsRowDxfId="532" dataCellStyle="Обычный 5"/>
    <tableColumn id="7" name="без исправлений2" dataDxfId="531" totalsRowDxfId="530" dataCellStyle="Обычный 5"/>
    <tableColumn id="8" name="с корректоровкой3" dataDxfId="529" totalsRowDxfId="528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8" name="Таблица440476249" displayName="Таблица440476249" ref="A4:J5" totalsRowShown="0" headerRowDxfId="11" dataDxfId="10">
  <autoFilter ref="A4:J5">
    <filterColumn colId="4"/>
    <filterColumn colId="6"/>
  </autoFilter>
  <tableColumns count="10">
    <tableColumn id="2" name="GF_PERSON" dataDxfId="9"/>
    <tableColumn id="3" name="SSYLKA_FL" dataDxfId="8"/>
    <tableColumn id="4" name="NOM_IPS" dataDxfId="7"/>
    <tableColumn id="5" name="NOM_VKL" dataDxfId="6"/>
    <tableColumn id="10" name="ФИО" dataDxfId="0"/>
    <tableColumn id="6" name="SHIFR_SCHET" dataDxfId="5"/>
    <tableColumn id="1" name="Код вычета" dataDxfId="1"/>
    <tableColumn id="7" name="Детализация" dataDxfId="4"/>
    <tableColumn id="8" name="2НДФЛ" dataDxfId="3"/>
    <tableColumn id="9" name="Остаток на счете" dataDxfId="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6" name="Таблица44047" displayName="Таблица44047" ref="A7:L8" totalsRowShown="0" headerRowDxfId="527" dataDxfId="526">
  <autoFilter ref="A7:L8">
    <filterColumn colId="4"/>
    <filterColumn colId="11"/>
  </autoFilter>
  <tableColumns count="12">
    <tableColumn id="2" name="SSYLKA_FL" dataDxfId="525"/>
    <tableColumn id="3" name="NOM_VKL" dataDxfId="524"/>
    <tableColumn id="4" name="NOM_IPS" dataDxfId="523"/>
    <tableColumn id="5" name="Дата операции" dataDxfId="522"/>
    <tableColumn id="7" name="Дата документа" dataDxfId="521"/>
    <tableColumn id="6" name="Тип дохода" dataDxfId="520"/>
    <tableColumn id="8" name="Вычет" dataDxfId="519"/>
    <tableColumn id="9" name="Доход" dataDxfId="518"/>
    <tableColumn id="10" name="Налог" dataDxfId="517"/>
    <tableColumn id="11" name="№ документа" dataDxfId="516"/>
    <tableColumn id="12" name="№ корректируемого документа" dataDxfId="515"/>
    <tableColumn id="13" name="Ставка налога" dataDxfId="5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61" name="Таблица4404762" displayName="Таблица4404762" ref="A12:L13" totalsRowShown="0" headerRowDxfId="513" dataDxfId="512">
  <autoFilter ref="A12:L13"/>
  <tableColumns count="12">
    <tableColumn id="2" name="SSYLKA_FL" dataDxfId="511"/>
    <tableColumn id="3" name="NOM_VKL" dataDxfId="510"/>
    <tableColumn id="4" name="NOM_IPS" dataDxfId="509"/>
    <tableColumn id="5" name="Дата" dataDxfId="508"/>
    <tableColumn id="6" name="Тип дохода" dataDxfId="507"/>
    <tableColumn id="7" name="Тип операции" dataDxfId="506"/>
    <tableColumn id="8" name="Счет" dataDxfId="505"/>
    <tableColumn id="9" name="Субсчет" dataDxfId="504"/>
    <tableColumn id="10" name="Сумма" dataDxfId="503"/>
    <tableColumn id="11" name="№ документа" dataDxfId="502"/>
    <tableColumn id="12" name="№ корректирующего документа" dataDxfId="501"/>
    <tableColumn id="13" name="Ставка налога" dataDxfId="50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7" name="Таблица54138105108" displayName="Таблица54138105108" ref="A2:L3" totalsRowShown="0" headerRowDxfId="499" dataDxfId="497" headerRowBorderDxfId="498" tableBorderDxfId="496" totalsRowBorderDxfId="495">
  <autoFilter ref="A2:L3">
    <filterColumn colId="9"/>
    <filterColumn colId="10"/>
    <filterColumn colId="11"/>
  </autoFilter>
  <tableColumns count="12">
    <tableColumn id="1" name="Ssylka" dataDxfId="494"/>
    <tableColumn id="2" name="nom_vkl" dataDxfId="493"/>
    <tableColumn id="3" name="nom_ips" dataDxfId="492"/>
    <tableColumn id="4" name="ФИО" dataDxfId="491"/>
    <tableColumn id="5" name="Бух.счет" dataDxfId="490"/>
    <tableColumn id="6" name="Код вычета" dataDxfId="489"/>
    <tableColumn id="7" name="Период с" dataDxfId="488"/>
    <tableColumn id="8" name="Период по" dataDxfId="487"/>
    <tableColumn id="9" name="Период с_x000a_(БИТ)" dataDxfId="486"/>
    <tableColumn id="10" name="Период по_x000a_(БИТ)" dataDxfId="485"/>
    <tableColumn id="11" name="Сумма" dataDxfId="484"/>
    <tableColumn id="12" name="Применение вычета в движении" dataDxfId="48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4" name="Таблица54138105" displayName="Таблица54138105" ref="A2:K3" totalsRowShown="0" headerRowDxfId="482" dataDxfId="480" headerRowBorderDxfId="481" tableBorderDxfId="479" totalsRowBorderDxfId="478">
  <autoFilter ref="A2:K3">
    <filterColumn colId="9"/>
    <filterColumn colId="10"/>
  </autoFilter>
  <tableColumns count="11">
    <tableColumn id="1" name="Ssylka" dataDxfId="477"/>
    <tableColumn id="2" name="nom_vkl" dataDxfId="476"/>
    <tableColumn id="3" name="nom_ips" dataDxfId="475"/>
    <tableColumn id="4" name="ФИО" dataDxfId="474"/>
    <tableColumn id="5" name="Бух.счет" dataDxfId="473"/>
    <tableColumn id="6" name="Код вычета" dataDxfId="472"/>
    <tableColumn id="7" name="Период с" dataDxfId="471"/>
    <tableColumn id="8" name="Период по" dataDxfId="470"/>
    <tableColumn id="9" name="Сумма по движению" dataDxfId="469"/>
    <tableColumn id="10" name="Расчетная сумма по БИТ" dataDxfId="468"/>
    <tableColumn id="11" name="Расчетная сумма по БИТ_x000a_по счету" dataDxfId="46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7" name="Таблица54138" displayName="Таблица54138" ref="A2:K3" totalsRowShown="0" headerRowDxfId="466" dataDxfId="464" headerRowBorderDxfId="465" tableBorderDxfId="463" totalsRowBorderDxfId="462">
  <autoFilter ref="A2:K3">
    <filterColumn colId="9"/>
    <filterColumn colId="10"/>
  </autoFilter>
  <tableColumns count="11">
    <tableColumn id="1" name="Ssylka" dataDxfId="461"/>
    <tableColumn id="2" name="nom_vkl" dataDxfId="460"/>
    <tableColumn id="3" name="nom_ips" dataDxfId="459"/>
    <tableColumn id="4" name="ФИО" dataDxfId="458"/>
    <tableColumn id="5" name="Тип дохода" dataDxfId="457"/>
    <tableColumn id="6" name="Месяц" dataDxfId="456"/>
    <tableColumn id="7" name="Shifr_schet" dataDxfId="455"/>
    <tableColumn id="8" name="Код вычета_x000a_(ручн)" dataDxfId="454"/>
    <tableColumn id="9" name="Сумма вычета" dataDxfId="453"/>
    <tableColumn id="10" name="Наличие записей в SP_OGR_PV" dataDxfId="452"/>
    <tableColumn id="11" name="Наличие записей в BIT" dataDxfId="45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0" name="Таблица541" displayName="Таблица541" ref="A3:R4" totalsRowShown="0" headerRowDxfId="450" dataDxfId="448" headerRowBorderDxfId="449" tableBorderDxfId="447" totalsRowBorderDxfId="446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45"/>
    <tableColumn id="2" name="Ошибка" dataDxfId="444"/>
    <tableColumn id="3" name="ИД контрагента" dataDxfId="443"/>
    <tableColumn id="4" name="Фамилия" dataDxfId="442"/>
    <tableColumn id="5" name="Имя" dataDxfId="441"/>
    <tableColumn id="6" name="Отчество" dataDxfId="440"/>
    <tableColumn id="7" name="Дата рождения" dataDxfId="439"/>
    <tableColumn id="8" name="ИНН" dataDxfId="438"/>
    <tableColumn id="9" name="Гражданство" dataDxfId="437"/>
    <tableColumn id="10" name="Резидент" dataDxfId="436"/>
    <tableColumn id="11" name="Код УЛ" dataDxfId="435"/>
    <tableColumn id="12" name="Серия и номер УЛ" dataDxfId="434"/>
    <tableColumn id="13" name="№ справки" dataDxfId="433"/>
    <tableColumn id="19" name="ИНН2" dataDxfId="432"/>
    <tableColumn id="14" name="Гражданство2" dataDxfId="431"/>
    <tableColumn id="15" name="Резидент2" dataDxfId="430"/>
    <tableColumn id="16" name="Код УЛ2" dataDxfId="429"/>
    <tableColumn id="17" name="Серия и номер УЛ3" dataDxfId="4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Таблица444493347" displayName="Таблица444493347" ref="A2:H3" totalsRowShown="0" headerRowDxfId="427" dataDxfId="425" headerRowBorderDxfId="426" tableBorderDxfId="424" totalsRowBorderDxfId="423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22"/>
    <tableColumn id="14" name="Имя файла" dataDxfId="421"/>
    <tableColumn id="1" name="Количество справок" dataDxfId="420"/>
    <tableColumn id="16" name="Фамилия с" dataDxfId="419"/>
    <tableColumn id="17" name="Фамилия по" dataDxfId="418"/>
    <tableColumn id="2" name="№ справки с" dataDxfId="417"/>
    <tableColumn id="3" name="№ справки по" dataDxfId="416"/>
    <tableColumn id="25" name="Признак справки" dataDxfId="415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39" name="Таблица3348" displayName="Таблица3348" ref="A7:G9" totalsRowCount="1" headerRowDxfId="414" headerRowBorderDxfId="413" tableBorderDxfId="412" totalsRowBorderDxfId="411">
  <autoFilter ref="A7:G8"/>
  <tableColumns count="7">
    <tableColumn id="1" name="№_x000a_справки" totalsRowLabel="Итог" dataDxfId="410" totalsRowDxfId="409"/>
    <tableColumn id="2" name="Фамилия" dataDxfId="408" totalsRowDxfId="407"/>
    <tableColumn id="3" name="UI_PERSON" dataDxfId="406" totalsRowDxfId="405"/>
    <tableColumn id="4" name="Резидент" dataDxfId="404" totalsRowDxfId="403"/>
    <tableColumn id="5" name="Гражданство" dataDxfId="402" totalsRowDxfId="401"/>
    <tableColumn id="6" name="Задолженность" totalsRowFunction="sum" dataDxfId="400" totalsRowDxfId="399"/>
    <tableColumn id="7" name="Коррекция №" totalsRowFunction="count" dataDxfId="398" totalsRowDxfId="39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36" name="Таблица44449" displayName="Таблица44449" ref="A4:P5" totalsRowShown="0" headerRowDxfId="396" dataDxfId="395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94"/>
    <tableColumn id="14" name="2" dataDxfId="393"/>
    <tableColumn id="1" name="3" dataDxfId="392"/>
    <tableColumn id="16" name="4" dataDxfId="391"/>
    <tableColumn id="17" name="5" dataDxfId="390"/>
    <tableColumn id="2" name="6" dataDxfId="389"/>
    <tableColumn id="3" name="7" dataDxfId="388"/>
    <tableColumn id="25" name="8" dataDxfId="387"/>
    <tableColumn id="18" name="9" dataDxfId="386"/>
    <tableColumn id="19" name="10" dataDxfId="385"/>
    <tableColumn id="20" name="11" dataDxfId="384"/>
    <tableColumn id="21" name="12" dataDxfId="383"/>
    <tableColumn id="22" name="13" dataDxfId="382"/>
    <tableColumn id="23" name="14" dataDxfId="381"/>
    <tableColumn id="24" name="15" dataDxfId="380"/>
    <tableColumn id="26" name="16" dataDxfId="379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57" name="Таблица354258" displayName="Таблица354258" ref="A2:I3" headerRowDxfId="378" dataDxfId="376" totalsRowDxfId="374" headerRowBorderDxfId="377" tableBorderDxfId="375">
  <autoFilter ref="A2:I3"/>
  <tableColumns count="9">
    <tableColumn id="1" name="Таблица" totalsRowLabel="Итог" dataDxfId="373" totalsRowDxfId="372"/>
    <tableColumn id="3" name="SSYLKA" dataDxfId="371" totalsRowDxfId="370"/>
    <tableColumn id="4" name="Тип дохода" dataDxfId="369" totalsRowDxfId="368"/>
    <tableColumn id="5" name="Фамилия" dataDxfId="367" totalsRowDxfId="366"/>
    <tableColumn id="6" name="Имя" dataDxfId="365" totalsRowDxfId="364"/>
    <tableColumn id="8" name="Отчество" dataDxfId="363" totalsRowDxfId="362"/>
    <tableColumn id="9" name="ДР" dataDxfId="361" totalsRowDxfId="360"/>
    <tableColumn id="10" name="SSYLKA_REAL" dataDxfId="359" totalsRowDxfId="358"/>
    <tableColumn id="11" name="UI_PERSON" dataDxfId="357" totalsRowDxfId="35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55"/>
    <tableColumn id="2" name="FND_x000a_SSYLKA" dataDxfId="354"/>
    <tableColumn id="3" name="NOM_VKL" dataDxfId="353"/>
    <tableColumn id="4" name="NOM_IPS" dataDxfId="352"/>
    <tableColumn id="6" name="ФИО" dataDxfId="351"/>
    <tableColumn id="7" name="Дата_x000a_рождения" dataDxfId="350"/>
    <tableColumn id="8" name="Гражданство" dataDxfId="349"/>
    <tableColumn id="5" name="Столбец1" dataDxfId="348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1" name="Таблица4405152" displayName="Таблица4405152" ref="A7:H8" totalsRowShown="0" dataDxfId="347">
  <autoFilter ref="A7:H8">
    <filterColumn colId="6"/>
    <filterColumn colId="7"/>
  </autoFilter>
  <tableColumns count="8">
    <tableColumn id="2" name="Период с" dataDxfId="346"/>
    <tableColumn id="3" name="Период по" dataDxfId="345"/>
    <tableColumn id="4" name="Код вычета" dataDxfId="344"/>
    <tableColumn id="6" name="Сумма" dataDxfId="343"/>
    <tableColumn id="7" name="Описание" dataDxfId="342"/>
    <tableColumn id="8" name="Лимит дохода" dataDxfId="341"/>
    <tableColumn id="5" name="tdappid" dataDxfId="340"/>
    <tableColumn id="9" name="rid" dataDxfId="339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5" name="Таблица440515256" displayName="Таблица440515256" ref="A11:H12" totalsRowShown="0" dataDxfId="338">
  <autoFilter ref="A11:H12">
    <filterColumn colId="6"/>
    <filterColumn colId="7"/>
  </autoFilter>
  <tableColumns count="8">
    <tableColumn id="2" name="Период с" dataDxfId="337"/>
    <tableColumn id="3" name="Период по" dataDxfId="336"/>
    <tableColumn id="4" name="Shifr_schet" dataDxfId="335"/>
    <tableColumn id="6" name="Сумма" dataDxfId="334"/>
    <tableColumn id="7" name="Описание" dataDxfId="333"/>
    <tableColumn id="8" name="Лимит дохода" dataDxfId="332"/>
    <tableColumn id="5" name="tdappid" dataDxfId="331"/>
    <tableColumn id="9" name="rid" dataDxfId="33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6" name="Таблица44051525657" displayName="Таблица44051525657" ref="A15:G16" totalsRowShown="0" dataDxfId="329">
  <autoFilter ref="A15:G16">
    <filterColumn colId="6"/>
  </autoFilter>
  <tableColumns count="7">
    <tableColumn id="1" name="Дата операции" dataDxfId="328"/>
    <tableColumn id="2" name="Тип движения" dataDxfId="327"/>
    <tableColumn id="3" name="Счет" dataDxfId="326"/>
    <tableColumn id="4" name="Сумма" dataDxfId="325"/>
    <tableColumn id="6" name="Документ" dataDxfId="324"/>
    <tableColumn id="7" name="Корректирующий документ" dataDxfId="323"/>
    <tableColumn id="10" name="Субсчет" dataDxfId="32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9" name="Menu" displayName="Menu" ref="D2:E41" totalsRowShown="0">
  <autoFilter ref="D2:E41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0" name="Actions" displayName="Actions" ref="G2:M70" totalsRowShown="0">
  <autoFilter ref="G2:M70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1" name="Programs" displayName="Programs" ref="Z2:AD15" totalsRowShown="0">
  <autoFilter ref="Z2:AD15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2" name="Reports" displayName="Reports" ref="O2:U65" totalsRowShown="0">
  <autoFilter ref="O2:U6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3" name="SubReports" displayName="SubReports" ref="W2:X35" totalsRowShown="0">
  <autoFilter ref="W2:X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4" name="GeneralOptions" displayName="GeneralOptions" ref="A2:B16" headerRowBorderDxfId="321" tableBorderDxfId="320" totalsRowBorderDxfId="319">
  <autoFilter ref="A2:B16"/>
  <tableColumns count="2">
    <tableColumn id="1" name="Key" totalsRowLabel="Итог" totalsRowDxfId="318"/>
    <tableColumn id="2" name="Value" totalsRowFunction="count" totalsRowDxfId="31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7" name="ActionTypes" displayName="ActionTypes" ref="AN2:AN4" totalsRowShown="0" tableBorderDxfId="316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2" name="Parameters" displayName="Parameters" ref="AF2:AL32" totalsRowShown="0">
  <autoFilter ref="AF2:AL32">
    <filterColumn colId="5"/>
    <filterColumn colId="6"/>
  </autoFilter>
  <tableColumns count="7">
    <tableColumn id="1" name="Program" dataDxfId="31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1" name="Таблица3542" displayName="Таблица3542" ref="A6:O8" totalsRowCount="1" headerRowDxfId="302" dataDxfId="301">
  <autoFilter ref="A6:O7">
    <filterColumn colId="0"/>
    <filterColumn colId="9"/>
    <filterColumn colId="10"/>
    <filterColumn colId="11"/>
    <filterColumn colId="12"/>
  </autoFilter>
  <tableColumns count="15">
    <tableColumn id="21" name="1" dataDxfId="300" totalsRowDxfId="299"/>
    <tableColumn id="1" name="2" totalsRowLabel="Итог" dataDxfId="298" totalsRowDxfId="297"/>
    <tableColumn id="3" name="3" dataDxfId="296" totalsRowDxfId="295"/>
    <tableColumn id="4" name="4" dataDxfId="294" totalsRowDxfId="293"/>
    <tableColumn id="6" name="6" dataDxfId="292" totalsRowDxfId="291"/>
    <tableColumn id="8" name="7" dataDxfId="290" totalsRowDxfId="289"/>
    <tableColumn id="9" name="8" dataDxfId="288" totalsRowDxfId="287"/>
    <tableColumn id="10" name="9" dataDxfId="286" totalsRowDxfId="285"/>
    <tableColumn id="11" name="10" dataDxfId="284" totalsRowDxfId="283"/>
    <tableColumn id="17" name="11" dataDxfId="282" totalsRowDxfId="281"/>
    <tableColumn id="16" name="12" dataDxfId="280" totalsRowDxfId="279"/>
    <tableColumn id="7" name="13" dataDxfId="278" totalsRowDxfId="277"/>
    <tableColumn id="2" name="14" dataDxfId="276" totalsRowDxfId="275"/>
    <tableColumn id="14" name="15" dataDxfId="274" totalsRowDxfId="273"/>
    <tableColumn id="12" name="16" dataDxfId="272" totalsRowDxfId="27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54" name="Таблица354255" displayName="Таблица354255" ref="A14:O16" totalsRowCount="1" headerRowDxfId="270" dataDxfId="269">
  <autoFilter ref="A14:O15"/>
  <tableColumns count="15">
    <tableColumn id="21" name="1" dataDxfId="268" totalsRowDxfId="267"/>
    <tableColumn id="1" name="2" totalsRowLabel="Итог" dataDxfId="266" totalsRowDxfId="265"/>
    <tableColumn id="3" name="3" dataDxfId="264" totalsRowDxfId="263"/>
    <tableColumn id="4" name="4" dataDxfId="262" totalsRowDxfId="261"/>
    <tableColumn id="6" name="6" dataDxfId="260" totalsRowDxfId="259"/>
    <tableColumn id="8" name="7" dataDxfId="258" totalsRowDxfId="257"/>
    <tableColumn id="9" name="8" dataDxfId="256" totalsRowDxfId="255"/>
    <tableColumn id="10" name="9" dataDxfId="254" totalsRowDxfId="253"/>
    <tableColumn id="11" name="10" dataDxfId="252" totalsRowDxfId="251"/>
    <tableColumn id="17" name="11" dataDxfId="250" totalsRowDxfId="249"/>
    <tableColumn id="16" name="12" dataDxfId="248" totalsRowDxfId="247"/>
    <tableColumn id="7" name="13" dataDxfId="246" totalsRowDxfId="245"/>
    <tableColumn id="2" name="14" dataDxfId="244" totalsRowDxfId="243"/>
    <tableColumn id="14" name="15" dataDxfId="242" totalsRowDxfId="241"/>
    <tableColumn id="12" name="16" dataDxfId="240" totalsRowDxfId="239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58" name="Таблица35425559" displayName="Таблица35425559" ref="A22:O24" totalsRowCount="1" headerRowDxfId="238" dataDxfId="237">
  <autoFilter ref="A22:O23"/>
  <tableColumns count="15">
    <tableColumn id="21" name="1" dataDxfId="236" totalsRowDxfId="235"/>
    <tableColumn id="1" name="2" totalsRowLabel="Итог" dataDxfId="234" totalsRowDxfId="233"/>
    <tableColumn id="3" name="3" dataDxfId="232" totalsRowDxfId="231"/>
    <tableColumn id="4" name="4" dataDxfId="230" totalsRowDxfId="229"/>
    <tableColumn id="6" name="6" dataDxfId="228" totalsRowDxfId="227"/>
    <tableColumn id="8" name="7" dataDxfId="226" totalsRowDxfId="225"/>
    <tableColumn id="9" name="8" dataDxfId="224" totalsRowDxfId="223"/>
    <tableColumn id="10" name="9" dataDxfId="222" totalsRowDxfId="221"/>
    <tableColumn id="11" name="10" dataDxfId="220" totalsRowDxfId="219"/>
    <tableColumn id="17" name="11" dataDxfId="218" totalsRowDxfId="217"/>
    <tableColumn id="16" name="12" dataDxfId="216" totalsRowDxfId="215"/>
    <tableColumn id="7" name="13" dataDxfId="214" totalsRowDxfId="213"/>
    <tableColumn id="2" name="14" dataDxfId="212" totalsRowDxfId="211"/>
    <tableColumn id="14" name="15" dataDxfId="210" totalsRowDxfId="209"/>
    <tableColumn id="12" name="16" dataDxfId="208" totalsRowDxfId="20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16" name="Таблица16" displayName="Таблица16" ref="C3:C6" totalsRowShown="0" headerRowDxfId="206" dataDxfId="205" tableBorderDxfId="204">
  <tableColumns count="1">
    <tableColumn id="1" name="Столбец1" dataDxfId="203"/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id="45" name="Таблица440" displayName="Таблица440" ref="A2:N3" totalsRowShown="0" dataDxfId="202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01"/>
    <tableColumn id="20" name="ID справки" dataDxfId="200"/>
    <tableColumn id="15" name="№ справки" dataDxfId="199"/>
    <tableColumn id="16" name="№ коррекции" dataDxfId="198"/>
    <tableColumn id="1" name="GF_PERSON" dataDxfId="197"/>
    <tableColumn id="2" name="FND_x000a_SSYLKA" dataDxfId="196"/>
    <tableColumn id="17" name="NOM_VKL" dataDxfId="195"/>
    <tableColumn id="18" name="NOM_IPS" dataDxfId="194"/>
    <tableColumn id="4" name="Показатель" dataDxfId="193"/>
    <tableColumn id="5" name="Код показателя" dataDxfId="192"/>
    <tableColumn id="6" name="Сумма" dataDxfId="191"/>
    <tableColumn id="21" name="Месяц" dataDxfId="190"/>
    <tableColumn id="22" name="ФИО" dataDxfId="189"/>
    <tableColumn id="7" name="Описание" dataDxfId="188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34" name="Таблица2435" displayName="Таблица2435" ref="A4:L5" totalsRowShown="0" headerRowDxfId="187" dataDxfId="185" headerRowBorderDxfId="186" tableBorderDxfId="184" totalsRowBorderDxfId="183">
  <autoFilter ref="A4:L5">
    <filterColumn colId="1"/>
    <filterColumn colId="8"/>
    <filterColumn colId="9"/>
    <filterColumn colId="10"/>
    <filterColumn colId="11"/>
  </autoFilter>
  <tableColumns count="12">
    <tableColumn id="5" name="1" dataDxfId="182"/>
    <tableColumn id="3" name="2" dataDxfId="181"/>
    <tableColumn id="2" name="3" dataDxfId="180"/>
    <tableColumn id="6" name="4" dataDxfId="179"/>
    <tableColumn id="7" name="5" dataDxfId="178"/>
    <tableColumn id="10" name="6" dataDxfId="177"/>
    <tableColumn id="11" name="7" dataDxfId="176"/>
    <tableColumn id="12" name="8" dataDxfId="175"/>
    <tableColumn id="1" name="9" dataDxfId="174"/>
    <tableColumn id="4" name="10" dataDxfId="173"/>
    <tableColumn id="9" name="12" dataDxfId="172"/>
    <tableColumn id="8" name="11" dataDxfId="17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26" name="Таблица26" displayName="Таблица26" ref="B6:D7" totalsRowShown="0" headerRowDxfId="170" headerRowBorderDxfId="169" tableBorderDxfId="168" headerRowCellStyle="Обычный 4">
  <autoFilter ref="B6:D7"/>
  <tableColumns count="3">
    <tableColumn id="1" name="100" dataDxfId="167" dataCellStyle="Обычный 4"/>
    <tableColumn id="2" name="130" dataDxfId="166" dataCellStyle="Обычный 4"/>
    <tableColumn id="3" name="140" dataDxfId="165" dataCellStyle="Обычный 4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64" dataDxfId="163"/>
  </tableColumns>
  <tableStyleInfo showFirstColumn="0" showLastColumn="0" showRowStripes="0" showColumnStripes="0"/>
</table>
</file>

<file path=xl/tables/table4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62" dataDxfId="161"/>
  </tableColumns>
  <tableStyleInfo showFirstColumn="0" showLastColumn="0" showRowStripes="0" showColumnStripes="0"/>
</table>
</file>

<file path=xl/tables/table49.xml><?xml version="1.0" encoding="utf-8"?>
<table xmlns="http://schemas.openxmlformats.org/spreadsheetml/2006/main" id="4" name="Таблица4" displayName="Таблица4" ref="B5:E5" headerRowCount="0" totalsRowShown="0" headerRowDxfId="160" dataDxfId="159" tableBorderDxfId="158" totalsRowBorderDxfId="157">
  <tableColumns count="4">
    <tableColumn id="1" name="Столбец1" headerRowDxfId="156" dataDxfId="155" dataCellStyle="Обычный 4"/>
    <tableColumn id="2" name="Столбец2" headerRowDxfId="154" dataDxfId="153" headerRowCellStyle="Обычный 4" dataCellStyle="Обычный 4"/>
    <tableColumn id="3" name="Столбец3" headerRowDxfId="152" dataDxfId="151"/>
    <tableColumn id="4" name="Столбец4" headerRowDxfId="150" dataDxfId="149" headerRowCellStyle="Обычный 4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29" name="Таблица29" displayName="Таблица29" ref="A4:H5" headerRowCount="0" totalsRowCount="1" headerRowDxfId="148" dataDxfId="147">
  <tableColumns count="8">
    <tableColumn id="1" name="Столбец1" totalsRowLabel="Итого:" headerRowDxfId="146" dataDxfId="145" totalsRowDxfId="144"/>
    <tableColumn id="2" name="Столбец2" headerRowDxfId="143" dataDxfId="142" totalsRowDxfId="141"/>
    <tableColumn id="3" name="Столбец3" totalsRowFunction="sum" headerRowDxfId="140" dataDxfId="139" totalsRowDxfId="138"/>
    <tableColumn id="4" name="Столбец4" totalsRowFunction="sum" headerRowDxfId="137" dataDxfId="136" totalsRowDxfId="135"/>
    <tableColumn id="5" name="Столбец5" totalsRowFunction="sum" headerRowDxfId="134" dataDxfId="133" totalsRowDxfId="132"/>
    <tableColumn id="6" name="Столбец6" totalsRowFunction="sum" headerRowDxfId="131" dataDxfId="130" totalsRowDxfId="129"/>
    <tableColumn id="7" name="Столбец7" totalsRowFunction="sum" headerRowDxfId="128" dataDxfId="127" totalsRowDxfId="126"/>
    <tableColumn id="8" name="Столбец8" totalsRowFunction="sum" headerRowDxfId="125" dataDxfId="124" totalsRowDxfId="123"/>
  </tableColumns>
  <tableStyleInfo name="TableStyleLight1" showFirstColumn="0" showLastColumn="0" showRowStripes="0" showColumnStripes="0"/>
</table>
</file>

<file path=xl/tables/table5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22" totalsRowDxfId="121"/>
    <tableColumn id="4" name="Столбец2" dataDxfId="120"/>
    <tableColumn id="5" name="итог" dataDxfId="11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18"/>
    <tableColumn id="2" name="Столбец2"/>
    <tableColumn id="3" name="Столбец3" totalsRowFunction="sum" headerRowDxfId="117" dataDxfId="116" totalsRowDxfId="11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47" name="Таблица47" displayName="Таблица47" ref="A23:F25" totalsRowCount="1" headerRowDxfId="11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13"/>
    <tableColumn id="5" name="Налог удержанный" totalsRowFunction="sum" dataDxfId="112"/>
    <tableColumn id="6" name="Разница" totalsRowFunction="sum" dataDxfId="111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8" name="Таблица8" displayName="Таблица8" ref="A1:D2" insertRow="1" totalsRowShown="0" headerRowDxfId="110" headerRowBorderDxfId="109" tableBorderDxfId="108" totalsRowBorderDxfId="107">
  <autoFilter ref="A1:D2">
    <filterColumn colId="2"/>
    <filterColumn colId="3"/>
  </autoFilter>
  <tableColumns count="4">
    <tableColumn id="1" name="ФИО" dataDxfId="106"/>
    <tableColumn id="5" name="Дата рождения" dataDxfId="105"/>
    <tableColumn id="2" name="Снилс"/>
    <tableColumn id="3" name="ИНН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25" name="Таблица8526" displayName="Таблица8526" ref="A2:I3" totalsRowShown="0" headerRowDxfId="104" headerRowBorderDxfId="103" tableBorderDxfId="102" totalsRowBorderDxfId="10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00"/>
    <tableColumn id="6" name="Имя" dataDxfId="99"/>
    <tableColumn id="4" name="Отчество" dataDxfId="98"/>
    <tableColumn id="5" name="Дата рождения" dataDxfId="97"/>
    <tableColumn id="3" name="ИНН" dataDxfId="96"/>
    <tableColumn id="1" name="Участник/Не участник" dataDxfId="95"/>
    <tableColumn id="2" name="Доход" dataDxfId="94"/>
    <tableColumn id="8" name="Пенсионные схемы" dataDxfId="93"/>
    <tableColumn id="9" name="Типы дохода" dataDxfId="92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101" name="Таблица44047102" displayName="Таблица44047102" ref="A7:I8" totalsRowShown="0" headerRowDxfId="91" dataDxfId="90">
  <autoFilter ref="A7:I8">
    <filterColumn colId="3"/>
  </autoFilter>
  <tableColumns count="9">
    <tableColumn id="3" name="№ справки" dataDxfId="89"/>
    <tableColumn id="4" name="№ корр" dataDxfId="88"/>
    <tableColumn id="5" name="Ставка налога" dataDxfId="87"/>
    <tableColumn id="7" name="Годовой доход" dataDxfId="86"/>
    <tableColumn id="6" name="Облагаемый доход" dataDxfId="85"/>
    <tableColumn id="8" name="Налог исчисленный" dataDxfId="84"/>
    <tableColumn id="9" name="Налог удержанный" dataDxfId="83"/>
    <tableColumn id="10" name="Переплата" dataDxfId="82"/>
    <tableColumn id="11" name="Недоплата" dataDxfId="81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122" name="Таблица4404762103122123" displayName="Таблица4404762103122123" ref="A12:F13" totalsRowShown="0" headerRowDxfId="80" dataDxfId="79">
  <autoFilter ref="A12:F13"/>
  <tableColumns count="6">
    <tableColumn id="3" name="№ справки" dataDxfId="78"/>
    <tableColumn id="4" name="№ корр" dataDxfId="77"/>
    <tableColumn id="5" name="Ставка налога" dataDxfId="76"/>
    <tableColumn id="6" name="Код вычета" dataDxfId="75"/>
    <tableColumn id="7" name="Сумма предоставленная" dataDxfId="74"/>
    <tableColumn id="8" name="Сумма использованная" dataDxfId="73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125" name="Таблица4404762103122123126" displayName="Таблица4404762103122123126" ref="A16:G17" totalsRowShown="0" headerRowDxfId="72" dataDxfId="71">
  <autoFilter ref="A16:G17">
    <filterColumn colId="6"/>
  </autoFilter>
  <tableColumns count="7">
    <tableColumn id="3" name="№ справки" dataDxfId="70"/>
    <tableColumn id="4" name="№ корр" dataDxfId="69"/>
    <tableColumn id="5" name="Ставка налога" dataDxfId="68"/>
    <tableColumn id="6" name="Код дохода" dataDxfId="67"/>
    <tableColumn id="7" name="Сумма дохода" dataDxfId="66"/>
    <tableColumn id="8" name="Код вычета" dataDxfId="65"/>
    <tableColumn id="1" name="Сумма вычета" dataDxfId="64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52" name="Таблица52" displayName="Таблица52" ref="A5:I6" headerRowDxfId="63">
  <autoFilter ref="A5:I6">
    <filterColumn colId="5"/>
  </autoFilter>
  <tableColumns count="9">
    <tableColumn id="1" name="Контрагент ID" totalsRowLabel="Итог" dataDxfId="62" totalsRowDxfId="61"/>
    <tableColumn id="2" name="Фамилия" dataDxfId="60" totalsRowDxfId="59"/>
    <tableColumn id="3" name="Имя" dataDxfId="58" totalsRowDxfId="57"/>
    <tableColumn id="4" name="Отчество" dataDxfId="56" totalsRowDxfId="55"/>
    <tableColumn id="5" name="Ставка" dataDxfId="54" totalsRowDxfId="53"/>
    <tableColumn id="9" name="Количество счетов" dataDxfId="52" totalsRowDxfId="51"/>
    <tableColumn id="6" name="Исчисленный налог" dataDxfId="50" totalsRowDxfId="49"/>
    <tableColumn id="7" name="Удержанный налог" dataDxfId="48" totalsRowDxfId="47"/>
    <tableColumn id="8" name="Недоплата" totalsRowFunction="sum" dataDxfId="46" totalsRowDxfId="45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28" name="Таблица5229" displayName="Таблица5229" ref="A5:P6" headerRowDxfId="44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43" totalsRowDxfId="42"/>
    <tableColumn id="2" name="Фамилия" dataDxfId="41" totalsRowDxfId="40"/>
    <tableColumn id="3" name="Имя" dataDxfId="39" totalsRowDxfId="38"/>
    <tableColumn id="4" name="Отчество" dataDxfId="37" totalsRowDxfId="36"/>
    <tableColumn id="9" name="SSYLKA" dataDxfId="35" totalsRowDxfId="34"/>
    <tableColumn id="10" name="Вкладчик" dataDxfId="33" totalsRowDxfId="32"/>
    <tableColumn id="11" name="ИПС" dataDxfId="31" totalsRowDxfId="30"/>
    <tableColumn id="12" name="Пенс.схема" dataDxfId="29" totalsRowDxfId="28"/>
    <tableColumn id="14" name="Счет дохода" dataDxfId="27" totalsRowDxfId="26"/>
    <tableColumn id="5" name="Счет налога" dataDxfId="25" totalsRowDxfId="24"/>
    <tableColumn id="16" name="Доход" dataDxfId="23" totalsRowDxfId="22"/>
    <tableColumn id="15" name="Вычет" dataDxfId="21" totalsRowDxfId="20"/>
    <tableColumn id="13" name="Налог" dataDxfId="19" totalsRowDxfId="18"/>
    <tableColumn id="18" name="Удержано налога" dataDxfId="17" totalsRowDxfId="16"/>
    <tableColumn id="17" name="Исчислено налога" dataDxfId="15" totalsRowDxfId="14"/>
    <tableColumn id="8" name="Недоплата2" totalsRowFunction="sum" dataDxfId="13" totalsRow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4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54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5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7" t="s">
        <v>248</v>
      </c>
      <c r="B1" s="298"/>
      <c r="C1" s="298"/>
      <c r="D1" s="298"/>
      <c r="E1" s="298"/>
      <c r="F1" s="298"/>
      <c r="G1" s="298"/>
      <c r="H1" s="298"/>
      <c r="I1" s="298"/>
      <c r="J1" s="298"/>
    </row>
    <row r="2" spans="1:10" ht="31.5" customHeight="1">
      <c r="A2" s="295" t="s">
        <v>4</v>
      </c>
      <c r="B2" s="295"/>
      <c r="C2" s="295"/>
      <c r="D2" s="295"/>
      <c r="E2" s="295"/>
      <c r="F2" s="296" t="s">
        <v>23</v>
      </c>
      <c r="G2" s="296"/>
      <c r="H2" s="296"/>
      <c r="I2" s="296"/>
      <c r="J2" s="296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9" t="s">
        <v>248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</row>
    <row r="2" spans="1:16" ht="31.5" customHeight="1">
      <c r="A2" s="304" t="s">
        <v>4</v>
      </c>
      <c r="B2" s="305"/>
      <c r="C2" s="305"/>
      <c r="D2" s="305"/>
      <c r="E2" s="305"/>
      <c r="F2" s="305"/>
      <c r="G2" s="305"/>
      <c r="H2" s="305"/>
      <c r="I2" s="306"/>
      <c r="J2" s="307" t="s">
        <v>23</v>
      </c>
      <c r="K2" s="308"/>
      <c r="L2" s="308"/>
      <c r="M2" s="308"/>
      <c r="N2" s="308"/>
      <c r="O2" s="308"/>
      <c r="P2" s="309"/>
    </row>
    <row r="3" spans="1:16" ht="24" customHeight="1">
      <c r="A3" s="310" t="s">
        <v>0</v>
      </c>
      <c r="B3" s="312" t="s">
        <v>29</v>
      </c>
      <c r="C3" s="312" t="s">
        <v>3</v>
      </c>
      <c r="D3" s="312" t="s">
        <v>30</v>
      </c>
      <c r="E3" s="314" t="s">
        <v>5</v>
      </c>
      <c r="F3" s="315"/>
      <c r="G3" s="316"/>
      <c r="H3" s="314" t="s">
        <v>6</v>
      </c>
      <c r="I3" s="317"/>
      <c r="J3" s="318" t="s">
        <v>28</v>
      </c>
      <c r="K3" s="318" t="s">
        <v>32</v>
      </c>
      <c r="L3" s="300" t="s">
        <v>5</v>
      </c>
      <c r="M3" s="301"/>
      <c r="N3" s="302"/>
      <c r="O3" s="300" t="s">
        <v>6</v>
      </c>
      <c r="P3" s="303"/>
    </row>
    <row r="4" spans="1:16" ht="38.25" customHeight="1">
      <c r="A4" s="311"/>
      <c r="B4" s="313"/>
      <c r="C4" s="313"/>
      <c r="D4" s="313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9"/>
      <c r="K4" s="319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9" t="s">
        <v>249</v>
      </c>
      <c r="B1" s="299"/>
      <c r="C1" s="299"/>
      <c r="D1" s="299"/>
      <c r="E1" s="299"/>
      <c r="F1" s="299"/>
      <c r="G1" s="299"/>
      <c r="H1" s="299"/>
      <c r="I1" s="299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20" t="s">
        <v>250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</row>
    <row r="2" spans="1:18" ht="31.5" customHeight="1">
      <c r="A2" s="295" t="s">
        <v>59</v>
      </c>
      <c r="B2" s="295"/>
      <c r="C2" s="295"/>
      <c r="D2" s="295"/>
      <c r="E2" s="295" t="s">
        <v>58</v>
      </c>
      <c r="F2" s="295"/>
      <c r="G2" s="295"/>
      <c r="H2" s="295"/>
      <c r="I2" s="295"/>
      <c r="J2" s="295"/>
      <c r="K2" s="321" t="s">
        <v>52</v>
      </c>
      <c r="L2" s="321" t="s">
        <v>53</v>
      </c>
      <c r="M2" s="321" t="s">
        <v>38</v>
      </c>
      <c r="N2" s="321" t="s">
        <v>54</v>
      </c>
      <c r="O2" s="295" t="s">
        <v>60</v>
      </c>
      <c r="P2" s="295"/>
      <c r="Q2" s="295"/>
      <c r="R2" s="295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1"/>
      <c r="L3" s="321"/>
      <c r="M3" s="321"/>
      <c r="N3" s="321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4" t="s">
        <v>292</v>
      </c>
      <c r="B1" s="325"/>
      <c r="C1" s="325"/>
      <c r="D1" s="325"/>
      <c r="E1" s="325"/>
      <c r="F1" s="325"/>
      <c r="G1" s="325"/>
      <c r="H1" s="325"/>
    </row>
    <row r="2" spans="1:8" ht="15.75" customHeight="1">
      <c r="A2" s="329"/>
      <c r="B2" s="329"/>
      <c r="C2" s="329"/>
      <c r="D2" s="329"/>
      <c r="E2" s="329"/>
      <c r="F2" s="329"/>
      <c r="G2" s="329"/>
      <c r="H2" s="329"/>
    </row>
    <row r="3" spans="1:8" ht="27" customHeight="1">
      <c r="A3" s="326" t="s">
        <v>267</v>
      </c>
      <c r="B3" s="326"/>
      <c r="C3" s="326"/>
      <c r="D3" s="117"/>
      <c r="E3" s="326" t="s">
        <v>268</v>
      </c>
      <c r="F3" s="326"/>
      <c r="G3" s="326"/>
      <c r="H3" s="326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7" t="s">
        <v>283</v>
      </c>
      <c r="B18" s="327"/>
      <c r="C18" s="327"/>
      <c r="D18" s="119"/>
      <c r="E18" s="327" t="s">
        <v>284</v>
      </c>
      <c r="F18" s="327"/>
      <c r="G18" s="327"/>
      <c r="H18" s="327"/>
    </row>
    <row r="19" spans="1:8" ht="14.25" customHeight="1">
      <c r="A19" s="327"/>
      <c r="B19" s="327"/>
      <c r="C19" s="327"/>
      <c r="D19" s="118"/>
      <c r="E19" s="328" t="s">
        <v>269</v>
      </c>
      <c r="F19" s="328"/>
      <c r="G19" s="328" t="s">
        <v>270</v>
      </c>
      <c r="H19" s="328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2" t="s">
        <v>299</v>
      </c>
      <c r="B41" s="323"/>
      <c r="D41" s="117"/>
    </row>
    <row r="42" spans="1:8">
      <c r="A42" s="322"/>
      <c r="B42" s="323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6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pane="bottomLeft" activeCell="A5" sqref="A5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7" width="17.140625" style="257" customWidth="1"/>
    <col min="8" max="8" width="14.140625" style="257" customWidth="1"/>
    <col min="9" max="9" width="9" style="257" customWidth="1"/>
    <col min="10" max="10" width="13.42578125" style="257" customWidth="1"/>
    <col min="11" max="16384" width="9.140625" style="257"/>
  </cols>
  <sheetData>
    <row r="1" spans="1:15" ht="40.5" customHeight="1">
      <c r="A1" s="320" t="s">
        <v>585</v>
      </c>
      <c r="B1" s="320"/>
      <c r="C1" s="320"/>
      <c r="D1" s="320"/>
      <c r="E1" s="320"/>
      <c r="F1" s="320"/>
      <c r="G1" s="320"/>
      <c r="H1" s="320"/>
      <c r="I1" s="242"/>
      <c r="J1" s="242"/>
      <c r="K1" s="242"/>
      <c r="L1" s="242"/>
      <c r="M1" s="242"/>
      <c r="N1" s="242"/>
    </row>
    <row r="2" spans="1:15" ht="6" customHeight="1">
      <c r="A2" s="294"/>
      <c r="B2" s="294"/>
      <c r="C2" s="294"/>
      <c r="D2" s="294"/>
      <c r="E2" s="294"/>
      <c r="F2" s="294"/>
      <c r="G2" s="294"/>
      <c r="H2" s="294"/>
      <c r="I2" s="242"/>
      <c r="J2" s="242"/>
      <c r="K2" s="242"/>
      <c r="L2" s="242"/>
      <c r="M2" s="242"/>
      <c r="N2" s="242"/>
    </row>
    <row r="3" spans="1:15" ht="16.5" customHeight="1" thickBot="1">
      <c r="A3" s="386"/>
      <c r="B3" s="388"/>
      <c r="C3" s="388"/>
      <c r="D3" s="388"/>
      <c r="E3" s="388"/>
      <c r="F3" s="388"/>
      <c r="G3" s="387"/>
      <c r="H3" s="386" t="s">
        <v>472</v>
      </c>
      <c r="I3" s="387"/>
      <c r="J3" s="385"/>
      <c r="K3" s="294"/>
      <c r="L3" s="242"/>
      <c r="M3" s="242"/>
      <c r="N3" s="242"/>
      <c r="O3" s="242"/>
    </row>
    <row r="4" spans="1:15" ht="45" customHeight="1" thickTop="1">
      <c r="A4" s="243" t="s">
        <v>329</v>
      </c>
      <c r="B4" s="243" t="s">
        <v>531</v>
      </c>
      <c r="C4" s="244" t="s">
        <v>491</v>
      </c>
      <c r="D4" s="244" t="s">
        <v>490</v>
      </c>
      <c r="E4" s="244" t="s">
        <v>97</v>
      </c>
      <c r="F4" s="244" t="s">
        <v>586</v>
      </c>
      <c r="G4" s="244" t="s">
        <v>494</v>
      </c>
      <c r="H4" s="244" t="s">
        <v>587</v>
      </c>
      <c r="I4" s="244" t="s">
        <v>365</v>
      </c>
      <c r="J4" s="245" t="s">
        <v>588</v>
      </c>
    </row>
    <row r="5" spans="1:15">
      <c r="A5" s="284" t="s">
        <v>582</v>
      </c>
      <c r="B5" s="163"/>
      <c r="C5" s="163"/>
      <c r="D5" s="163"/>
      <c r="E5" s="268"/>
      <c r="F5" s="163"/>
      <c r="G5" s="163"/>
      <c r="H5" s="166"/>
      <c r="I5" s="166"/>
      <c r="J5" s="166"/>
    </row>
  </sheetData>
  <mergeCells count="3">
    <mergeCell ref="A3:G3"/>
    <mergeCell ref="A1:H1"/>
    <mergeCell ref="H3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6" width="13.85546875" style="257" customWidth="1"/>
    <col min="7" max="7" width="17.140625" style="257" customWidth="1"/>
    <col min="8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20" t="s">
        <v>542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242"/>
      <c r="N1" s="242"/>
      <c r="O1" s="242"/>
      <c r="P1" s="242"/>
      <c r="Q1" s="242"/>
      <c r="R1" s="242"/>
    </row>
    <row r="2" spans="1:18" ht="9" customHeight="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42"/>
      <c r="P2" s="242"/>
      <c r="Q2" s="242"/>
      <c r="R2" s="242"/>
    </row>
    <row r="3" spans="1:18">
      <c r="A3" s="288" t="s">
        <v>543</v>
      </c>
      <c r="B3" s="330"/>
      <c r="C3" s="330"/>
      <c r="D3" s="330"/>
      <c r="E3" s="330"/>
      <c r="F3" s="330"/>
      <c r="G3" s="330"/>
      <c r="H3" s="287"/>
      <c r="I3" s="287"/>
      <c r="J3" s="287"/>
      <c r="K3" s="287"/>
      <c r="L3" s="287"/>
      <c r="M3" s="287"/>
      <c r="N3" s="287"/>
    </row>
    <row r="4" spans="1:18">
      <c r="A4" s="288" t="s">
        <v>544</v>
      </c>
      <c r="B4" s="332"/>
      <c r="C4" s="332"/>
      <c r="D4" s="332"/>
      <c r="E4" s="332"/>
      <c r="F4" s="332"/>
      <c r="G4" s="332"/>
      <c r="H4" s="287"/>
      <c r="I4" s="287"/>
      <c r="J4" s="287"/>
      <c r="K4" s="287"/>
      <c r="L4" s="287"/>
      <c r="M4" s="287"/>
      <c r="N4" s="287"/>
    </row>
    <row r="5" spans="1:18" ht="9" customHeight="1"/>
    <row r="6" spans="1:18">
      <c r="A6" s="331" t="s">
        <v>540</v>
      </c>
      <c r="B6" s="331"/>
      <c r="C6" s="331"/>
      <c r="D6" s="331"/>
      <c r="E6" s="331"/>
      <c r="F6" s="331"/>
      <c r="G6" s="331"/>
      <c r="H6" s="331"/>
      <c r="I6" s="331"/>
      <c r="J6" s="331"/>
      <c r="K6" s="331"/>
      <c r="L6" s="331"/>
      <c r="M6" s="331"/>
    </row>
    <row r="7" spans="1:18" ht="45" customHeight="1">
      <c r="A7" s="243" t="s">
        <v>531</v>
      </c>
      <c r="B7" s="243" t="s">
        <v>490</v>
      </c>
      <c r="C7" s="244" t="s">
        <v>491</v>
      </c>
      <c r="D7" s="244" t="s">
        <v>35</v>
      </c>
      <c r="E7" s="244" t="s">
        <v>536</v>
      </c>
      <c r="F7" s="244" t="s">
        <v>3</v>
      </c>
      <c r="G7" s="244" t="s">
        <v>2</v>
      </c>
      <c r="H7" s="245" t="s">
        <v>1</v>
      </c>
      <c r="I7" s="246" t="s">
        <v>309</v>
      </c>
      <c r="J7" s="244" t="s">
        <v>532</v>
      </c>
      <c r="K7" s="243" t="s">
        <v>537</v>
      </c>
      <c r="L7" s="243" t="s">
        <v>533</v>
      </c>
    </row>
    <row r="8" spans="1:18">
      <c r="A8" s="258" t="s">
        <v>535</v>
      </c>
      <c r="B8" s="163"/>
      <c r="C8" s="163"/>
      <c r="D8" s="285"/>
      <c r="E8" s="285"/>
      <c r="F8" s="277"/>
      <c r="G8" s="166"/>
      <c r="H8" s="166"/>
      <c r="I8" s="166"/>
      <c r="J8" s="163"/>
      <c r="K8" s="163"/>
      <c r="L8" s="165"/>
    </row>
    <row r="11" spans="1:18">
      <c r="A11" s="331" t="s">
        <v>539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</row>
    <row r="12" spans="1:18" ht="45" customHeight="1">
      <c r="A12" s="243" t="s">
        <v>531</v>
      </c>
      <c r="B12" s="243" t="s">
        <v>490</v>
      </c>
      <c r="C12" s="244" t="s">
        <v>491</v>
      </c>
      <c r="D12" s="244" t="s">
        <v>47</v>
      </c>
      <c r="E12" s="244" t="s">
        <v>3</v>
      </c>
      <c r="F12" s="244" t="s">
        <v>326</v>
      </c>
      <c r="G12" s="244" t="s">
        <v>38</v>
      </c>
      <c r="H12" s="245" t="s">
        <v>39</v>
      </c>
      <c r="I12" s="246" t="s">
        <v>40</v>
      </c>
      <c r="J12" s="244" t="s">
        <v>532</v>
      </c>
      <c r="K12" s="243" t="s">
        <v>538</v>
      </c>
      <c r="L12" s="243" t="s">
        <v>533</v>
      </c>
    </row>
    <row r="13" spans="1:18">
      <c r="A13" s="284" t="s">
        <v>528</v>
      </c>
      <c r="B13" s="163"/>
      <c r="C13" s="163"/>
      <c r="D13" s="285"/>
      <c r="E13" s="277"/>
      <c r="F13" s="277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10" width="13.140625" style="257" customWidth="1"/>
    <col min="11" max="11" width="10" style="257" customWidth="1"/>
    <col min="12" max="12" width="13.42578125" style="257" customWidth="1"/>
    <col min="13" max="16384" width="9.140625" style="257"/>
  </cols>
  <sheetData>
    <row r="1" spans="1:12" ht="67.5" customHeight="1">
      <c r="A1" s="320" t="s">
        <v>521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</row>
    <row r="2" spans="1:12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522</v>
      </c>
      <c r="J2" s="259" t="s">
        <v>523</v>
      </c>
      <c r="K2" s="264" t="s">
        <v>40</v>
      </c>
      <c r="L2" s="255" t="s">
        <v>524</v>
      </c>
    </row>
    <row r="3" spans="1:12">
      <c r="A3" s="282" t="s">
        <v>519</v>
      </c>
      <c r="B3" s="253"/>
      <c r="C3" s="253"/>
      <c r="D3" s="261"/>
      <c r="E3" s="262"/>
      <c r="F3" s="262"/>
      <c r="G3" s="262"/>
      <c r="H3" s="262"/>
      <c r="I3" s="262"/>
      <c r="J3" s="262"/>
      <c r="K3" s="280"/>
      <c r="L3" s="26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8" width="12.7109375" style="257" customWidth="1"/>
    <col min="9" max="9" width="19.5703125" style="257" customWidth="1"/>
    <col min="10" max="11" width="10" style="257" customWidth="1"/>
    <col min="12" max="16384" width="9.140625" style="257"/>
  </cols>
  <sheetData>
    <row r="1" spans="1:11" ht="92.25" customHeight="1">
      <c r="A1" s="320" t="s">
        <v>513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</row>
    <row r="2" spans="1:11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515</v>
      </c>
      <c r="J2" s="264" t="s">
        <v>516</v>
      </c>
      <c r="K2" s="255" t="s">
        <v>517</v>
      </c>
    </row>
    <row r="3" spans="1:11">
      <c r="A3" s="252" t="s">
        <v>511</v>
      </c>
      <c r="B3" s="253"/>
      <c r="C3" s="253"/>
      <c r="D3" s="261"/>
      <c r="E3" s="262"/>
      <c r="F3" s="262"/>
      <c r="G3" s="262"/>
      <c r="H3" s="262"/>
      <c r="I3" s="280"/>
      <c r="J3" s="280"/>
      <c r="K3" s="28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20" t="s">
        <v>468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</row>
    <row r="2" spans="1:11" ht="65.25" customHeight="1">
      <c r="A2" s="235" t="s">
        <v>469</v>
      </c>
      <c r="B2" s="236" t="s">
        <v>394</v>
      </c>
      <c r="C2" s="236" t="s">
        <v>395</v>
      </c>
      <c r="D2" s="236" t="s">
        <v>97</v>
      </c>
      <c r="E2" s="236" t="s">
        <v>3</v>
      </c>
      <c r="F2" s="236" t="s">
        <v>57</v>
      </c>
      <c r="G2" s="236" t="s">
        <v>470</v>
      </c>
      <c r="H2" s="236" t="s">
        <v>471</v>
      </c>
      <c r="I2" s="236" t="s">
        <v>472</v>
      </c>
      <c r="J2" s="237" t="s">
        <v>473</v>
      </c>
      <c r="K2" s="255" t="s">
        <v>474</v>
      </c>
    </row>
    <row r="3" spans="1:11">
      <c r="A3" s="252" t="s">
        <v>466</v>
      </c>
      <c r="B3" s="253"/>
      <c r="C3" s="253"/>
      <c r="D3" s="239"/>
      <c r="E3" s="239"/>
      <c r="F3" s="240"/>
      <c r="G3" s="250"/>
      <c r="H3" s="250"/>
      <c r="I3" s="254"/>
      <c r="J3" s="240"/>
      <c r="K3" s="24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7" t="s">
        <v>418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U1" t="s">
        <v>419</v>
      </c>
    </row>
    <row r="2" spans="1:21" ht="18" customHeight="1">
      <c r="A2" s="333" t="s">
        <v>419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4" t="e">
        <f>report_year-1</f>
        <v>#VALUE!</v>
      </c>
      <c r="N2" s="334"/>
      <c r="O2" s="334"/>
      <c r="P2" s="334"/>
      <c r="Q2" s="334"/>
      <c r="R2" s="334"/>
    </row>
    <row r="3" spans="1:21" ht="31.5" customHeight="1">
      <c r="A3" s="211" t="s">
        <v>420</v>
      </c>
      <c r="B3" s="211" t="s">
        <v>325</v>
      </c>
      <c r="C3" s="211" t="s">
        <v>421</v>
      </c>
      <c r="D3" s="211" t="s">
        <v>63</v>
      </c>
      <c r="E3" s="211" t="s">
        <v>64</v>
      </c>
      <c r="F3" s="211" t="s">
        <v>65</v>
      </c>
      <c r="G3" s="211" t="s">
        <v>98</v>
      </c>
      <c r="H3" s="211" t="s">
        <v>100</v>
      </c>
      <c r="I3" s="211" t="s">
        <v>414</v>
      </c>
      <c r="J3" s="211" t="s">
        <v>413</v>
      </c>
      <c r="K3" s="211" t="s">
        <v>422</v>
      </c>
      <c r="L3" s="211" t="s">
        <v>423</v>
      </c>
      <c r="M3" s="256" t="s">
        <v>482</v>
      </c>
      <c r="N3" s="256" t="s">
        <v>424</v>
      </c>
      <c r="O3" s="256" t="s">
        <v>425</v>
      </c>
      <c r="P3" s="256" t="s">
        <v>426</v>
      </c>
      <c r="Q3" s="256" t="s">
        <v>427</v>
      </c>
      <c r="R3" s="256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20" t="s">
        <v>400</v>
      </c>
      <c r="B1" s="320"/>
      <c r="C1" s="320"/>
      <c r="D1" s="320"/>
      <c r="E1" s="320"/>
      <c r="F1" s="320"/>
      <c r="G1" s="320"/>
      <c r="H1" s="320"/>
    </row>
    <row r="2" spans="1:8" ht="25.5">
      <c r="A2" s="219" t="s">
        <v>401</v>
      </c>
      <c r="B2" s="220" t="s">
        <v>402</v>
      </c>
      <c r="C2" s="220" t="s">
        <v>403</v>
      </c>
      <c r="D2" s="220" t="s">
        <v>404</v>
      </c>
      <c r="E2" s="220" t="s">
        <v>405</v>
      </c>
      <c r="F2" s="220" t="s">
        <v>406</v>
      </c>
      <c r="G2" s="220" t="s">
        <v>407</v>
      </c>
      <c r="H2" s="221" t="s">
        <v>408</v>
      </c>
    </row>
    <row r="3" spans="1:8">
      <c r="A3" s="222" t="s">
        <v>409</v>
      </c>
      <c r="B3" s="223"/>
      <c r="C3" s="224"/>
      <c r="D3" s="225"/>
      <c r="E3" s="225"/>
      <c r="F3" s="226"/>
      <c r="G3" s="225"/>
      <c r="H3" s="227"/>
    </row>
    <row r="6" spans="1:8" ht="47.25" customHeight="1">
      <c r="A6" s="320" t="s">
        <v>410</v>
      </c>
      <c r="B6" s="320"/>
      <c r="C6" s="320"/>
      <c r="D6" s="320"/>
      <c r="E6" s="320"/>
      <c r="F6" s="320"/>
      <c r="G6" s="320"/>
    </row>
    <row r="7" spans="1:8" ht="25.5">
      <c r="A7" s="219" t="s">
        <v>411</v>
      </c>
      <c r="B7" s="220" t="s">
        <v>63</v>
      </c>
      <c r="C7" s="220" t="s">
        <v>412</v>
      </c>
      <c r="D7" s="220" t="s">
        <v>413</v>
      </c>
      <c r="E7" s="220" t="s">
        <v>414</v>
      </c>
      <c r="F7" s="228" t="s">
        <v>415</v>
      </c>
      <c r="G7" s="220" t="s">
        <v>416</v>
      </c>
    </row>
    <row r="8" spans="1:8">
      <c r="A8" s="229" t="s">
        <v>417</v>
      </c>
      <c r="B8" s="223"/>
      <c r="C8" s="226"/>
      <c r="D8" s="226"/>
      <c r="E8" s="230"/>
      <c r="F8" s="231"/>
      <c r="G8" s="227"/>
    </row>
    <row r="9" spans="1:8">
      <c r="A9" s="229" t="s">
        <v>218</v>
      </c>
      <c r="B9" s="232"/>
      <c r="C9" s="233"/>
      <c r="D9" s="233"/>
      <c r="E9" s="233"/>
      <c r="F9" s="231">
        <f>SUBTOTAL(109,[Задолженность])</f>
        <v>0</v>
      </c>
      <c r="G9" s="234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7" t="s">
        <v>391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</row>
    <row r="2" spans="1:16" ht="18" customHeight="1">
      <c r="A2" s="335" t="s">
        <v>392</v>
      </c>
      <c r="B2" s="335"/>
      <c r="C2" s="335"/>
      <c r="D2" s="335"/>
      <c r="E2" s="335"/>
      <c r="F2" s="335"/>
      <c r="G2" s="335"/>
      <c r="H2" s="335" t="s">
        <v>393</v>
      </c>
      <c r="I2" s="335"/>
      <c r="J2" s="335"/>
      <c r="K2" s="335"/>
      <c r="L2" s="335"/>
      <c r="M2" s="335"/>
      <c r="N2" s="335"/>
      <c r="O2" s="335"/>
      <c r="P2" s="335"/>
    </row>
    <row r="3" spans="1:16" ht="31.5" customHeight="1">
      <c r="A3" s="211" t="s">
        <v>394</v>
      </c>
      <c r="B3" s="211" t="s">
        <v>395</v>
      </c>
      <c r="C3" s="211" t="s">
        <v>329</v>
      </c>
      <c r="D3" s="211" t="s">
        <v>396</v>
      </c>
      <c r="E3" s="211" t="s">
        <v>397</v>
      </c>
      <c r="F3" s="211" t="s">
        <v>1</v>
      </c>
      <c r="G3" s="211" t="s">
        <v>97</v>
      </c>
      <c r="H3" s="211" t="s">
        <v>398</v>
      </c>
      <c r="I3" s="211" t="s">
        <v>394</v>
      </c>
      <c r="J3" s="211" t="s">
        <v>395</v>
      </c>
      <c r="K3" s="211" t="s">
        <v>329</v>
      </c>
      <c r="L3" s="211" t="s">
        <v>396</v>
      </c>
      <c r="M3" s="211" t="s">
        <v>397</v>
      </c>
      <c r="N3" s="211" t="s">
        <v>1</v>
      </c>
      <c r="O3" s="211" t="s">
        <v>97</v>
      </c>
      <c r="P3" s="211" t="s">
        <v>398</v>
      </c>
    </row>
    <row r="4" spans="1:16">
      <c r="A4" s="212" t="s">
        <v>7</v>
      </c>
      <c r="B4" s="212" t="s">
        <v>8</v>
      </c>
      <c r="C4" s="212" t="s">
        <v>9</v>
      </c>
      <c r="D4" s="212" t="s">
        <v>10</v>
      </c>
      <c r="E4" s="212" t="s">
        <v>11</v>
      </c>
      <c r="F4" s="212" t="s">
        <v>12</v>
      </c>
      <c r="G4" s="212" t="s">
        <v>13</v>
      </c>
      <c r="H4" s="212" t="s">
        <v>14</v>
      </c>
      <c r="I4" s="212" t="s">
        <v>15</v>
      </c>
      <c r="J4" s="212" t="s">
        <v>16</v>
      </c>
      <c r="K4" s="212" t="s">
        <v>17</v>
      </c>
      <c r="L4" s="212" t="s">
        <v>18</v>
      </c>
      <c r="M4" s="212" t="s">
        <v>19</v>
      </c>
      <c r="N4" s="212" t="s">
        <v>20</v>
      </c>
      <c r="O4" s="212" t="s">
        <v>21</v>
      </c>
      <c r="P4" s="213" t="s">
        <v>24</v>
      </c>
    </row>
    <row r="5" spans="1:16">
      <c r="A5" s="214" t="s">
        <v>399</v>
      </c>
      <c r="B5" s="214"/>
      <c r="C5" s="215"/>
      <c r="D5" s="215"/>
      <c r="E5" s="216"/>
      <c r="F5" s="217"/>
      <c r="G5" s="216"/>
      <c r="H5" s="216"/>
      <c r="I5" s="215"/>
      <c r="J5" s="215"/>
      <c r="K5" s="215"/>
      <c r="L5" s="215"/>
      <c r="M5" s="216"/>
      <c r="N5" s="217"/>
      <c r="O5" s="216"/>
      <c r="P5" s="218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6" t="s">
        <v>457</v>
      </c>
      <c r="B1" s="336"/>
      <c r="C1" s="336"/>
      <c r="D1" s="336"/>
      <c r="E1" s="336"/>
      <c r="F1" s="336"/>
      <c r="G1" s="336"/>
      <c r="H1" s="336"/>
      <c r="I1" s="336"/>
      <c r="J1" s="185"/>
    </row>
    <row r="2" spans="1:10" ht="39.75" customHeight="1">
      <c r="A2" s="33" t="s">
        <v>459</v>
      </c>
      <c r="B2" s="47" t="s">
        <v>62</v>
      </c>
      <c r="C2" s="249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8" t="s">
        <v>456</v>
      </c>
      <c r="B3" s="250"/>
      <c r="C3" s="240"/>
      <c r="D3" s="239"/>
      <c r="E3" s="239"/>
      <c r="F3" s="239"/>
      <c r="G3" s="240"/>
      <c r="H3" s="250"/>
      <c r="I3" s="251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20" t="s">
        <v>489</v>
      </c>
      <c r="B1" s="320"/>
      <c r="C1" s="320"/>
      <c r="D1" s="320"/>
      <c r="E1" s="320"/>
      <c r="F1" s="320"/>
      <c r="G1" s="320"/>
      <c r="H1" s="320"/>
      <c r="I1" s="242"/>
      <c r="J1" s="242"/>
    </row>
    <row r="2" spans="1:10" ht="24" customHeight="1">
      <c r="A2" s="243" t="s">
        <v>509</v>
      </c>
      <c r="B2" s="243" t="s">
        <v>430</v>
      </c>
      <c r="C2" s="243" t="s">
        <v>490</v>
      </c>
      <c r="D2" s="244" t="s">
        <v>491</v>
      </c>
      <c r="E2" s="244" t="s">
        <v>97</v>
      </c>
      <c r="F2" s="245" t="s">
        <v>431</v>
      </c>
      <c r="G2" s="244" t="s">
        <v>414</v>
      </c>
      <c r="H2" s="273" t="s">
        <v>135</v>
      </c>
    </row>
    <row r="3" spans="1:10">
      <c r="A3" s="266" t="s">
        <v>477</v>
      </c>
      <c r="B3" s="163"/>
      <c r="C3" s="163"/>
      <c r="D3" s="163"/>
      <c r="E3" s="114"/>
      <c r="F3" s="267"/>
      <c r="G3" s="267"/>
      <c r="H3" s="272"/>
    </row>
    <row r="4" spans="1:10" ht="15.75" thickBot="1">
      <c r="A4" s="274"/>
      <c r="B4" s="274"/>
      <c r="C4" s="274"/>
      <c r="D4" s="274"/>
      <c r="E4" s="274"/>
      <c r="F4" s="274"/>
      <c r="G4" s="274"/>
      <c r="H4" s="274"/>
    </row>
    <row r="5" spans="1:10" ht="19.5" customHeight="1" thickTop="1"/>
    <row r="6" spans="1:10" ht="30" customHeight="1">
      <c r="A6" s="338" t="s">
        <v>503</v>
      </c>
      <c r="B6" s="338"/>
      <c r="C6" s="338"/>
      <c r="D6" s="338"/>
      <c r="E6" s="338"/>
      <c r="F6" s="338"/>
      <c r="G6" s="338"/>
      <c r="H6" s="338"/>
    </row>
    <row r="7" spans="1:10">
      <c r="A7" s="243" t="s">
        <v>492</v>
      </c>
      <c r="B7" s="243" t="s">
        <v>493</v>
      </c>
      <c r="C7" s="244" t="s">
        <v>494</v>
      </c>
      <c r="D7" s="244" t="s">
        <v>40</v>
      </c>
      <c r="E7" s="245" t="s">
        <v>495</v>
      </c>
      <c r="F7" s="244" t="s">
        <v>496</v>
      </c>
      <c r="G7" s="244" t="s">
        <v>497</v>
      </c>
      <c r="H7" s="244" t="s">
        <v>498</v>
      </c>
    </row>
    <row r="8" spans="1:10">
      <c r="A8" s="267" t="s">
        <v>478</v>
      </c>
      <c r="B8" s="267"/>
      <c r="C8" s="165"/>
      <c r="D8" s="276"/>
      <c r="E8" s="278"/>
      <c r="F8" s="166" t="s">
        <v>191</v>
      </c>
      <c r="G8" s="163"/>
      <c r="H8" s="163"/>
    </row>
    <row r="9" spans="1:10" ht="16.5" customHeight="1"/>
    <row r="10" spans="1:10" ht="30" customHeight="1">
      <c r="A10" s="337" t="s">
        <v>506</v>
      </c>
      <c r="B10" s="338"/>
      <c r="C10" s="338"/>
      <c r="D10" s="338"/>
      <c r="E10" s="338"/>
      <c r="F10" s="338"/>
      <c r="G10" s="338"/>
      <c r="H10" s="338"/>
    </row>
    <row r="11" spans="1:10">
      <c r="A11" s="243" t="s">
        <v>492</v>
      </c>
      <c r="B11" s="243" t="s">
        <v>493</v>
      </c>
      <c r="C11" s="244" t="s">
        <v>470</v>
      </c>
      <c r="D11" s="244" t="s">
        <v>40</v>
      </c>
      <c r="E11" s="245" t="s">
        <v>495</v>
      </c>
      <c r="F11" s="244" t="s">
        <v>496</v>
      </c>
      <c r="G11" s="244" t="s">
        <v>497</v>
      </c>
      <c r="H11" s="244" t="s">
        <v>498</v>
      </c>
    </row>
    <row r="12" spans="1:10">
      <c r="A12" s="265" t="s">
        <v>479</v>
      </c>
      <c r="B12" s="267"/>
      <c r="C12" s="165"/>
      <c r="D12" s="115"/>
      <c r="E12" s="278"/>
      <c r="F12" s="166" t="s">
        <v>191</v>
      </c>
      <c r="G12" s="163"/>
      <c r="H12" s="163"/>
    </row>
    <row r="14" spans="1:10" ht="30" customHeight="1">
      <c r="A14" s="338" t="s">
        <v>504</v>
      </c>
      <c r="B14" s="338"/>
      <c r="C14" s="338"/>
      <c r="D14" s="338"/>
      <c r="E14" s="338"/>
      <c r="F14" s="338"/>
      <c r="G14" s="338"/>
    </row>
    <row r="15" spans="1:10" ht="25.5">
      <c r="A15" s="243" t="s">
        <v>35</v>
      </c>
      <c r="B15" s="243" t="s">
        <v>499</v>
      </c>
      <c r="C15" s="243" t="s">
        <v>38</v>
      </c>
      <c r="D15" s="244" t="s">
        <v>40</v>
      </c>
      <c r="E15" s="244" t="s">
        <v>500</v>
      </c>
      <c r="F15" s="244" t="s">
        <v>501</v>
      </c>
      <c r="G15" s="244" t="s">
        <v>39</v>
      </c>
    </row>
    <row r="16" spans="1:10">
      <c r="A16" s="265" t="s">
        <v>480</v>
      </c>
      <c r="B16" s="277"/>
      <c r="C16" s="267"/>
      <c r="D16" s="115"/>
      <c r="E16" s="275"/>
      <c r="F16" s="268"/>
      <c r="G16" s="268"/>
    </row>
    <row r="18" spans="1:5" ht="30" customHeight="1">
      <c r="A18" s="338" t="s">
        <v>505</v>
      </c>
      <c r="B18" s="338"/>
      <c r="C18" s="338"/>
      <c r="D18" s="338"/>
      <c r="E18" s="338"/>
    </row>
    <row r="19" spans="1:5" ht="15.75" thickBot="1">
      <c r="A19" s="269" t="s">
        <v>3</v>
      </c>
      <c r="B19" s="269" t="s">
        <v>57</v>
      </c>
      <c r="C19" s="270" t="s">
        <v>494</v>
      </c>
      <c r="D19" s="270" t="s">
        <v>40</v>
      </c>
      <c r="E19" s="269" t="s">
        <v>502</v>
      </c>
    </row>
    <row r="20" spans="1:5" ht="15.75" thickTop="1">
      <c r="A20" s="271" t="s">
        <v>481</v>
      </c>
      <c r="B20" s="271"/>
      <c r="C20" s="271"/>
      <c r="D20" s="276"/>
      <c r="E20" s="279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ettings"/>
  <dimension ref="A1:BI70"/>
  <sheetViews>
    <sheetView topLeftCell="L22" workbookViewId="0">
      <selection activeCell="P65" sqref="P6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7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39" t="s">
        <v>115</v>
      </c>
      <c r="B1" s="339"/>
      <c r="D1" s="340" t="s">
        <v>116</v>
      </c>
      <c r="E1" s="340"/>
      <c r="G1" s="340" t="s">
        <v>111</v>
      </c>
      <c r="H1" s="340"/>
      <c r="I1" s="340"/>
      <c r="J1" s="340"/>
      <c r="K1" s="340"/>
      <c r="L1" s="340"/>
      <c r="M1" s="292"/>
      <c r="O1" s="340" t="s">
        <v>106</v>
      </c>
      <c r="P1" s="340"/>
      <c r="Q1" s="340"/>
      <c r="R1" s="340"/>
      <c r="S1" s="340"/>
      <c r="T1" s="340"/>
      <c r="U1" s="340"/>
      <c r="W1" s="340" t="s">
        <v>112</v>
      </c>
      <c r="X1" s="340"/>
      <c r="Z1" s="340" t="s">
        <v>103</v>
      </c>
      <c r="AA1" s="340"/>
      <c r="AB1" s="340"/>
      <c r="AC1" s="340"/>
      <c r="AD1" s="340"/>
      <c r="AF1" s="340" t="s">
        <v>143</v>
      </c>
      <c r="AG1" s="340"/>
      <c r="AH1" s="340"/>
      <c r="AI1" s="340"/>
      <c r="AJ1" s="340"/>
      <c r="AK1" s="340"/>
      <c r="AL1" s="340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41" t="s">
        <v>245</v>
      </c>
      <c r="BG1" s="341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7" t="s">
        <v>575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7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7" t="s">
        <v>340</v>
      </c>
      <c r="AH5" s="6" t="s">
        <v>148</v>
      </c>
      <c r="AI5" s="258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7" t="s">
        <v>345</v>
      </c>
      <c r="BG5" s="177" t="s">
        <v>344</v>
      </c>
    </row>
    <row r="6" spans="1:61">
      <c r="A6" s="6" t="s">
        <v>122</v>
      </c>
      <c r="B6" s="6" t="str">
        <f>VLOOKUP(ReportSelected,Menu[],2,FALSE)</f>
        <v>benefit_detail_report</v>
      </c>
      <c r="D6" s="247" t="s">
        <v>432</v>
      </c>
      <c r="E6" s="177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7" t="s">
        <v>342</v>
      </c>
      <c r="AH6" s="6" t="s">
        <v>148</v>
      </c>
      <c r="AI6" s="258" t="s">
        <v>550</v>
      </c>
      <c r="AJ6" s="6" t="s">
        <v>141</v>
      </c>
      <c r="AK6" s="6">
        <v>2</v>
      </c>
      <c r="AL6" s="6" t="s">
        <v>140</v>
      </c>
      <c r="BF6" s="257" t="s">
        <v>341</v>
      </c>
      <c r="BG6" s="257" t="s">
        <v>549</v>
      </c>
    </row>
    <row r="7" spans="1:61">
      <c r="A7" s="39" t="s">
        <v>149</v>
      </c>
      <c r="B7" s="258"/>
      <c r="D7" t="s">
        <v>436</v>
      </c>
      <c r="E7" s="177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7" t="s">
        <v>343</v>
      </c>
      <c r="AH7" s="177" t="s">
        <v>148</v>
      </c>
      <c r="AI7" s="258" t="s">
        <v>344</v>
      </c>
      <c r="AJ7" s="177" t="s">
        <v>141</v>
      </c>
      <c r="AK7" s="177">
        <v>10</v>
      </c>
      <c r="AL7" s="177" t="s">
        <v>140</v>
      </c>
    </row>
    <row r="8" spans="1:61">
      <c r="A8" s="177" t="s">
        <v>158</v>
      </c>
      <c r="B8" s="180" t="s">
        <v>573</v>
      </c>
      <c r="D8" t="s">
        <v>463</v>
      </c>
      <c r="E8" s="177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7" t="s">
        <v>159</v>
      </c>
      <c r="B9" s="258" t="s">
        <v>574</v>
      </c>
      <c r="D9" s="247" t="s">
        <v>432</v>
      </c>
      <c r="E9" s="258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8" t="s">
        <v>344</v>
      </c>
      <c r="AJ9" s="6" t="s">
        <v>141</v>
      </c>
      <c r="AK9" s="6">
        <v>10</v>
      </c>
      <c r="AL9" s="6" t="s">
        <v>140</v>
      </c>
    </row>
    <row r="10" spans="1:61">
      <c r="A10" s="177" t="s">
        <v>344</v>
      </c>
      <c r="B10" s="258" t="s">
        <v>574</v>
      </c>
      <c r="D10" s="257" t="s">
        <v>579</v>
      </c>
      <c r="E10" s="258" t="s">
        <v>581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8"/>
      <c r="BG10" s="258"/>
    </row>
    <row r="11" spans="1:61">
      <c r="A11" s="177" t="s">
        <v>435</v>
      </c>
      <c r="B11" s="258"/>
      <c r="D11" s="257" t="s">
        <v>583</v>
      </c>
      <c r="E11" s="258" t="s">
        <v>582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7" t="s">
        <v>438</v>
      </c>
      <c r="AA11" s="177" t="s">
        <v>161</v>
      </c>
      <c r="AB11" s="177" t="s">
        <v>141</v>
      </c>
      <c r="AC11" s="177"/>
      <c r="AD11" s="177" t="s">
        <v>439</v>
      </c>
      <c r="AF11" s="46" t="s">
        <v>180</v>
      </c>
      <c r="AG11" s="177" t="s">
        <v>340</v>
      </c>
      <c r="AH11" s="6" t="s">
        <v>148</v>
      </c>
      <c r="AI11" s="258" t="s">
        <v>549</v>
      </c>
      <c r="AJ11" s="6" t="s">
        <v>141</v>
      </c>
      <c r="AK11" s="6">
        <v>4</v>
      </c>
      <c r="AL11" s="6" t="s">
        <v>140</v>
      </c>
    </row>
    <row r="12" spans="1:61">
      <c r="A12" s="177" t="s">
        <v>443</v>
      </c>
      <c r="B12" s="177">
        <v>1</v>
      </c>
      <c r="D12" s="247" t="s">
        <v>432</v>
      </c>
      <c r="E12" s="177" t="s">
        <v>433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7" t="s">
        <v>440</v>
      </c>
      <c r="AA12" s="177" t="s">
        <v>161</v>
      </c>
      <c r="AB12" s="177" t="s">
        <v>141</v>
      </c>
      <c r="AC12" s="177"/>
      <c r="AD12" s="258" t="s">
        <v>441</v>
      </c>
      <c r="AF12" s="145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8" t="s">
        <v>483</v>
      </c>
      <c r="B13" s="258" t="s">
        <v>509</v>
      </c>
      <c r="D13" t="s">
        <v>25</v>
      </c>
      <c r="E13" t="s">
        <v>27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7" t="s">
        <v>360</v>
      </c>
      <c r="X13" s="177" t="s">
        <v>354</v>
      </c>
      <c r="Z13" s="258" t="s">
        <v>485</v>
      </c>
      <c r="AA13" s="258" t="s">
        <v>161</v>
      </c>
      <c r="AB13" s="258" t="s">
        <v>141</v>
      </c>
      <c r="AC13" s="258"/>
      <c r="AD13" s="258" t="s">
        <v>486</v>
      </c>
      <c r="AF13" s="145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8" t="s">
        <v>484</v>
      </c>
      <c r="B14" s="258">
        <v>1327325</v>
      </c>
      <c r="D14" t="s">
        <v>34</v>
      </c>
      <c r="E14" t="s">
        <v>33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7" t="s">
        <v>360</v>
      </c>
      <c r="X14" s="177" t="s">
        <v>357</v>
      </c>
      <c r="Z14" s="258" t="s">
        <v>507</v>
      </c>
      <c r="AA14" s="258" t="s">
        <v>161</v>
      </c>
      <c r="AB14" s="258" t="s">
        <v>141</v>
      </c>
      <c r="AC14" s="258"/>
      <c r="AD14" s="258" t="s">
        <v>508</v>
      </c>
      <c r="AF14" s="176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8" t="s">
        <v>549</v>
      </c>
      <c r="B15" s="258">
        <v>2018</v>
      </c>
      <c r="D15" t="s">
        <v>67</v>
      </c>
      <c r="E15" t="s">
        <v>66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7" t="s">
        <v>360</v>
      </c>
      <c r="X15" s="177" t="s">
        <v>362</v>
      </c>
      <c r="Z15" s="258" t="s">
        <v>581</v>
      </c>
      <c r="AA15" s="258" t="s">
        <v>161</v>
      </c>
      <c r="AB15" s="258" t="s">
        <v>141</v>
      </c>
      <c r="AC15" s="258"/>
      <c r="AD15" s="258" t="s">
        <v>580</v>
      </c>
      <c r="AF15" s="176" t="s">
        <v>332</v>
      </c>
      <c r="AG15" s="177" t="s">
        <v>340</v>
      </c>
      <c r="AH15" s="177" t="s">
        <v>148</v>
      </c>
      <c r="AI15" s="258" t="s">
        <v>549</v>
      </c>
      <c r="AJ15" s="177" t="s">
        <v>141</v>
      </c>
      <c r="AK15" s="177">
        <v>4</v>
      </c>
      <c r="AL15" s="177" t="s">
        <v>140</v>
      </c>
    </row>
    <row r="16" spans="1:61">
      <c r="A16" s="258" t="s">
        <v>550</v>
      </c>
      <c r="B16" s="258">
        <v>1</v>
      </c>
      <c r="D16" t="s">
        <v>256</v>
      </c>
      <c r="E16" s="6" t="s">
        <v>257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M16" s="258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7" t="s">
        <v>373</v>
      </c>
      <c r="X16" s="177" t="s">
        <v>375</v>
      </c>
      <c r="AF16" s="176" t="s">
        <v>332</v>
      </c>
      <c r="AG16" s="177" t="s">
        <v>342</v>
      </c>
      <c r="AH16" s="177" t="s">
        <v>148</v>
      </c>
      <c r="AI16" s="258" t="s">
        <v>550</v>
      </c>
      <c r="AJ16" s="177" t="s">
        <v>141</v>
      </c>
      <c r="AK16" s="177">
        <v>2</v>
      </c>
      <c r="AL16" s="177" t="s">
        <v>140</v>
      </c>
    </row>
    <row r="17" spans="4:38">
      <c r="D17" t="s">
        <v>265</v>
      </c>
      <c r="E17" s="6" t="s">
        <v>301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M17" s="258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7" t="s">
        <v>373</v>
      </c>
      <c r="X17" s="177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s="6" t="s">
        <v>240</v>
      </c>
      <c r="E18" s="6" t="s">
        <v>241</v>
      </c>
      <c r="G18" s="6" t="s">
        <v>225</v>
      </c>
      <c r="H18" t="s">
        <v>104</v>
      </c>
      <c r="I18" t="s">
        <v>77</v>
      </c>
      <c r="J18" s="6"/>
      <c r="K18" s="177"/>
      <c r="L18" s="177"/>
      <c r="M18" s="258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7" t="s">
        <v>373</v>
      </c>
      <c r="X18" s="177" t="s">
        <v>376</v>
      </c>
      <c r="AF18" s="45" t="s">
        <v>337</v>
      </c>
      <c r="AG18" s="177" t="s">
        <v>340</v>
      </c>
      <c r="AH18" s="177" t="s">
        <v>148</v>
      </c>
      <c r="AI18" s="258" t="s">
        <v>549</v>
      </c>
      <c r="AJ18" s="177" t="s">
        <v>141</v>
      </c>
      <c r="AK18" s="177">
        <v>4</v>
      </c>
      <c r="AL18" s="177" t="s">
        <v>140</v>
      </c>
    </row>
    <row r="19" spans="4:38">
      <c r="D19" s="6" t="s">
        <v>224</v>
      </c>
      <c r="E19" t="s">
        <v>225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M19" s="258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7" t="s">
        <v>383</v>
      </c>
      <c r="X19" s="177" t="s">
        <v>384</v>
      </c>
      <c r="AF19" s="45" t="s">
        <v>438</v>
      </c>
      <c r="AG19" t="s">
        <v>162</v>
      </c>
      <c r="AH19" t="s">
        <v>147</v>
      </c>
      <c r="AI19" s="177"/>
      <c r="AJ19" s="177"/>
      <c r="AK19">
        <v>2000</v>
      </c>
      <c r="AL19" t="s">
        <v>141</v>
      </c>
    </row>
    <row r="20" spans="4:38">
      <c r="D20" t="s">
        <v>76</v>
      </c>
      <c r="E20" t="s">
        <v>119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M20" s="258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7" t="s">
        <v>383</v>
      </c>
      <c r="X20" s="177" t="s">
        <v>385</v>
      </c>
      <c r="AF20" s="45" t="s">
        <v>438</v>
      </c>
      <c r="AG20" s="177" t="s">
        <v>442</v>
      </c>
      <c r="AH20" s="177" t="s">
        <v>148</v>
      </c>
      <c r="AI20" s="177" t="s">
        <v>445</v>
      </c>
      <c r="AJ20" s="177" t="s">
        <v>141</v>
      </c>
      <c r="AK20" s="177">
        <v>3</v>
      </c>
      <c r="AL20" s="177" t="s">
        <v>140</v>
      </c>
    </row>
    <row r="21" spans="4:38">
      <c r="D21" t="s">
        <v>78</v>
      </c>
      <c r="E21" t="s">
        <v>77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M21" s="258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7" t="s">
        <v>383</v>
      </c>
      <c r="X21" s="177" t="s">
        <v>376</v>
      </c>
      <c r="AF21" s="45" t="s">
        <v>438</v>
      </c>
      <c r="AG21" s="177" t="s">
        <v>340</v>
      </c>
      <c r="AH21" s="177" t="s">
        <v>148</v>
      </c>
      <c r="AI21" s="258" t="s">
        <v>549</v>
      </c>
      <c r="AJ21" s="177" t="s">
        <v>141</v>
      </c>
      <c r="AK21" s="177">
        <v>4</v>
      </c>
      <c r="AL21" s="177" t="s">
        <v>140</v>
      </c>
    </row>
    <row r="22" spans="4:38">
      <c r="D22" s="6" t="s">
        <v>237</v>
      </c>
      <c r="E22" s="6" t="s">
        <v>238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M22" s="258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7" t="s">
        <v>452</v>
      </c>
      <c r="X22" s="177" t="s">
        <v>409</v>
      </c>
      <c r="AF22" s="45" t="s">
        <v>438</v>
      </c>
      <c r="AG22" s="177" t="s">
        <v>342</v>
      </c>
      <c r="AH22" s="177" t="s">
        <v>148</v>
      </c>
      <c r="AI22" s="258" t="s">
        <v>550</v>
      </c>
      <c r="AJ22" s="177" t="s">
        <v>141</v>
      </c>
      <c r="AK22" s="177">
        <v>20</v>
      </c>
      <c r="AL22" s="177" t="s">
        <v>140</v>
      </c>
    </row>
    <row r="23" spans="4:38">
      <c r="D23" t="s">
        <v>120</v>
      </c>
      <c r="E23" t="s">
        <v>108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M23" s="258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7" t="s">
        <v>452</v>
      </c>
      <c r="X23" s="177" t="s">
        <v>417</v>
      </c>
      <c r="AF23" s="45" t="s">
        <v>438</v>
      </c>
      <c r="AG23" s="258" t="s">
        <v>565</v>
      </c>
      <c r="AH23" s="258" t="s">
        <v>148</v>
      </c>
      <c r="AI23" s="258" t="s">
        <v>344</v>
      </c>
      <c r="AJ23" s="258" t="s">
        <v>141</v>
      </c>
      <c r="AK23" s="258">
        <v>20</v>
      </c>
      <c r="AL23" s="258" t="s">
        <v>140</v>
      </c>
    </row>
    <row r="24" spans="4:38">
      <c r="D24" t="s">
        <v>93</v>
      </c>
      <c r="E24" t="s">
        <v>109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M24" s="258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7" t="s">
        <v>475</v>
      </c>
      <c r="X24" s="177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s="6" t="s">
        <v>315</v>
      </c>
      <c r="E25" s="6" t="s">
        <v>312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7" t="s">
        <v>379</v>
      </c>
      <c r="T25" s="6" t="s">
        <v>126</v>
      </c>
      <c r="U25" s="6" t="s">
        <v>134</v>
      </c>
      <c r="W25" s="177" t="s">
        <v>475</v>
      </c>
      <c r="X25" s="177" t="s">
        <v>478</v>
      </c>
      <c r="AF25" s="45" t="s">
        <v>440</v>
      </c>
      <c r="AG25" s="177" t="s">
        <v>444</v>
      </c>
      <c r="AH25" s="177" t="s">
        <v>148</v>
      </c>
      <c r="AI25" s="177" t="s">
        <v>435</v>
      </c>
      <c r="AJ25" s="177" t="s">
        <v>141</v>
      </c>
      <c r="AK25" s="177">
        <v>40</v>
      </c>
      <c r="AL25" s="177" t="s">
        <v>140</v>
      </c>
    </row>
    <row r="26" spans="4:38">
      <c r="D26" s="6" t="s">
        <v>313</v>
      </c>
      <c r="E26" s="6" t="s">
        <v>316</v>
      </c>
      <c r="G26" s="6" t="s">
        <v>307</v>
      </c>
      <c r="H26" t="s">
        <v>104</v>
      </c>
      <c r="I26" t="s">
        <v>33</v>
      </c>
      <c r="J26" s="6"/>
      <c r="K26" s="177"/>
      <c r="L26" s="177"/>
      <c r="M26" s="258"/>
      <c r="O26" s="6" t="s">
        <v>324</v>
      </c>
      <c r="P26" s="6" t="s">
        <v>324</v>
      </c>
      <c r="Q26" s="6" t="s">
        <v>323</v>
      </c>
      <c r="R26" s="6" t="s">
        <v>128</v>
      </c>
      <c r="S26" s="177" t="s">
        <v>379</v>
      </c>
      <c r="T26" s="6" t="s">
        <v>126</v>
      </c>
      <c r="U26" s="6" t="s">
        <v>134</v>
      </c>
      <c r="W26" s="177" t="s">
        <v>475</v>
      </c>
      <c r="X26" s="177" t="s">
        <v>479</v>
      </c>
      <c r="AF26" s="45" t="s">
        <v>440</v>
      </c>
      <c r="AG26" s="177" t="s">
        <v>442</v>
      </c>
      <c r="AH26" s="177" t="s">
        <v>148</v>
      </c>
      <c r="AI26" s="177" t="s">
        <v>445</v>
      </c>
      <c r="AJ26" s="177" t="s">
        <v>141</v>
      </c>
      <c r="AK26" s="177">
        <v>3</v>
      </c>
      <c r="AL26" s="177" t="s">
        <v>140</v>
      </c>
    </row>
    <row r="27" spans="4:38">
      <c r="D27" s="6" t="s">
        <v>331</v>
      </c>
      <c r="E27" s="6" t="s">
        <v>332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7" t="s">
        <v>379</v>
      </c>
      <c r="T27" s="6" t="s">
        <v>126</v>
      </c>
      <c r="U27" s="6" t="s">
        <v>134</v>
      </c>
      <c r="W27" s="177" t="s">
        <v>475</v>
      </c>
      <c r="X27" s="177" t="s">
        <v>480</v>
      </c>
      <c r="AF27" s="45" t="s">
        <v>440</v>
      </c>
      <c r="AG27" s="177" t="s">
        <v>340</v>
      </c>
      <c r="AH27" s="177" t="s">
        <v>148</v>
      </c>
      <c r="AI27" s="258" t="s">
        <v>549</v>
      </c>
      <c r="AJ27" s="177" t="s">
        <v>141</v>
      </c>
      <c r="AK27" s="177">
        <v>4</v>
      </c>
      <c r="AL27" s="177" t="s">
        <v>140</v>
      </c>
    </row>
    <row r="28" spans="4:38">
      <c r="D28" s="6" t="s">
        <v>323</v>
      </c>
      <c r="E28" s="6" t="s">
        <v>324</v>
      </c>
      <c r="G28" s="6" t="s">
        <v>307</v>
      </c>
      <c r="H28" t="s">
        <v>104</v>
      </c>
      <c r="I28" t="s">
        <v>66</v>
      </c>
      <c r="O28" s="177" t="s">
        <v>360</v>
      </c>
      <c r="P28" s="177" t="s">
        <v>360</v>
      </c>
      <c r="Q28" s="177" t="s">
        <v>361</v>
      </c>
      <c r="R28" s="177" t="s">
        <v>128</v>
      </c>
      <c r="S28" s="177" t="s">
        <v>379</v>
      </c>
      <c r="T28" s="177"/>
      <c r="U28" t="s">
        <v>118</v>
      </c>
      <c r="W28" s="177" t="s">
        <v>475</v>
      </c>
      <c r="X28" s="177" t="s">
        <v>481</v>
      </c>
      <c r="AF28" s="45" t="s">
        <v>440</v>
      </c>
      <c r="AG28" s="258" t="s">
        <v>565</v>
      </c>
      <c r="AH28" s="258" t="s">
        <v>148</v>
      </c>
      <c r="AI28" s="258" t="s">
        <v>344</v>
      </c>
      <c r="AJ28" s="258" t="s">
        <v>141</v>
      </c>
      <c r="AK28" s="258">
        <v>10</v>
      </c>
      <c r="AL28" s="258" t="s">
        <v>140</v>
      </c>
    </row>
    <row r="29" spans="4:38">
      <c r="D29" s="6" t="s">
        <v>336</v>
      </c>
      <c r="E29" s="6" t="s">
        <v>337</v>
      </c>
      <c r="G29" s="6" t="s">
        <v>307</v>
      </c>
      <c r="H29" s="6" t="s">
        <v>104</v>
      </c>
      <c r="I29" s="6" t="s">
        <v>257</v>
      </c>
      <c r="O29" s="177" t="s">
        <v>354</v>
      </c>
      <c r="P29" s="177" t="s">
        <v>190</v>
      </c>
      <c r="Q29" s="177" t="s">
        <v>354</v>
      </c>
      <c r="R29" s="177" t="s">
        <v>128</v>
      </c>
      <c r="S29" s="177" t="s">
        <v>379</v>
      </c>
      <c r="T29" s="177" t="s">
        <v>126</v>
      </c>
      <c r="U29" s="177" t="s">
        <v>134</v>
      </c>
      <c r="W29" s="258" t="s">
        <v>529</v>
      </c>
      <c r="X29" s="258" t="s">
        <v>528</v>
      </c>
      <c r="AF29" s="45" t="s">
        <v>485</v>
      </c>
      <c r="AG29" s="258" t="s">
        <v>487</v>
      </c>
      <c r="AH29" s="258" t="s">
        <v>148</v>
      </c>
      <c r="AI29" s="258" t="s">
        <v>483</v>
      </c>
      <c r="AJ29" s="258" t="s">
        <v>141</v>
      </c>
      <c r="AK29" s="258">
        <v>20</v>
      </c>
      <c r="AL29" s="258" t="s">
        <v>140</v>
      </c>
    </row>
    <row r="30" spans="4:38">
      <c r="D30" s="248" t="s">
        <v>432</v>
      </c>
      <c r="E30" s="177" t="s">
        <v>433</v>
      </c>
      <c r="G30" s="6" t="s">
        <v>307</v>
      </c>
      <c r="H30" s="6" t="s">
        <v>104</v>
      </c>
      <c r="I30" s="6" t="s">
        <v>266</v>
      </c>
      <c r="O30" s="177" t="s">
        <v>357</v>
      </c>
      <c r="P30" s="177" t="s">
        <v>190</v>
      </c>
      <c r="Q30" s="177" t="s">
        <v>357</v>
      </c>
      <c r="R30" s="177" t="s">
        <v>128</v>
      </c>
      <c r="S30" s="177" t="s">
        <v>379</v>
      </c>
      <c r="T30" s="177" t="s">
        <v>126</v>
      </c>
      <c r="U30" s="177" t="s">
        <v>134</v>
      </c>
      <c r="W30" s="258" t="s">
        <v>529</v>
      </c>
      <c r="X30" s="258" t="s">
        <v>535</v>
      </c>
      <c r="AF30" s="45" t="s">
        <v>485</v>
      </c>
      <c r="AG30" s="257" t="s">
        <v>488</v>
      </c>
      <c r="AH30" s="258" t="s">
        <v>148</v>
      </c>
      <c r="AI30" s="258" t="s">
        <v>484</v>
      </c>
      <c r="AJ30" t="s">
        <v>141</v>
      </c>
      <c r="AK30">
        <v>512</v>
      </c>
      <c r="AL30" s="258" t="s">
        <v>140</v>
      </c>
    </row>
    <row r="31" spans="4:38">
      <c r="D31" s="177" t="s">
        <v>359</v>
      </c>
      <c r="E31" s="177" t="s">
        <v>360</v>
      </c>
      <c r="G31" s="6" t="s">
        <v>307</v>
      </c>
      <c r="H31" s="6" t="s">
        <v>104</v>
      </c>
      <c r="I31" s="6" t="s">
        <v>238</v>
      </c>
      <c r="O31" s="177" t="s">
        <v>362</v>
      </c>
      <c r="P31" s="177" t="s">
        <v>190</v>
      </c>
      <c r="Q31" s="177" t="s">
        <v>362</v>
      </c>
      <c r="R31" s="177" t="s">
        <v>128</v>
      </c>
      <c r="S31" s="177" t="s">
        <v>379</v>
      </c>
      <c r="T31" s="177" t="s">
        <v>126</v>
      </c>
      <c r="U31" s="177" t="s">
        <v>134</v>
      </c>
      <c r="W31" s="258" t="s">
        <v>529</v>
      </c>
      <c r="X31" s="258" t="s">
        <v>541</v>
      </c>
      <c r="AF31" s="384" t="s">
        <v>581</v>
      </c>
      <c r="AG31" s="257" t="s">
        <v>162</v>
      </c>
      <c r="AH31" s="257" t="s">
        <v>147</v>
      </c>
      <c r="AI31" s="257"/>
      <c r="AJ31" s="257"/>
      <c r="AK31" s="257">
        <v>2000</v>
      </c>
      <c r="AL31" s="257" t="s">
        <v>141</v>
      </c>
    </row>
    <row r="32" spans="4:38">
      <c r="D32" s="177" t="s">
        <v>389</v>
      </c>
      <c r="E32" s="177" t="s">
        <v>373</v>
      </c>
      <c r="G32" s="6" t="s">
        <v>307</v>
      </c>
      <c r="H32" s="6" t="s">
        <v>104</v>
      </c>
      <c r="I32" t="s">
        <v>77</v>
      </c>
      <c r="O32" s="177" t="s">
        <v>373</v>
      </c>
      <c r="P32" s="177" t="s">
        <v>373</v>
      </c>
      <c r="Q32" s="177" t="s">
        <v>377</v>
      </c>
      <c r="R32" s="177" t="s">
        <v>128</v>
      </c>
      <c r="S32" s="177" t="s">
        <v>379</v>
      </c>
      <c r="T32" s="177"/>
      <c r="U32" t="s">
        <v>118</v>
      </c>
      <c r="W32" s="258" t="s">
        <v>545</v>
      </c>
      <c r="X32" s="258" t="s">
        <v>541</v>
      </c>
      <c r="AF32" s="384" t="s">
        <v>581</v>
      </c>
      <c r="AG32" s="258" t="s">
        <v>340</v>
      </c>
      <c r="AH32" s="258" t="s">
        <v>148</v>
      </c>
      <c r="AI32" s="258" t="s">
        <v>549</v>
      </c>
      <c r="AJ32" s="258" t="s">
        <v>141</v>
      </c>
      <c r="AK32" s="258">
        <v>4</v>
      </c>
      <c r="AL32" s="258" t="s">
        <v>140</v>
      </c>
    </row>
    <row r="33" spans="4:24">
      <c r="D33" s="177" t="s">
        <v>390</v>
      </c>
      <c r="E33" s="177" t="s">
        <v>383</v>
      </c>
      <c r="G33" s="6" t="s">
        <v>307</v>
      </c>
      <c r="H33" s="6" t="s">
        <v>104</v>
      </c>
      <c r="I33" s="6" t="s">
        <v>119</v>
      </c>
      <c r="O33" s="177" t="s">
        <v>375</v>
      </c>
      <c r="P33" s="177" t="s">
        <v>190</v>
      </c>
      <c r="Q33" s="177" t="s">
        <v>375</v>
      </c>
      <c r="R33" s="177" t="s">
        <v>128</v>
      </c>
      <c r="S33" s="177" t="s">
        <v>380</v>
      </c>
      <c r="T33" s="177" t="s">
        <v>126</v>
      </c>
      <c r="U33" s="177" t="s">
        <v>134</v>
      </c>
      <c r="W33" s="258" t="s">
        <v>545</v>
      </c>
      <c r="X33" s="258" t="s">
        <v>547</v>
      </c>
    </row>
    <row r="34" spans="4:24">
      <c r="D34" s="177" t="s">
        <v>464</v>
      </c>
      <c r="E34" s="177" t="s">
        <v>429</v>
      </c>
      <c r="G34" s="6" t="s">
        <v>312</v>
      </c>
      <c r="H34" s="6" t="s">
        <v>104</v>
      </c>
      <c r="I34" t="s">
        <v>312</v>
      </c>
      <c r="O34" s="177" t="s">
        <v>374</v>
      </c>
      <c r="P34" s="177" t="s">
        <v>190</v>
      </c>
      <c r="Q34" s="177" t="s">
        <v>374</v>
      </c>
      <c r="R34" s="177" t="s">
        <v>128</v>
      </c>
      <c r="S34" s="177" t="s">
        <v>380</v>
      </c>
      <c r="T34" s="177" t="s">
        <v>126</v>
      </c>
      <c r="U34" s="177" t="s">
        <v>134</v>
      </c>
      <c r="W34" s="258" t="s">
        <v>545</v>
      </c>
      <c r="X34" s="258" t="s">
        <v>556</v>
      </c>
    </row>
    <row r="35" spans="4:24">
      <c r="D35" s="258" t="s">
        <v>527</v>
      </c>
      <c r="E35" s="258" t="s">
        <v>525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M35" s="258"/>
      <c r="O35" s="177" t="s">
        <v>376</v>
      </c>
      <c r="P35" s="177" t="s">
        <v>190</v>
      </c>
      <c r="Q35" s="177" t="s">
        <v>376</v>
      </c>
      <c r="R35" s="177" t="s">
        <v>128</v>
      </c>
      <c r="S35" s="177" t="s">
        <v>380</v>
      </c>
      <c r="T35" s="177" t="s">
        <v>126</v>
      </c>
      <c r="U35" s="177" t="s">
        <v>134</v>
      </c>
      <c r="W35" s="258" t="s">
        <v>545</v>
      </c>
      <c r="X35" s="258" t="s">
        <v>560</v>
      </c>
    </row>
    <row r="36" spans="4:24">
      <c r="D36" s="258" t="s">
        <v>567</v>
      </c>
      <c r="E36" s="258" t="s">
        <v>566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M36" s="258"/>
      <c r="O36" s="177" t="s">
        <v>383</v>
      </c>
      <c r="P36" s="177" t="s">
        <v>373</v>
      </c>
      <c r="Q36" s="177" t="s">
        <v>386</v>
      </c>
      <c r="R36" s="177" t="s">
        <v>128</v>
      </c>
      <c r="S36" s="177" t="s">
        <v>379</v>
      </c>
      <c r="T36" s="177"/>
      <c r="U36" t="s">
        <v>118</v>
      </c>
    </row>
    <row r="37" spans="4:24">
      <c r="D37" s="258" t="s">
        <v>465</v>
      </c>
      <c r="E37" s="177" t="s">
        <v>466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M37" s="258"/>
      <c r="O37" s="177" t="s">
        <v>384</v>
      </c>
      <c r="P37" s="177" t="s">
        <v>190</v>
      </c>
      <c r="Q37" s="177" t="s">
        <v>384</v>
      </c>
      <c r="R37" s="177" t="s">
        <v>128</v>
      </c>
      <c r="S37" s="177" t="s">
        <v>380</v>
      </c>
      <c r="T37" s="177" t="s">
        <v>126</v>
      </c>
      <c r="U37" s="177" t="s">
        <v>134</v>
      </c>
    </row>
    <row r="38" spans="4:24">
      <c r="D38" s="258" t="s">
        <v>510</v>
      </c>
      <c r="E38" s="258" t="s">
        <v>511</v>
      </c>
      <c r="G38" s="6" t="s">
        <v>332</v>
      </c>
      <c r="H38" s="6" t="s">
        <v>104</v>
      </c>
      <c r="I38" s="6" t="s">
        <v>334</v>
      </c>
      <c r="J38" s="6"/>
      <c r="K38" s="177"/>
      <c r="L38" s="177"/>
      <c r="M38" s="258"/>
      <c r="O38" s="177" t="s">
        <v>385</v>
      </c>
      <c r="P38" s="177" t="s">
        <v>190</v>
      </c>
      <c r="Q38" s="177" t="s">
        <v>385</v>
      </c>
      <c r="R38" s="177" t="s">
        <v>128</v>
      </c>
      <c r="S38" s="177" t="s">
        <v>380</v>
      </c>
      <c r="T38" s="177" t="s">
        <v>126</v>
      </c>
      <c r="U38" s="177" t="s">
        <v>134</v>
      </c>
    </row>
    <row r="39" spans="4:24">
      <c r="D39" s="258" t="s">
        <v>518</v>
      </c>
      <c r="E39" s="258" t="s">
        <v>519</v>
      </c>
      <c r="G39" s="6" t="s">
        <v>337</v>
      </c>
      <c r="H39" s="6" t="s">
        <v>105</v>
      </c>
      <c r="I39" s="6" t="s">
        <v>337</v>
      </c>
      <c r="J39" s="6"/>
      <c r="K39" s="177"/>
      <c r="L39" s="177"/>
      <c r="M39" s="258"/>
      <c r="O39" s="177" t="s">
        <v>399</v>
      </c>
      <c r="P39" s="177" t="s">
        <v>399</v>
      </c>
      <c r="Q39" s="177" t="s">
        <v>446</v>
      </c>
      <c r="R39" s="177" t="s">
        <v>128</v>
      </c>
      <c r="S39" s="177" t="s">
        <v>379</v>
      </c>
      <c r="T39" s="177" t="s">
        <v>126</v>
      </c>
      <c r="U39" s="177" t="s">
        <v>134</v>
      </c>
    </row>
    <row r="40" spans="4:24">
      <c r="D40" s="258" t="s">
        <v>564</v>
      </c>
      <c r="E40" s="258" t="s">
        <v>452</v>
      </c>
      <c r="G40" s="177" t="s">
        <v>360</v>
      </c>
      <c r="H40" s="177" t="s">
        <v>104</v>
      </c>
      <c r="I40" s="177" t="s">
        <v>360</v>
      </c>
      <c r="J40" s="177"/>
      <c r="K40" s="177"/>
      <c r="L40" s="177"/>
      <c r="M40" s="258"/>
      <c r="O40" s="177" t="s">
        <v>452</v>
      </c>
      <c r="P40" s="177" t="s">
        <v>452</v>
      </c>
      <c r="Q40" s="177" t="s">
        <v>453</v>
      </c>
      <c r="R40" t="s">
        <v>128</v>
      </c>
      <c r="S40" s="177"/>
      <c r="U40" t="s">
        <v>118</v>
      </c>
    </row>
    <row r="41" spans="4:24">
      <c r="D41" s="258"/>
      <c r="E41" s="258"/>
      <c r="G41" s="177" t="s">
        <v>373</v>
      </c>
      <c r="H41" s="177" t="s">
        <v>104</v>
      </c>
      <c r="I41" s="177" t="s">
        <v>373</v>
      </c>
      <c r="J41" s="177"/>
      <c r="K41" s="177"/>
      <c r="L41" s="177"/>
      <c r="M41" s="258"/>
      <c r="O41" s="177" t="s">
        <v>409</v>
      </c>
      <c r="P41" s="177" t="s">
        <v>190</v>
      </c>
      <c r="Q41" s="177" t="s">
        <v>409</v>
      </c>
      <c r="R41" t="s">
        <v>128</v>
      </c>
      <c r="S41" s="177" t="s">
        <v>379</v>
      </c>
      <c r="T41" t="s">
        <v>126</v>
      </c>
      <c r="U41" t="s">
        <v>134</v>
      </c>
    </row>
    <row r="42" spans="4:24">
      <c r="G42" s="177" t="s">
        <v>383</v>
      </c>
      <c r="H42" s="177" t="s">
        <v>104</v>
      </c>
      <c r="I42" s="177" t="s">
        <v>383</v>
      </c>
      <c r="J42" s="177"/>
      <c r="K42" s="177"/>
      <c r="L42" s="177"/>
      <c r="M42" s="258"/>
      <c r="O42" s="177" t="s">
        <v>417</v>
      </c>
      <c r="P42" s="177" t="s">
        <v>190</v>
      </c>
      <c r="Q42" s="177" t="s">
        <v>417</v>
      </c>
      <c r="R42" s="177" t="s">
        <v>128</v>
      </c>
      <c r="S42" s="177" t="s">
        <v>379</v>
      </c>
      <c r="T42" s="177" t="s">
        <v>126</v>
      </c>
      <c r="U42" s="177" t="s">
        <v>134</v>
      </c>
    </row>
    <row r="43" spans="4:24">
      <c r="G43" s="258" t="s">
        <v>437</v>
      </c>
      <c r="H43" s="45" t="s">
        <v>105</v>
      </c>
      <c r="I43" s="45" t="s">
        <v>438</v>
      </c>
      <c r="J43" s="45"/>
      <c r="K43" s="45"/>
      <c r="L43" s="45"/>
      <c r="M43" s="258"/>
      <c r="O43" s="177" t="s">
        <v>456</v>
      </c>
      <c r="P43" s="177" t="s">
        <v>456</v>
      </c>
      <c r="Q43" s="177" t="s">
        <v>458</v>
      </c>
      <c r="R43" s="177" t="s">
        <v>128</v>
      </c>
      <c r="S43" s="177" t="s">
        <v>379</v>
      </c>
      <c r="T43" s="177" t="s">
        <v>126</v>
      </c>
      <c r="U43" s="177" t="s">
        <v>134</v>
      </c>
    </row>
    <row r="44" spans="4:24">
      <c r="G44" s="258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8"/>
      <c r="O44" s="177" t="s">
        <v>429</v>
      </c>
      <c r="P44" s="177" t="s">
        <v>429</v>
      </c>
      <c r="Q44" s="177" t="s">
        <v>462</v>
      </c>
      <c r="R44" s="177" t="s">
        <v>128</v>
      </c>
      <c r="S44" s="177" t="s">
        <v>379</v>
      </c>
      <c r="T44" s="177" t="s">
        <v>126</v>
      </c>
      <c r="U44" s="177" t="s">
        <v>134</v>
      </c>
    </row>
    <row r="45" spans="4:24">
      <c r="G45" s="177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8"/>
      <c r="O45" s="177" t="s">
        <v>466</v>
      </c>
      <c r="P45" s="177" t="s">
        <v>466</v>
      </c>
      <c r="Q45" s="177" t="s">
        <v>467</v>
      </c>
      <c r="R45" s="177" t="s">
        <v>128</v>
      </c>
      <c r="S45" s="177" t="s">
        <v>379</v>
      </c>
      <c r="T45" s="177" t="s">
        <v>126</v>
      </c>
      <c r="U45" s="177" t="s">
        <v>134</v>
      </c>
    </row>
    <row r="46" spans="4:24">
      <c r="G46" s="177" t="s">
        <v>437</v>
      </c>
      <c r="H46" s="177" t="s">
        <v>105</v>
      </c>
      <c r="I46" s="177" t="s">
        <v>440</v>
      </c>
      <c r="J46" s="177"/>
      <c r="K46" s="177" t="s">
        <v>448</v>
      </c>
      <c r="L46" s="177"/>
      <c r="M46" s="258"/>
      <c r="O46" s="177" t="s">
        <v>475</v>
      </c>
      <c r="P46" s="177" t="s">
        <v>475</v>
      </c>
      <c r="Q46" s="177" t="s">
        <v>476</v>
      </c>
      <c r="R46" s="177" t="s">
        <v>128</v>
      </c>
      <c r="S46" s="177" t="s">
        <v>379</v>
      </c>
      <c r="T46" s="177"/>
      <c r="U46" t="s">
        <v>118</v>
      </c>
    </row>
    <row r="47" spans="4:24">
      <c r="G47" s="177" t="s">
        <v>437</v>
      </c>
      <c r="H47" s="177" t="s">
        <v>104</v>
      </c>
      <c r="I47" s="177" t="s">
        <v>466</v>
      </c>
      <c r="K47" s="177"/>
      <c r="L47" s="177"/>
      <c r="M47" s="258"/>
      <c r="O47" s="258" t="s">
        <v>477</v>
      </c>
      <c r="P47" s="258" t="s">
        <v>190</v>
      </c>
      <c r="Q47" s="258" t="s">
        <v>477</v>
      </c>
      <c r="R47" s="257" t="s">
        <v>128</v>
      </c>
      <c r="S47" s="258" t="s">
        <v>379</v>
      </c>
      <c r="T47" s="257" t="s">
        <v>126</v>
      </c>
      <c r="U47" s="257" t="s">
        <v>134</v>
      </c>
    </row>
    <row r="48" spans="4:24">
      <c r="G48" s="258" t="s">
        <v>437</v>
      </c>
      <c r="H48" s="258" t="s">
        <v>104</v>
      </c>
      <c r="I48" s="258" t="s">
        <v>566</v>
      </c>
      <c r="J48" s="257"/>
      <c r="K48" s="258"/>
      <c r="L48" s="258"/>
      <c r="M48" s="258"/>
      <c r="O48" s="177" t="s">
        <v>478</v>
      </c>
      <c r="P48" s="177" t="s">
        <v>190</v>
      </c>
      <c r="Q48" s="177" t="s">
        <v>478</v>
      </c>
      <c r="R48" t="s">
        <v>128</v>
      </c>
      <c r="S48" s="177" t="s">
        <v>379</v>
      </c>
      <c r="T48" t="s">
        <v>126</v>
      </c>
      <c r="U48" t="s">
        <v>134</v>
      </c>
    </row>
    <row r="49" spans="7:21">
      <c r="G49" s="177" t="s">
        <v>437</v>
      </c>
      <c r="H49" s="177" t="s">
        <v>104</v>
      </c>
      <c r="I49" s="177" t="s">
        <v>360</v>
      </c>
      <c r="K49" s="177"/>
      <c r="L49" s="177"/>
      <c r="M49" s="258"/>
      <c r="O49" s="177" t="s">
        <v>479</v>
      </c>
      <c r="P49" s="177" t="s">
        <v>190</v>
      </c>
      <c r="Q49" s="177" t="s">
        <v>479</v>
      </c>
      <c r="R49" t="s">
        <v>128</v>
      </c>
      <c r="S49" s="177" t="s">
        <v>379</v>
      </c>
      <c r="T49" t="s">
        <v>126</v>
      </c>
      <c r="U49" t="s">
        <v>134</v>
      </c>
    </row>
    <row r="50" spans="7:21">
      <c r="G50" s="177" t="s">
        <v>437</v>
      </c>
      <c r="H50" s="177" t="s">
        <v>104</v>
      </c>
      <c r="I50" s="177" t="s">
        <v>373</v>
      </c>
      <c r="J50" t="s">
        <v>454</v>
      </c>
      <c r="K50" s="177"/>
      <c r="L50" s="177" t="s">
        <v>448</v>
      </c>
      <c r="M50" s="258"/>
      <c r="O50" s="177" t="s">
        <v>480</v>
      </c>
      <c r="P50" s="177" t="s">
        <v>190</v>
      </c>
      <c r="Q50" s="177" t="s">
        <v>480</v>
      </c>
      <c r="R50" t="s">
        <v>128</v>
      </c>
      <c r="S50" s="177" t="s">
        <v>379</v>
      </c>
      <c r="T50" t="s">
        <v>126</v>
      </c>
      <c r="U50" t="s">
        <v>134</v>
      </c>
    </row>
    <row r="51" spans="7:21">
      <c r="G51" s="177" t="s">
        <v>437</v>
      </c>
      <c r="H51" s="177" t="s">
        <v>105</v>
      </c>
      <c r="I51" s="177" t="s">
        <v>440</v>
      </c>
      <c r="J51" s="177"/>
      <c r="K51" s="177" t="s">
        <v>449</v>
      </c>
      <c r="L51" s="177"/>
      <c r="M51" s="258"/>
      <c r="O51" s="177" t="s">
        <v>481</v>
      </c>
      <c r="P51" s="177" t="s">
        <v>190</v>
      </c>
      <c r="Q51" s="177" t="s">
        <v>481</v>
      </c>
      <c r="R51" t="s">
        <v>128</v>
      </c>
      <c r="S51" s="177" t="s">
        <v>379</v>
      </c>
      <c r="T51" t="s">
        <v>126</v>
      </c>
      <c r="U51" t="s">
        <v>134</v>
      </c>
    </row>
    <row r="52" spans="7:21">
      <c r="G52" s="177" t="s">
        <v>437</v>
      </c>
      <c r="H52" s="177" t="s">
        <v>104</v>
      </c>
      <c r="I52" s="177" t="s">
        <v>456</v>
      </c>
      <c r="K52" s="177"/>
      <c r="L52" s="177"/>
      <c r="M52" s="258"/>
      <c r="O52" s="258" t="s">
        <v>511</v>
      </c>
      <c r="P52" s="258" t="s">
        <v>511</v>
      </c>
      <c r="Q52" s="258" t="s">
        <v>512</v>
      </c>
      <c r="R52" s="257" t="s">
        <v>128</v>
      </c>
      <c r="S52" s="258" t="s">
        <v>379</v>
      </c>
      <c r="T52" s="257" t="s">
        <v>126</v>
      </c>
      <c r="U52" s="257" t="s">
        <v>134</v>
      </c>
    </row>
    <row r="53" spans="7:21">
      <c r="G53" s="177" t="s">
        <v>437</v>
      </c>
      <c r="H53" s="177" t="s">
        <v>104</v>
      </c>
      <c r="I53" s="177" t="s">
        <v>429</v>
      </c>
      <c r="J53" t="s">
        <v>454</v>
      </c>
      <c r="K53" s="177"/>
      <c r="L53" s="177" t="s">
        <v>449</v>
      </c>
      <c r="M53" s="258"/>
      <c r="O53" s="258" t="s">
        <v>519</v>
      </c>
      <c r="P53" s="258" t="s">
        <v>519</v>
      </c>
      <c r="Q53" s="258" t="s">
        <v>520</v>
      </c>
      <c r="R53" s="257" t="s">
        <v>128</v>
      </c>
      <c r="S53" s="258" t="s">
        <v>379</v>
      </c>
      <c r="T53" s="257" t="s">
        <v>126</v>
      </c>
      <c r="U53" s="257" t="s">
        <v>134</v>
      </c>
    </row>
    <row r="54" spans="7:21">
      <c r="G54" s="177" t="s">
        <v>437</v>
      </c>
      <c r="H54" s="177" t="s">
        <v>105</v>
      </c>
      <c r="I54" s="177" t="s">
        <v>440</v>
      </c>
      <c r="J54" s="177"/>
      <c r="K54" s="177" t="s">
        <v>450</v>
      </c>
      <c r="L54" s="177"/>
      <c r="M54" s="258"/>
      <c r="O54" s="258" t="s">
        <v>525</v>
      </c>
      <c r="P54" s="258" t="s">
        <v>429</v>
      </c>
      <c r="Q54" s="258" t="s">
        <v>462</v>
      </c>
      <c r="R54" s="257" t="s">
        <v>128</v>
      </c>
      <c r="S54" s="258" t="s">
        <v>379</v>
      </c>
      <c r="T54" s="257" t="s">
        <v>126</v>
      </c>
      <c r="U54" s="257" t="s">
        <v>134</v>
      </c>
    </row>
    <row r="55" spans="7:21">
      <c r="G55" s="258" t="s">
        <v>437</v>
      </c>
      <c r="H55" s="258" t="s">
        <v>104</v>
      </c>
      <c r="I55" s="258" t="s">
        <v>383</v>
      </c>
      <c r="J55" s="258"/>
      <c r="K55" s="258"/>
      <c r="L55" s="258"/>
      <c r="M55" s="258"/>
      <c r="O55" s="258" t="s">
        <v>529</v>
      </c>
      <c r="P55" s="258" t="s">
        <v>529</v>
      </c>
      <c r="Q55" s="258" t="s">
        <v>530</v>
      </c>
      <c r="R55" s="258" t="s">
        <v>128</v>
      </c>
      <c r="S55" s="258" t="s">
        <v>379</v>
      </c>
      <c r="T55" s="258"/>
      <c r="U55" s="257" t="s">
        <v>118</v>
      </c>
    </row>
    <row r="56" spans="7:21">
      <c r="G56" s="258" t="s">
        <v>437</v>
      </c>
      <c r="H56" s="258" t="s">
        <v>104</v>
      </c>
      <c r="I56" s="258" t="s">
        <v>566</v>
      </c>
      <c r="J56" s="258"/>
      <c r="K56" s="258"/>
      <c r="L56" s="258"/>
      <c r="M56" s="258"/>
      <c r="O56" s="258" t="s">
        <v>528</v>
      </c>
      <c r="P56" s="258" t="s">
        <v>190</v>
      </c>
      <c r="Q56" s="258" t="s">
        <v>528</v>
      </c>
      <c r="R56" s="257" t="s">
        <v>128</v>
      </c>
      <c r="S56" s="258" t="s">
        <v>379</v>
      </c>
      <c r="T56" s="257" t="s">
        <v>126</v>
      </c>
      <c r="U56" s="257" t="s">
        <v>134</v>
      </c>
    </row>
    <row r="57" spans="7:21">
      <c r="G57" s="177" t="s">
        <v>451</v>
      </c>
      <c r="H57" s="177" t="s">
        <v>105</v>
      </c>
      <c r="I57" s="177" t="s">
        <v>440</v>
      </c>
      <c r="J57" s="177"/>
      <c r="K57" s="177" t="s">
        <v>451</v>
      </c>
      <c r="L57" s="177"/>
      <c r="M57" s="258"/>
      <c r="O57" s="258" t="s">
        <v>535</v>
      </c>
      <c r="P57" s="258" t="s">
        <v>190</v>
      </c>
      <c r="Q57" s="258" t="s">
        <v>535</v>
      </c>
      <c r="R57" s="257" t="s">
        <v>128</v>
      </c>
      <c r="S57" s="258" t="s">
        <v>379</v>
      </c>
      <c r="T57" s="257" t="s">
        <v>126</v>
      </c>
      <c r="U57" s="257" t="s">
        <v>134</v>
      </c>
    </row>
    <row r="58" spans="7:21">
      <c r="G58" s="177" t="s">
        <v>451</v>
      </c>
      <c r="H58" s="177" t="s">
        <v>104</v>
      </c>
      <c r="I58" s="177" t="s">
        <v>452</v>
      </c>
      <c r="J58" s="177"/>
      <c r="K58" s="177"/>
      <c r="L58" s="177"/>
      <c r="M58" s="258"/>
      <c r="O58" s="258" t="s">
        <v>541</v>
      </c>
      <c r="P58" s="258"/>
      <c r="Q58" s="258"/>
      <c r="R58" s="258"/>
      <c r="S58" s="258" t="s">
        <v>379</v>
      </c>
      <c r="T58" s="257" t="s">
        <v>126</v>
      </c>
      <c r="U58" s="258" t="s">
        <v>304</v>
      </c>
    </row>
    <row r="59" spans="7:21">
      <c r="G59" s="177" t="s">
        <v>429</v>
      </c>
      <c r="H59" s="177" t="s">
        <v>104</v>
      </c>
      <c r="I59" s="177" t="s">
        <v>429</v>
      </c>
      <c r="J59" s="177"/>
      <c r="K59" s="177"/>
      <c r="L59" s="177"/>
      <c r="M59" s="258"/>
      <c r="O59" s="258" t="s">
        <v>545</v>
      </c>
      <c r="P59" s="258" t="s">
        <v>545</v>
      </c>
      <c r="Q59" s="258" t="s">
        <v>546</v>
      </c>
      <c r="R59" s="257" t="s">
        <v>128</v>
      </c>
      <c r="S59" s="258" t="s">
        <v>379</v>
      </c>
      <c r="T59" s="258"/>
      <c r="U59" s="257" t="s">
        <v>118</v>
      </c>
    </row>
    <row r="60" spans="7:21">
      <c r="G60" s="177" t="s">
        <v>466</v>
      </c>
      <c r="H60" s="177" t="s">
        <v>104</v>
      </c>
      <c r="I60" s="177" t="s">
        <v>466</v>
      </c>
      <c r="J60" s="177"/>
      <c r="K60" s="177"/>
      <c r="L60" s="177"/>
      <c r="M60" s="258"/>
      <c r="O60" s="258" t="s">
        <v>541</v>
      </c>
      <c r="P60" s="258"/>
      <c r="Q60" s="258"/>
      <c r="R60" s="258"/>
      <c r="S60" s="258" t="s">
        <v>379</v>
      </c>
      <c r="T60" s="258" t="s">
        <v>126</v>
      </c>
      <c r="U60" s="258" t="s">
        <v>304</v>
      </c>
    </row>
    <row r="61" spans="7:21">
      <c r="G61" s="177" t="s">
        <v>475</v>
      </c>
      <c r="H61" s="177" t="s">
        <v>104</v>
      </c>
      <c r="I61" s="177" t="s">
        <v>475</v>
      </c>
      <c r="J61" s="177"/>
      <c r="K61" s="177"/>
      <c r="L61" s="177"/>
      <c r="M61" s="258"/>
      <c r="O61" s="258" t="s">
        <v>547</v>
      </c>
      <c r="P61" s="258" t="s">
        <v>190</v>
      </c>
      <c r="Q61" s="258" t="s">
        <v>547</v>
      </c>
      <c r="R61" s="257" t="s">
        <v>128</v>
      </c>
      <c r="S61" s="258" t="s">
        <v>379</v>
      </c>
      <c r="T61" s="257" t="s">
        <v>126</v>
      </c>
      <c r="U61" s="257" t="s">
        <v>134</v>
      </c>
    </row>
    <row r="62" spans="7:21">
      <c r="G62" s="258" t="s">
        <v>511</v>
      </c>
      <c r="H62" s="258" t="s">
        <v>104</v>
      </c>
      <c r="I62" s="258" t="s">
        <v>511</v>
      </c>
      <c r="J62" s="258"/>
      <c r="K62" s="258"/>
      <c r="L62" s="258"/>
      <c r="M62" s="258"/>
      <c r="O62" s="258" t="s">
        <v>556</v>
      </c>
      <c r="P62" s="258" t="s">
        <v>190</v>
      </c>
      <c r="Q62" s="258" t="s">
        <v>556</v>
      </c>
      <c r="R62" s="258" t="s">
        <v>128</v>
      </c>
      <c r="S62" s="258" t="s">
        <v>379</v>
      </c>
      <c r="T62" s="258" t="s">
        <v>126</v>
      </c>
      <c r="U62" s="258" t="s">
        <v>134</v>
      </c>
    </row>
    <row r="63" spans="7:21">
      <c r="G63" s="258" t="s">
        <v>519</v>
      </c>
      <c r="H63" s="258" t="s">
        <v>104</v>
      </c>
      <c r="I63" s="258" t="s">
        <v>519</v>
      </c>
      <c r="J63" s="258"/>
      <c r="K63" s="258"/>
      <c r="L63" s="258"/>
      <c r="M63" s="258"/>
      <c r="O63" s="258" t="s">
        <v>560</v>
      </c>
      <c r="P63" s="258" t="s">
        <v>190</v>
      </c>
      <c r="Q63" s="258" t="s">
        <v>560</v>
      </c>
      <c r="R63" s="258" t="s">
        <v>128</v>
      </c>
      <c r="S63" s="258" t="s">
        <v>379</v>
      </c>
      <c r="T63" s="258" t="s">
        <v>126</v>
      </c>
      <c r="U63" s="258" t="s">
        <v>134</v>
      </c>
    </row>
    <row r="64" spans="7:21">
      <c r="G64" s="258" t="s">
        <v>525</v>
      </c>
      <c r="H64" s="258" t="s">
        <v>104</v>
      </c>
      <c r="I64" s="258" t="s">
        <v>525</v>
      </c>
      <c r="J64" s="258"/>
      <c r="K64" s="258"/>
      <c r="L64" s="258"/>
      <c r="M64" s="258"/>
      <c r="O64" s="258" t="s">
        <v>566</v>
      </c>
      <c r="P64" s="258" t="s">
        <v>566</v>
      </c>
      <c r="Q64" s="258" t="s">
        <v>572</v>
      </c>
      <c r="R64" s="258" t="s">
        <v>128</v>
      </c>
      <c r="S64" s="258" t="s">
        <v>379</v>
      </c>
      <c r="T64" s="258" t="s">
        <v>126</v>
      </c>
      <c r="U64" s="258" t="s">
        <v>134</v>
      </c>
    </row>
    <row r="65" spans="7:21">
      <c r="G65" s="258" t="s">
        <v>529</v>
      </c>
      <c r="H65" s="258" t="s">
        <v>104</v>
      </c>
      <c r="I65" s="258" t="s">
        <v>529</v>
      </c>
      <c r="J65" s="258"/>
      <c r="K65" s="258"/>
      <c r="L65" s="258"/>
      <c r="M65" s="258"/>
      <c r="O65" s="258" t="s">
        <v>582</v>
      </c>
      <c r="P65" s="258" t="s">
        <v>582</v>
      </c>
      <c r="Q65" s="258" t="s">
        <v>584</v>
      </c>
      <c r="R65" s="258" t="s">
        <v>128</v>
      </c>
      <c r="S65" s="258" t="s">
        <v>379</v>
      </c>
      <c r="T65" s="258" t="s">
        <v>126</v>
      </c>
      <c r="U65" s="258" t="s">
        <v>134</v>
      </c>
    </row>
    <row r="66" spans="7:21">
      <c r="G66" s="258" t="s">
        <v>545</v>
      </c>
      <c r="H66" s="258" t="s">
        <v>104</v>
      </c>
      <c r="I66" s="258" t="s">
        <v>545</v>
      </c>
      <c r="J66" s="258"/>
      <c r="K66" s="258"/>
      <c r="L66" s="258"/>
      <c r="M66" s="258"/>
    </row>
    <row r="67" spans="7:21">
      <c r="G67" s="258" t="s">
        <v>452</v>
      </c>
      <c r="H67" s="258" t="s">
        <v>104</v>
      </c>
      <c r="I67" s="258" t="s">
        <v>452</v>
      </c>
      <c r="J67" s="258"/>
      <c r="K67" s="258"/>
      <c r="L67" s="258"/>
      <c r="M67" s="258"/>
    </row>
    <row r="68" spans="7:21">
      <c r="G68" s="258" t="s">
        <v>566</v>
      </c>
      <c r="H68" s="258" t="s">
        <v>104</v>
      </c>
      <c r="I68" s="258" t="s">
        <v>566</v>
      </c>
      <c r="J68" s="258"/>
      <c r="K68" s="258"/>
      <c r="L68" s="258"/>
      <c r="M68" s="258"/>
    </row>
    <row r="69" spans="7:21">
      <c r="G69" s="258" t="s">
        <v>581</v>
      </c>
      <c r="H69" s="258" t="s">
        <v>105</v>
      </c>
      <c r="I69" s="258" t="s">
        <v>581</v>
      </c>
      <c r="J69" s="258"/>
      <c r="K69" s="258"/>
      <c r="L69" s="258"/>
      <c r="M69" s="258"/>
    </row>
    <row r="70" spans="7:21">
      <c r="G70" s="258" t="s">
        <v>582</v>
      </c>
      <c r="H70" s="258" t="s">
        <v>104</v>
      </c>
      <c r="I70" s="258" t="s">
        <v>582</v>
      </c>
      <c r="J70" s="258"/>
      <c r="K70" s="258"/>
      <c r="L70" s="258"/>
      <c r="M70" s="258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3:E15 E19:E21 E3 E24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W3:W35 X4:X11">
      <formula1>INDIRECT("Reports[Code]")</formula1>
    </dataValidation>
    <dataValidation type="list" allowBlank="1" showInputMessage="1" showErrorMessage="1" sqref="AA3:AA15">
      <formula1>INDIRECT("ProgramTypes[Code]")</formula1>
    </dataValidation>
    <dataValidation type="list" allowBlank="1" showInputMessage="1" showErrorMessage="1" sqref="AC3:AC15">
      <formula1>INDIRECT("ReturnTypes[Code]")</formula1>
    </dataValidation>
    <dataValidation type="list" allowBlank="1" showInputMessage="1" showErrorMessage="1" sqref="R3:R65">
      <formula1>INDIRECT("CreateModes[Code]")</formula1>
    </dataValidation>
    <dataValidation type="list" allowBlank="1" showInputMessage="1" showErrorMessage="1" sqref="U3:U65">
      <formula1>INDIRECT("ReportTypes[Code]")</formula1>
    </dataValidation>
    <dataValidation type="list" allowBlank="1" showInputMessage="1" showErrorMessage="1" sqref="T3:T65">
      <formula1>INDIRECT("Programs[Code]")</formula1>
    </dataValidation>
    <dataValidation type="list" allowBlank="1" showInputMessage="1" showErrorMessage="1" sqref="J3:J70">
      <formula1>INDIRECT("AfterAction")</formula1>
    </dataValidation>
    <dataValidation type="list" allowBlank="1" showInputMessage="1" showErrorMessage="1" sqref="H3:H70">
      <formula1>INDIRECT("ActionTypes[Code]")</formula1>
    </dataValidation>
    <dataValidation type="list" allowBlank="1" showInputMessage="1" showErrorMessage="1" sqref="AH3:AH32">
      <formula1>INDIRECT("Direction[Code]")</formula1>
    </dataValidation>
    <dataValidation type="list" allowBlank="1" showInputMessage="1" showErrorMessage="1" sqref="AL3:AL32 AJ3:AJ32">
      <formula1>INDIRECT("YesNo[Code]")</formula1>
    </dataValidation>
    <dataValidation type="whole" allowBlank="1" showInputMessage="1" showErrorMessage="1" sqref="AK3:AK32">
      <formula1>1</formula1>
      <formula2>32767</formula2>
    </dataValidation>
    <dataValidation type="list" allowBlank="1" showInputMessage="1" showErrorMessage="1" sqref="M3:M70">
      <formula1>$BB$3:$BB$4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36" t="s">
        <v>346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185"/>
    </row>
    <row r="3" spans="1:15" ht="15" customHeight="1">
      <c r="A3" s="342" t="s">
        <v>355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</row>
    <row r="4" spans="1:15" ht="37.5" customHeight="1">
      <c r="A4" s="345" t="s">
        <v>329</v>
      </c>
      <c r="B4" s="345" t="s">
        <v>347</v>
      </c>
      <c r="C4" s="343" t="s">
        <v>350</v>
      </c>
      <c r="D4" s="349"/>
      <c r="E4" s="345" t="s">
        <v>97</v>
      </c>
      <c r="F4" s="343" t="s">
        <v>576</v>
      </c>
      <c r="G4" s="344"/>
      <c r="H4" s="344"/>
      <c r="I4" s="344"/>
      <c r="J4" s="343" t="s">
        <v>577</v>
      </c>
      <c r="K4" s="344"/>
      <c r="L4" s="344"/>
      <c r="M4" s="344"/>
      <c r="N4" s="345" t="s">
        <v>351</v>
      </c>
      <c r="O4" s="347" t="s">
        <v>352</v>
      </c>
    </row>
    <row r="5" spans="1:15" ht="33.75" customHeight="1">
      <c r="A5" s="346"/>
      <c r="B5" s="346"/>
      <c r="C5" s="184" t="s">
        <v>348</v>
      </c>
      <c r="D5" s="184" t="s">
        <v>349</v>
      </c>
      <c r="E5" s="346"/>
      <c r="F5" s="293" t="s">
        <v>1</v>
      </c>
      <c r="G5" s="293" t="s">
        <v>2</v>
      </c>
      <c r="H5" s="293" t="s">
        <v>82</v>
      </c>
      <c r="I5" s="293" t="s">
        <v>69</v>
      </c>
      <c r="J5" s="293" t="s">
        <v>1</v>
      </c>
      <c r="K5" s="293" t="s">
        <v>2</v>
      </c>
      <c r="L5" s="293" t="s">
        <v>82</v>
      </c>
      <c r="M5" s="293" t="s">
        <v>69</v>
      </c>
      <c r="N5" s="346"/>
      <c r="O5" s="348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75" t="s">
        <v>354</v>
      </c>
      <c r="B7" s="109"/>
      <c r="C7" s="109"/>
      <c r="D7" s="109"/>
      <c r="E7" s="182"/>
      <c r="F7" s="183"/>
      <c r="G7" s="183"/>
      <c r="H7" s="183"/>
      <c r="I7" s="183"/>
      <c r="J7" s="183"/>
      <c r="K7" s="183"/>
      <c r="L7" s="183"/>
      <c r="M7" s="183"/>
      <c r="N7" s="267"/>
      <c r="O7" s="267"/>
    </row>
    <row r="8" spans="1:15">
      <c r="A8" s="182"/>
      <c r="B8" s="109" t="s">
        <v>218</v>
      </c>
      <c r="C8" s="109"/>
      <c r="D8" s="109"/>
      <c r="E8" s="182"/>
      <c r="F8" s="182"/>
      <c r="G8" s="182"/>
      <c r="H8" s="182"/>
      <c r="I8" s="182"/>
      <c r="J8" s="182"/>
      <c r="K8" s="182"/>
      <c r="L8" s="182"/>
      <c r="M8" s="182"/>
      <c r="N8" s="183"/>
      <c r="O8" s="109"/>
    </row>
    <row r="11" spans="1:15" ht="15" customHeight="1">
      <c r="A11" s="342" t="s">
        <v>356</v>
      </c>
      <c r="B11" s="342"/>
      <c r="C11" s="342"/>
      <c r="D11" s="342"/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O11" s="342"/>
    </row>
    <row r="12" spans="1:15" s="257" customFormat="1" ht="37.5" customHeight="1">
      <c r="A12" s="345" t="s">
        <v>329</v>
      </c>
      <c r="B12" s="345" t="s">
        <v>347</v>
      </c>
      <c r="C12" s="343" t="s">
        <v>350</v>
      </c>
      <c r="D12" s="349"/>
      <c r="E12" s="345" t="s">
        <v>97</v>
      </c>
      <c r="F12" s="343" t="s">
        <v>576</v>
      </c>
      <c r="G12" s="344"/>
      <c r="H12" s="344"/>
      <c r="I12" s="344"/>
      <c r="J12" s="343" t="s">
        <v>578</v>
      </c>
      <c r="K12" s="344"/>
      <c r="L12" s="344"/>
      <c r="M12" s="344"/>
      <c r="N12" s="345" t="s">
        <v>351</v>
      </c>
      <c r="O12" s="347" t="s">
        <v>352</v>
      </c>
    </row>
    <row r="13" spans="1:15" s="257" customFormat="1" ht="33.75" customHeight="1">
      <c r="A13" s="346"/>
      <c r="B13" s="346"/>
      <c r="C13" s="184" t="s">
        <v>348</v>
      </c>
      <c r="D13" s="184"/>
      <c r="E13" s="346"/>
      <c r="F13" s="293" t="s">
        <v>1</v>
      </c>
      <c r="G13" s="293" t="s">
        <v>2</v>
      </c>
      <c r="H13" s="293" t="s">
        <v>82</v>
      </c>
      <c r="I13" s="293" t="s">
        <v>69</v>
      </c>
      <c r="J13" s="293" t="s">
        <v>1</v>
      </c>
      <c r="K13" s="293" t="s">
        <v>2</v>
      </c>
      <c r="L13" s="293" t="s">
        <v>82</v>
      </c>
      <c r="M13" s="293" t="s">
        <v>69</v>
      </c>
      <c r="N13" s="346"/>
      <c r="O13" s="348"/>
    </row>
    <row r="14" spans="1:15" s="257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7" customFormat="1">
      <c r="A15" s="275" t="s">
        <v>357</v>
      </c>
      <c r="B15" s="109"/>
      <c r="C15" s="109"/>
      <c r="D15" s="109"/>
      <c r="E15" s="182"/>
      <c r="F15" s="183"/>
      <c r="G15" s="183"/>
      <c r="H15" s="183"/>
      <c r="I15" s="183"/>
      <c r="J15" s="183"/>
      <c r="K15" s="183"/>
      <c r="L15" s="183"/>
      <c r="M15" s="183"/>
      <c r="N15" s="267"/>
      <c r="O15" s="267"/>
    </row>
    <row r="16" spans="1:15" s="257" customFormat="1">
      <c r="A16" s="182"/>
      <c r="B16" s="109" t="s">
        <v>218</v>
      </c>
      <c r="C16" s="109"/>
      <c r="D16" s="109"/>
      <c r="E16" s="182"/>
      <c r="F16" s="182"/>
      <c r="G16" s="182"/>
      <c r="H16" s="182"/>
      <c r="I16" s="182"/>
      <c r="J16" s="182"/>
      <c r="K16" s="182"/>
      <c r="L16" s="182"/>
      <c r="M16" s="182"/>
      <c r="N16" s="183"/>
      <c r="O16" s="109"/>
    </row>
    <row r="19" spans="1:15" ht="15" customHeight="1">
      <c r="A19" s="342" t="s">
        <v>358</v>
      </c>
      <c r="B19" s="342"/>
      <c r="C19" s="342"/>
      <c r="D19" s="342"/>
      <c r="E19" s="342"/>
      <c r="F19" s="342"/>
      <c r="G19" s="342"/>
      <c r="H19" s="342"/>
      <c r="I19" s="342"/>
      <c r="J19" s="342"/>
      <c r="K19" s="342"/>
      <c r="L19" s="342"/>
      <c r="M19" s="342"/>
      <c r="N19" s="342"/>
      <c r="O19" s="342"/>
    </row>
    <row r="20" spans="1:15" s="257" customFormat="1" ht="37.5" customHeight="1">
      <c r="A20" s="345" t="s">
        <v>329</v>
      </c>
      <c r="B20" s="345" t="s">
        <v>347</v>
      </c>
      <c r="C20" s="343" t="s">
        <v>350</v>
      </c>
      <c r="D20" s="349"/>
      <c r="E20" s="345" t="s">
        <v>97</v>
      </c>
      <c r="F20" s="343" t="s">
        <v>576</v>
      </c>
      <c r="G20" s="344"/>
      <c r="H20" s="344"/>
      <c r="I20" s="344"/>
      <c r="J20" s="343" t="s">
        <v>578</v>
      </c>
      <c r="K20" s="344"/>
      <c r="L20" s="344"/>
      <c r="M20" s="344"/>
      <c r="N20" s="345" t="s">
        <v>351</v>
      </c>
      <c r="O20" s="347" t="s">
        <v>352</v>
      </c>
    </row>
    <row r="21" spans="1:15" s="257" customFormat="1" ht="33.75" customHeight="1">
      <c r="A21" s="346"/>
      <c r="B21" s="346"/>
      <c r="C21" s="184" t="s">
        <v>348</v>
      </c>
      <c r="D21" s="184"/>
      <c r="E21" s="346"/>
      <c r="F21" s="293" t="s">
        <v>1</v>
      </c>
      <c r="G21" s="293" t="s">
        <v>2</v>
      </c>
      <c r="H21" s="293" t="s">
        <v>82</v>
      </c>
      <c r="I21" s="293" t="s">
        <v>69</v>
      </c>
      <c r="J21" s="293" t="s">
        <v>1</v>
      </c>
      <c r="K21" s="293" t="s">
        <v>2</v>
      </c>
      <c r="L21" s="293" t="s">
        <v>82</v>
      </c>
      <c r="M21" s="293" t="s">
        <v>69</v>
      </c>
      <c r="N21" s="346"/>
      <c r="O21" s="348"/>
    </row>
    <row r="22" spans="1:15" s="257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7" customFormat="1">
      <c r="A23" s="275" t="s">
        <v>362</v>
      </c>
      <c r="B23" s="109"/>
      <c r="C23" s="109"/>
      <c r="D23" s="109"/>
      <c r="E23" s="182"/>
      <c r="F23" s="183"/>
      <c r="G23" s="183"/>
      <c r="H23" s="183"/>
      <c r="I23" s="183"/>
      <c r="J23" s="183"/>
      <c r="K23" s="183"/>
      <c r="L23" s="183"/>
      <c r="M23" s="183"/>
      <c r="N23" s="267"/>
      <c r="O23" s="267"/>
    </row>
    <row r="24" spans="1:15" s="257" customFormat="1">
      <c r="A24" s="182"/>
      <c r="B24" s="109" t="s">
        <v>218</v>
      </c>
      <c r="C24" s="109"/>
      <c r="D24" s="109"/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109"/>
    </row>
  </sheetData>
  <mergeCells count="28">
    <mergeCell ref="B20:B21"/>
    <mergeCell ref="C20:D20"/>
    <mergeCell ref="E20:E21"/>
    <mergeCell ref="F20:I20"/>
    <mergeCell ref="A1:M1"/>
    <mergeCell ref="N4:N5"/>
    <mergeCell ref="O4:O5"/>
    <mergeCell ref="B4:B5"/>
    <mergeCell ref="C4:D4"/>
    <mergeCell ref="E4:E5"/>
    <mergeCell ref="F4:I4"/>
    <mergeCell ref="J4:M4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12:N13"/>
    <mergeCell ref="O12:O13"/>
    <mergeCell ref="A12:A13"/>
    <mergeCell ref="E12:E13"/>
    <mergeCell ref="A20:A21"/>
  </mergeCells>
  <conditionalFormatting sqref="J7">
    <cfRule type="expression" dxfId="314" priority="14">
      <formula>F7&lt;&gt;J7</formula>
    </cfRule>
  </conditionalFormatting>
  <conditionalFormatting sqref="K7">
    <cfRule type="expression" dxfId="313" priority="11">
      <formula>G7&lt;&gt;K7</formula>
    </cfRule>
  </conditionalFormatting>
  <conditionalFormatting sqref="L7">
    <cfRule type="expression" dxfId="312" priority="10">
      <formula>H7&lt;&gt;L7</formula>
    </cfRule>
  </conditionalFormatting>
  <conditionalFormatting sqref="M7">
    <cfRule type="expression" dxfId="311" priority="9">
      <formula>I7&lt;&gt;M7</formula>
    </cfRule>
  </conditionalFormatting>
  <conditionalFormatting sqref="J15">
    <cfRule type="expression" dxfId="310" priority="8">
      <formula>F15&lt;&gt;J15</formula>
    </cfRule>
  </conditionalFormatting>
  <conditionalFormatting sqref="K15">
    <cfRule type="expression" dxfId="309" priority="7">
      <formula>G15&lt;&gt;K15</formula>
    </cfRule>
  </conditionalFormatting>
  <conditionalFormatting sqref="L15">
    <cfRule type="expression" dxfId="308" priority="6">
      <formula>H15&lt;&gt;L15</formula>
    </cfRule>
  </conditionalFormatting>
  <conditionalFormatting sqref="M15">
    <cfRule type="expression" dxfId="307" priority="5">
      <formula>I15&lt;&gt;M15</formula>
    </cfRule>
  </conditionalFormatting>
  <conditionalFormatting sqref="J23">
    <cfRule type="expression" dxfId="306" priority="4">
      <formula>F23&lt;&gt;J23</formula>
    </cfRule>
  </conditionalFormatting>
  <conditionalFormatting sqref="K23">
    <cfRule type="expression" dxfId="305" priority="3">
      <formula>G23&lt;&gt;K23</formula>
    </cfRule>
  </conditionalFormatting>
  <conditionalFormatting sqref="L23">
    <cfRule type="expression" dxfId="304" priority="2">
      <formula>H23&lt;&gt;L23</formula>
    </cfRule>
  </conditionalFormatting>
  <conditionalFormatting sqref="M23">
    <cfRule type="expression" dxfId="303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583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43131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53"/>
      <c r="B8" s="353"/>
      <c r="C8" s="353"/>
      <c r="D8" s="353"/>
      <c r="E8" s="353"/>
    </row>
    <row r="9" spans="1:6" ht="97.5" customHeight="1">
      <c r="A9" s="44"/>
      <c r="B9" s="354" t="s">
        <v>589</v>
      </c>
      <c r="C9" s="355"/>
      <c r="D9" s="355"/>
      <c r="E9" s="44"/>
    </row>
    <row r="10" spans="1:6" s="43" customFormat="1" ht="14.25" customHeight="1">
      <c r="A10" s="353"/>
      <c r="B10" s="353"/>
      <c r="C10" s="353"/>
      <c r="D10" s="353"/>
      <c r="E10" s="353"/>
    </row>
    <row r="11" spans="1:6" hidden="1">
      <c r="A11" s="350"/>
      <c r="B11" s="351"/>
      <c r="C11" s="351"/>
      <c r="D11" s="351"/>
      <c r="E11" s="3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7" customWidth="1"/>
    <col min="3" max="3" width="10.140625" style="257" customWidth="1"/>
    <col min="4" max="4" width="8.28515625" style="257" customWidth="1"/>
    <col min="5" max="6" width="11.140625" customWidth="1"/>
    <col min="7" max="8" width="7.140625" style="257" customWidth="1"/>
    <col min="9" max="9" width="16.140625" customWidth="1"/>
    <col min="10" max="10" width="11.42578125" customWidth="1"/>
    <col min="11" max="11" width="12.85546875" customWidth="1"/>
    <col min="12" max="12" width="10.28515625" style="257" customWidth="1"/>
    <col min="13" max="13" width="27.42578125" style="257" customWidth="1"/>
    <col min="14" max="14" width="36.5703125" customWidth="1"/>
  </cols>
  <sheetData>
    <row r="1" spans="1:16" ht="75" customHeight="1">
      <c r="A1" s="320" t="s">
        <v>568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242"/>
      <c r="P1" s="242"/>
    </row>
    <row r="2" spans="1:16" ht="45" customHeight="1">
      <c r="A2" s="243" t="s">
        <v>459</v>
      </c>
      <c r="B2" s="243" t="s">
        <v>570</v>
      </c>
      <c r="C2" s="243" t="s">
        <v>482</v>
      </c>
      <c r="D2" s="243" t="s">
        <v>569</v>
      </c>
      <c r="E2" s="243" t="s">
        <v>329</v>
      </c>
      <c r="F2" s="243" t="s">
        <v>430</v>
      </c>
      <c r="G2" s="243" t="s">
        <v>490</v>
      </c>
      <c r="H2" s="243" t="s">
        <v>491</v>
      </c>
      <c r="I2" s="244" t="s">
        <v>364</v>
      </c>
      <c r="J2" s="244" t="s">
        <v>571</v>
      </c>
      <c r="K2" s="244" t="s">
        <v>40</v>
      </c>
      <c r="L2" s="244" t="s">
        <v>57</v>
      </c>
      <c r="M2" s="244" t="s">
        <v>97</v>
      </c>
      <c r="N2" s="244" t="s">
        <v>495</v>
      </c>
    </row>
    <row r="3" spans="1:16">
      <c r="A3" s="291" t="s">
        <v>566</v>
      </c>
      <c r="B3" s="289"/>
      <c r="C3" s="289"/>
      <c r="D3" s="289"/>
      <c r="E3" s="268"/>
      <c r="F3" s="268"/>
      <c r="G3" s="268"/>
      <c r="H3" s="268"/>
      <c r="I3" s="277"/>
      <c r="J3" s="163"/>
      <c r="K3" s="166"/>
      <c r="L3" s="165"/>
      <c r="M3" s="27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20" t="s">
        <v>249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</row>
    <row r="2" spans="1:12" ht="44.25" customHeight="1">
      <c r="A2" s="356" t="s">
        <v>327</v>
      </c>
      <c r="B2" s="356"/>
      <c r="C2" s="356"/>
      <c r="D2" s="356" t="s">
        <v>58</v>
      </c>
      <c r="E2" s="356"/>
      <c r="F2" s="356" t="s">
        <v>62</v>
      </c>
      <c r="G2" s="356" t="s">
        <v>52</v>
      </c>
      <c r="H2" s="356" t="s">
        <v>328</v>
      </c>
      <c r="I2" s="356" t="s">
        <v>329</v>
      </c>
      <c r="J2" s="356" t="s">
        <v>3</v>
      </c>
      <c r="K2" s="356" t="s">
        <v>325</v>
      </c>
      <c r="L2" s="3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56"/>
      <c r="G3" s="356" t="s">
        <v>41</v>
      </c>
      <c r="H3" s="356" t="s">
        <v>325</v>
      </c>
      <c r="I3" s="356"/>
      <c r="J3" s="356"/>
      <c r="K3" s="356"/>
      <c r="L3" s="3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7" t="s">
        <v>251</v>
      </c>
      <c r="B1" s="297"/>
      <c r="C1" s="297"/>
      <c r="D1" s="297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7" t="s">
        <v>252</v>
      </c>
      <c r="B1" s="358"/>
      <c r="C1" s="358"/>
      <c r="D1" s="358"/>
      <c r="E1" s="358"/>
    </row>
    <row r="2" spans="1:6" ht="19.5" customHeight="1">
      <c r="A2" s="359" t="s">
        <v>181</v>
      </c>
      <c r="B2" s="360"/>
      <c r="C2" s="360"/>
      <c r="D2" s="360"/>
      <c r="E2" s="3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40" t="s">
        <v>185</v>
      </c>
      <c r="E8" s="34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40" t="s">
        <v>187</v>
      </c>
      <c r="E11" s="34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62" t="s">
        <v>253</v>
      </c>
      <c r="B1" s="363"/>
      <c r="C1" s="363"/>
      <c r="D1" s="363"/>
      <c r="E1" s="363"/>
      <c r="F1" s="363"/>
      <c r="G1" s="363"/>
      <c r="H1" s="3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9" t="s">
        <v>194</v>
      </c>
      <c r="F7" s="369"/>
      <c r="G7" s="369"/>
      <c r="H7" s="3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70" t="s">
        <v>200</v>
      </c>
      <c r="F11" s="370"/>
      <c r="G11" s="370"/>
      <c r="H11" s="370"/>
    </row>
    <row r="12" spans="1:8">
      <c r="C12" s="53"/>
      <c r="D12" s="85"/>
      <c r="E12" s="366" t="s">
        <v>201</v>
      </c>
      <c r="F12" s="367"/>
      <c r="G12" s="368"/>
      <c r="H12" s="3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65" t="s">
        <v>219</v>
      </c>
      <c r="B22" s="365"/>
      <c r="C22" s="365"/>
      <c r="D22" s="365"/>
      <c r="E22" s="365"/>
      <c r="F22" s="3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6" t="s">
        <v>254</v>
      </c>
      <c r="B1" s="336"/>
      <c r="C1" s="336"/>
      <c r="D1" s="336"/>
      <c r="E1" s="336"/>
      <c r="F1" s="336"/>
      <c r="G1" s="336"/>
      <c r="H1" s="336"/>
      <c r="I1" s="33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7" customWidth="1"/>
    <col min="2" max="2" width="12.140625" style="257" customWidth="1"/>
    <col min="3" max="3" width="10.140625" style="257" customWidth="1"/>
    <col min="4" max="9" width="19.7109375" style="257" customWidth="1"/>
    <col min="10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20" t="s">
        <v>548</v>
      </c>
      <c r="B1" s="320"/>
      <c r="C1" s="320"/>
      <c r="D1" s="320"/>
      <c r="E1" s="320"/>
      <c r="F1" s="320"/>
      <c r="G1" s="320"/>
      <c r="H1" s="320"/>
      <c r="I1" s="320"/>
      <c r="J1" s="242"/>
      <c r="K1" s="242"/>
      <c r="L1" s="242"/>
      <c r="M1" s="242"/>
      <c r="N1" s="242"/>
      <c r="O1" s="242"/>
      <c r="P1" s="242"/>
      <c r="Q1" s="242"/>
      <c r="R1" s="242"/>
    </row>
    <row r="2" spans="1:18" ht="9" customHeight="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42"/>
      <c r="P2" s="242"/>
      <c r="Q2" s="242"/>
      <c r="R2" s="242"/>
    </row>
    <row r="3" spans="1:18">
      <c r="A3" s="288" t="s">
        <v>543</v>
      </c>
      <c r="B3" s="330"/>
      <c r="C3" s="330"/>
      <c r="D3" s="330"/>
      <c r="E3" s="330"/>
      <c r="F3" s="330"/>
      <c r="G3" s="330"/>
      <c r="H3" s="287"/>
      <c r="I3" s="287"/>
      <c r="J3" s="287"/>
      <c r="K3" s="287"/>
      <c r="L3" s="287"/>
      <c r="M3" s="287"/>
      <c r="N3" s="287"/>
    </row>
    <row r="4" spans="1:18">
      <c r="A4" s="288" t="s">
        <v>544</v>
      </c>
      <c r="B4" s="332"/>
      <c r="C4" s="332"/>
      <c r="D4" s="332"/>
      <c r="E4" s="332"/>
      <c r="F4" s="332"/>
      <c r="G4" s="332"/>
      <c r="H4" s="287"/>
      <c r="I4" s="287"/>
      <c r="J4" s="287"/>
      <c r="K4" s="287"/>
      <c r="L4" s="287"/>
      <c r="M4" s="287"/>
      <c r="N4" s="287"/>
    </row>
    <row r="5" spans="1:18" ht="9" customHeight="1"/>
    <row r="6" spans="1:18">
      <c r="A6" s="331" t="s">
        <v>555</v>
      </c>
      <c r="B6" s="331"/>
      <c r="C6" s="331"/>
      <c r="D6" s="331"/>
      <c r="E6" s="331"/>
      <c r="F6" s="331"/>
      <c r="G6" s="331"/>
      <c r="H6" s="331"/>
      <c r="I6" s="331"/>
      <c r="J6" s="287"/>
      <c r="K6" s="287"/>
      <c r="L6" s="287"/>
      <c r="M6" s="287"/>
    </row>
    <row r="7" spans="1:18" ht="45" customHeight="1">
      <c r="A7" s="243" t="s">
        <v>482</v>
      </c>
      <c r="B7" s="244" t="s">
        <v>551</v>
      </c>
      <c r="C7" s="243" t="s">
        <v>533</v>
      </c>
      <c r="D7" s="244" t="s">
        <v>552</v>
      </c>
      <c r="E7" s="244" t="s">
        <v>553</v>
      </c>
      <c r="F7" s="244" t="s">
        <v>82</v>
      </c>
      <c r="G7" s="245" t="s">
        <v>69</v>
      </c>
      <c r="H7" s="246" t="s">
        <v>554</v>
      </c>
      <c r="I7" s="244" t="s">
        <v>260</v>
      </c>
    </row>
    <row r="8" spans="1:18">
      <c r="A8" s="289" t="s">
        <v>547</v>
      </c>
      <c r="B8" s="267"/>
      <c r="C8" s="165"/>
      <c r="D8" s="166"/>
      <c r="E8" s="166"/>
      <c r="F8" s="166"/>
      <c r="G8" s="166"/>
      <c r="H8" s="166"/>
      <c r="I8" s="166"/>
    </row>
    <row r="11" spans="1:18">
      <c r="A11" s="331" t="s">
        <v>557</v>
      </c>
      <c r="B11" s="331"/>
      <c r="C11" s="331"/>
      <c r="D11" s="331"/>
      <c r="E11" s="331"/>
      <c r="F11" s="331"/>
      <c r="G11" s="287"/>
      <c r="H11" s="287"/>
      <c r="I11" s="287"/>
      <c r="J11" s="287"/>
      <c r="K11" s="287"/>
      <c r="L11" s="287"/>
      <c r="M11" s="287"/>
    </row>
    <row r="12" spans="1:18" ht="45" customHeight="1">
      <c r="A12" s="243" t="s">
        <v>482</v>
      </c>
      <c r="B12" s="244" t="s">
        <v>551</v>
      </c>
      <c r="C12" s="243" t="s">
        <v>533</v>
      </c>
      <c r="D12" s="245" t="s">
        <v>494</v>
      </c>
      <c r="E12" s="246" t="s">
        <v>559</v>
      </c>
      <c r="F12" s="246" t="s">
        <v>558</v>
      </c>
    </row>
    <row r="13" spans="1:18">
      <c r="A13" s="289" t="s">
        <v>556</v>
      </c>
      <c r="B13" s="267"/>
      <c r="C13" s="165"/>
      <c r="D13" s="165"/>
      <c r="E13" s="290"/>
      <c r="F13" s="290"/>
    </row>
    <row r="15" spans="1:18">
      <c r="A15" s="331" t="s">
        <v>561</v>
      </c>
      <c r="B15" s="331"/>
      <c r="C15" s="331"/>
      <c r="D15" s="331"/>
      <c r="E15" s="331"/>
      <c r="F15" s="331"/>
      <c r="G15" s="331"/>
    </row>
    <row r="16" spans="1:18" ht="25.5">
      <c r="A16" s="243" t="s">
        <v>482</v>
      </c>
      <c r="B16" s="244" t="s">
        <v>551</v>
      </c>
      <c r="C16" s="243" t="s">
        <v>533</v>
      </c>
      <c r="D16" s="245" t="s">
        <v>562</v>
      </c>
      <c r="E16" s="246" t="s">
        <v>563</v>
      </c>
      <c r="F16" s="246" t="s">
        <v>494</v>
      </c>
      <c r="G16" s="246" t="s">
        <v>472</v>
      </c>
    </row>
    <row r="17" spans="1:7">
      <c r="A17" s="289" t="s">
        <v>560</v>
      </c>
      <c r="B17" s="267"/>
      <c r="C17" s="165"/>
      <c r="D17" s="165"/>
      <c r="E17" s="290"/>
      <c r="F17" s="286"/>
      <c r="G17" s="290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72" t="s">
        <v>534</v>
      </c>
      <c r="B1" s="373"/>
      <c r="C1" s="373"/>
      <c r="D1" s="373"/>
      <c r="E1" s="373"/>
      <c r="F1" s="373"/>
      <c r="G1" s="373"/>
      <c r="H1" s="373"/>
      <c r="I1" s="373"/>
    </row>
    <row r="2" spans="1:9" ht="15.75">
      <c r="A2" s="112"/>
    </row>
    <row r="3" spans="1:9" ht="31.5" customHeight="1">
      <c r="A3" s="371" t="s">
        <v>262</v>
      </c>
      <c r="B3" s="371"/>
      <c r="C3" s="371"/>
      <c r="D3" s="371"/>
      <c r="E3" s="371"/>
      <c r="F3" s="371"/>
      <c r="G3" s="371"/>
      <c r="H3" s="37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72" t="s">
        <v>263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</row>
    <row r="2" spans="1:16" ht="15.75">
      <c r="A2" s="112"/>
      <c r="F2" s="112"/>
      <c r="G2" s="112"/>
      <c r="H2" s="112"/>
      <c r="I2" s="112"/>
    </row>
    <row r="3" spans="1:16" ht="31.5" customHeight="1">
      <c r="A3" s="374" t="s">
        <v>262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76" t="s">
        <v>310</v>
      </c>
      <c r="L4" s="376"/>
      <c r="M4" s="376"/>
      <c r="N4" s="377" t="s">
        <v>311</v>
      </c>
      <c r="O4" s="378"/>
      <c r="P4" s="37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6" t="s">
        <v>363</v>
      </c>
      <c r="B1" s="336"/>
      <c r="C1" s="336"/>
      <c r="D1" s="336"/>
      <c r="E1" s="336"/>
      <c r="F1" s="185"/>
      <c r="G1" s="185"/>
      <c r="H1" s="185"/>
      <c r="I1" s="185"/>
      <c r="J1" s="185"/>
      <c r="K1" s="185"/>
      <c r="L1" s="185"/>
      <c r="M1" s="185"/>
      <c r="N1" s="185"/>
    </row>
    <row r="3" spans="1:14">
      <c r="A3" s="203" t="s">
        <v>364</v>
      </c>
      <c r="B3" s="203"/>
      <c r="C3" s="203" t="s">
        <v>365</v>
      </c>
      <c r="D3" s="203" t="s">
        <v>366</v>
      </c>
      <c r="E3" s="203" t="s">
        <v>353</v>
      </c>
    </row>
    <row r="4" spans="1:14" ht="30" customHeight="1">
      <c r="A4" s="186" t="s">
        <v>367</v>
      </c>
      <c r="B4" s="186"/>
      <c r="C4" s="208" t="s">
        <v>387</v>
      </c>
      <c r="D4" s="208"/>
      <c r="E4" s="208"/>
    </row>
    <row r="5" spans="1:14">
      <c r="A5" s="187" t="s">
        <v>368</v>
      </c>
      <c r="B5" s="187"/>
      <c r="C5" s="188"/>
      <c r="D5" s="188"/>
      <c r="E5" s="188"/>
    </row>
    <row r="6" spans="1:14">
      <c r="A6" s="187" t="s">
        <v>369</v>
      </c>
      <c r="B6" s="187"/>
      <c r="C6" s="188"/>
      <c r="D6" s="189"/>
      <c r="E6" s="188"/>
    </row>
    <row r="7" spans="1:14">
      <c r="A7" s="205"/>
      <c r="B7" s="206"/>
      <c r="C7" s="202"/>
      <c r="D7" s="202"/>
      <c r="E7" s="202"/>
    </row>
    <row r="8" spans="1:14">
      <c r="A8" s="380" t="s">
        <v>370</v>
      </c>
      <c r="B8" s="380"/>
      <c r="C8" s="380"/>
      <c r="D8" s="380"/>
      <c r="E8" s="380"/>
    </row>
    <row r="9" spans="1:14">
      <c r="A9" s="204" t="s">
        <v>364</v>
      </c>
      <c r="B9" s="204" t="s">
        <v>79</v>
      </c>
      <c r="C9" s="204" t="s">
        <v>365</v>
      </c>
      <c r="D9" s="204" t="s">
        <v>366</v>
      </c>
      <c r="E9" s="204" t="s">
        <v>353</v>
      </c>
    </row>
    <row r="10" spans="1:14">
      <c r="A10" s="190" t="s">
        <v>1</v>
      </c>
      <c r="B10" s="191">
        <v>13</v>
      </c>
      <c r="C10" s="192" t="s">
        <v>388</v>
      </c>
      <c r="D10" s="193"/>
      <c r="E10" s="194"/>
    </row>
    <row r="11" spans="1:14">
      <c r="A11" s="187" t="s">
        <v>81</v>
      </c>
      <c r="B11" s="195">
        <v>13</v>
      </c>
      <c r="C11" s="196"/>
      <c r="D11" s="197"/>
      <c r="E11" s="198"/>
    </row>
    <row r="12" spans="1:14">
      <c r="A12" s="187" t="s">
        <v>82</v>
      </c>
      <c r="B12" s="195">
        <v>13</v>
      </c>
      <c r="C12" s="196"/>
      <c r="D12" s="197"/>
      <c r="E12" s="198"/>
    </row>
    <row r="13" spans="1:14">
      <c r="A13" s="187" t="s">
        <v>69</v>
      </c>
      <c r="B13" s="195">
        <v>13</v>
      </c>
      <c r="C13" s="196"/>
      <c r="D13" s="188"/>
      <c r="E13" s="198"/>
    </row>
    <row r="14" spans="1:14">
      <c r="A14" s="190" t="s">
        <v>1</v>
      </c>
      <c r="B14" s="191">
        <v>30</v>
      </c>
      <c r="C14" s="192"/>
      <c r="D14" s="193"/>
      <c r="E14" s="199"/>
    </row>
    <row r="15" spans="1:14">
      <c r="A15" s="187" t="s">
        <v>81</v>
      </c>
      <c r="B15" s="195">
        <v>30</v>
      </c>
      <c r="C15" s="196"/>
      <c r="D15" s="197"/>
      <c r="E15" s="198"/>
    </row>
    <row r="16" spans="1:14">
      <c r="A16" s="187" t="s">
        <v>82</v>
      </c>
      <c r="B16" s="195">
        <v>30</v>
      </c>
      <c r="C16" s="196"/>
      <c r="D16" s="197"/>
      <c r="E16" s="198"/>
    </row>
    <row r="17" spans="1:5">
      <c r="A17" s="187" t="s">
        <v>69</v>
      </c>
      <c r="B17" s="195">
        <v>30</v>
      </c>
      <c r="C17" s="196"/>
      <c r="D17" s="188"/>
      <c r="E17" s="198"/>
    </row>
    <row r="18" spans="1:5">
      <c r="A18" s="182"/>
      <c r="B18" s="182"/>
      <c r="C18" s="182"/>
      <c r="D18" s="182"/>
      <c r="E18" s="182"/>
    </row>
    <row r="19" spans="1:5">
      <c r="A19" s="381" t="s">
        <v>381</v>
      </c>
      <c r="B19" s="382"/>
      <c r="C19" s="382"/>
      <c r="D19" s="382"/>
      <c r="E19" s="383"/>
    </row>
    <row r="20" spans="1:5">
      <c r="A20" s="204"/>
      <c r="B20" s="209"/>
      <c r="C20" s="207" t="s">
        <v>371</v>
      </c>
      <c r="D20" s="204" t="s">
        <v>372</v>
      </c>
      <c r="E20" s="204" t="s">
        <v>293</v>
      </c>
    </row>
    <row r="21" spans="1:5">
      <c r="A21" s="187" t="s">
        <v>382</v>
      </c>
      <c r="B21" s="210"/>
      <c r="C21" s="188" t="s">
        <v>376</v>
      </c>
      <c r="D21" s="188"/>
      <c r="E21" s="188" t="e">
        <f>C21+D21</f>
        <v>#VALUE!</v>
      </c>
    </row>
    <row r="22" spans="1:5">
      <c r="A22" s="200">
        <v>83</v>
      </c>
      <c r="B22" s="210"/>
      <c r="C22" s="188"/>
      <c r="D22" s="197"/>
      <c r="E22" s="188">
        <f>C22+D22</f>
        <v>0</v>
      </c>
    </row>
    <row r="23" spans="1:5">
      <c r="A23" s="201"/>
      <c r="B23" s="201"/>
      <c r="C23" s="188" t="e">
        <f>C21+C22</f>
        <v>#VALUE!</v>
      </c>
      <c r="D23" s="188">
        <f>D21+D22</f>
        <v>0</v>
      </c>
      <c r="E23" s="18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30</vt:i4>
      </vt:variant>
      <vt:variant>
        <vt:lpstr>Именованные диапазоны</vt:lpstr>
      </vt:variant>
      <vt:variant>
        <vt:i4>31</vt:i4>
      </vt:variant>
    </vt:vector>
  </HeadingPairs>
  <TitlesOfParts>
    <vt:vector size="61" baseType="lpstr">
      <vt:lpstr>detail_report</vt:lpstr>
      <vt:lpstr>detail_report_2</vt:lpstr>
      <vt:lpstr>error_report</vt:lpstr>
      <vt:lpstr>correcting_report</vt:lpstr>
      <vt:lpstr>tax_retained_report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2018-03-08T04:58:04Z</dcterms:modified>
</cp:coreProperties>
</file>