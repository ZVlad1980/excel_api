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1" activeTab="11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arh_spravki_errors" sheetId="298" state="hidden" r:id="rId7"/>
    <sheet name="f2_arh_batch_xml_head" sheetId="297" state="hidden" r:id="rId8"/>
    <sheet name="f2_ndfl_nalplat_pers" sheetId="295" state="hidden" r:id="rId9"/>
    <sheet name="f2_enumarate_error" sheetId="320" state="hidden" r:id="rId10"/>
    <sheet name="Settings" sheetId="103" state="hidden" r:id="rId11"/>
    <sheet name="Отчеты" sheetId="6" r:id="rId12"/>
    <sheet name="synch_error_report" sheetId="283" state="hidden" r:id="rId13"/>
    <sheet name="ndfl6_part2" sheetId="249" state="hidden" r:id="rId14"/>
    <sheet name="ndfl6_part1_general" sheetId="71" state="hidden" r:id="rId15"/>
    <sheet name="ndfl6_part1_rates" sheetId="69" state="hidden" r:id="rId16"/>
    <sheet name="funds_employees" sheetId="73" state="hidden" r:id="rId17"/>
    <sheet name="funds_employees_report" sheetId="123" state="hidden" r:id="rId18"/>
    <sheet name="ndfl6_part1" sheetId="248" state="hidden" r:id="rId19"/>
    <sheet name="tax_diff_report" sheetId="271" state="hidden" r:id="rId20"/>
    <sheet name="tax_diff_det_report" sheetId="282" state="hidden" r:id="rId21"/>
    <sheet name="cmp_f2ndfl_f6" sheetId="294" state="hidden" r:id="rId22"/>
    <sheet name="cmp_f2ndfl_pers" sheetId="284" state="hidden" r:id="rId23"/>
  </sheets>
  <functionGroups/>
  <externalReferences>
    <externalReference r:id="rId24"/>
    <externalReference r:id="rId25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_year">[1]f2_arh_spravki_errors!$T$1</definedName>
    <definedName name="ReportDate">Отчеты!$C$6</definedName>
    <definedName name="ReportMonth">Отчеты!$C$5</definedName>
    <definedName name="ReportSelected" localSheetId="7">[1]Отчеты!$C$2</definedName>
    <definedName name="ReportSelected" localSheetId="6">[1]Отчеты!$C$2</definedName>
    <definedName name="ReportSelected" localSheetId="5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<sst xmlns="http://schemas.openxmlformats.org/spreadsheetml/2006/main" count="1404" uniqueCount="480">
  <si>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</si>
  <si>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</si>
  <si>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</si>
  <si>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</si>
  <si>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</si>
  <si>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</si>
  <si>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</si>
  <si>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</si>
  <si>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</si>
  <si>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</si>
  <si>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</si>
  <si>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</si>
  <si>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</si>
  <si>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</si>
  <si>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</si>
  <si>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</si>
  <si>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</si>
  <si>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</si>
  <si>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</si>
  <si>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</si>
  <si>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</si>
  <si>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</si>
  <si>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</si>
  <si>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</si>
  <si>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</si>
  <si>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</si>
  <si>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</si>
  <si>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</si>
  <si>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</si>
  <si>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</si>
  <si>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</si>
  <si>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</si>
  <si>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</si>
  <si>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</si>
  <si>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</si>
  <si>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</si>
  <si>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</si>
  <si>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</si>
  <si>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</si>
  <si>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</si>
  <si>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</si>
  <si>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</si>
  <si>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</si>
  <si>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</si>
  <si>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</si>
  <si>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</si>
  <si>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</si>
  <si>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</si>
  <si>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</si>
  <si>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</si>
  <si>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</si>
  <si>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</si>
  <si>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</si>
  <si>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</si>
  <si>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</si>
  <si>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</si>
  <si>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</si>
  <si>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</si>
  <si>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</si>
  <si>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</si>
  <si>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</si>
  <si>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</si>
  <si>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</si>
  <si>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</si>
  <si>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</si>
  <si>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</si>
  <si>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</si>
  <si>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</si>
  <si>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</si>
  <si>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</si>
  <si>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</si>
  <si>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</si>
  <si>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</si>
  <si>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</si>
  <si>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</si>
  <si>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</si>
  <si>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</si>
  <si>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</si>
  <si>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</si>
  <si>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</si>
  <si>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</si>
  <si>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</si>
  <si>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</si>
  <si>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</si>
  <si>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</si>
  <si>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</si>
  <si>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</si>
  <si>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</si>
  <si>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</si>
  <si>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</si>
  <si>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</si>
  <si>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</si>
  <si>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</si>
  <si>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</si>
  <si>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</si>
  <si>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</si>
  <si>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</si>
  <si>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</si>
  <si>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</si>
  <si>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</si>
  <si>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</si>
  <si>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</si>
  <si>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</si>
  <si>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</si>
  <si>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</si>
  <si>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</si>
  <si>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</si>
  <si>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</si>
  <si>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</si>
  <si>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</si>
  <si>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</si>
  <si>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</si>
  <si>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</si>
  <si>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</si>
  <si>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</si>
  <si>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</si>
  <si>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</si>
  <si>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</si>
  <si>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</si>
  <si>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</si>
  <si>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</si>
  <si>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</si>
  <si>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</si>
  <si>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</si>
  <si>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</si>
  <si>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</si>
  <si>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</si>
  <si>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</si>
  <si>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</si>
  <si>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</si>
  <si>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</si>
  <si>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</si>
  <si>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</si>
  <si>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</si>
  <si>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</si>
  <si>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</si>
  <si>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</si>
  <si>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</si>
  <si>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</si>
  <si>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</si>
  <si>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</si>
  <si>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</si>
  <si>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</si>
  <si>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</si>
  <si>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</si>
  <si>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</si>
  <si>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</si>
  <si>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</si>
  <si>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</si>
  <si>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</si>
  <si>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</si>
  <si>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</si>
  <si>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</si>
  <si>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</si>
  <si>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</si>
  <si>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</si>
  <si>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</si>
  <si>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</si>
  <si>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</si>
  <si>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</si>
  <si>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</si>
  <si>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</si>
  <si>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</si>
  <si>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</si>
  <si>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</si>
  <si>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</si>
  <si>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</si>
  <si>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</si>
  <si>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</si>
  <si>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</si>
  <si>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</si>
  <si>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</si>
  <si>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</si>
  <si>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</si>
  <si>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</si>
  <si>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</si>
  <si>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</si>
  <si>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</si>
  <si>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</si>
  <si>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</si>
  <si>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</si>
  <si>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</si>
  <si>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</si>
  <si>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</si>
  <si>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</si>
  <si>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</si>
  <si>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</si>
  <si>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</si>
  <si>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</si>
  <si>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</si>
  <si>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</si>
  <si>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</si>
  <si>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</si>
  <si>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</si>
  <si>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</si>
  <si>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</si>
  <si>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</si>
  <si>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</si>
  <si>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</si>
  <si>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</si>
  <si>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</si>
  <si>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</si>
  <si>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</si>
  <si>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</si>
  <si>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</si>
  <si>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</si>
  <si>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</si>
  <si>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</si>
  <si>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</si>
  <si>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</si>
  <si>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</si>
  <si>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</si>
  <si>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</si>
  <si>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</si>
  <si>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</si>
  <si>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</si>
  <si>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</si>
  <si>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</si>
  <si>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</si>
  <si>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</si>
  <si>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</si>
  <si>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</si>
  <si>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</si>
  <si>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</si>
  <si>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</si>
  <si>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</si>
  <si>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</si>
  <si>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</si>
  <si>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</si>
  <si>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</si>
  <si>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</si>
  <si>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</si>
  <si>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</si>
  <si>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</si>
  <si>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</si>
  <si>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</si>
  <si>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</si>
  <si>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</si>
  <si>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</si>
  <si>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</si>
  <si>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</si>
  <si>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</si>
  <si>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</si>
  <si>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</si>
  <si>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</si>
  <si>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</si>
  <si>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</si>
  <si>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</si>
  <si>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</si>
  <si>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</si>
  <si>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</si>
  <si>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</si>
  <si>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</si>
  <si>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</si>
  <si>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</si>
  <si>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</si>
  <si>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</si>
  <si>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</si>
  <si>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</si>
  <si>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</si>
  <si>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</si>
  <si>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</si>
  <si>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</si>
  <si>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</si>
  <si>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</si>
  <si>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</si>
  <si>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</si>
  <si>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</si>
  <si>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</si>
  <si>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</si>
  <si>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</si>
  <si>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</si>
  <si>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</si>
  <si>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</si>
  <si>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</si>
  <si>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</si>
  <si>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</si>
  <si>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</si>
  <si>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</si>
  <si>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</si>
  <si>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</si>
  <si>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</si>
  <si>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</si>
  <si>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</si>
  <si>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</si>
  <si>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</si>
  <si>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</si>
  <si>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</si>
  <si>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</si>
  <si>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</si>
  <si>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</si>
  <si>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</si>
  <si>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</si>
  <si>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</si>
  <si>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</si>
  <si>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</si>
  <si>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</si>
  <si>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</si>
  <si>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</si>
  <si>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</si>
  <si>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</si>
  <si>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</si>
  <si>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</si>
  <si>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</si>
  <si>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</si>
  <si>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</si>
  <si>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</si>
  <si>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</si>
  <si>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</si>
  <si>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</si>
  <si>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</si>
  <si>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</si>
  <si>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</si>
  <si>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</si>
  <si>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</si>
  <si>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</si>
  <si>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</si>
  <si>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</si>
  <si>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</si>
  <si>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</si>
  <si>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</si>
  <si>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</si>
  <si>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</si>
  <si>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</si>
  <si>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</si>
  <si>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</si>
  <si>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</si>
  <si>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</si>
  <si>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</si>
  <si>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</si>
  <si>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</si>
  <si>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</si>
  <si>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</si>
  <si>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</si>
  <si>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</si>
  <si>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</si>
  <si>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</si>
  <si>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</si>
  <si>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</si>
  <si>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</si>
  <si>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</si>
  <si>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</si>
  <si>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</si>
  <si>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</si>
  <si>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</si>
  <si>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</si>
  <si>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</si>
  <si>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</si>
  <si>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</si>
  <si>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</si>
  <si>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</si>
  <si>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</si>
  <si>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</si>
  <si>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</si>
  <si>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</si>
  <si>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</si>
  <si>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</si>
  <si>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</si>
  <si>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</si>
  <si>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</si>
  <si>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</si>
  <si>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</si>
  <si>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</si>
  <si>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</si>
  <si>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</si>
  <si>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</si>
  <si>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</si>
  <si>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</si>
  <si>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</si>
  <si>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</si>
  <si>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</si>
  <si>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</si>
  <si>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</si>
  <si>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</si>
  <si>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</si>
  <si>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</si>
  <si>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</si>
  <si>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</si>
  <si>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</si>
  <si>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</si>
  <si>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</si>
  <si>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</si>
  <si>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</si>
  <si>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</si>
  <si>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</si>
  <si>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</si>
  <si>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</si>
  <si>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</si>
  <si>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</si>
  <si>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</si>
  <si>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</si>
  <si>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</si>
  <si>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</si>
  <si>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</si>
  <si>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</si>
  <si>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</si>
  <si>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</si>
  <si>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</si>
  <si>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</si>
  <si>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</si>
  <si>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</si>
  <si>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</si>
  <si>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</si>
  <si>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</si>
  <si>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</si>
  <si>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</si>
  <si>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</si>
  <si>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</si>
  <si>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</si>
  <si>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</si>
  <si>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</si>
  <si>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</si>
  <si>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</si>
  <si>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</si>
  <si>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</si>
  <si>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</si>
  <si>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</si>
  <si>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</si>
  <si>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</si>
  <si>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</si>
  <si>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</si>
  <si>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</si>
  <si>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</si>
  <si>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</si>
  <si>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</si>
  <si>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</si>
  <si>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</si>
  <si>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</si>
  <si>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</si>
  <si>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</si>
  <si>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</si>
  <si>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</si>
  <si>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</si>
  <si>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</si>
  <si>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</si>
  <si>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</si>
  <si>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</si>
  <si>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</si>
  <si>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</si>
  <si>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</si>
  <si>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</si>
  <si>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</si>
  <si>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</si>
  <si>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</si>
  <si>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</si>
  <si>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</si>
  <si>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</si>
  <si>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</si>
  <si>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</si>
  <si>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</si>
  <si>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</si>
  <si>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</si>
  <si>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</si>
  <si>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</si>
  <si>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</si>
  <si>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</si>
  <si>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</si>
  <si>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</si>
  <si>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</si>
  <si>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</si>
  <si>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</si>
  <si>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</si>
  <si>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</si>
  <si>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</si>
  <si>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</si>
  <si>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</si>
  <si>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</si>
  <si>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</si>
  <si>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Выполнение приостановлено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</si>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</sst>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9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6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1" xfId="0" applyFont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446"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0</xdr:col>
      <xdr:colOff>508000</xdr:colOff>
      <xdr:row>1</xdr:row>
      <xdr:rowOff>9525</xdr:rowOff>
    </xdr:to>
    <xdr:sp macro="Processor.repeat" textlink="">
      <xdr:nvSpPr>
        <xdr:cNvPr id="44" name="btnRepeat"/>
        <xdr:cNvSpPr/>
      </xdr:nvSpPr>
      <xdr:spPr>
        <a:xfrm>
          <a:off x="254000" y="127000"/>
          <a:ext cx="254000" cy="254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635000</xdr:colOff>
      <xdr:row>0</xdr:row>
      <xdr:rowOff>127000</xdr:rowOff>
    </xdr:from>
    <xdr:to>
      <xdr:col>0</xdr:col>
      <xdr:colOff>889000</xdr:colOff>
      <xdr:row>1</xdr:row>
      <xdr:rowOff>9525</xdr:rowOff>
    </xdr:to>
    <xdr:sp macro="Processor.continue" textlink="">
      <xdr:nvSpPr>
        <xdr:cNvPr id="45" name="btnContinue"/>
        <xdr:cNvSpPr/>
      </xdr:nvSpPr>
      <xdr:spPr>
        <a:xfrm>
          <a:off x="635000" y="127000"/>
          <a:ext cx="254000" cy="254000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 refreshError="1"/>
      <sheetData sheetId="1" refreshError="1"/>
      <sheetData sheetId="2">
        <row r="1">
          <cell r="T1" t="str">
            <v>#ReportYear#</v>
          </cell>
        </row>
      </sheetData>
      <sheetData sheetId="3" refreshError="1"/>
      <sheetData sheetId="4">
        <row r="2">
          <cell r="C2" t="str">
            <v>Расхождение списка налогоплательщиков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445" dataDxfId="443" headerRowBorderDxfId="444" tableBorderDxfId="442" totalsRowBorderDxfId="441">
  <autoFilter ref="A4:J5"/>
  <tableColumns count="10">
    <tableColumn id="1" name="1" dataDxfId="440"/>
    <tableColumn id="2" name="2" dataDxfId="439"/>
    <tableColumn id="5" name="3" dataDxfId="438"/>
    <tableColumn id="6" name="4" dataDxfId="437"/>
    <tableColumn id="7" name="5" dataDxfId="436"/>
    <tableColumn id="10" name="6" dataDxfId="435"/>
    <tableColumn id="11" name="7" dataDxfId="434"/>
    <tableColumn id="12" name="8" dataDxfId="433"/>
    <tableColumn id="13" name="9" dataDxfId="432"/>
    <tableColumn id="14" name="10" dataDxfId="4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430" dataDxfId="428" headerRowBorderDxfId="429" tableBorderDxfId="427" totalsRowBorderDxfId="426">
  <autoFilter ref="A5:P6"/>
  <tableColumns count="16">
    <tableColumn id="1" name="1" dataDxfId="425"/>
    <tableColumn id="2" name="2" dataDxfId="424"/>
    <tableColumn id="3" name="3" dataDxfId="423"/>
    <tableColumn id="4" name="4" dataDxfId="422"/>
    <tableColumn id="5" name="5" dataDxfId="421"/>
    <tableColumn id="6" name="6" dataDxfId="420"/>
    <tableColumn id="7" name="7" dataDxfId="419"/>
    <tableColumn id="8" name="8" dataDxfId="418"/>
    <tableColumn id="9" name="9" dataDxfId="417"/>
    <tableColumn id="10" name="10" dataDxfId="416"/>
    <tableColumn id="11" name="11" dataDxfId="415"/>
    <tableColumn id="12" name="12" dataDxfId="414"/>
    <tableColumn id="13" name="13" dataDxfId="413"/>
    <tableColumn id="14" name="14" dataDxfId="412"/>
    <tableColumn id="15" name="15" dataDxfId="411"/>
    <tableColumn id="16" name="16" dataDxfId="4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09" dataDxfId="407" headerRowBorderDxfId="408" tableBorderDxfId="406" totalsRowBorderDxfId="405">
  <autoFilter ref="A3:I4">
    <filterColumn colId="1"/>
  </autoFilter>
  <tableColumns count="9">
    <tableColumn id="1" name="1" dataDxfId="404"/>
    <tableColumn id="3" name="2" dataDxfId="403"/>
    <tableColumn id="2" name="3" dataDxfId="402"/>
    <tableColumn id="5" name="4" dataDxfId="401"/>
    <tableColumn id="6" name="5" dataDxfId="400"/>
    <tableColumn id="7" name="6" dataDxfId="399"/>
    <tableColumn id="10" name="7" dataDxfId="398"/>
    <tableColumn id="11" name="8" dataDxfId="397"/>
    <tableColumn id="12" name="9" dataDxfId="3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95" dataDxfId="393" headerRowBorderDxfId="394" tableBorderDxfId="392" totalsRowBorderDxfId="391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390"/>
    <tableColumn id="20" name="2" dataDxfId="389"/>
    <tableColumn id="19" name="3" dataDxfId="388"/>
    <tableColumn id="18" name="4" dataDxfId="387"/>
    <tableColumn id="17" name="5" dataDxfId="386"/>
    <tableColumn id="23" name="6" dataDxfId="385"/>
    <tableColumn id="22" name="7" dataDxfId="384"/>
    <tableColumn id="21" name="8" dataDxfId="383"/>
    <tableColumn id="28" name="9" dataDxfId="382"/>
    <tableColumn id="29" name="10" dataDxfId="381"/>
    <tableColumn id="27" name="11" dataDxfId="380"/>
    <tableColumn id="26" name="12" dataDxfId="379"/>
    <tableColumn id="25" name="13" dataDxfId="378"/>
    <tableColumn id="5" name="14" dataDxfId="377"/>
    <tableColumn id="4" name="15" dataDxfId="376"/>
    <tableColumn id="3" name="16" dataDxfId="375"/>
    <tableColumn id="2" name="17" dataDxfId="374"/>
    <tableColumn id="24" name="18" dataDxfId="3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371" totalsRowDxfId="370">
  <tableColumns count="3">
    <tableColumn id="1" name="ВИД ВЫПЛАТЫ" totalsRowLabel="Итого" dataDxfId="369" totalsRowDxfId="368" dataCellStyle="Обычный 5"/>
    <tableColumn id="2" name="13%" totalsRowFunction="sum" dataDxfId="367" totalsRowDxfId="366" dataCellStyle="Обычный 5"/>
    <tableColumn id="3" name="30%" totalsRowFunction="sum" dataDxfId="365" totalsRowDxfId="364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363" dataDxfId="361" headerRowBorderDxfId="362" headerRowCellStyle="Обычный 5" dataCellStyle="Обычный 5">
  <tableColumns count="4">
    <tableColumn id="1" name="Сумма по ставкам" totalsRowFunction="sum" dataDxfId="360" totalsRowDxfId="359" dataCellStyle="Обычный 5"/>
    <tableColumn id="2" name="13%" dataDxfId="358" totalsRowDxfId="357" dataCellStyle="Обычный 5">
      <calculatedColumnFormula>B31+#REF!-Таблица42[[#This Row],[13%]]</calculatedColumnFormula>
    </tableColumn>
    <tableColumn id="3" name="30%" dataDxfId="356" totalsRowDxfId="355" dataCellStyle="Обычный 5"/>
    <tableColumn id="4" name="Расхождение по ставкам" dataDxfId="354" totalsRowDxfId="353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352" totalsRowDxfId="350" headerRowBorderDxfId="351" headerRowCellStyle="Обычный 5">
  <tableColumns count="8">
    <tableColumn id="1" name="ВИД ВЫПЛАТЫ" totalsRowLabel="Итого по ставке" dataDxfId="349" totalsRowDxfId="348" dataCellStyle="Обычный 5"/>
    <tableColumn id="2" name="13%" totalsRowFunction="sum" dataDxfId="347" totalsRowDxfId="346" dataCellStyle="Обычный 5"/>
    <tableColumn id="3" name="30%" totalsRowFunction="sum" dataDxfId="345" totalsRowDxfId="344" dataCellStyle="Обычный 5"/>
    <tableColumn id="4" name="Столбец1" totalsRowDxfId="343" dataCellStyle="Обычный 5"/>
    <tableColumn id="5" name="без исправлений" dataDxfId="342" totalsRowDxfId="341" dataCellStyle="Обычный 5"/>
    <tableColumn id="6" name="с корректоровкой" dataDxfId="340" totalsRowDxfId="339" dataCellStyle="Обычный 5"/>
    <tableColumn id="7" name="без исправлений2" dataDxfId="338" totalsRowDxfId="337" dataCellStyle="Обычный 5"/>
    <tableColumn id="8" name="с корректоровкой3" dataDxfId="336" totalsRowDxfId="335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334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0" name="Таблица541" displayName="Таблица541" ref="A3:Q4" totalsRowShown="0" headerRowDxfId="333" dataDxfId="331" headerRowBorderDxfId="332" tableBorderDxfId="330" totalsRowBorderDxfId="329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328"/>
    <tableColumn id="2" name="Ошибка" dataDxfId="327"/>
    <tableColumn id="3" name="ИД контрагента" dataDxfId="326"/>
    <tableColumn id="4" name="Фамилия" dataDxfId="325"/>
    <tableColumn id="5" name="Имя" dataDxfId="324"/>
    <tableColumn id="6" name="Отчество" dataDxfId="323"/>
    <tableColumn id="7" name="Дата рождения" dataDxfId="322"/>
    <tableColumn id="8" name="ИНН" dataDxfId="321"/>
    <tableColumn id="9" name="Гражданство" dataDxfId="320"/>
    <tableColumn id="10" name="Резидент" dataDxfId="319"/>
    <tableColumn id="11" name="Код УЛ" dataDxfId="318"/>
    <tableColumn id="12" name="Серия и номер УЛ" dataDxfId="317"/>
    <tableColumn id="13" name="ИНН2" dataDxfId="316"/>
    <tableColumn id="14" name="Гражданство2" dataDxfId="315"/>
    <tableColumn id="15" name="Резидент2" dataDxfId="314"/>
    <tableColumn id="16" name="Код УЛ2" dataDxfId="313"/>
    <tableColumn id="17" name="Серия и номер УЛ3" dataDxfId="3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8" name="Таблица444493347" displayName="Таблица444493347" ref="A2:H3" totalsRowShown="0" headerRowDxfId="311" dataDxfId="309" headerRowBorderDxfId="310" tableBorderDxfId="308" totalsRowBorderDxfId="30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06"/>
    <tableColumn id="14" name="Имя файла" dataDxfId="305"/>
    <tableColumn id="1" name="Количество справок" dataDxfId="304"/>
    <tableColumn id="16" name="Фамилия с" dataDxfId="303"/>
    <tableColumn id="17" name="Фамилия по" dataDxfId="302"/>
    <tableColumn id="2" name="№ справки с" dataDxfId="301"/>
    <tableColumn id="3" name="№ справки по" dataDxfId="300"/>
    <tableColumn id="25" name="Признак справки" dataDxfId="29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39" name="Таблица3348" displayName="Таблица3348" ref="A7:G9" totalsRowCount="1" headerRowDxfId="298" headerRowBorderDxfId="297" tableBorderDxfId="296" totalsRowBorderDxfId="295">
  <autoFilter ref="A7:G8"/>
  <tableColumns count="7">
    <tableColumn id="1" name="№_x000a_справки" totalsRowLabel="Итог" dataDxfId="294" totalsRowDxfId="293"/>
    <tableColumn id="2" name="Фамилия" dataDxfId="292" totalsRowDxfId="291"/>
    <tableColumn id="3" name="UI_PERSON" dataDxfId="290" totalsRowDxfId="289"/>
    <tableColumn id="4" name="Резидент" dataDxfId="288" totalsRowDxfId="287"/>
    <tableColumn id="5" name="Гражданство" dataDxfId="286" totalsRowDxfId="285"/>
    <tableColumn id="6" name="Задолженность" totalsRowFunction="sum" dataDxfId="284" totalsRowDxfId="283"/>
    <tableColumn id="7" name="Коррекция №" totalsRowFunction="count" dataDxfId="282" totalsRowDxfId="28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6" name="Таблица44449" displayName="Таблица44449" ref="A4:P5" totalsRowShown="0" headerRowDxfId="280" dataDxfId="279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278"/>
    <tableColumn id="14" name="2" dataDxfId="277"/>
    <tableColumn id="1" name="3" dataDxfId="276"/>
    <tableColumn id="16" name="4" dataDxfId="275"/>
    <tableColumn id="17" name="5" dataDxfId="274"/>
    <tableColumn id="2" name="6" dataDxfId="273"/>
    <tableColumn id="3" name="7" dataDxfId="272"/>
    <tableColumn id="25" name="8" dataDxfId="271"/>
    <tableColumn id="18" name="9" dataDxfId="270"/>
    <tableColumn id="19" name="10" dataDxfId="269"/>
    <tableColumn id="20" name="11" dataDxfId="268"/>
    <tableColumn id="21" name="12" dataDxfId="267"/>
    <tableColumn id="22" name="13" dataDxfId="266"/>
    <tableColumn id="23" name="14" dataDxfId="265"/>
    <tableColumn id="24" name="15" dataDxfId="264"/>
    <tableColumn id="26" name="16" dataDxfId="26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57" name="Таблица354258" displayName="Таблица354258" ref="A2:I3" headerRowDxfId="11" dataDxfId="9" totalsRowDxfId="10" headerRowBorderDxfId="12" tableBorderDxfId="13">
  <autoFilter ref="A2:I3"/>
  <tableColumns count="9">
    <tableColumn id="1" name="Таблица" totalsRowLabel="Итог" dataDxfId="0" totalsRowDxfId="14"/>
    <tableColumn id="3" name="SSYLKA" dataDxfId="8" totalsRowDxfId="15"/>
    <tableColumn id="4" name="Тип дохода" dataDxfId="5" totalsRowDxfId="16"/>
    <tableColumn id="5" name="Фамилия" dataDxfId="4" totalsRowDxfId="17"/>
    <tableColumn id="6" name="Имя" dataDxfId="3" totalsRowDxfId="18"/>
    <tableColumn id="8" name="Отчество" dataDxfId="2" totalsRowDxfId="19"/>
    <tableColumn id="9" name="ДР" dataDxfId="1" totalsRowDxfId="20"/>
    <tableColumn id="10" name="SSYLKA_REAL" dataDxfId="7" totalsRowDxfId="21"/>
    <tableColumn id="11" name="UI_PERSON" dataDxfId="6" totalsRowDxfId="2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9" name="Menu" displayName="Menu" ref="D2:E31" totalsRowShown="0">
  <autoFilter ref="D2:E3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0" name="Actions" displayName="Actions" ref="G2:L55" totalsRowShown="0">
  <autoFilter ref="G2:L55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1" name="Programs" displayName="Programs" ref="Y2:AC12" totalsRowShown="0">
  <autoFilter ref="Y2:AC12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2" name="Reports" displayName="Reports" ref="N2:T45" totalsRowShown="0">
  <autoFilter ref="N2:T4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3" name="SubReports" displayName="SubReports" ref="V2:W23" totalsRowShown="0">
  <autoFilter ref="V2:W2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4" name="GeneralOptions" displayName="GeneralOptions" ref="A2:B12" headerRowBorderDxfId="262" tableBorderDxfId="261" totalsRowBorderDxfId="260">
  <autoFilter ref="A2:B12"/>
  <tableColumns count="2">
    <tableColumn id="1" name="Key" totalsRowLabel="Итог" totalsRowDxfId="259"/>
    <tableColumn id="2" name="Value" totalsRowFunction="count" totalsRowDxfId="25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7" name="ActionTypes" displayName="ActionTypes" ref="AM2:AM4" totalsRowShown="0" tableBorderDxfId="257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2" name="Parameters" displayName="Parameters" ref="AE2:AK26" totalsRowShown="0">
  <autoFilter ref="AE2:AK26">
    <filterColumn colId="5"/>
    <filterColumn colId="6"/>
  </autoFilter>
  <tableColumns count="7">
    <tableColumn id="1" name="Program" dataDxfId="25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CommonTokens" displayName="CommonTokens" ref="BE2:BF5" totalsRowShown="0">
  <autoFilter ref="BE2:BF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6" name="Таблица16" displayName="Таблица16" ref="C3:C6" totalsRowShown="0" headerRowDxfId="255" dataDxfId="254" tableBorderDxfId="253">
  <tableColumns count="1">
    <tableColumn id="1" name="Столбец1" dataDxfId="252"/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id="34" name="Таблица2435" displayName="Таблица2435" ref="A4:L5" totalsRowShown="0" headerRowDxfId="251" dataDxfId="249" headerRowBorderDxfId="250" tableBorderDxfId="248" totalsRowBorderDxfId="247">
  <autoFilter ref="A4:L5">
    <filterColumn colId="1"/>
    <filterColumn colId="8"/>
    <filterColumn colId="9"/>
    <filterColumn colId="10"/>
    <filterColumn colId="11"/>
  </autoFilter>
  <tableColumns count="12">
    <tableColumn id="5" name="1" dataDxfId="246"/>
    <tableColumn id="3" name="2" dataDxfId="245"/>
    <tableColumn id="2" name="3" dataDxfId="244"/>
    <tableColumn id="6" name="4" dataDxfId="243"/>
    <tableColumn id="7" name="5" dataDxfId="242"/>
    <tableColumn id="10" name="6" dataDxfId="241"/>
    <tableColumn id="11" name="7" dataDxfId="240"/>
    <tableColumn id="12" name="8" dataDxfId="239"/>
    <tableColumn id="1" name="9" dataDxfId="238"/>
    <tableColumn id="4" name="10" dataDxfId="237"/>
    <tableColumn id="9" name="12" dataDxfId="236"/>
    <tableColumn id="8" name="11" dataDxfId="23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6" name="Таблица26" displayName="Таблица26" ref="B6:D7" totalsRowShown="0" headerRowDxfId="234" headerRowBorderDxfId="233" tableBorderDxfId="232" headerRowCellStyle="Обычный 4">
  <autoFilter ref="B6:D7"/>
  <tableColumns count="3">
    <tableColumn id="1" name="100" dataDxfId="231" dataCellStyle="Обычный 4"/>
    <tableColumn id="2" name="130" dataDxfId="230" dataCellStyle="Обычный 4"/>
    <tableColumn id="3" name="140" dataDxfId="229" dataCellStyle="Обычный 4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28" dataDxfId="227"/>
  </tableColumns>
  <tableStyleInfo showFirstColumn="0" showLastColumn="0" showRowStripes="0" showColumnStripes="0"/>
</table>
</file>

<file path=xl/tables/table35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26" dataDxfId="225"/>
  </tableColumns>
  <tableStyleInfo showFirstColumn="0" showLastColumn="0" showRowStripes="0" showColumnStripes="0"/>
</table>
</file>

<file path=xl/tables/table36.xml><?xml version="1.0" encoding="utf-8"?>
<table xmlns="http://schemas.openxmlformats.org/spreadsheetml/2006/main" id="4" name="Таблица4" displayName="Таблица4" ref="B5:E5" headerRowCount="0" totalsRowShown="0" headerRowDxfId="224" dataDxfId="223" tableBorderDxfId="222" totalsRowBorderDxfId="221">
  <tableColumns count="4">
    <tableColumn id="1" name="Столбец1" headerRowDxfId="220" dataDxfId="219" dataCellStyle="Обычный 4"/>
    <tableColumn id="2" name="Столбец2" headerRowDxfId="218" dataDxfId="217" headerRowCellStyle="Обычный 4" dataCellStyle="Обычный 4"/>
    <tableColumn id="3" name="Столбец3" headerRowDxfId="216" dataDxfId="215"/>
    <tableColumn id="4" name="Столбец4" headerRowDxfId="214" dataDxfId="213" headerRowCellStyle="Обычный 4" dataCellStyle="Обычный 4"/>
  </tableColumns>
  <tableStyleInfo name="TableStyleLight1" showFirstColumn="0" showLastColumn="0" showRowStripes="0" showColumnStripes="0"/>
</table>
</file>

<file path=xl/tables/table37.xml><?xml version="1.0" encoding="utf-8"?>
<table xmlns="http://schemas.openxmlformats.org/spreadsheetml/2006/main" id="29" name="Таблица29" displayName="Таблица29" ref="A4:H5" headerRowCount="0" totalsRowCount="1" headerRowDxfId="212" dataDxfId="211">
  <tableColumns count="8">
    <tableColumn id="1" name="Столбец1" totalsRowLabel="Итого:" headerRowDxfId="210" dataDxfId="209" totalsRowDxfId="208"/>
    <tableColumn id="2" name="Столбец2" headerRowDxfId="207" dataDxfId="206" totalsRowDxfId="205"/>
    <tableColumn id="3" name="Столбец3" totalsRowFunction="sum" headerRowDxfId="204" dataDxfId="203" totalsRowDxfId="202"/>
    <tableColumn id="4" name="Столбец4" totalsRowFunction="sum" headerRowDxfId="201" dataDxfId="200" totalsRowDxfId="199"/>
    <tableColumn id="5" name="Столбец5" totalsRowFunction="sum" headerRowDxfId="198" dataDxfId="197" totalsRowDxfId="196"/>
    <tableColumn id="6" name="Столбец6" totalsRowFunction="sum" headerRowDxfId="195" dataDxfId="194" totalsRowDxfId="193"/>
    <tableColumn id="7" name="Столбец7" totalsRowFunction="sum" headerRowDxfId="192" dataDxfId="191" totalsRowDxfId="190"/>
    <tableColumn id="8" name="Столбец8" totalsRowFunction="sum" headerRowDxfId="189" dataDxfId="188" totalsRowDxfId="187"/>
  </tableColumns>
  <tableStyleInfo name="TableStyleLight1" showFirstColumn="0" showLastColumn="0" showRowStripes="0" showColumnStripes="0"/>
</table>
</file>

<file path=xl/tables/table38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86" totalsRowDxfId="185"/>
    <tableColumn id="4" name="Столбец2" dataDxfId="184"/>
    <tableColumn id="5" name="итог" dataDxfId="183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9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82"/>
    <tableColumn id="2" name="Столбец2"/>
    <tableColumn id="3" name="Столбец3" totalsRowFunction="sum" headerRowDxfId="181" dataDxfId="180" totalsRowDxfId="179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0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47" name="Таблица47" displayName="Таблица47" ref="A23:F25" totalsRowCount="1" headerRowDxfId="178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77"/>
    <tableColumn id="5" name="Налог удержанный" totalsRowFunction="sum" dataDxfId="176"/>
    <tableColumn id="6" name="Разница" totalsRowFunction="sum" dataDxfId="17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8" name="Таблица8" displayName="Таблица8" ref="A1:D2" insertRow="1" totalsRowShown="0" headerRowDxfId="174" headerRowBorderDxfId="173" tableBorderDxfId="172" totalsRowBorderDxfId="171">
  <autoFilter ref="A1:D2">
    <filterColumn colId="2"/>
    <filterColumn colId="3"/>
  </autoFilter>
  <tableColumns count="4">
    <tableColumn id="1" name="ФИО" dataDxfId="170"/>
    <tableColumn id="5" name="Дата рождения" dataDxfId="169"/>
    <tableColumn id="2" name="Снилс"/>
    <tableColumn id="3" name="ИНН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25" name="Таблица8526" displayName="Таблица8526" ref="A2:I3" totalsRowShown="0" headerRowDxfId="168" headerRowBorderDxfId="167" tableBorderDxfId="166" totalsRowBorderDxfId="165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64"/>
    <tableColumn id="6" name="Имя" dataDxfId="163"/>
    <tableColumn id="4" name="Отчество" dataDxfId="162"/>
    <tableColumn id="5" name="Дата рождения" dataDxfId="161"/>
    <tableColumn id="3" name="ИНН" dataDxfId="160"/>
    <tableColumn id="1" name="Участник/Не участник" dataDxfId="159"/>
    <tableColumn id="2" name="Доход" dataDxfId="158"/>
    <tableColumn id="8" name="Пенсионные схемы" dataDxfId="157"/>
    <tableColumn id="9" name="Типы дохода" dataDxfId="15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2" name="Таблица52" displayName="Таблица52" ref="A5:I6" headerRowDxfId="155">
  <autoFilter ref="A5:I6">
    <filterColumn colId="5"/>
  </autoFilter>
  <tableColumns count="9">
    <tableColumn id="1" name="Контрагент ID" totalsRowLabel="Итог" dataDxfId="154" totalsRowDxfId="153"/>
    <tableColumn id="2" name="Фамилия" dataDxfId="152" totalsRowDxfId="151"/>
    <tableColumn id="3" name="Имя" dataDxfId="150" totalsRowDxfId="149"/>
    <tableColumn id="4" name="Отчество" dataDxfId="148" totalsRowDxfId="147"/>
    <tableColumn id="5" name="Ставка" dataDxfId="146" totalsRowDxfId="145"/>
    <tableColumn id="9" name="Количество счетов" dataDxfId="144" totalsRowDxfId="143"/>
    <tableColumn id="6" name="Исчисленный налог" dataDxfId="142" totalsRowDxfId="141"/>
    <tableColumn id="7" name="Удержанный налог" dataDxfId="140" totalsRowDxfId="139"/>
    <tableColumn id="8" name="Недоплата" totalsRowFunction="sum" dataDxfId="138" totalsRowDxfId="137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28" name="Таблица5229" displayName="Таблица5229" ref="A5:P6" headerRowDxfId="136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35" totalsRowDxfId="134"/>
    <tableColumn id="2" name="Фамилия" dataDxfId="133" totalsRowDxfId="132"/>
    <tableColumn id="3" name="Имя" dataDxfId="131" totalsRowDxfId="130"/>
    <tableColumn id="4" name="Отчество" dataDxfId="129" totalsRowDxfId="128"/>
    <tableColumn id="9" name="SSYLKA" dataDxfId="127" totalsRowDxfId="126"/>
    <tableColumn id="10" name="Вкладчик" dataDxfId="125" totalsRowDxfId="124"/>
    <tableColumn id="11" name="ИПС" dataDxfId="123" totalsRowDxfId="122"/>
    <tableColumn id="12" name="Пенс.схема" dataDxfId="121" totalsRowDxfId="120"/>
    <tableColumn id="14" name="Счет дохода" dataDxfId="119" totalsRowDxfId="118"/>
    <tableColumn id="5" name="Счет налога" dataDxfId="117" totalsRowDxfId="116"/>
    <tableColumn id="16" name="Доход" dataDxfId="115" totalsRowDxfId="114"/>
    <tableColumn id="15" name="Вычет" dataDxfId="113" totalsRowDxfId="112"/>
    <tableColumn id="13" name="Налог" dataDxfId="111" totalsRowDxfId="110"/>
    <tableColumn id="18" name="Удержано налога" dataDxfId="109" totalsRowDxfId="108"/>
    <tableColumn id="17" name="Исчислено налога" dataDxfId="107" totalsRowDxfId="106"/>
    <tableColumn id="8" name="Недоплата2" totalsRowFunction="sum" dataDxfId="105" totalsRowDxfId="10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35" name="Таблица35" displayName="Таблица35" ref="A22:M24" totalsRowCount="1" headerRowDxfId="103" dataDxfId="102">
  <autoFilter ref="A22:M23">
    <filterColumn colId="9"/>
    <filterColumn colId="12"/>
  </autoFilter>
  <tableColumns count="13">
    <tableColumn id="1" name="1" totalsRowLabel="Итог" dataDxfId="101" totalsRowDxfId="100"/>
    <tableColumn id="3" name="2" dataDxfId="99" totalsRowDxfId="98"/>
    <tableColumn id="4" name="3" dataDxfId="97" totalsRowDxfId="96"/>
    <tableColumn id="5" name="4" dataDxfId="95" totalsRowDxfId="94"/>
    <tableColumn id="6" name="5" dataDxfId="93" totalsRowDxfId="92"/>
    <tableColumn id="8" name="6" dataDxfId="91" totalsRowDxfId="90"/>
    <tableColumn id="9" name="7" dataDxfId="89" totalsRowDxfId="88"/>
    <tableColumn id="10" name="8" dataDxfId="87" totalsRowDxfId="86"/>
    <tableColumn id="11" name="9" dataDxfId="85" totalsRowDxfId="84"/>
    <tableColumn id="14" name="10" dataDxfId="83" totalsRowDxfId="82"/>
    <tableColumn id="12" name="11" totalsRowFunction="sum" dataDxfId="81" totalsRowDxfId="80"/>
    <tableColumn id="13" name="12" dataDxfId="79" totalsRowDxfId="78"/>
    <tableColumn id="15" name="13" dataDxfId="7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1" name="Таблица3542" displayName="Таблица3542" ref="A6:M8" totalsRowCount="1" headerRowDxfId="76" dataDxfId="75">
  <autoFilter ref="A6:M7"/>
  <tableColumns count="13">
    <tableColumn id="1" name="1" totalsRowLabel="Итог" dataDxfId="74" totalsRowDxfId="73"/>
    <tableColumn id="3" name="2" dataDxfId="72" totalsRowDxfId="71"/>
    <tableColumn id="4" name="3" dataDxfId="70" totalsRowDxfId="69"/>
    <tableColumn id="5" name="4" dataDxfId="68" totalsRowDxfId="67"/>
    <tableColumn id="6" name="5" dataDxfId="66" totalsRowDxfId="65"/>
    <tableColumn id="8" name="6" dataDxfId="64" totalsRowDxfId="63"/>
    <tableColumn id="9" name="7" dataDxfId="62" totalsRowDxfId="61"/>
    <tableColumn id="10" name="8" dataDxfId="60" totalsRowDxfId="59"/>
    <tableColumn id="11" name="9" dataDxfId="58" totalsRowDxfId="57"/>
    <tableColumn id="14" name="10" dataDxfId="56" totalsRowDxfId="55"/>
    <tableColumn id="12" name="11" totalsRowFunction="sum" dataDxfId="54" totalsRowDxfId="53"/>
    <tableColumn id="13" name="12" dataDxfId="52" totalsRowDxfId="51"/>
    <tableColumn id="15" name="13" dataDxfId="5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8" name="Таблица3549" displayName="Таблица3549" ref="A14:M16" totalsRowCount="1" headerRowDxfId="49" dataDxfId="48">
  <autoFilter ref="A14:M15"/>
  <tableColumns count="13">
    <tableColumn id="1" name="1" totalsRowLabel="Итог" dataDxfId="47" totalsRowDxfId="46"/>
    <tableColumn id="3" name="2" dataDxfId="45" totalsRowDxfId="44"/>
    <tableColumn id="4" name="3" dataDxfId="43" totalsRowDxfId="42"/>
    <tableColumn id="5" name="4" dataDxfId="41" totalsRowDxfId="40"/>
    <tableColumn id="6" name="5" dataDxfId="39" totalsRowDxfId="38"/>
    <tableColumn id="8" name="6" dataDxfId="37" totalsRowDxfId="36"/>
    <tableColumn id="9" name="7" dataDxfId="35" totalsRowDxfId="34"/>
    <tableColumn id="10" name="8" dataDxfId="33" totalsRowDxfId="32"/>
    <tableColumn id="11" name="9" dataDxfId="31" totalsRowDxfId="30"/>
    <tableColumn id="14" name="10" dataDxfId="29" totalsRowDxfId="28"/>
    <tableColumn id="12" name="11" totalsRowFunction="sum" dataDxfId="27" totalsRowDxfId="26"/>
    <tableColumn id="13" name="12" dataDxfId="25" totalsRowDxfId="24"/>
    <tableColumn id="15" name="13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13" Type="http://schemas.openxmlformats.org/officeDocument/2006/relationships/table" Target="../tables/table24.xml"/><Relationship Id="rId18" Type="http://schemas.openxmlformats.org/officeDocument/2006/relationships/table" Target="../tables/table2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12" Type="http://schemas.openxmlformats.org/officeDocument/2006/relationships/table" Target="../tables/table23.xml"/><Relationship Id="rId17" Type="http://schemas.openxmlformats.org/officeDocument/2006/relationships/table" Target="../tables/table28.xml"/><Relationship Id="rId2" Type="http://schemas.openxmlformats.org/officeDocument/2006/relationships/drawing" Target="../drawings/drawing1.xml"/><Relationship Id="rId16" Type="http://schemas.openxmlformats.org/officeDocument/2006/relationships/table" Target="../tables/table2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5" Type="http://schemas.openxmlformats.org/officeDocument/2006/relationships/table" Target="../tables/table26.xml"/><Relationship Id="rId10" Type="http://schemas.openxmlformats.org/officeDocument/2006/relationships/table" Target="../tables/table21.xml"/><Relationship Id="rId19" Type="http://schemas.openxmlformats.org/officeDocument/2006/relationships/table" Target="../tables/table30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Relationship Id="rId1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57" t="s">
        <v>248</v>
      </c>
      <c r="B1" s="258"/>
      <c r="C1" s="258"/>
      <c r="D1" s="258"/>
      <c r="E1" s="258"/>
      <c r="F1" s="258"/>
      <c r="G1" s="258"/>
      <c r="H1" s="258"/>
      <c r="I1" s="258"/>
      <c r="J1" s="258"/>
    </row>
    <row r="2" spans="1:10" ht="31.5" customHeight="1">
      <c r="A2" s="255" t="s">
        <v>4</v>
      </c>
      <c r="B2" s="255"/>
      <c r="C2" s="255"/>
      <c r="D2" s="255"/>
      <c r="E2" s="255"/>
      <c r="F2" s="256" t="s">
        <v>23</v>
      </c>
      <c r="G2" s="256"/>
      <c r="H2" s="256"/>
      <c r="I2" s="256"/>
      <c r="J2" s="256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59" t="s">
        <v>248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1:16" ht="31.5" customHeight="1">
      <c r="A2" s="264" t="s">
        <v>4</v>
      </c>
      <c r="B2" s="265"/>
      <c r="C2" s="265"/>
      <c r="D2" s="265"/>
      <c r="E2" s="265"/>
      <c r="F2" s="265"/>
      <c r="G2" s="265"/>
      <c r="H2" s="265"/>
      <c r="I2" s="266"/>
      <c r="J2" s="267" t="s">
        <v>23</v>
      </c>
      <c r="K2" s="268"/>
      <c r="L2" s="268"/>
      <c r="M2" s="268"/>
      <c r="N2" s="268"/>
      <c r="O2" s="268"/>
      <c r="P2" s="269"/>
    </row>
    <row r="3" spans="1:16" ht="24" customHeight="1">
      <c r="A3" s="270" t="s">
        <v>0</v>
      </c>
      <c r="B3" s="272" t="s">
        <v>29</v>
      </c>
      <c r="C3" s="272" t="s">
        <v>3</v>
      </c>
      <c r="D3" s="272" t="s">
        <v>30</v>
      </c>
      <c r="E3" s="274" t="s">
        <v>5</v>
      </c>
      <c r="F3" s="275"/>
      <c r="G3" s="276"/>
      <c r="H3" s="274" t="s">
        <v>6</v>
      </c>
      <c r="I3" s="277"/>
      <c r="J3" s="278" t="s">
        <v>28</v>
      </c>
      <c r="K3" s="278" t="s">
        <v>32</v>
      </c>
      <c r="L3" s="260" t="s">
        <v>5</v>
      </c>
      <c r="M3" s="261"/>
      <c r="N3" s="262"/>
      <c r="O3" s="260" t="s">
        <v>6</v>
      </c>
      <c r="P3" s="263"/>
    </row>
    <row r="4" spans="1:16" ht="38.25" customHeight="1">
      <c r="A4" s="271"/>
      <c r="B4" s="273"/>
      <c r="C4" s="273"/>
      <c r="D4" s="273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79"/>
      <c r="K4" s="279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59" t="s">
        <v>249</v>
      </c>
      <c r="B1" s="259"/>
      <c r="C1" s="259"/>
      <c r="D1" s="259"/>
      <c r="E1" s="259"/>
      <c r="F1" s="259"/>
      <c r="G1" s="259"/>
      <c r="H1" s="259"/>
      <c r="I1" s="259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80" t="s">
        <v>250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</row>
    <row r="2" spans="1:18" ht="31.5" customHeight="1">
      <c r="A2" s="255" t="s">
        <v>59</v>
      </c>
      <c r="B2" s="255"/>
      <c r="C2" s="255"/>
      <c r="D2" s="255"/>
      <c r="E2" s="255" t="s">
        <v>58</v>
      </c>
      <c r="F2" s="255"/>
      <c r="G2" s="255"/>
      <c r="H2" s="255"/>
      <c r="I2" s="255"/>
      <c r="J2" s="255"/>
      <c r="K2" s="281" t="s">
        <v>52</v>
      </c>
      <c r="L2" s="281" t="s">
        <v>53</v>
      </c>
      <c r="M2" s="281" t="s">
        <v>38</v>
      </c>
      <c r="N2" s="281" t="s">
        <v>54</v>
      </c>
      <c r="O2" s="255" t="s">
        <v>60</v>
      </c>
      <c r="P2" s="255"/>
      <c r="Q2" s="255"/>
      <c r="R2" s="255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81"/>
      <c r="L3" s="281"/>
      <c r="M3" s="281"/>
      <c r="N3" s="281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84" t="s">
        <v>292</v>
      </c>
      <c r="B1" s="285"/>
      <c r="C1" s="285"/>
      <c r="D1" s="285"/>
      <c r="E1" s="285"/>
      <c r="F1" s="285"/>
      <c r="G1" s="285"/>
      <c r="H1" s="285"/>
    </row>
    <row r="2" spans="1:8" ht="15.75" customHeight="1">
      <c r="A2" s="289"/>
      <c r="B2" s="289"/>
      <c r="C2" s="289"/>
      <c r="D2" s="289"/>
      <c r="E2" s="289"/>
      <c r="F2" s="289"/>
      <c r="G2" s="289"/>
      <c r="H2" s="289"/>
    </row>
    <row r="3" spans="1:8" ht="27" customHeight="1">
      <c r="A3" s="286" t="s">
        <v>267</v>
      </c>
      <c r="B3" s="286"/>
      <c r="C3" s="286"/>
      <c r="D3" s="117"/>
      <c r="E3" s="286" t="s">
        <v>268</v>
      </c>
      <c r="F3" s="286"/>
      <c r="G3" s="286"/>
      <c r="H3" s="286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87" t="s">
        <v>283</v>
      </c>
      <c r="B18" s="287"/>
      <c r="C18" s="287"/>
      <c r="D18" s="119"/>
      <c r="E18" s="287" t="s">
        <v>284</v>
      </c>
      <c r="F18" s="287"/>
      <c r="G18" s="287"/>
      <c r="H18" s="287"/>
    </row>
    <row r="19" spans="1:8" ht="14.25" customHeight="1">
      <c r="A19" s="287"/>
      <c r="B19" s="287"/>
      <c r="C19" s="287"/>
      <c r="D19" s="118"/>
      <c r="E19" s="288" t="s">
        <v>269</v>
      </c>
      <c r="F19" s="288"/>
      <c r="G19" s="288" t="s">
        <v>270</v>
      </c>
      <c r="H19" s="288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82" t="s">
        <v>299</v>
      </c>
      <c r="B41" s="283"/>
      <c r="D41" s="117"/>
    </row>
    <row r="42" spans="1:8">
      <c r="A42" s="282"/>
      <c r="B42" s="283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372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280" t="s">
        <v>436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45"/>
      <c r="N1" s="245"/>
      <c r="O1" s="245"/>
      <c r="P1" s="245"/>
      <c r="Q1" s="245"/>
      <c r="R1" s="245"/>
    </row>
    <row r="2" spans="1:18" ht="45" customHeight="1">
      <c r="A2" s="246" t="s">
        <v>437</v>
      </c>
      <c r="B2" s="247" t="s">
        <v>438</v>
      </c>
      <c r="C2" s="247" t="s">
        <v>439</v>
      </c>
      <c r="D2" s="248" t="s">
        <v>100</v>
      </c>
      <c r="E2" s="248" t="s">
        <v>420</v>
      </c>
      <c r="F2" s="248" t="s">
        <v>63</v>
      </c>
      <c r="G2" s="248" t="s">
        <v>64</v>
      </c>
      <c r="H2" s="248" t="s">
        <v>65</v>
      </c>
      <c r="I2" s="249" t="s">
        <v>440</v>
      </c>
      <c r="J2" s="250" t="s">
        <v>441</v>
      </c>
      <c r="K2" s="248" t="s">
        <v>442</v>
      </c>
      <c r="L2" s="251" t="s">
        <v>443</v>
      </c>
      <c r="M2" s="247" t="s">
        <v>325</v>
      </c>
    </row>
    <row r="3" spans="1:18">
      <c r="A3" t="s">
        <v>444</v>
      </c>
      <c r="I3" s="2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9"/>
  <dimension ref="A1:T4"/>
  <sheetViews>
    <sheetView zoomScale="145" zoomScaleNormal="145" workbookViewId="0">
      <pane ySplit="3" topLeftCell="A4" activePane="bottomLeft" state="frozen"/>
      <selection activeCell="A3" sqref="A3"/>
      <selection pane="bottomLeft" activeCell="A3" sqref="A3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257" t="s">
        <v>424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T1" t="s">
        <v>425</v>
      </c>
    </row>
    <row r="2" spans="1:20" ht="18" customHeight="1">
      <c r="A2" s="290" t="s">
        <v>425</v>
      </c>
      <c r="B2" s="290"/>
      <c r="C2" s="290"/>
      <c r="D2" s="290"/>
      <c r="E2" s="290"/>
      <c r="F2" s="290"/>
      <c r="G2" s="290"/>
      <c r="H2" s="290"/>
      <c r="I2" s="290"/>
      <c r="J2" s="290"/>
      <c r="K2" s="290"/>
      <c r="L2" s="290"/>
      <c r="M2" s="291" t="e">
        <f>report_year-1</f>
        <v>#VALUE!</v>
      </c>
      <c r="N2" s="292"/>
      <c r="O2" s="292"/>
      <c r="P2" s="292"/>
      <c r="Q2" s="293"/>
    </row>
    <row r="3" spans="1:20" ht="31.5" customHeight="1">
      <c r="A3" s="237" t="s">
        <v>426</v>
      </c>
      <c r="B3" s="238" t="s">
        <v>325</v>
      </c>
      <c r="C3" s="238" t="s">
        <v>427</v>
      </c>
      <c r="D3" s="238" t="s">
        <v>63</v>
      </c>
      <c r="E3" s="238" t="s">
        <v>64</v>
      </c>
      <c r="F3" s="238" t="s">
        <v>65</v>
      </c>
      <c r="G3" s="238" t="s">
        <v>98</v>
      </c>
      <c r="H3" s="238" t="s">
        <v>100</v>
      </c>
      <c r="I3" s="238" t="s">
        <v>420</v>
      </c>
      <c r="J3" s="238" t="s">
        <v>419</v>
      </c>
      <c r="K3" s="238" t="s">
        <v>428</v>
      </c>
      <c r="L3" s="239" t="s">
        <v>429</v>
      </c>
      <c r="M3" s="240" t="s">
        <v>430</v>
      </c>
      <c r="N3" s="240" t="s">
        <v>431</v>
      </c>
      <c r="O3" s="240" t="s">
        <v>432</v>
      </c>
      <c r="P3" s="240" t="s">
        <v>433</v>
      </c>
      <c r="Q3" s="240" t="s">
        <v>434</v>
      </c>
    </row>
    <row r="4" spans="1:20">
      <c r="A4" s="241" t="s">
        <v>435</v>
      </c>
      <c r="B4" s="242"/>
      <c r="C4" s="242"/>
      <c r="D4" s="242"/>
      <c r="E4" s="242"/>
      <c r="F4" s="242"/>
      <c r="G4" s="13"/>
      <c r="H4" s="243"/>
      <c r="I4" s="242"/>
      <c r="J4" s="243"/>
      <c r="K4" s="243"/>
      <c r="L4" s="244"/>
      <c r="M4" s="243"/>
      <c r="N4" s="242"/>
      <c r="O4" s="243"/>
      <c r="P4" s="243"/>
      <c r="Q4" s="244"/>
    </row>
  </sheetData>
  <mergeCells count="3">
    <mergeCell ref="A1:L1"/>
    <mergeCell ref="A2:L2"/>
    <mergeCell ref="M2:Q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280" t="s">
        <v>406</v>
      </c>
      <c r="B1" s="280"/>
      <c r="C1" s="280"/>
      <c r="D1" s="280"/>
      <c r="E1" s="280"/>
      <c r="F1" s="280"/>
      <c r="G1" s="280"/>
      <c r="H1" s="280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280" t="s">
        <v>416</v>
      </c>
      <c r="B6" s="280"/>
      <c r="C6" s="280"/>
      <c r="D6" s="280"/>
      <c r="E6" s="280"/>
      <c r="F6" s="280"/>
      <c r="G6" s="280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57" t="s">
        <v>397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</row>
    <row r="2" spans="1:16" ht="18" customHeight="1">
      <c r="A2" s="294" t="s">
        <v>398</v>
      </c>
      <c r="B2" s="294"/>
      <c r="C2" s="294"/>
      <c r="D2" s="294"/>
      <c r="E2" s="294"/>
      <c r="F2" s="294"/>
      <c r="G2" s="294"/>
      <c r="H2" s="294" t="s">
        <v>399</v>
      </c>
      <c r="I2" s="294"/>
      <c r="J2" s="294"/>
      <c r="K2" s="294"/>
      <c r="L2" s="294"/>
      <c r="M2" s="294"/>
      <c r="N2" s="294"/>
      <c r="O2" s="294"/>
      <c r="P2" s="294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19" t="s">
        <v>473</v>
      </c>
      <c r="B1" s="319"/>
      <c r="C1" s="319"/>
      <c r="D1" s="319"/>
      <c r="E1" s="319"/>
      <c r="F1" s="319"/>
      <c r="G1" s="319"/>
      <c r="H1" s="319"/>
      <c r="I1" s="319"/>
      <c r="J1" s="187"/>
    </row>
    <row r="2" spans="1:10" ht="39.75" customHeight="1">
      <c r="A2" s="33" t="s">
        <v>475</v>
      </c>
      <c r="B2" s="47" t="s">
        <v>62</v>
      </c>
      <c r="C2" s="341" t="s">
        <v>3</v>
      </c>
      <c r="D2" s="47" t="s">
        <v>63</v>
      </c>
      <c r="E2" s="47" t="s">
        <v>64</v>
      </c>
      <c r="F2" s="47" t="s">
        <v>65</v>
      </c>
      <c r="G2" s="47" t="s">
        <v>476</v>
      </c>
      <c r="H2" s="47" t="s">
        <v>477</v>
      </c>
      <c r="I2" s="34" t="s">
        <v>418</v>
      </c>
    </row>
    <row r="3" spans="1:10">
      <c r="A3" s="241" t="s">
        <v>472</v>
      </c>
      <c r="B3" s="342"/>
      <c r="C3" s="243"/>
      <c r="D3" s="242"/>
      <c r="E3" s="242"/>
      <c r="F3" s="242"/>
      <c r="G3" s="243"/>
      <c r="H3" s="342"/>
      <c r="I3" s="343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ettings"/>
  <dimension ref="A1:BH55"/>
  <sheetViews>
    <sheetView workbookViewId="0">
      <selection activeCell="D8" sqref="D8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</cols>
  <sheetData>
    <row r="1" spans="1:60" ht="29.25" customHeight="1">
      <c r="A1" s="295" t="s">
        <v>115</v>
      </c>
      <c r="B1" s="295"/>
      <c r="D1" s="296" t="s">
        <v>116</v>
      </c>
      <c r="E1" s="296"/>
      <c r="G1" s="296" t="s">
        <v>111</v>
      </c>
      <c r="H1" s="296"/>
      <c r="I1" s="296"/>
      <c r="J1" s="296"/>
      <c r="K1" s="296"/>
      <c r="L1" s="296"/>
      <c r="N1" s="296" t="s">
        <v>106</v>
      </c>
      <c r="O1" s="296"/>
      <c r="P1" s="296"/>
      <c r="Q1" s="296"/>
      <c r="R1" s="296"/>
      <c r="S1" s="296"/>
      <c r="T1" s="296"/>
      <c r="V1" s="296" t="s">
        <v>112</v>
      </c>
      <c r="W1" s="296"/>
      <c r="Y1" s="296" t="s">
        <v>103</v>
      </c>
      <c r="Z1" s="296"/>
      <c r="AA1" s="296"/>
      <c r="AB1" s="296"/>
      <c r="AC1" s="296"/>
      <c r="AE1" s="296" t="s">
        <v>143</v>
      </c>
      <c r="AF1" s="296"/>
      <c r="AG1" s="296"/>
      <c r="AH1" s="296"/>
      <c r="AI1" s="296"/>
      <c r="AJ1" s="296"/>
      <c r="AK1" s="296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297" t="s">
        <v>245</v>
      </c>
      <c r="BF1" s="297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470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469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f2_create_all</v>
      </c>
      <c r="D6" s="253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</row>
    <row r="7" spans="1:60">
      <c r="A7" s="39" t="s">
        <v>149</v>
      </c>
      <c r="B7" s="177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479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177" t="s">
        <v>386</v>
      </c>
      <c r="D9" s="253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177" t="s">
        <v>386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469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177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4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254"/>
      <c r="E31" s="177"/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7:20"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7:20"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7:20"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7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7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7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7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7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7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7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7:20">
      <c r="G43" s="177" t="s">
        <v>471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7:20">
      <c r="G44" s="177" t="s">
        <v>471</v>
      </c>
      <c r="H44" s="45" t="s">
        <v>104</v>
      </c>
      <c r="I44" s="45" t="s">
        <v>405</v>
      </c>
      <c r="J44" t="s">
        <v>469</v>
      </c>
      <c r="L44" s="45" t="s">
        <v>451</v>
      </c>
      <c r="N44" s="177" t="s">
        <v>472</v>
      </c>
      <c r="O44" s="177" t="s">
        <v>472</v>
      </c>
      <c r="P44" s="177" t="s">
        <v>474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7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478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7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</row>
    <row r="47" spans="7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</row>
    <row r="48" spans="7:20">
      <c r="G48" s="177" t="s">
        <v>450</v>
      </c>
      <c r="H48" s="177" t="s">
        <v>104</v>
      </c>
      <c r="I48" s="177" t="s">
        <v>363</v>
      </c>
      <c r="K48" s="177"/>
      <c r="L48" s="177"/>
    </row>
    <row r="49" spans="7:12">
      <c r="G49" s="177" t="s">
        <v>450</v>
      </c>
      <c r="H49" s="177" t="s">
        <v>104</v>
      </c>
      <c r="I49" s="177" t="s">
        <v>376</v>
      </c>
      <c r="J49" t="s">
        <v>469</v>
      </c>
      <c r="K49" s="177"/>
      <c r="L49" s="177" t="s">
        <v>462</v>
      </c>
    </row>
    <row r="50" spans="7:12">
      <c r="G50" s="177" t="s">
        <v>450</v>
      </c>
      <c r="H50" s="177" t="s">
        <v>105</v>
      </c>
      <c r="I50" s="177" t="s">
        <v>453</v>
      </c>
      <c r="J50" s="177"/>
      <c r="K50" s="177" t="s">
        <v>463</v>
      </c>
      <c r="L50" s="177"/>
    </row>
    <row r="51" spans="7:12">
      <c r="G51" s="177" t="s">
        <v>450</v>
      </c>
      <c r="H51" s="177" t="s">
        <v>104</v>
      </c>
      <c r="I51" s="177" t="s">
        <v>472</v>
      </c>
      <c r="K51" s="177"/>
      <c r="L51" s="177"/>
    </row>
    <row r="52" spans="7:12">
      <c r="G52" s="177" t="s">
        <v>450</v>
      </c>
      <c r="H52" s="177" t="s">
        <v>104</v>
      </c>
      <c r="I52" s="177" t="s">
        <v>435</v>
      </c>
      <c r="J52" t="s">
        <v>469</v>
      </c>
      <c r="K52" s="177"/>
      <c r="L52" s="177" t="s">
        <v>463</v>
      </c>
    </row>
    <row r="53" spans="7:12">
      <c r="G53" s="177" t="s">
        <v>450</v>
      </c>
      <c r="H53" s="177" t="s">
        <v>105</v>
      </c>
      <c r="I53" s="177" t="s">
        <v>453</v>
      </c>
      <c r="J53" s="177"/>
      <c r="K53" s="177" t="s">
        <v>464</v>
      </c>
      <c r="L53" s="177"/>
    </row>
    <row r="54" spans="7:12">
      <c r="G54" s="177" t="s">
        <v>465</v>
      </c>
      <c r="H54" s="177" t="s">
        <v>105</v>
      </c>
      <c r="I54" s="177" t="s">
        <v>453</v>
      </c>
      <c r="J54" s="177"/>
      <c r="K54" s="177" t="s">
        <v>465</v>
      </c>
      <c r="L54" s="177"/>
    </row>
    <row r="55" spans="7:12">
      <c r="G55" s="177" t="s">
        <v>465</v>
      </c>
      <c r="H55" s="177" t="s">
        <v>104</v>
      </c>
      <c r="I55" s="177" t="s">
        <v>466</v>
      </c>
      <c r="J55" s="177"/>
      <c r="K55" s="177"/>
      <c r="L55" s="177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3 W4:W11">
      <formula1>INDIRECT("Reports[Code]")</formula1>
    </dataValidation>
    <dataValidation type="list" allowBlank="1" showInputMessage="1" showErrorMessage="1" sqref="Z3:Z12">
      <formula1>INDIRECT("ProgramTypes[Code]")</formula1>
    </dataValidation>
    <dataValidation type="list" allowBlank="1" showInputMessage="1" showErrorMessage="1" sqref="AB3:AB12">
      <formula1>INDIRECT("ReturnTypes[Code]")</formula1>
    </dataValidation>
    <dataValidation type="list" allowBlank="1" showInputMessage="1" showErrorMessage="1" sqref="Q3:Q45">
      <formula1>INDIRECT("CreateModes[Code]")</formula1>
    </dataValidation>
    <dataValidation type="list" allowBlank="1" showInputMessage="1" showErrorMessage="1" sqref="T3:T45">
      <formula1>INDIRECT("ReportTypes[Code]")</formula1>
    </dataValidation>
    <dataValidation type="list" allowBlank="1" showInputMessage="1" showErrorMessage="1" sqref="S3:S45">
      <formula1>INDIRECT("Programs[Code]")</formula1>
    </dataValidation>
    <dataValidation type="list" allowBlank="1" showInputMessage="1" showErrorMessage="1" sqref="AG3:AG26">
      <formula1>INDIRECT("Direction[Code]")</formula1>
    </dataValidation>
    <dataValidation type="list" allowBlank="1" showInputMessage="1" showErrorMessage="1" sqref="AI3:AI26 AK3:AK26">
      <formula1>INDIRECT("YesNo[Code]")</formula1>
    </dataValidation>
    <dataValidation type="whole" allowBlank="1" showInputMessage="1" showErrorMessage="1" sqref="AJ3:AJ26">
      <formula1>1</formula1>
      <formula2>32767</formula2>
    </dataValidation>
    <dataValidation type="list" allowBlank="1" showInputMessage="1" showErrorMessage="1" sqref="J3:J55">
      <formula1>INDIRECT("AfterAction")</formula1>
    </dataValidation>
    <dataValidation type="list" allowBlank="1" showInputMessage="1" showErrorMessage="1" sqref="H3:H55">
      <formula1>INDIRECT("ActionTypes[Code]")</formula1>
    </dataValidation>
  </dataValidations>
  <pageMargins left="0.7" right="0.7" top="0.75" bottom="0.75" header="0.3" footer="0.3"/>
  <pageSetup paperSize="9" orientation="portrait" r:id="rId1"/>
  <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449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01"/>
      <c r="B8" s="301"/>
      <c r="C8" s="301"/>
      <c r="D8" s="301"/>
      <c r="E8" s="301"/>
    </row>
    <row r="9" spans="1:6" ht="97.5" customHeight="1">
      <c r="A9" s="44"/>
      <c r="B9" s="302" t="s">
        <v>468</v>
      </c>
      <c r="C9" s="303"/>
      <c r="D9" s="303"/>
      <c r="E9" s="44"/>
    </row>
    <row r="10" spans="1:6" s="43" customFormat="1" ht="14.25" customHeight="1">
      <c r="A10" s="301"/>
      <c r="B10" s="301"/>
      <c r="C10" s="301"/>
      <c r="D10" s="301"/>
      <c r="E10" s="301"/>
    </row>
    <row r="11" spans="1:6" hidden="1">
      <c r="A11" s="298"/>
      <c r="B11" s="299"/>
      <c r="C11" s="299"/>
      <c r="D11" s="299"/>
      <c r="E11" s="300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80" t="s">
        <v>249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</row>
    <row r="2" spans="1:12" ht="44.25" customHeight="1">
      <c r="A2" s="304" t="s">
        <v>327</v>
      </c>
      <c r="B2" s="304"/>
      <c r="C2" s="304"/>
      <c r="D2" s="304" t="s">
        <v>58</v>
      </c>
      <c r="E2" s="304"/>
      <c r="F2" s="304" t="s">
        <v>62</v>
      </c>
      <c r="G2" s="304" t="s">
        <v>52</v>
      </c>
      <c r="H2" s="304" t="s">
        <v>328</v>
      </c>
      <c r="I2" s="304" t="s">
        <v>329</v>
      </c>
      <c r="J2" s="304" t="s">
        <v>3</v>
      </c>
      <c r="K2" s="304" t="s">
        <v>325</v>
      </c>
      <c r="L2" s="304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04"/>
      <c r="G3" s="304" t="s">
        <v>41</v>
      </c>
      <c r="H3" s="304" t="s">
        <v>325</v>
      </c>
      <c r="I3" s="304"/>
      <c r="J3" s="304"/>
      <c r="K3" s="304"/>
      <c r="L3" s="304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57" t="s">
        <v>251</v>
      </c>
      <c r="B1" s="257"/>
      <c r="C1" s="257"/>
      <c r="D1" s="257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05" t="s">
        <v>252</v>
      </c>
      <c r="B1" s="306"/>
      <c r="C1" s="306"/>
      <c r="D1" s="306"/>
      <c r="E1" s="306"/>
    </row>
    <row r="2" spans="1:6" ht="19.5" customHeight="1">
      <c r="A2" s="307" t="s">
        <v>181</v>
      </c>
      <c r="B2" s="308"/>
      <c r="C2" s="308"/>
      <c r="D2" s="308"/>
      <c r="E2" s="309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96" t="s">
        <v>185</v>
      </c>
      <c r="E8" s="296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96" t="s">
        <v>187</v>
      </c>
      <c r="E11" s="296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10" t="s">
        <v>253</v>
      </c>
      <c r="B1" s="311"/>
      <c r="C1" s="311"/>
      <c r="D1" s="311"/>
      <c r="E1" s="311"/>
      <c r="F1" s="311"/>
      <c r="G1" s="311"/>
      <c r="H1" s="311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17" t="s">
        <v>194</v>
      </c>
      <c r="F7" s="317"/>
      <c r="G7" s="317"/>
      <c r="H7" s="317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18" t="s">
        <v>200</v>
      </c>
      <c r="F11" s="318"/>
      <c r="G11" s="318"/>
      <c r="H11" s="318"/>
    </row>
    <row r="12" spans="1:8">
      <c r="C12" s="53"/>
      <c r="D12" s="85"/>
      <c r="E12" s="314" t="s">
        <v>201</v>
      </c>
      <c r="F12" s="315"/>
      <c r="G12" s="316"/>
      <c r="H12" s="312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12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13" t="s">
        <v>219</v>
      </c>
      <c r="B22" s="313"/>
      <c r="C22" s="313"/>
      <c r="D22" s="313"/>
      <c r="E22" s="313"/>
      <c r="F22" s="313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19" t="s">
        <v>254</v>
      </c>
      <c r="B1" s="319"/>
      <c r="C1" s="319"/>
      <c r="D1" s="319"/>
      <c r="E1" s="319"/>
      <c r="F1" s="319"/>
      <c r="G1" s="319"/>
      <c r="H1" s="319"/>
      <c r="I1" s="319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21" t="s">
        <v>263</v>
      </c>
      <c r="B1" s="322"/>
      <c r="C1" s="322"/>
      <c r="D1" s="322"/>
      <c r="E1" s="322"/>
      <c r="F1" s="322"/>
      <c r="G1" s="322"/>
      <c r="H1" s="322"/>
      <c r="I1" s="322"/>
    </row>
    <row r="2" spans="1:9" ht="15.75">
      <c r="A2" s="112"/>
    </row>
    <row r="3" spans="1:9" ht="31.5" customHeight="1">
      <c r="A3" s="320" t="s">
        <v>262</v>
      </c>
      <c r="B3" s="320"/>
      <c r="C3" s="320"/>
      <c r="D3" s="320"/>
      <c r="E3" s="320"/>
      <c r="F3" s="320"/>
      <c r="G3" s="320"/>
      <c r="H3" s="320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21" t="s">
        <v>263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  <c r="M1" s="321"/>
      <c r="N1" s="321"/>
      <c r="O1" s="321"/>
      <c r="P1" s="321"/>
    </row>
    <row r="2" spans="1:16" ht="15.75">
      <c r="A2" s="112"/>
      <c r="F2" s="112"/>
      <c r="G2" s="112"/>
      <c r="H2" s="112"/>
      <c r="I2" s="112"/>
    </row>
    <row r="3" spans="1:16" ht="31.5" customHeight="1">
      <c r="A3" s="323" t="s">
        <v>262</v>
      </c>
      <c r="B3" s="323"/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323"/>
      <c r="N3" s="323"/>
      <c r="O3" s="324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25" t="s">
        <v>310</v>
      </c>
      <c r="L4" s="325"/>
      <c r="M4" s="325"/>
      <c r="N4" s="326" t="s">
        <v>311</v>
      </c>
      <c r="O4" s="327"/>
      <c r="P4" s="328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19" t="s">
        <v>366</v>
      </c>
      <c r="B1" s="319"/>
      <c r="C1" s="319"/>
      <c r="D1" s="319"/>
      <c r="E1" s="319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29" t="s">
        <v>373</v>
      </c>
      <c r="B8" s="329"/>
      <c r="C8" s="329"/>
      <c r="D8" s="329"/>
      <c r="E8" s="329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30" t="s">
        <v>384</v>
      </c>
      <c r="B19" s="331"/>
      <c r="C19" s="331"/>
      <c r="D19" s="331"/>
      <c r="E19" s="332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19" t="s">
        <v>348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187"/>
    </row>
    <row r="3" spans="1:14">
      <c r="A3" s="340" t="s">
        <v>357</v>
      </c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</row>
    <row r="4" spans="1:14" ht="37.5" customHeight="1">
      <c r="A4" s="333" t="s">
        <v>349</v>
      </c>
      <c r="B4" s="337" t="s">
        <v>352</v>
      </c>
      <c r="C4" s="338"/>
      <c r="D4" s="333" t="s">
        <v>329</v>
      </c>
      <c r="E4" s="333" t="s">
        <v>97</v>
      </c>
      <c r="F4" s="183" t="s">
        <v>1</v>
      </c>
      <c r="G4" s="183" t="s">
        <v>2</v>
      </c>
      <c r="H4" s="183" t="s">
        <v>82</v>
      </c>
      <c r="I4" s="337" t="s">
        <v>69</v>
      </c>
      <c r="J4" s="339"/>
      <c r="K4" s="338"/>
      <c r="L4" s="333" t="s">
        <v>353</v>
      </c>
      <c r="M4" s="335" t="s">
        <v>354</v>
      </c>
      <c r="N4" s="186"/>
    </row>
    <row r="5" spans="1:14" ht="33.75" customHeight="1">
      <c r="A5" s="334"/>
      <c r="B5" s="185" t="s">
        <v>350</v>
      </c>
      <c r="C5" s="185" t="s">
        <v>351</v>
      </c>
      <c r="D5" s="334"/>
      <c r="E5" s="334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34"/>
      <c r="M5" s="336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40" t="s">
        <v>358</v>
      </c>
      <c r="B11" s="340"/>
      <c r="C11" s="340"/>
      <c r="D11" s="340"/>
      <c r="E11" s="340"/>
      <c r="F11" s="340"/>
      <c r="G11" s="340"/>
      <c r="H11" s="340"/>
      <c r="I11" s="340"/>
      <c r="J11" s="340"/>
      <c r="K11" s="340"/>
      <c r="L11" s="340"/>
      <c r="M11" s="340"/>
    </row>
    <row r="12" spans="1:14" ht="37.5" customHeight="1">
      <c r="A12" s="333" t="s">
        <v>349</v>
      </c>
      <c r="B12" s="337" t="s">
        <v>352</v>
      </c>
      <c r="C12" s="338"/>
      <c r="D12" s="333" t="s">
        <v>329</v>
      </c>
      <c r="E12" s="333" t="s">
        <v>97</v>
      </c>
      <c r="F12" s="183" t="s">
        <v>1</v>
      </c>
      <c r="G12" s="183" t="s">
        <v>2</v>
      </c>
      <c r="H12" s="183" t="s">
        <v>82</v>
      </c>
      <c r="I12" s="337" t="s">
        <v>69</v>
      </c>
      <c r="J12" s="339"/>
      <c r="K12" s="338"/>
      <c r="L12" s="333" t="s">
        <v>353</v>
      </c>
      <c r="M12" s="335" t="s">
        <v>354</v>
      </c>
      <c r="N12" s="186"/>
    </row>
    <row r="13" spans="1:14" ht="33.75" customHeight="1">
      <c r="A13" s="334"/>
      <c r="B13" s="185" t="s">
        <v>350</v>
      </c>
      <c r="C13" s="185"/>
      <c r="D13" s="334"/>
      <c r="E13" s="334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34"/>
      <c r="M13" s="336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40" t="s">
        <v>360</v>
      </c>
      <c r="B19" s="340"/>
      <c r="C19" s="340"/>
      <c r="D19" s="340"/>
      <c r="E19" s="340"/>
      <c r="F19" s="340"/>
      <c r="G19" s="340"/>
      <c r="H19" s="340"/>
      <c r="I19" s="340"/>
      <c r="J19" s="340"/>
      <c r="K19" s="340"/>
      <c r="L19" s="340"/>
      <c r="M19" s="340"/>
    </row>
    <row r="20" spans="1:14" ht="37.5" customHeight="1">
      <c r="A20" s="333" t="s">
        <v>349</v>
      </c>
      <c r="B20" s="337" t="s">
        <v>352</v>
      </c>
      <c r="C20" s="338"/>
      <c r="D20" s="333" t="s">
        <v>329</v>
      </c>
      <c r="E20" s="333" t="s">
        <v>97</v>
      </c>
      <c r="F20" s="183" t="s">
        <v>1</v>
      </c>
      <c r="G20" s="183" t="s">
        <v>2</v>
      </c>
      <c r="H20" s="183" t="s">
        <v>82</v>
      </c>
      <c r="I20" s="337" t="s">
        <v>69</v>
      </c>
      <c r="J20" s="339"/>
      <c r="K20" s="338"/>
      <c r="L20" s="333" t="s">
        <v>353</v>
      </c>
      <c r="M20" s="335" t="s">
        <v>354</v>
      </c>
      <c r="N20" s="186"/>
    </row>
    <row r="21" spans="1:14" ht="33.75" customHeight="1">
      <c r="A21" s="334"/>
      <c r="B21" s="185" t="s">
        <v>350</v>
      </c>
      <c r="C21" s="185"/>
      <c r="D21" s="334"/>
      <c r="E21" s="334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34"/>
      <c r="M21" s="336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22</vt:i4>
      </vt:variant>
    </vt:vector>
  </HeadingPairs>
  <TitlesOfParts>
    <vt:vector size="45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2018-02-08T07:13:36Z</dcterms:modified>
</cp:coreProperties>
</file>