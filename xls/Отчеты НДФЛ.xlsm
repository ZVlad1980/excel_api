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tables/table4.xml" ContentType="application/vnd.openxmlformats-officedocument.spreadsheetml.table+xml"/>
  <Override PartName="/xl/tables/table25.xml" ContentType="application/vnd.openxmlformats-officedocument.spreadsheetml.table+xml"/>
  <Override PartName="/xl/tables/table43.xml" ContentType="application/vnd.openxmlformats-officedocument.spreadsheetml.table+xml"/>
  <Override PartName="/xl/tables/table5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tables/table23.xml" ContentType="application/vnd.openxmlformats-officedocument.spreadsheetml.table+xml"/>
  <Override PartName="/xl/tables/table32.xml" ContentType="application/vnd.openxmlformats-officedocument.spreadsheetml.table+xml"/>
  <Override PartName="/xl/tables/table41.xml" ContentType="application/vnd.openxmlformats-officedocument.spreadsheetml.table+xml"/>
  <Override PartName="/xl/tables/table52.xml" ContentType="application/vnd.openxmlformats-officedocument.spreadsheetml.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tables/table12.xml" ContentType="application/vnd.openxmlformats-officedocument.spreadsheetml.table+xml"/>
  <Override PartName="/xl/tables/table21.xml" ContentType="application/vnd.openxmlformats-officedocument.spreadsheetml.table+xml"/>
  <Override PartName="/xl/tables/table30.xml" ContentType="application/vnd.openxmlformats-officedocument.spreadsheetml.table+xml"/>
  <Override PartName="/xl/drawings/drawing4.xml" ContentType="application/vnd.openxmlformats-officedocument.drawing+xml"/>
  <Override PartName="/xl/tables/table50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ables/table9.xml" ContentType="application/vnd.openxmlformats-officedocument.spreadsheetml.table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19.xml" ContentType="application/vnd.openxmlformats-officedocument.spreadsheetml.table+xml"/>
  <Override PartName="/xl/tables/table39.xml" ContentType="application/vnd.openxmlformats-officedocument.spreadsheetml.table+xml"/>
  <Override PartName="/xl/tables/table48.xml" ContentType="application/vnd.openxmlformats-officedocument.spreadsheetml.table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tables/table5.xml" ContentType="application/vnd.openxmlformats-officedocument.spreadsheetml.table+xml"/>
  <Override PartName="/xl/tables/table17.xml" ContentType="application/vnd.openxmlformats-officedocument.spreadsheetml.table+xml"/>
  <Override PartName="/xl/tables/table26.xml" ContentType="application/vnd.openxmlformats-officedocument.spreadsheetml.table+xml"/>
  <Override PartName="/xl/tables/table28.xml" ContentType="application/vnd.openxmlformats-officedocument.spreadsheetml.table+xml"/>
  <Override PartName="/xl/tables/table37.xml" ContentType="application/vnd.openxmlformats-officedocument.spreadsheetml.table+xml"/>
  <Override PartName="/xl/tables/table46.xml" ContentType="application/vnd.openxmlformats-officedocument.spreadsheetml.table+xml"/>
  <Override PartName="/xl/tables/table55.xml" ContentType="application/vnd.openxmlformats-officedocument.spreadsheetml.table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tables/table44.xml" ContentType="application/vnd.openxmlformats-officedocument.spreadsheetml.table+xml"/>
  <Override PartName="/xl/tables/table53.xml" ContentType="application/vnd.openxmlformats-officedocument.spreadsheetml.table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tables/table42.xml" ContentType="application/vnd.openxmlformats-officedocument.spreadsheetml.table+xml"/>
  <Override PartName="/xl/tables/table51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tables/table40.xml" ContentType="application/vnd.openxmlformats-officedocument.spreadsheetml.table+xml"/>
  <Override PartName="/xl/drawings/drawing5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Default Extension="vml" ContentType="application/vnd.openxmlformats-officedocument.vmlDrawing"/>
  <Override PartName="/xl/comments1.xml" ContentType="application/vnd.openxmlformats-officedocument.spreadsheetml.comments+xml"/>
  <Override PartName="/xl/tables/table49.xml" ContentType="application/vnd.openxmlformats-officedocument.spreadsheetml.table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tables/table8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47.xml" ContentType="application/vnd.openxmlformats-officedocument.spreadsheetml.table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tables/table6.xml" ContentType="application/vnd.openxmlformats-officedocument.spreadsheetml.table+xml"/>
  <Override PartName="/xl/tables/table18.xml" ContentType="application/vnd.openxmlformats-officedocument.spreadsheetml.table+xml"/>
  <Override PartName="/xl/tables/table27.xml" ContentType="application/vnd.openxmlformats-officedocument.spreadsheetml.table+xml"/>
  <Override PartName="/xl/tables/table36.xml" ContentType="application/vnd.openxmlformats-officedocument.spreadsheetml.table+xml"/>
  <Override PartName="/xl/tables/table45.xml" ContentType="application/vnd.openxmlformats-officedocument.spreadsheetml.table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tables/table16.xml" ContentType="application/vnd.openxmlformats-officedocument.spreadsheetml.table+xml"/>
  <Override PartName="/xl/tables/table34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showHorizontalScroll="0" showVerticalScroll="0" xWindow="0" yWindow="0" windowWidth="12450" windowHeight="11685" tabRatio="698" firstSheet="14" activeTab="14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tax_retained_report" sheetId="281" state="hidden" r:id="rId5"/>
    <sheet name="f2_error_report" sheetId="299" state="hidden" r:id="rId6"/>
    <sheet name="f2_vych_diff_periods" sheetId="403" state="hidden" r:id="rId7"/>
    <sheet name="f2_vych_diff_amounts" sheetId="400" state="hidden" r:id="rId8"/>
    <sheet name="f2_load_vych_errors" sheetId="321" state="hidden" r:id="rId9"/>
    <sheet name="f2_arh_spravki_errors" sheetId="298" state="hidden" r:id="rId10"/>
    <sheet name="f2_arh_batch_xml_head" sheetId="297" state="hidden" r:id="rId11"/>
    <sheet name="f2_ndfl_nalplat_pers" sheetId="295" state="hidden" r:id="rId12"/>
    <sheet name="f2_enumarate_error" sheetId="320" state="hidden" r:id="rId13"/>
    <sheet name="Settings" sheetId="103" state="hidden" r:id="rId14"/>
    <sheet name="Отчеты" sheetId="6" r:id="rId15"/>
    <sheet name="f2_load_vych_person" sheetId="332" state="hidden" r:id="rId16"/>
    <sheet name="synch_error_report" sheetId="283" state="hidden" r:id="rId17"/>
    <sheet name="ndfl6_part2" sheetId="249" state="hidden" r:id="rId18"/>
    <sheet name="ndfl6_part1_general" sheetId="71" state="hidden" r:id="rId19"/>
    <sheet name="ndfl6_part1_rates" sheetId="69" state="hidden" r:id="rId20"/>
    <sheet name="funds_employees" sheetId="73" state="hidden" r:id="rId21"/>
    <sheet name="funds_employees_report" sheetId="123" state="hidden" r:id="rId22"/>
    <sheet name="ndfl6_part1" sheetId="248" state="hidden" r:id="rId23"/>
    <sheet name="tax_diff_report" sheetId="271" state="hidden" r:id="rId24"/>
    <sheet name="tax_diff_det_report" sheetId="282" state="hidden" r:id="rId25"/>
    <sheet name="cmp_f2ndfl_f6" sheetId="294" state="hidden" r:id="rId26"/>
    <sheet name="cmp_f2ndfl_pers" sheetId="284" state="hidden" r:id="rId27"/>
  </sheets>
  <functionGroups/>
  <externalReferences>
    <externalReference r:id="rId28"/>
    <externalReference r:id="rId29"/>
  </externalReferences>
  <definedNames>
    <definedName name="action_parameter">Settings!$B$11</definedName>
    <definedName name="code_na">Settings!$B$12</definedName>
    <definedName name="data_source_name">Settings!$B$3</definedName>
    <definedName name="end_date">Settings!$B$9</definedName>
    <definedName name="menu_item_selected">Settings!$B$6</definedName>
    <definedName name="oracle_owner">Settings!$B$4</definedName>
    <definedName name="output">Отчеты!$B$9</definedName>
    <definedName name="parameter_name">Settings!$B$13</definedName>
    <definedName name="parameter_value">Settings!$B$14</definedName>
    <definedName name="report_code">Settings!$B$7</definedName>
    <definedName name="report_date">Settings!$B$10</definedName>
    <definedName name="report_year">f2_arh_spravki_errors!$U$1</definedName>
    <definedName name="ReportDate">Отчеты!$C$6</definedName>
    <definedName name="ReportMonth">Отчеты!$C$5</definedName>
    <definedName name="ReportSelected" localSheetId="10">[1]Отчеты!$C$2</definedName>
    <definedName name="ReportSelected" localSheetId="9">[1]Отчеты!$C$2</definedName>
    <definedName name="ReportSelected" localSheetId="5">[1]Отчеты!$C$2</definedName>
    <definedName name="ReportSelected" localSheetId="8">[1]Отчеты!$C$2</definedName>
    <definedName name="ReportSelected" localSheetId="15">[1]Отчеты!$C$2</definedName>
    <definedName name="ReportSelected" localSheetId="11">[1]Отчеты!$C$2</definedName>
    <definedName name="ReportSelected" localSheetId="7">[1]Отчеты!$C$2</definedName>
    <definedName name="ReportSelected" localSheetId="6">[1]Отчеты!$C$2</definedName>
    <definedName name="ReportSelected">Отчеты!$C$2</definedName>
    <definedName name="ReportYear">Отчеты!$C$4</definedName>
    <definedName name="start_date">Settings!$B$8</definedName>
    <definedName name="start_sheet_name">Settings!$B$5</definedName>
    <definedName name="tax_13">ndfl6_part1_rates!$C$15</definedName>
    <definedName name="tax_13_amount">ndfl6_part1_rates!$C$15</definedName>
    <definedName name="tax_30">ndfl6_part1_rates!$C$19</definedName>
    <definedName name="TAX_NOT_RETAINED" localSheetId="4">tax_retained_report!$B$44</definedName>
    <definedName name="TAX_RETAINED_DATE" localSheetId="4">tax_retained_report!$B$38</definedName>
    <definedName name="TAX_RETURN" localSheetId="4">tax_retained_report!$B$41</definedName>
    <definedName name="TAX_RETURN_83" localSheetId="4">tax_retained_report!$B$46</definedName>
  </definedNames>
  <calcPr calcId="125725"/>
</workbook>
</file>

<file path=xl/calcChain.xml><?xml version="1.0" encoding="utf-8"?>
<calcChain xmlns="http://schemas.openxmlformats.org/spreadsheetml/2006/main">
  <c r="M2" i="298"/>
  <c r="G9" i="297"/>
  <c r="F9"/>
  <c r="E23" i="294"/>
  <c r="D23" l="1"/>
  <c r="C23"/>
  <c r="E22"/>
  <c r="E21"/>
  <c r="K16" i="284" l="1"/>
  <c r="K8"/>
  <c r="K24"/>
  <c r="P3" i="282"/>
  <c r="G5" i="281"/>
  <c r="F5"/>
  <c r="G13"/>
  <c r="G12"/>
  <c r="G11"/>
  <c r="F13"/>
  <c r="F12"/>
  <c r="F11"/>
  <c r="G7"/>
  <c r="G10"/>
  <c r="G9"/>
  <c r="G8"/>
  <c r="G6"/>
  <c r="F10"/>
  <c r="F9"/>
  <c r="F8"/>
  <c r="F7"/>
  <c r="F6"/>
  <c r="B32"/>
  <c r="C32"/>
  <c r="E13"/>
  <c r="E12"/>
  <c r="E11"/>
  <c r="E10"/>
  <c r="E9"/>
  <c r="E8"/>
  <c r="E7"/>
  <c r="E6"/>
  <c r="E5"/>
  <c r="B14"/>
  <c r="C14"/>
  <c r="I6" i="271"/>
  <c r="I3" s="1"/>
  <c r="H8" i="281" l="1"/>
  <c r="H7"/>
  <c r="C15"/>
  <c r="B33"/>
  <c r="B37" s="1"/>
  <c r="B39" s="1"/>
  <c r="E14"/>
  <c r="H6"/>
  <c r="H12"/>
  <c r="H11"/>
  <c r="H10"/>
  <c r="B15"/>
  <c r="H13"/>
  <c r="H5"/>
  <c r="H9"/>
  <c r="D3" i="249"/>
  <c r="C3"/>
  <c r="F25" i="69"/>
  <c r="E25"/>
  <c r="D25"/>
  <c r="H5"/>
  <c r="G5"/>
  <c r="F5"/>
  <c r="E5"/>
  <c r="D5"/>
  <c r="C5"/>
  <c r="C15"/>
  <c r="C19"/>
  <c r="E13" i="71"/>
  <c r="E10"/>
  <c r="B6" i="103"/>
  <c r="E15" i="281" l="1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Данные по удержаниям налогов, сверенные с бухгалтерией</t>
        </r>
      </text>
    </comment>
  </commentList>
</comments>
</file>

<file path=xl/sharedStrings.xml><?xml version="1.0" encoding="utf-8"?>
<sst xmlns="http://schemas.openxmlformats.org/spreadsheetml/2006/main" count="1628" uniqueCount="546">
  <si>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</si>
  <si>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</si>
  <si>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</si>
  <si>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</si>
  <si>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</si>
  <si>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</si>
  <si>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</si>
  <si>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</si>
  <si>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</si>
  <si>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</si>
  <si>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</si>
  <si>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</si>
  <si>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</si>
  <si>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</si>
  <si>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</si>
  <si>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</si>
  <si>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</si>
  <si>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</si>
  <si>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</si>
  <si>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</si>
  <si>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</si>
  <si>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</si>
  <si>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</si>
  <si>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</si>
  <si>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</si>
  <si>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</si>
  <si>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</si>
  <si>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</si>
  <si>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</si>
  <si>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</si>
  <si>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</si>
  <si>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</si>
  <si>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</si>
  <si>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</si>
  <si>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</si>
  <si>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</si>
  <si>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</si>
  <si>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</si>
  <si>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</si>
  <si>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</si>
  <si>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</si>
  <si>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</si>
  <si>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</si>
  <si>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</si>
  <si>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</si>
  <si>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</si>
  <si>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</si>
  <si>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</si>
  <si>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</si>
  <si>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</si>
  <si>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</si>
  <si>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</si>
  <si>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</si>
  <si>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</si>
  <si>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</si>
  <si>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</si>
  <si>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</si>
  <si>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</si>
  <si>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</si>
  <si>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</si>
  <si>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</si>
  <si>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</si>
  <si>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</si>
  <si>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</si>
  <si>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</si>
  <si>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</si>
  <si>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</si>
  <si>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</si>
  <si>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</si>
  <si>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</si>
  <si>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</si>
  <si>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</si>
  <si>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</si>
  <si>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</si>
  <si>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</si>
  <si>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</si>
  <si>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</si>
  <si>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</si>
  <si>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</si>
  <si>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</si>
  <si>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</si>
  <si>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</si>
  <si>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</si>
  <si>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</si>
  <si>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</si>
  <si>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</si>
  <si>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</si>
  <si>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</si>
  <si>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</si>
  <si>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</si>
  <si>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</si>
  <si>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</si>
  <si>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</si>
  <si>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</si>
  <si>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</si>
  <si>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</si>
  <si>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</si>
  <si>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</si>
  <si>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</si>
  <si>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</si>
  <si>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</si>
  <si>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</si>
  <si>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</si>
  <si>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</si>
  <si>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</si>
  <si>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</si>
  <si>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</si>
  <si>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</si>
  <si>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</si>
  <si>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</si>
  <si>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</si>
  <si>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</si>
  <si>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</si>
  <si>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</si>
  <si>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</si>
  <si>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</si>
  <si>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</si>
  <si>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</si>
  <si>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</si>
  <si>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</si>
  <si>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</si>
  <si>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</si>
  <si>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</si>
  <si>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</si>
  <si>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</si>
  <si>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</si>
  <si>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</si>
  <si>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</si>
  <si>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</si>
  <si>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</si>
  <si>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</si>
  <si>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</si>
  <si>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</si>
  <si>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</si>
  <si>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</si>
  <si>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</si>
  <si>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</si>
  <si>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</si>
  <si>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</si>
  <si>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</si>
  <si>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</si>
  <si>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</si>
  <si>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</si>
  <si>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</si>
  <si>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</si>
  <si>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</si>
  <si>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</si>
  <si>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</si>
  <si>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</si>
  <si>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</si>
  <si>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</si>
  <si>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</si>
  <si>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</si>
  <si>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</si>
  <si>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</si>
  <si>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</si>
  <si>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</si>
  <si>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</si>
  <si>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</si>
  <si>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</si>
  <si>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</si>
  <si>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</si>
  <si>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</si>
  <si>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</si>
  <si>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</si>
  <si>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</si>
  <si>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</si>
  <si>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</si>
  <si>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</si>
  <si>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</si>
  <si>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</si>
  <si>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</si>
  <si>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</si>
  <si>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</si>
  <si>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</si>
  <si>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</si>
  <si>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</si>
  <si>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</si>
  <si>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</si>
  <si>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</si>
  <si>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ndfl_prepare_data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</si>
  <si>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</si>
  <si>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</si>
  <si>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</si>
  <si>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</si>
  <si>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</si>
  <si>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</si>
  <si>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</si>
  <si>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</si>
  <si>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</si>
  <si>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</si>
  <si>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</si>
  <si>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</si>
  <si>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</si>
  <si>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</si>
  <si>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</si>
  <si>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</si>
  <si>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</si>
  <si>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</si>
  <si>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</si>
  <si>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</si>
  <si>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</si>
  <si>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</si>
  <si>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</si>
  <si>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</si>
  <si>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</si>
  <si>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</si>
  <si>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</si>
  <si>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</si>
  <si>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</si>
  <si>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</si>
  <si>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</si>
  <si>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</si>
  <si>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</si>
  <si>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</si>
  <si>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</si>
  <si>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</si>
  <si>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</si>
  <si>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</si>
  <si>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</si>
  <si>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</si>
  <si>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</si>
  <si>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</si>
  <si>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</si>
  <si>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</si>
  <si>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</si>
  <si>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</si>
  <si>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</si>
  <si>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</si>
  <si>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</si>
  <si>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</si>
  <si>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</si>
  <si>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</si>
  <si>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</si>
  <si>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</si>
  <si>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</si>
  <si>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</si>
  <si>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</si>
  <si>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</si>
  <si>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</si>
  <si>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</si>
  <si>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</si>
  <si>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gateway_pkg.get_report</t>
  </si>
  <si>
    <t>gateway_pkg.load_employees</t>
  </si>
  <si>
    <t>gateway_pkg.synhr_dv_sr_lspv_docs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</si>
  <si>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</si>
  <si>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</si>
  <si>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</si>
  <si>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</si>
  <si>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</si>
  <si>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</si>
  <si>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</si>
  <si>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</si>
  <si>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</si>
  <si>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</si>
  <si>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Расхождение налога</t>
  </si>
  <si>
    <t>Расхождение исчисленного и удержанного налога</t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</si>
  <si>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</si>
  <si>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</si>
  <si>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</si>
  <si>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</si>
  <si>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</si>
  <si>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 xml:space="preserve">Итого расхождение:  </t>
  </si>
  <si>
    <t>Расхождение сумм исчисленного и удержанного налогов
за период с #START_DATE# по #END_DATE#</t>
  </si>
  <si>
    <t>Подготовка данных</t>
  </si>
  <si>
    <t>Сверка удержанного налога</t>
  </si>
  <si>
    <t>tax_retained_report</t>
  </si>
  <si>
    <t>Данные сверки</t>
  </si>
  <si>
    <t>Разница с расчетом (минус - в расчете меньше)</t>
  </si>
  <si>
    <t>13%</t>
  </si>
  <si>
    <t>30%</t>
  </si>
  <si>
    <t>Сумма по ставкам</t>
  </si>
  <si>
    <t>Пенсия схема 1</t>
  </si>
  <si>
    <t>Пенсия схема 2-3</t>
  </si>
  <si>
    <t>Пенсия схема 5</t>
  </si>
  <si>
    <t>Пенсия схема 6</t>
  </si>
  <si>
    <t>Пенсия схема 7</t>
  </si>
  <si>
    <t>Ритуальные пособия, схема 1</t>
  </si>
  <si>
    <t>Выкупные суммы по схеме 2-3</t>
  </si>
  <si>
    <t>Выкупные суммы по схеме 4</t>
  </si>
  <si>
    <t>Выкупные суммы по схеме 5</t>
  </si>
  <si>
    <t>Итого по ставке</t>
  </si>
  <si>
    <t>разница по ставке</t>
  </si>
  <si>
    <t>Результаты расчета</t>
  </si>
  <si>
    <t>перечисленный налог, расшифровка по выплатам</t>
  </si>
  <si>
    <t>ВИД ВЫПЛАТЫ</t>
  </si>
  <si>
    <t>без исправлений</t>
  </si>
  <si>
    <t>с корректоровкой</t>
  </si>
  <si>
    <t>Удержано</t>
  </si>
  <si>
    <t>по движению на ЛСПВ</t>
  </si>
  <si>
    <t>несовпадение</t>
  </si>
  <si>
    <t>Не удержано</t>
  </si>
  <si>
    <t>Удержание налогов. Данные для сверки с квартальными отчетами.
За период с #START_DATE# по #END_DATE#</t>
  </si>
  <si>
    <t>Итого</t>
  </si>
  <si>
    <t>Всего</t>
  </si>
  <si>
    <t>без исправлений2</t>
  </si>
  <si>
    <t>с корректоровкой3</t>
  </si>
  <si>
    <t>Расхождение по ставкам</t>
  </si>
  <si>
    <t>по выплатам на даты</t>
  </si>
  <si>
    <t>Возвращено
по заявлениям (ст.231 НК)</t>
  </si>
  <si>
    <t>Исправление НДФЛ за предыдущий период (83 счет)</t>
  </si>
  <si>
    <t>check_tax_retained</t>
  </si>
  <si>
    <t>TaxRetained.check_tax_retained</t>
  </si>
  <si>
    <t>tax_retained_report2</t>
  </si>
  <si>
    <t>points</t>
  </si>
  <si>
    <t>FND</t>
  </si>
  <si>
    <t>НДФЛ6 Комплект отчетов</t>
  </si>
  <si>
    <t>ndfl_reports_all</t>
  </si>
  <si>
    <t>Пенс.схема</t>
  </si>
  <si>
    <t>Налог</t>
  </si>
  <si>
    <t>Итоги по ИПС</t>
  </si>
  <si>
    <t>Итоги по контрагенту</t>
  </si>
  <si>
    <t>tax_diff_det_report</t>
  </si>
  <si>
    <t>Расхождение налога (итоги)</t>
  </si>
  <si>
    <t>Расхождение налога (год)</t>
  </si>
  <si>
    <t>Расхождение налога (итоги + буфер)</t>
  </si>
  <si>
    <t>tax_diff_det_report2</t>
  </si>
  <si>
    <t>Счет дохода</t>
  </si>
  <si>
    <t>Счет налога</t>
  </si>
  <si>
    <t>Удержано налога</t>
  </si>
  <si>
    <t>Исчислено налога</t>
  </si>
  <si>
    <t>Недоплата2</t>
  </si>
  <si>
    <t>FONDDB</t>
  </si>
  <si>
    <t>Ошибки формирования данных</t>
  </si>
  <si>
    <t>synch_error_report</t>
  </si>
  <si>
    <t>Ошибка</t>
  </si>
  <si>
    <t>Тип операции</t>
  </si>
  <si>
    <t>Текущая операция</t>
  </si>
  <si>
    <t>№ ИПС</t>
  </si>
  <si>
    <t>GF_PERSON</t>
  </si>
  <si>
    <t>ID процесса</t>
  </si>
  <si>
    <t>Расхождение налога (DV_SR_LSPV_TAX_DIFF_BUF)</t>
  </si>
  <si>
    <t>tax_diff_det_table</t>
  </si>
  <si>
    <t>gateway_pkg.build_tax_diff_det_table</t>
  </si>
  <si>
    <t>tax_diff_from_buf</t>
  </si>
  <si>
    <t>tax_diff_det_report tax_diff_det_report2 tax_diff_from_buf</t>
  </si>
  <si>
    <t>Обновление GF_PERSON</t>
  </si>
  <si>
    <t>update_gf_persons</t>
  </si>
  <si>
    <t>gateway_pkg.update_gf_persons</t>
  </si>
  <si>
    <t>Дата отчета</t>
  </si>
  <si>
    <t>p_year</t>
  </si>
  <si>
    <t>ReportYear</t>
  </si>
  <si>
    <t>p_month</t>
  </si>
  <si>
    <t>ReportMonth</t>
  </si>
  <si>
    <t>p_report_date</t>
  </si>
  <si>
    <t>ReportDate</t>
  </si>
  <si>
    <t>report_date</t>
  </si>
  <si>
    <t>REPORT_DATE</t>
  </si>
  <si>
    <t>Отчет о расхождении сумм удержанного налога по 2НДФЛ
за период с #START_DATE#  по #END_DATE#</t>
  </si>
  <si>
    <t>Номер справки</t>
  </si>
  <si>
    <t>load</t>
  </si>
  <si>
    <t>arh</t>
  </si>
  <si>
    <t>Номер коррекции</t>
  </si>
  <si>
    <t>Сотрудник</t>
  </si>
  <si>
    <t>Участник</t>
  </si>
  <si>
    <t>Расхождение</t>
  </si>
  <si>
    <t>cmp_f2load_arh</t>
  </si>
  <si>
    <r>
      <t xml:space="preserve">Сравнение данных LOAD и ARH
</t>
    </r>
    <r>
      <rPr>
        <sz val="11"/>
        <color theme="1"/>
        <rFont val="Calibri"/>
        <family val="2"/>
        <charset val="204"/>
        <scheme val="minor"/>
      </rPr>
      <t>(учет сотрудников)</t>
    </r>
  </si>
  <si>
    <t>Сравнение данных LOAD и DV_SR_LSPV_DOCS_T</t>
  </si>
  <si>
    <t>cmp_f2load_docs</t>
  </si>
  <si>
    <t>Сравнение данных ARH и DV_SR_LSPV_DOCS_T</t>
  </si>
  <si>
    <t>diff</t>
  </si>
  <si>
    <t>2НФДЛ выверочный отчет по контрагентам</t>
  </si>
  <si>
    <t>cmp_f2ndfl_pers</t>
  </si>
  <si>
    <t>2НФДЛ Выверочный отчет (контр)</t>
  </si>
  <si>
    <t>cmp_f2arh_docs</t>
  </si>
  <si>
    <t>Сравнение данных 2НДФЛ и 6НФДЛ
за период с #START_DATE#  по #END_DATE#</t>
  </si>
  <si>
    <t>Показатель</t>
  </si>
  <si>
    <t>2НДФЛ</t>
  </si>
  <si>
    <t>6НДФЛ</t>
  </si>
  <si>
    <t>Количество справок /
Количество физ.лиц (060)</t>
  </si>
  <si>
    <t>Налог удержанный (070)</t>
  </si>
  <si>
    <t>Налог возвращенный (090)</t>
  </si>
  <si>
    <t>По ставкам:</t>
  </si>
  <si>
    <t>Прошлые периоды</t>
  </si>
  <si>
    <t>Текущий год</t>
  </si>
  <si>
    <t>cmp_f2ndfl_f6</t>
  </si>
  <si>
    <t>cmp_f2ndfl_f6_rates</t>
  </si>
  <si>
    <t>cmp_f2ndfl_f6_total</t>
  </si>
  <si>
    <t>cmp_f2ndfl_f6_return</t>
  </si>
  <si>
    <t>2НДФЛ_6НДФЛ Сверочный отчет</t>
  </si>
  <si>
    <t>ModePaste</t>
  </si>
  <si>
    <t>New</t>
  </si>
  <si>
    <t>Update</t>
  </si>
  <si>
    <t>Возврат налога</t>
  </si>
  <si>
    <t>Ст.231</t>
  </si>
  <si>
    <t>31.12.2017</t>
  </si>
  <si>
    <t>docs</t>
  </si>
  <si>
    <t>cmp_f2ndfl_f6_arh</t>
  </si>
  <si>
    <t>cmp_f2ndfl_f6_total_arh</t>
  </si>
  <si>
    <t>cmp_f2ndfl_f6_rates_arh</t>
  </si>
  <si>
    <t>ARH_2НДФЛ_6НДФЛ Сверочный отчет</t>
  </si>
  <si>
    <t>cmp_f2ndfl_f6_total/cmp_f2ndfl_f6_total_arh</t>
  </si>
  <si>
    <t>cmp_f2ndfl_f6_rates/cmp_f2ndfl_f6_rates_arh</t>
  </si>
  <si>
    <t>LOAD: 2/6НДФЛ сверочный отчет</t>
  </si>
  <si>
    <t>ARH: 2/6НДФЛ сверочный отчет</t>
  </si>
  <si>
    <t>01.01.2017</t>
  </si>
  <si>
    <r>
      <t xml:space="preserve">Расхождение контрагентов
F_NDFL_LOAD_NALPLAT и DV_SR_LSPV_PERS_V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</si>
  <si>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F_NDFL_LOAD_NALPLAT</t>
  </si>
  <si>
    <t>DV_SR_LSPV_PERS_V</t>
  </si>
  <si>
    <t>nom_vkl</t>
  </si>
  <si>
    <t>nom_ips</t>
  </si>
  <si>
    <t>ssylka</t>
  </si>
  <si>
    <t>Person type</t>
  </si>
  <si>
    <t>Resident</t>
  </si>
  <si>
    <t>f2_ndfl_nalplat_pers</t>
  </si>
  <si>
    <t>Распределение справок по файлам
отчетный период: 2017</t>
  </si>
  <si>
    <t>№
пачки</t>
  </si>
  <si>
    <t>Имя файла</t>
  </si>
  <si>
    <t>Количество справок</t>
  </si>
  <si>
    <t>Фамилия с</t>
  </si>
  <si>
    <t>Фамилия по</t>
  </si>
  <si>
    <t>№ справки с</t>
  </si>
  <si>
    <t>№ справки по</t>
  </si>
  <si>
    <t>Признак справки</t>
  </si>
  <si>
    <t>f2_arh_batch_xml</t>
  </si>
  <si>
    <t>Справки с признаком 2
(недоплата)</t>
  </si>
  <si>
    <t>№
справки</t>
  </si>
  <si>
    <t>UI_PERSON</t>
  </si>
  <si>
    <t>Резидент</t>
  </si>
  <si>
    <t>Гражданство</t>
  </si>
  <si>
    <t>Задолженность</t>
  </si>
  <si>
    <t>Коррекция №</t>
  </si>
  <si>
    <t>f2_priznak2</t>
  </si>
  <si>
    <r>
      <t xml:space="preserve">Ошибки в персональных данных
F2NDFL_ARH_SPRAVKI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</si>
  <si>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#ReportYear#</t>
  </si>
  <si>
    <t>Тип ошибки</t>
  </si>
  <si>
    <t>ИД контрагента</t>
  </si>
  <si>
    <t>Код УЛ</t>
  </si>
  <si>
    <t>Серия и номер УЛ</t>
  </si>
  <si>
    <t>ИНН2</t>
  </si>
  <si>
    <t>Гражданство2</t>
  </si>
  <si>
    <t>Резидент2</t>
  </si>
  <si>
    <t>Код УЛ2</t>
  </si>
  <si>
    <t>Серия и номер УЛ3</t>
  </si>
  <si>
    <t>f2_arh_spravki_errors</t>
  </si>
  <si>
    <r>
      <rPr>
        <b/>
        <sz val="13"/>
        <color theme="1"/>
        <rFont val="Calibri"/>
        <family val="2"/>
        <charset val="204"/>
        <scheme val="minor"/>
      </rPr>
      <t>Ошибки в справках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</si>
  <si>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GAZFOND
Contragent Id</t>
  </si>
  <si>
    <t>FND
SSYLKA</t>
  </si>
  <si>
    <t>тип дохода</t>
  </si>
  <si>
    <t>Дата
рождения</t>
  </si>
  <si>
    <t>тип
удосто-верения</t>
  </si>
  <si>
    <t>Серия и номер</t>
  </si>
  <si>
    <t>Статус НП</t>
  </si>
  <si>
    <t>f2_error_report</t>
  </si>
  <si>
    <t>-------------------------------------</t>
  </si>
  <si>
    <t>#DIV_LINE#</t>
  </si>
  <si>
    <t>ActionParameter</t>
  </si>
  <si>
    <t>action_parameter</t>
  </si>
  <si>
    <t>Создать справки 2НДФЛ</t>
  </si>
  <si>
    <t>f2_create_all</t>
  </si>
  <si>
    <t>f2_nalplat</t>
  </si>
  <si>
    <t>gateway_pkg.fill_ndfl_load_nalplat</t>
  </si>
  <si>
    <t>f2_ndfl_api</t>
  </si>
  <si>
    <t>gateway_pkg.f2_ndfl_api</t>
  </si>
  <si>
    <t>p_code_na</t>
  </si>
  <si>
    <t>ndfl2_code_na</t>
  </si>
  <si>
    <t>p_action_code</t>
  </si>
  <si>
    <t>code_na</t>
  </si>
  <si>
    <t>Расхождение НА</t>
  </si>
  <si>
    <t>f2_load_spravki</t>
  </si>
  <si>
    <t>Ошибки в справках 2НДФЛ</t>
  </si>
  <si>
    <t>f2_load_total</t>
  </si>
  <si>
    <t>f2_enumeration</t>
  </si>
  <si>
    <t>f2_copy2arh</t>
  </si>
  <si>
    <t>f2_arh_init_xml</t>
  </si>
  <si>
    <t>f2_arh_batch_xml_head</t>
  </si>
  <si>
    <t>Распределение справок по файлам</t>
  </si>
  <si>
    <t>Pause</t>
  </si>
  <si>
    <t>RepeatCode</t>
  </si>
  <si>
    <t>f2_create_all2</t>
  </si>
  <si>
    <t>f2_enumarate_error</t>
  </si>
  <si>
    <t>Ошибки нумерации справок
за период с #START_DATE#  по #END_DATE#</t>
  </si>
  <si>
    <t>Ошибки нумерации</t>
  </si>
  <si>
    <t>Таблица</t>
  </si>
  <si>
    <t>ДР</t>
  </si>
  <si>
    <t>SSYLKA_REAL</t>
  </si>
  <si>
    <t>Ошибки в персональных данных</t>
  </si>
  <si>
    <t>Сформировать файлы XML</t>
  </si>
  <si>
    <t>2НДФЛ Ошибки в персональных данных</t>
  </si>
  <si>
    <t>2НДФЛ Ошибки предоставления вычетов</t>
  </si>
  <si>
    <t>f2_load_vych_errors</t>
  </si>
  <si>
    <t>Ошибки вычетов</t>
  </si>
  <si>
    <r>
      <t xml:space="preserve">Ошибки налоговых вычетов
F2NDFL_LOAD_VYCH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</si>
  <si>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Ssylka</t>
  </si>
  <si>
    <t>Shifr_schet</t>
  </si>
  <si>
    <t>Код вычета
(ручн)</t>
  </si>
  <si>
    <t>Сумма вычета</t>
  </si>
  <si>
    <t>Ок</t>
  </si>
  <si>
    <t>Наличие записей в SP_OGR_PV</t>
  </si>
  <si>
    <t>Наличие записей в BIT</t>
  </si>
  <si>
    <t>f2_load_vych_person</t>
  </si>
  <si>
    <t>Детализация вычетов</t>
  </si>
  <si>
    <t>f2_pers_info</t>
  </si>
  <si>
    <t>f2_vych_bit</t>
  </si>
  <si>
    <t>f2_vych_ogr</t>
  </si>
  <si>
    <t>f2_vych_dv_sr</t>
  </si>
  <si>
    <t>f2_vych_load</t>
  </si>
  <si>
    <t>№ справки</t>
  </si>
  <si>
    <t>31.12.2018</t>
  </si>
  <si>
    <t>parameter_name</t>
  </si>
  <si>
    <t>parameter_value</t>
  </si>
  <si>
    <t>send_parameter</t>
  </si>
  <si>
    <t>gateway_pkg.set_parameter</t>
  </si>
  <si>
    <t xml:space="preserve">p_name </t>
  </si>
  <si>
    <t>p_value</t>
  </si>
  <si>
    <r>
      <t xml:space="preserve">Детализация вычетов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</si>
  <si>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NOM_VKL</t>
  </si>
  <si>
    <t>NOM_IPS</t>
  </si>
  <si>
    <t>Период с</t>
  </si>
  <si>
    <t>Период по</t>
  </si>
  <si>
    <t>Код вычета</t>
  </si>
  <si>
    <t>Описание</t>
  </si>
  <si>
    <t>Лимит дохода</t>
  </si>
  <si>
    <t>tdappid</t>
  </si>
  <si>
    <t>rid</t>
  </si>
  <si>
    <t>Тип движения</t>
  </si>
  <si>
    <t>Документ</t>
  </si>
  <si>
    <t>Корректирующий документ</t>
  </si>
  <si>
    <t>Номер корректировки</t>
  </si>
  <si>
    <t>Данные справочника БИТ</t>
  </si>
  <si>
    <t>Движение средств</t>
  </si>
  <si>
    <t>Вычеты 2НДФЛ</t>
  </si>
  <si>
    <t>Данные справочника ограничений выплат</t>
  </si>
  <si>
    <t>ssylka_fl</t>
  </si>
  <si>
    <t>purge_parameters</t>
  </si>
  <si>
    <t>gateway_pkg.purge_parameters</t>
  </si>
  <si>
    <t>gf_person</t>
  </si>
  <si>
    <t>2НДФЛ Вычеты: расхождение по суммам</t>
  </si>
  <si>
    <t>f2_vych_diff_amounts</t>
  </si>
  <si>
    <t>Вычеты_расхождение по суммам</t>
  </si>
  <si>
    <r>
      <t xml:space="preserve">Расхождение по суммам
между движением и расчетом вычетов по БИТ
(только в большую сторону)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</si>
  <si>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Бух.счет</t>
  </si>
  <si>
    <t>Сумма по движению</t>
  </si>
  <si>
    <t>Расчетная сумма по БИТ</t>
  </si>
  <si>
    <t>Расчетная сумма по БИТ
по счету</t>
  </si>
  <si>
    <t>2НДФЛ Вычеты: расхождение по датам</t>
  </si>
  <si>
    <t>f2_vych_diff_periods</t>
  </si>
  <si>
    <t>Вычеты_расхождение по периоду</t>
  </si>
  <si>
    <r>
      <t xml:space="preserve">Расхождение по периоду действия вычета
между ограничениями и данными БИТ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</si>
  <si>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Период с
(БИТ)</t>
  </si>
  <si>
    <t>Период по
(БИТ)</t>
  </si>
  <si>
    <t>Применение вычета в движении</t>
  </si>
  <si>
    <t>f2_arh_spr_src_errors</t>
  </si>
  <si>
    <t>f2_arh_spravki_errors f2_arh_spr_src_errors</t>
  </si>
  <si>
    <t>2НДФЛ Ошибки в персональных данных (GF)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</si>
</sst>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40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1"/>
      <name val="Arial Cyr"/>
      <charset val="204"/>
    </font>
    <font>
      <sz val="14"/>
      <color indexed="8"/>
      <name val="Arial"/>
      <family val="2"/>
      <charset val="204"/>
    </font>
    <font>
      <sz val="10"/>
      <name val="Arial Cyr"/>
    </font>
    <font>
      <b/>
      <sz val="14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10"/>
      <name val="Arial Cyr"/>
    </font>
    <font>
      <sz val="11"/>
      <color theme="1"/>
      <name val="Calibri"/>
      <family val="2"/>
      <charset val="204"/>
      <scheme val="minor"/>
    </font>
    <font>
      <b/>
      <sz val="11"/>
      <name val="Arial Cyr"/>
    </font>
    <font>
      <b/>
      <sz val="11"/>
      <color theme="0"/>
      <name val="Arial Cyr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charset val="204"/>
      <scheme val="minor"/>
    </font>
    <font>
      <b/>
      <sz val="8"/>
      <name val="Arial Cyr"/>
      <charset val="204"/>
    </font>
    <font>
      <sz val="10"/>
      <color theme="1"/>
      <name val="Calibri"/>
      <family val="2"/>
      <charset val="204"/>
      <scheme val="minor"/>
    </font>
    <font>
      <b/>
      <sz val="8"/>
      <name val="Arial Cyr"/>
    </font>
    <font>
      <sz val="11"/>
      <color theme="4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theme="4" tint="0.59999389629810485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/>
      <diagonal/>
    </border>
    <border diagonalUp="1" diagonalDown="1">
      <left/>
      <right/>
      <top/>
      <bottom/>
      <diagonal style="thin">
        <color auto="1"/>
      </diagonal>
    </border>
    <border>
      <left/>
      <right/>
      <top/>
      <bottom style="thick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7">
    <xf numFmtId="0" fontId="0" fillId="0" borderId="0"/>
    <xf numFmtId="0" fontId="7" fillId="0" borderId="0"/>
    <xf numFmtId="165" fontId="15" fillId="0" borderId="0"/>
    <xf numFmtId="0" fontId="10" fillId="0" borderId="0"/>
    <xf numFmtId="0" fontId="7" fillId="0" borderId="0"/>
    <xf numFmtId="0" fontId="10" fillId="0" borderId="0"/>
    <xf numFmtId="0" fontId="34" fillId="0" borderId="0"/>
  </cellStyleXfs>
  <cellXfs count="37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0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1" fillId="0" borderId="0" xfId="1" applyNumberFormat="1" applyFont="1"/>
    <xf numFmtId="4" fontId="7" fillId="0" borderId="0" xfId="1" applyNumberFormat="1"/>
    <xf numFmtId="0" fontId="12" fillId="0" borderId="0" xfId="0" applyFont="1"/>
    <xf numFmtId="0" fontId="13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4" fillId="0" borderId="0" xfId="0" applyFont="1" applyFill="1" applyAlignment="1">
      <alignment horizontal="right"/>
    </xf>
    <xf numFmtId="0" fontId="14" fillId="0" borderId="0" xfId="0" applyFont="1" applyFill="1"/>
    <xf numFmtId="4" fontId="14" fillId="0" borderId="0" xfId="0" applyNumberFormat="1" applyFont="1" applyFill="1"/>
    <xf numFmtId="3" fontId="14" fillId="0" borderId="0" xfId="0" applyNumberFormat="1" applyFont="1" applyFill="1"/>
    <xf numFmtId="0" fontId="7" fillId="0" borderId="0" xfId="1"/>
    <xf numFmtId="49" fontId="11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1" fillId="2" borderId="34" xfId="1" applyNumberFormat="1" applyFont="1" applyFill="1" applyBorder="1" applyAlignment="1">
      <alignment horizontal="center" wrapText="1"/>
    </xf>
    <xf numFmtId="4" fontId="11" fillId="2" borderId="34" xfId="1" applyNumberFormat="1" applyFont="1" applyFill="1" applyBorder="1" applyAlignment="1">
      <alignment horizontal="center" wrapText="1"/>
    </xf>
    <xf numFmtId="4" fontId="11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6" fillId="2" borderId="36" xfId="0" applyNumberFormat="1" applyFont="1" applyFill="1" applyBorder="1" applyAlignment="1" applyProtection="1">
      <alignment horizontal="center" wrapText="1"/>
    </xf>
    <xf numFmtId="49" fontId="16" fillId="2" borderId="37" xfId="0" applyNumberFormat="1" applyFont="1" applyFill="1" applyBorder="1" applyAlignment="1" applyProtection="1">
      <alignment horizontal="center" wrapText="1"/>
    </xf>
    <xf numFmtId="49" fontId="16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7" fillId="0" borderId="31" xfId="0" applyFont="1" applyBorder="1" applyAlignment="1">
      <alignment vertical="center" wrapText="1"/>
    </xf>
    <xf numFmtId="0" fontId="17" fillId="0" borderId="0" xfId="0" applyFont="1" applyBorder="1" applyAlignment="1">
      <alignment vertical="center"/>
    </xf>
    <xf numFmtId="0" fontId="20" fillId="0" borderId="0" xfId="0" applyNumberFormat="1" applyFont="1" applyAlignment="1"/>
    <xf numFmtId="4" fontId="11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0" fontId="7" fillId="0" borderId="0" xfId="4"/>
    <xf numFmtId="49" fontId="11" fillId="0" borderId="0" xfId="4" applyNumberFormat="1" applyFont="1" applyAlignment="1">
      <alignment horizontal="center" wrapText="1"/>
    </xf>
    <xf numFmtId="49" fontId="7" fillId="0" borderId="0" xfId="4" applyNumberFormat="1" applyAlignment="1">
      <alignment horizontal="center"/>
    </xf>
    <xf numFmtId="4" fontId="7" fillId="0" borderId="0" xfId="4" applyNumberFormat="1" applyFill="1" applyBorder="1" applyAlignment="1">
      <alignment horizontal="right"/>
    </xf>
    <xf numFmtId="4" fontId="7" fillId="0" borderId="0" xfId="4" applyNumberFormat="1"/>
    <xf numFmtId="4" fontId="7" fillId="0" borderId="0" xfId="4" applyNumberFormat="1" applyAlignment="1">
      <alignment horizontal="left"/>
    </xf>
    <xf numFmtId="4" fontId="23" fillId="0" borderId="1" xfId="4" applyNumberFormat="1" applyFont="1" applyFill="1" applyBorder="1" applyAlignment="1">
      <alignment horizontal="right" vertical="center" wrapText="1"/>
    </xf>
    <xf numFmtId="49" fontId="22" fillId="0" borderId="1" xfId="4" applyNumberFormat="1" applyFont="1" applyBorder="1" applyAlignment="1">
      <alignment horizontal="center" wrapText="1"/>
    </xf>
    <xf numFmtId="49" fontId="22" fillId="0" borderId="1" xfId="4" applyNumberFormat="1" applyFont="1" applyBorder="1" applyAlignment="1" applyProtection="1">
      <alignment horizontal="center"/>
      <protection locked="0" hidden="1"/>
    </xf>
    <xf numFmtId="49" fontId="7" fillId="0" borderId="1" xfId="4" applyNumberFormat="1" applyBorder="1"/>
    <xf numFmtId="0" fontId="11" fillId="0" borderId="1" xfId="0" applyNumberFormat="1" applyFont="1" applyFill="1" applyBorder="1" applyAlignment="1" applyProtection="1">
      <alignment horizontal="right" vertical="center"/>
    </xf>
    <xf numFmtId="49" fontId="11" fillId="0" borderId="1" xfId="4" applyNumberFormat="1" applyFont="1" applyBorder="1" applyAlignment="1">
      <alignment horizontal="right"/>
    </xf>
    <xf numFmtId="0" fontId="24" fillId="0" borderId="0" xfId="0" applyNumberFormat="1" applyFont="1" applyFill="1" applyBorder="1" applyAlignment="1" applyProtection="1">
      <alignment horizontal="right"/>
    </xf>
    <xf numFmtId="4" fontId="24" fillId="0" borderId="0" xfId="0" applyNumberFormat="1" applyFont="1" applyFill="1" applyBorder="1" applyAlignment="1" applyProtection="1">
      <alignment horizontal="right"/>
    </xf>
    <xf numFmtId="4" fontId="25" fillId="0" borderId="1" xfId="0" applyNumberFormat="1" applyFont="1" applyFill="1" applyBorder="1" applyAlignment="1" applyProtection="1">
      <alignment horizontal="right" vertical="center" wrapText="1"/>
    </xf>
    <xf numFmtId="0" fontId="11" fillId="0" borderId="0" xfId="4" applyFont="1"/>
    <xf numFmtId="0" fontId="7" fillId="0" borderId="0" xfId="4" applyBorder="1"/>
    <xf numFmtId="4" fontId="21" fillId="0" borderId="0" xfId="4" applyNumberFormat="1" applyFont="1" applyAlignment="1">
      <alignment horizontal="left"/>
    </xf>
    <xf numFmtId="4" fontId="23" fillId="0" borderId="0" xfId="4" applyNumberFormat="1" applyFont="1" applyFill="1" applyBorder="1" applyAlignment="1">
      <alignment horizontal="right" vertical="center" wrapText="1"/>
    </xf>
    <xf numFmtId="49" fontId="22" fillId="0" borderId="1" xfId="4" applyNumberFormat="1" applyFont="1" applyBorder="1" applyAlignment="1" applyProtection="1">
      <alignment horizontal="left"/>
      <protection locked="0" hidden="1"/>
    </xf>
    <xf numFmtId="4" fontId="25" fillId="0" borderId="0" xfId="0" applyNumberFormat="1" applyFont="1" applyFill="1" applyBorder="1" applyAlignment="1" applyProtection="1">
      <alignment horizontal="right" vertical="center" wrapText="1"/>
    </xf>
    <xf numFmtId="49" fontId="22" fillId="0" borderId="22" xfId="4" applyNumberFormat="1" applyFont="1" applyBorder="1" applyAlignment="1" applyProtection="1">
      <alignment wrapText="1"/>
      <protection locked="0" hidden="1"/>
    </xf>
    <xf numFmtId="4" fontId="23" fillId="0" borderId="22" xfId="4" applyNumberFormat="1" applyFont="1" applyFill="1" applyBorder="1" applyAlignment="1">
      <alignment vertical="center"/>
    </xf>
    <xf numFmtId="0" fontId="7" fillId="0" borderId="1" xfId="4" applyBorder="1"/>
    <xf numFmtId="4" fontId="23" fillId="0" borderId="1" xfId="4" applyNumberFormat="1" applyFont="1" applyFill="1" applyBorder="1" applyAlignment="1">
      <alignment horizontal="right" vertical="center"/>
    </xf>
    <xf numFmtId="4" fontId="26" fillId="0" borderId="0" xfId="0" applyNumberFormat="1" applyFont="1" applyFill="1" applyBorder="1" applyAlignment="1" applyProtection="1">
      <alignment horizontal="right" vertical="center" wrapText="1"/>
    </xf>
    <xf numFmtId="49" fontId="11" fillId="0" borderId="1" xfId="4" applyNumberFormat="1" applyFont="1" applyBorder="1" applyAlignment="1">
      <alignment horizontal="left"/>
    </xf>
    <xf numFmtId="49" fontId="27" fillId="0" borderId="1" xfId="0" applyNumberFormat="1" applyFont="1" applyFill="1" applyBorder="1" applyAlignment="1" applyProtection="1"/>
    <xf numFmtId="0" fontId="28" fillId="0" borderId="0" xfId="0" applyFont="1" applyBorder="1"/>
    <xf numFmtId="0" fontId="7" fillId="0" borderId="0" xfId="4" applyFill="1"/>
    <xf numFmtId="49" fontId="29" fillId="0" borderId="2" xfId="4" applyNumberFormat="1" applyFont="1" applyFill="1" applyBorder="1" applyAlignment="1" applyProtection="1">
      <alignment horizontal="center"/>
      <protection locked="0" hidden="1"/>
    </xf>
    <xf numFmtId="49" fontId="22" fillId="0" borderId="10" xfId="4" applyNumberFormat="1" applyFont="1" applyBorder="1" applyAlignment="1" applyProtection="1">
      <alignment horizontal="center"/>
      <protection locked="0" hidden="1"/>
    </xf>
    <xf numFmtId="49" fontId="29" fillId="0" borderId="15" xfId="4" applyNumberFormat="1" applyFont="1" applyFill="1" applyBorder="1" applyAlignment="1" applyProtection="1">
      <alignment horizontal="center"/>
      <protection locked="0" hidden="1"/>
    </xf>
    <xf numFmtId="49" fontId="30" fillId="0" borderId="0" xfId="4" applyNumberFormat="1" applyFont="1" applyFill="1" applyBorder="1" applyAlignment="1" applyProtection="1">
      <alignment horizontal="center"/>
      <protection locked="0" hidden="1"/>
    </xf>
    <xf numFmtId="49" fontId="29" fillId="0" borderId="1" xfId="4" applyNumberFormat="1" applyFont="1" applyFill="1" applyBorder="1" applyAlignment="1" applyProtection="1">
      <alignment horizontal="center"/>
      <protection locked="0" hidden="1"/>
    </xf>
    <xf numFmtId="0" fontId="0" fillId="0" borderId="40" xfId="0" applyBorder="1" applyAlignment="1"/>
    <xf numFmtId="0" fontId="0" fillId="0" borderId="23" xfId="0" applyBorder="1" applyAlignment="1"/>
    <xf numFmtId="49" fontId="7" fillId="0" borderId="1" xfId="4" applyNumberFormat="1" applyFill="1" applyBorder="1"/>
    <xf numFmtId="49" fontId="22" fillId="4" borderId="1" xfId="4" applyNumberFormat="1" applyFont="1" applyFill="1" applyBorder="1" applyAlignment="1" applyProtection="1">
      <alignment horizontal="center"/>
      <protection locked="0" hidden="1"/>
    </xf>
    <xf numFmtId="49" fontId="22" fillId="4" borderId="1" xfId="4" applyNumberFormat="1" applyFont="1" applyFill="1" applyBorder="1" applyAlignment="1">
      <alignment horizontal="center" wrapText="1"/>
    </xf>
    <xf numFmtId="49" fontId="7" fillId="4" borderId="1" xfId="4" applyNumberFormat="1" applyFont="1" applyFill="1" applyBorder="1"/>
    <xf numFmtId="4" fontId="23" fillId="4" borderId="1" xfId="4" applyNumberFormat="1" applyFont="1" applyFill="1" applyBorder="1" applyAlignment="1">
      <alignment horizontal="right" vertical="center" wrapText="1"/>
    </xf>
    <xf numFmtId="4" fontId="23" fillId="4" borderId="1" xfId="4" applyNumberFormat="1" applyFont="1" applyFill="1" applyBorder="1" applyAlignment="1">
      <alignment vertical="center" wrapText="1"/>
    </xf>
    <xf numFmtId="4" fontId="7" fillId="4" borderId="1" xfId="4" applyNumberFormat="1" applyFill="1" applyBorder="1" applyAlignment="1">
      <alignment horizontal="right"/>
    </xf>
    <xf numFmtId="49" fontId="22" fillId="0" borderId="1" xfId="4" applyNumberFormat="1" applyFont="1" applyBorder="1" applyAlignment="1" applyProtection="1">
      <alignment horizontal="left" wrapText="1"/>
      <protection locked="0" hidden="1"/>
    </xf>
    <xf numFmtId="4" fontId="23" fillId="0" borderId="1" xfId="4" applyNumberFormat="1" applyFont="1" applyFill="1" applyBorder="1" applyAlignment="1">
      <alignment vertical="center"/>
    </xf>
    <xf numFmtId="1" fontId="0" fillId="0" borderId="0" xfId="0" applyNumberFormat="1" applyAlignment="1">
      <alignment horizontal="right" vertical="center"/>
    </xf>
    <xf numFmtId="3" fontId="3" fillId="0" borderId="6" xfId="0" applyNumberFormat="1" applyFont="1" applyBorder="1" applyAlignment="1">
      <alignment horizontal="right" vertical="center"/>
    </xf>
    <xf numFmtId="1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right" vertical="center"/>
    </xf>
    <xf numFmtId="4" fontId="11" fillId="7" borderId="10" xfId="0" applyNumberFormat="1" applyFont="1" applyFill="1" applyBorder="1" applyAlignment="1">
      <alignment vertical="center" wrapText="1"/>
    </xf>
    <xf numFmtId="4" fontId="11" fillId="7" borderId="11" xfId="0" applyNumberFormat="1" applyFont="1" applyFill="1" applyBorder="1" applyAlignment="1">
      <alignment vertical="center" wrapText="1"/>
    </xf>
    <xf numFmtId="4" fontId="11" fillId="7" borderId="9" xfId="0" applyNumberFormat="1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Border="1" applyAlignment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31" fillId="0" borderId="7" xfId="0" applyFont="1" applyFill="1" applyBorder="1" applyAlignment="1">
      <alignment horizontal="center" vertical="center"/>
    </xf>
    <xf numFmtId="0" fontId="32" fillId="0" borderId="0" xfId="0" applyFont="1" applyBorder="1"/>
    <xf numFmtId="0" fontId="0" fillId="0" borderId="0" xfId="0" applyBorder="1"/>
    <xf numFmtId="1" fontId="0" fillId="0" borderId="2" xfId="0" applyNumberFormat="1" applyFill="1" applyBorder="1" applyAlignment="1">
      <alignment horizontal="center" vertical="center"/>
    </xf>
    <xf numFmtId="1" fontId="0" fillId="0" borderId="6" xfId="0" applyNumberFormat="1" applyFill="1" applyBorder="1" applyAlignment="1">
      <alignment horizontal="center" vertical="center"/>
    </xf>
    <xf numFmtId="14" fontId="0" fillId="0" borderId="0" xfId="0" applyNumberFormat="1" applyBorder="1"/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33" fillId="7" borderId="41" xfId="0" applyFont="1" applyFill="1" applyBorder="1" applyAlignment="1">
      <alignment horizontal="center" vertical="center" wrapText="1"/>
    </xf>
    <xf numFmtId="4" fontId="0" fillId="0" borderId="0" xfId="0" applyNumberFormat="1" applyAlignment="1">
      <alignment vertical="center"/>
    </xf>
    <xf numFmtId="0" fontId="33" fillId="7" borderId="41" xfId="0" applyFont="1" applyFill="1" applyBorder="1" applyAlignment="1">
      <alignment horizontal="center" vertical="center"/>
    </xf>
    <xf numFmtId="0" fontId="3" fillId="0" borderId="43" xfId="0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34" fillId="0" borderId="1" xfId="6" applyBorder="1" applyAlignment="1">
      <alignment vertical="center" wrapText="1"/>
    </xf>
    <xf numFmtId="0" fontId="34" fillId="0" borderId="1" xfId="6" applyBorder="1" applyAlignment="1">
      <alignment vertical="center"/>
    </xf>
    <xf numFmtId="4" fontId="34" fillId="0" borderId="1" xfId="6" applyNumberFormat="1" applyBorder="1" applyAlignment="1">
      <alignment vertical="center"/>
    </xf>
    <xf numFmtId="4" fontId="35" fillId="0" borderId="1" xfId="6" applyNumberFormat="1" applyFont="1" applyBorder="1" applyAlignment="1">
      <alignment vertical="center"/>
    </xf>
    <xf numFmtId="0" fontId="35" fillId="6" borderId="1" xfId="6" applyFont="1" applyFill="1" applyBorder="1" applyAlignment="1">
      <alignment vertical="center"/>
    </xf>
    <xf numFmtId="0" fontId="35" fillId="6" borderId="1" xfId="6" applyFont="1" applyFill="1" applyBorder="1" applyAlignment="1">
      <alignment horizontal="center" vertical="center"/>
    </xf>
    <xf numFmtId="4" fontId="34" fillId="9" borderId="1" xfId="6" applyNumberFormat="1" applyFont="1" applyFill="1" applyBorder="1" applyAlignment="1">
      <alignment vertical="center"/>
    </xf>
    <xf numFmtId="4" fontId="34" fillId="6" borderId="1" xfId="6" applyNumberFormat="1" applyFont="1" applyFill="1" applyBorder="1" applyAlignment="1">
      <alignment vertical="center"/>
    </xf>
    <xf numFmtId="4" fontId="35" fillId="6" borderId="1" xfId="6" applyNumberFormat="1" applyFont="1" applyFill="1" applyBorder="1" applyAlignment="1">
      <alignment vertical="center"/>
    </xf>
    <xf numFmtId="0" fontId="34" fillId="0" borderId="1" xfId="6" applyBorder="1" applyAlignment="1">
      <alignment horizontal="center" vertical="center"/>
    </xf>
    <xf numFmtId="4" fontId="34" fillId="0" borderId="1" xfId="6" applyNumberFormat="1" applyFont="1" applyFill="1" applyBorder="1" applyAlignment="1">
      <alignment vertical="center"/>
    </xf>
    <xf numFmtId="4" fontId="34" fillId="0" borderId="1" xfId="6" applyNumberFormat="1" applyFont="1" applyBorder="1" applyAlignment="1">
      <alignment vertical="center"/>
    </xf>
    <xf numFmtId="4" fontId="12" fillId="0" borderId="1" xfId="6" applyNumberFormat="1" applyFont="1" applyBorder="1" applyAlignment="1">
      <alignment vertical="center"/>
    </xf>
    <xf numFmtId="4" fontId="12" fillId="6" borderId="1" xfId="6" applyNumberFormat="1" applyFont="1" applyFill="1" applyBorder="1" applyAlignment="1">
      <alignment vertical="center"/>
    </xf>
    <xf numFmtId="0" fontId="34" fillId="0" borderId="1" xfId="6" applyBorder="1" applyAlignment="1">
      <alignment horizontal="left" vertical="center"/>
    </xf>
    <xf numFmtId="0" fontId="34" fillId="0" borderId="0" xfId="6" applyAlignment="1">
      <alignment vertical="center"/>
    </xf>
    <xf numFmtId="4" fontId="34" fillId="0" borderId="0" xfId="6" applyNumberFormat="1" applyBorder="1" applyAlignment="1">
      <alignment vertical="center"/>
    </xf>
    <xf numFmtId="0" fontId="35" fillId="8" borderId="1" xfId="6" applyFont="1" applyFill="1" applyBorder="1" applyAlignment="1">
      <alignment horizontal="center"/>
    </xf>
    <xf numFmtId="0" fontId="35" fillId="8" borderId="1" xfId="6" applyFont="1" applyFill="1" applyBorder="1" applyAlignment="1">
      <alignment horizontal="center" vertical="center"/>
    </xf>
    <xf numFmtId="0" fontId="34" fillId="0" borderId="40" xfId="6" applyBorder="1" applyAlignment="1">
      <alignment vertical="center"/>
    </xf>
    <xf numFmtId="0" fontId="34" fillId="0" borderId="0" xfId="6" applyBorder="1" applyAlignment="1">
      <alignment vertical="center"/>
    </xf>
    <xf numFmtId="0" fontId="35" fillId="8" borderId="1" xfId="6" applyFont="1" applyFill="1" applyBorder="1" applyAlignment="1">
      <alignment vertical="center"/>
    </xf>
    <xf numFmtId="3" fontId="34" fillId="0" borderId="1" xfId="6" applyNumberFormat="1" applyBorder="1" applyAlignment="1">
      <alignment vertical="center"/>
    </xf>
    <xf numFmtId="0" fontId="35" fillId="8" borderId="10" xfId="6" applyFont="1" applyFill="1" applyBorder="1" applyAlignment="1">
      <alignment vertical="center"/>
    </xf>
    <xf numFmtId="4" fontId="34" fillId="0" borderId="10" xfId="6" applyNumberFormat="1" applyBorder="1" applyAlignment="1">
      <alignment vertical="center"/>
    </xf>
    <xf numFmtId="0" fontId="36" fillId="7" borderId="1" xfId="0" applyNumberFormat="1" applyFont="1" applyFill="1" applyBorder="1" applyAlignment="1">
      <alignment horizontal="center" vertical="center" wrapText="1"/>
    </xf>
    <xf numFmtId="0" fontId="11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" fontId="37" fillId="0" borderId="1" xfId="0" applyNumberFormat="1" applyFont="1" applyBorder="1" applyAlignment="1">
      <alignment horizontal="right" vertical="center"/>
    </xf>
    <xf numFmtId="49" fontId="37" fillId="0" borderId="1" xfId="0" applyNumberFormat="1" applyFont="1" applyBorder="1" applyAlignment="1">
      <alignment horizontal="right" vertical="center"/>
    </xf>
    <xf numFmtId="49" fontId="37" fillId="0" borderId="1" xfId="0" applyNumberFormat="1" applyFont="1" applyBorder="1" applyAlignment="1">
      <alignment horizontal="left" vertical="center"/>
    </xf>
    <xf numFmtId="49" fontId="37" fillId="0" borderId="1" xfId="0" applyNumberFormat="1" applyFont="1" applyBorder="1" applyAlignment="1">
      <alignment horizontal="center" vertical="center"/>
    </xf>
    <xf numFmtId="49" fontId="37" fillId="0" borderId="1" xfId="0" applyNumberFormat="1" applyFont="1" applyBorder="1" applyAlignment="1">
      <alignment vertical="center"/>
    </xf>
    <xf numFmtId="0" fontId="11" fillId="0" borderId="15" xfId="0" applyNumberFormat="1" applyFont="1" applyBorder="1" applyAlignment="1">
      <alignment horizontal="center" vertical="center" wrapText="1"/>
    </xf>
    <xf numFmtId="0" fontId="11" fillId="0" borderId="2" xfId="0" applyNumberFormat="1" applyFont="1" applyBorder="1" applyAlignment="1">
      <alignment horizontal="center" vertical="center" wrapText="1"/>
    </xf>
    <xf numFmtId="0" fontId="11" fillId="0" borderId="16" xfId="0" applyNumberFormat="1" applyFont="1" applyBorder="1" applyAlignment="1">
      <alignment horizontal="center" vertical="center" wrapText="1"/>
    </xf>
    <xf numFmtId="0" fontId="37" fillId="0" borderId="17" xfId="0" applyFont="1" applyBorder="1"/>
    <xf numFmtId="1" fontId="37" fillId="0" borderId="6" xfId="0" applyNumberFormat="1" applyFont="1" applyBorder="1" applyAlignment="1">
      <alignment horizontal="left" vertical="center"/>
    </xf>
    <xf numFmtId="49" fontId="37" fillId="0" borderId="6" xfId="0" applyNumberFormat="1" applyFont="1" applyBorder="1" applyAlignment="1">
      <alignment horizontal="right" vertical="center"/>
    </xf>
    <xf numFmtId="49" fontId="37" fillId="0" borderId="6" xfId="0" applyNumberFormat="1" applyFont="1" applyBorder="1" applyAlignment="1">
      <alignment horizontal="left" vertical="center"/>
    </xf>
    <xf numFmtId="49" fontId="37" fillId="0" borderId="6" xfId="0" applyNumberFormat="1" applyFont="1" applyBorder="1" applyAlignment="1">
      <alignment horizontal="center" vertical="center"/>
    </xf>
    <xf numFmtId="49" fontId="37" fillId="0" borderId="18" xfId="0" applyNumberFormat="1" applyFont="1" applyBorder="1" applyAlignment="1">
      <alignment horizontal="center" vertical="center"/>
    </xf>
    <xf numFmtId="0" fontId="27" fillId="0" borderId="2" xfId="0" applyNumberFormat="1" applyFont="1" applyBorder="1" applyAlignment="1">
      <alignment horizontal="center" vertical="center" wrapText="1"/>
    </xf>
    <xf numFmtId="0" fontId="37" fillId="0" borderId="17" xfId="0" applyFont="1" applyBorder="1" applyAlignment="1">
      <alignment horizontal="center"/>
    </xf>
    <xf numFmtId="0" fontId="37" fillId="0" borderId="6" xfId="0" applyNumberFormat="1" applyFont="1" applyBorder="1" applyAlignment="1">
      <alignment horizontal="center" vertical="center"/>
    </xf>
    <xf numFmtId="4" fontId="37" fillId="0" borderId="6" xfId="0" applyNumberFormat="1" applyFont="1" applyBorder="1" applyAlignment="1">
      <alignment horizontal="right" vertical="center"/>
    </xf>
    <xf numFmtId="0" fontId="37" fillId="0" borderId="6" xfId="0" applyFont="1" applyBorder="1" applyAlignment="1">
      <alignment horizontal="left" vertical="center"/>
    </xf>
    <xf numFmtId="0" fontId="37" fillId="0" borderId="6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6" fillId="7" borderId="15" xfId="0" applyNumberFormat="1" applyFont="1" applyFill="1" applyBorder="1" applyAlignment="1">
      <alignment horizontal="center" vertical="center" wrapText="1"/>
    </xf>
    <xf numFmtId="0" fontId="36" fillId="7" borderId="2" xfId="0" applyNumberFormat="1" applyFont="1" applyFill="1" applyBorder="1" applyAlignment="1">
      <alignment horizontal="center" vertical="center" wrapText="1"/>
    </xf>
    <xf numFmtId="0" fontId="38" fillId="7" borderId="2" xfId="0" applyNumberFormat="1" applyFont="1" applyFill="1" applyBorder="1" applyAlignment="1">
      <alignment horizontal="center" vertical="center" wrapText="1"/>
    </xf>
    <xf numFmtId="49" fontId="0" fillId="0" borderId="17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0" fontId="17" fillId="0" borderId="0" xfId="0" applyFont="1" applyBorder="1" applyAlignment="1">
      <alignment vertical="center" wrapText="1"/>
    </xf>
    <xf numFmtId="0" fontId="11" fillId="0" borderId="0" xfId="0" applyNumberFormat="1" applyFont="1" applyAlignment="1">
      <alignment horizontal="center" wrapText="1"/>
    </xf>
    <xf numFmtId="0" fontId="11" fillId="0" borderId="0" xfId="0" applyNumberFormat="1" applyFont="1" applyAlignment="1">
      <alignment horizontal="center" vertical="center" wrapText="1"/>
    </xf>
    <xf numFmtId="49" fontId="11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1" fillId="0" borderId="0" xfId="0" applyNumberFormat="1" applyFont="1" applyAlignment="1">
      <alignment horizontal="center" vertical="center"/>
    </xf>
    <xf numFmtId="14" fontId="0" fillId="0" borderId="0" xfId="0" applyNumberFormat="1"/>
    <xf numFmtId="0" fontId="0" fillId="0" borderId="0" xfId="0" quotePrefix="1"/>
    <xf numFmtId="0" fontId="0" fillId="0" borderId="0" xfId="0" quotePrefix="1" applyBorder="1"/>
    <xf numFmtId="0" fontId="0" fillId="0" borderId="2" xfId="0" applyBorder="1" applyAlignment="1">
      <alignment horizontal="center" vertical="center" wrapText="1"/>
    </xf>
    <xf numFmtId="1" fontId="0" fillId="0" borderId="6" xfId="0" applyNumberForma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right" vertical="center"/>
    </xf>
    <xf numFmtId="1" fontId="0" fillId="0" borderId="6" xfId="0" applyNumberFormat="1" applyBorder="1" applyAlignment="1">
      <alignment horizontal="right" vertical="center"/>
    </xf>
    <xf numFmtId="2" fontId="0" fillId="0" borderId="6" xfId="0" applyNumberFormat="1" applyBorder="1" applyAlignment="1">
      <alignment horizontal="right" vertical="center"/>
    </xf>
    <xf numFmtId="0" fontId="38" fillId="7" borderId="16" xfId="0" applyNumberFormat="1" applyFont="1" applyFill="1" applyBorder="1" applyAlignment="1">
      <alignment horizontal="center" vertical="center" wrapText="1"/>
    </xf>
    <xf numFmtId="0" fontId="38" fillId="7" borderId="1" xfId="0" applyNumberFormat="1" applyFont="1" applyFill="1" applyBorder="1" applyAlignment="1">
      <alignment horizontal="center" vertical="center" wrapText="1"/>
    </xf>
    <xf numFmtId="0" fontId="0" fillId="0" borderId="0" xfId="0"/>
    <xf numFmtId="0" fontId="0" fillId="0" borderId="0" xfId="0" applyBorder="1"/>
    <xf numFmtId="0" fontId="36" fillId="7" borderId="2" xfId="0" applyNumberFormat="1" applyFont="1" applyFill="1" applyBorder="1" applyAlignment="1">
      <alignment horizontal="center" vertical="center" wrapText="1"/>
    </xf>
    <xf numFmtId="0" fontId="36" fillId="7" borderId="15" xfId="0" applyNumberFormat="1" applyFont="1" applyFill="1" applyBorder="1" applyAlignment="1">
      <alignment horizontal="center" vertical="center" wrapText="1"/>
    </xf>
    <xf numFmtId="49" fontId="0" fillId="0" borderId="6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0" fontId="38" fillId="7" borderId="2" xfId="0" applyNumberFormat="1" applyFont="1" applyFill="1" applyBorder="1" applyAlignment="1">
      <alignment horizontal="center" vertical="center" wrapText="1"/>
    </xf>
    <xf numFmtId="0" fontId="0" fillId="0" borderId="43" xfId="0" applyFont="1" applyBorder="1"/>
    <xf numFmtId="1" fontId="0" fillId="0" borderId="21" xfId="0" applyNumberFormat="1" applyFont="1" applyBorder="1" applyAlignment="1">
      <alignment horizontal="right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0" fontId="11" fillId="7" borderId="48" xfId="0" applyNumberFormat="1" applyFont="1" applyFill="1" applyBorder="1" applyAlignment="1">
      <alignment horizontal="center" vertical="center" wrapText="1"/>
    </xf>
    <xf numFmtId="49" fontId="11" fillId="7" borderId="48" xfId="0" applyNumberFormat="1" applyFont="1" applyFill="1" applyBorder="1" applyAlignment="1">
      <alignment horizontal="center" vertical="center" wrapText="1"/>
    </xf>
    <xf numFmtId="49" fontId="0" fillId="11" borderId="49" xfId="0" applyNumberFormat="1" applyFont="1" applyFill="1" applyBorder="1" applyAlignment="1">
      <alignment horizontal="center" vertical="center"/>
    </xf>
    <xf numFmtId="0" fontId="0" fillId="0" borderId="50" xfId="0" applyBorder="1"/>
    <xf numFmtId="0" fontId="39" fillId="0" borderId="50" xfId="0" applyFont="1" applyBorder="1"/>
    <xf numFmtId="0" fontId="0" fillId="0" borderId="51" xfId="0" applyBorder="1"/>
    <xf numFmtId="0" fontId="0" fillId="0" borderId="0" xfId="0" applyAlignment="1">
      <alignment horizontal="right" vertical="center"/>
    </xf>
    <xf numFmtId="3" fontId="0" fillId="11" borderId="52" xfId="0" applyNumberFormat="1" applyFont="1" applyFill="1" applyBorder="1" applyAlignment="1">
      <alignment horizontal="right" vertical="center"/>
    </xf>
    <xf numFmtId="49" fontId="0" fillId="0" borderId="0" xfId="0" applyNumberFormat="1" applyAlignment="1">
      <alignment horizontal="left" vertical="center"/>
    </xf>
    <xf numFmtId="4" fontId="0" fillId="0" borderId="0" xfId="0" applyNumberFormat="1" applyAlignment="1">
      <alignment horizontal="left" vertical="center"/>
    </xf>
    <xf numFmtId="0" fontId="0" fillId="11" borderId="49" xfId="0" applyFont="1" applyFill="1" applyBorder="1" applyAlignment="1">
      <alignment horizontal="right" vertical="center"/>
    </xf>
    <xf numFmtId="4" fontId="0" fillId="0" borderId="6" xfId="0" applyNumberFormat="1" applyBorder="1" applyAlignment="1">
      <alignment horizontal="right" vertical="center"/>
    </xf>
    <xf numFmtId="4" fontId="0" fillId="0" borderId="18" xfId="0" applyNumberFormat="1" applyBorder="1" applyAlignment="1">
      <alignment horizontal="right" vertical="center"/>
    </xf>
    <xf numFmtId="0" fontId="0" fillId="0" borderId="17" xfId="0" applyBorder="1"/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7" fillId="0" borderId="22" xfId="0" applyFont="1" applyBorder="1" applyAlignment="1">
      <alignment horizontal="center" vertical="center" wrapText="1"/>
    </xf>
    <xf numFmtId="0" fontId="17" fillId="0" borderId="2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7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22" fillId="0" borderId="1" xfId="4" applyNumberFormat="1" applyFont="1" applyBorder="1" applyAlignment="1" applyProtection="1">
      <alignment horizontal="left" wrapText="1"/>
      <protection locked="0" hidden="1"/>
    </xf>
    <xf numFmtId="4" fontId="23" fillId="0" borderId="1" xfId="4" applyNumberFormat="1" applyFont="1" applyFill="1" applyBorder="1" applyAlignment="1">
      <alignment horizontal="right" vertical="center"/>
    </xf>
    <xf numFmtId="49" fontId="20" fillId="0" borderId="0" xfId="4" applyNumberFormat="1" applyFont="1" applyAlignment="1">
      <alignment horizontal="center" wrapText="1"/>
    </xf>
    <xf numFmtId="49" fontId="20" fillId="0" borderId="0" xfId="4" applyNumberFormat="1" applyFont="1" applyAlignment="1">
      <alignment horizontal="center"/>
    </xf>
    <xf numFmtId="49" fontId="22" fillId="0" borderId="1" xfId="4" applyNumberFormat="1" applyFont="1" applyBorder="1" applyAlignment="1" applyProtection="1">
      <alignment horizontal="center" vertical="center"/>
      <protection locked="0" hidden="1"/>
    </xf>
    <xf numFmtId="49" fontId="20" fillId="0" borderId="1" xfId="4" applyNumberFormat="1" applyFont="1" applyBorder="1" applyAlignment="1" applyProtection="1">
      <alignment horizontal="center" vertical="center"/>
      <protection locked="0" hidden="1"/>
    </xf>
    <xf numFmtId="49" fontId="22" fillId="0" borderId="1" xfId="4" applyNumberFormat="1" applyFont="1" applyBorder="1" applyAlignment="1">
      <alignment horizontal="center" vertical="center" wrapText="1"/>
    </xf>
    <xf numFmtId="49" fontId="7" fillId="0" borderId="0" xfId="4" applyNumberFormat="1" applyAlignment="1">
      <alignment horizontal="center" vertical="center"/>
    </xf>
    <xf numFmtId="0" fontId="17" fillId="0" borderId="1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11" fillId="7" borderId="1" xfId="0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0" fontId="35" fillId="0" borderId="1" xfId="6" applyFont="1" applyBorder="1" applyAlignment="1">
      <alignment horizontal="center" vertical="center"/>
    </xf>
    <xf numFmtId="0" fontId="35" fillId="0" borderId="10" xfId="6" applyFont="1" applyBorder="1" applyAlignment="1">
      <alignment horizontal="center" vertical="center"/>
    </xf>
    <xf numFmtId="0" fontId="35" fillId="0" borderId="11" xfId="6" applyFont="1" applyBorder="1" applyAlignment="1">
      <alignment horizontal="center" vertical="center"/>
    </xf>
    <xf numFmtId="0" fontId="35" fillId="0" borderId="9" xfId="6" applyFont="1" applyBorder="1" applyAlignment="1">
      <alignment horizontal="center" vertical="center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3" fillId="0" borderId="0" xfId="0" applyFont="1" applyBorder="1" applyAlignment="1">
      <alignment horizontal="right" vertical="center"/>
    </xf>
    <xf numFmtId="0" fontId="21" fillId="0" borderId="0" xfId="0" applyNumberFormat="1" applyFont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3" fillId="0" borderId="22" xfId="0" applyFont="1" applyBorder="1" applyAlignment="1">
      <alignment horizontal="right" vertical="center"/>
    </xf>
    <xf numFmtId="0" fontId="3" fillId="0" borderId="15" xfId="0" applyFont="1" applyBorder="1" applyAlignment="1">
      <alignment horizontal="right" vertical="center"/>
    </xf>
    <xf numFmtId="4" fontId="11" fillId="7" borderId="1" xfId="0" applyNumberFormat="1" applyFont="1" applyFill="1" applyBorder="1" applyAlignment="1">
      <alignment horizontal="center" vertical="center" wrapText="1"/>
    </xf>
    <xf numFmtId="4" fontId="11" fillId="7" borderId="10" xfId="0" applyNumberFormat="1" applyFont="1" applyFill="1" applyBorder="1" applyAlignment="1">
      <alignment horizontal="center" vertical="center" wrapText="1"/>
    </xf>
    <xf numFmtId="4" fontId="11" fillId="7" borderId="11" xfId="0" applyNumberFormat="1" applyFont="1" applyFill="1" applyBorder="1" applyAlignment="1">
      <alignment horizontal="center" vertical="center" wrapText="1"/>
    </xf>
    <xf numFmtId="4" fontId="11" fillId="7" borderId="9" xfId="0" applyNumberFormat="1" applyFont="1" applyFill="1" applyBorder="1" applyAlignment="1">
      <alignment horizontal="center" vertical="center" wrapText="1"/>
    </xf>
    <xf numFmtId="0" fontId="33" fillId="7" borderId="44" xfId="0" applyFont="1" applyFill="1" applyBorder="1" applyAlignment="1">
      <alignment horizontal="center" vertical="center" wrapText="1"/>
    </xf>
    <xf numFmtId="0" fontId="33" fillId="7" borderId="45" xfId="0" applyFont="1" applyFill="1" applyBorder="1" applyAlignment="1">
      <alignment horizontal="center" vertical="center" wrapText="1"/>
    </xf>
    <xf numFmtId="0" fontId="33" fillId="7" borderId="46" xfId="0" applyFont="1" applyFill="1" applyBorder="1" applyAlignment="1">
      <alignment horizontal="center" vertical="center" wrapText="1"/>
    </xf>
    <xf numFmtId="0" fontId="33" fillId="7" borderId="47" xfId="0" applyFont="1" applyFill="1" applyBorder="1" applyAlignment="1">
      <alignment horizontal="center" vertical="center" wrapText="1"/>
    </xf>
    <xf numFmtId="0" fontId="33" fillId="7" borderId="41" xfId="0" applyFont="1" applyFill="1" applyBorder="1" applyAlignment="1">
      <alignment horizontal="center" vertical="center" wrapText="1"/>
    </xf>
    <xf numFmtId="0" fontId="33" fillId="7" borderId="42" xfId="0" applyFont="1" applyFill="1" applyBorder="1" applyAlignment="1">
      <alignment horizontal="center" vertical="center" wrapText="1"/>
    </xf>
    <xf numFmtId="0" fontId="33" fillId="7" borderId="21" xfId="0" applyFont="1" applyFill="1" applyBorder="1" applyAlignment="1">
      <alignment horizontal="center" vertical="center" wrapText="1"/>
    </xf>
    <xf numFmtId="0" fontId="3" fillId="0" borderId="43" xfId="0" applyFont="1" applyBorder="1" applyAlignment="1">
      <alignment horizontal="center" vertical="center" wrapText="1"/>
    </xf>
  </cellXfs>
  <cellStyles count="7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  <cellStyle name="Обычный 6" xfId="6"/>
  </cellStyles>
  <dxfs count="530"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255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relativeIndent="255" justifyLastLine="0" shrinkToFit="0" mergeCell="0" readingOrder="0"/>
      <border diagonalUp="0" diagonalDown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255" justifyLastLine="0" shrinkToFit="0" mergeCell="0" readingOrder="0"/>
    </dxf>
    <dxf>
      <numFmt numFmtId="3" formatCode="#,##0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border diagonalUp="1" diagonalDown="1">
        <left/>
        <right/>
        <top/>
        <bottom/>
        <diagonal style="thin">
          <color auto="1"/>
        </diagonal>
        <vertical/>
        <horizontal/>
      </border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30" formatCode="@"/>
      <alignment horizontal="general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textRotation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2" name="btnBenefitDetail"/>
        <xdr:cNvSpPr/>
      </xdr:nvSpPr>
      <xdr:spPr>
        <a:xfrm>
          <a:off x="249620" y="299982"/>
          <a:ext cx="1813035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2" name="btnBenefitDetail"/>
        <xdr:cNvSpPr/>
      </xdr:nvSpPr>
      <xdr:spPr>
        <a:xfrm>
          <a:off x="249620" y="299982"/>
          <a:ext cx="1813035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3" name="btnBenefitDetail"/>
        <xdr:cNvSpPr/>
      </xdr:nvSpPr>
      <xdr:spPr>
        <a:xfrm>
          <a:off x="249620" y="299982"/>
          <a:ext cx="1806466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130632</xdr:colOff>
      <xdr:row>0</xdr:row>
      <xdr:rowOff>136070</xdr:rowOff>
    </xdr:from>
    <xdr:to>
      <xdr:col>4</xdr:col>
      <xdr:colOff>110550</xdr:colOff>
      <xdr:row>2</xdr:row>
      <xdr:rowOff>37535</xdr:rowOff>
    </xdr:to>
    <xdr:sp macro="[0]!Reports.go_onclick" textlink="">
      <xdr:nvSpPr>
        <xdr:cNvPr id="5" name="Стрелка вправо 4"/>
        <xdr:cNvSpPr/>
      </xdr:nvSpPr>
      <xdr:spPr>
        <a:xfrm>
          <a:off x="3788232" y="136070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 editAs="oneCell">
    <xdr:from>
      <xdr:col>4</xdr:col>
      <xdr:colOff>95250</xdr:colOff>
      <xdr:row>0</xdr:row>
      <xdr:rowOff>38100</xdr:rowOff>
    </xdr:from>
    <xdr:to>
      <xdr:col>4</xdr:col>
      <xdr:colOff>495300</xdr:colOff>
      <xdr:row>0</xdr:row>
      <xdr:rowOff>409575</xdr:rowOff>
    </xdr:to>
    <xdr:sp macro="[2]!send" textlink="">
      <xdr:nvSpPr>
        <xdr:cNvPr id="7" name="btnSend" hidden="1"/>
        <xdr:cNvSpPr/>
      </xdr:nvSpPr>
      <xdr:spPr>
        <a:xfrm>
          <a:off x="8020050" y="38100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4;&#1090;&#1095;&#1077;&#1090;&#1099;%202&#1053;&#1044;&#1060;&#1051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7;&#1086;&#1090;&#1088;&#1091;&#1076;&#1085;&#1080;&#1082;&#1080;%20&#1092;&#1086;&#1085;&#1076;&#1072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dfl2_tax_corr"/>
      <sheetName val="f2_error_report"/>
      <sheetName val="f2_arh_spravki_errors"/>
      <sheetName val="Settings"/>
      <sheetName val="Отчеты"/>
      <sheetName val="f2_arh_batch_xml_head"/>
      <sheetName val="f2_full_namesake"/>
      <sheetName val="f2_diff_pers_data"/>
      <sheetName val="f2_ndfl_nalplat_pers"/>
    </sheetNames>
    <sheetDataSet>
      <sheetData sheetId="0"/>
      <sheetData sheetId="1"/>
      <sheetData sheetId="2"/>
      <sheetData sheetId="3"/>
      <sheetData sheetId="4">
        <row r="2">
          <cell r="C2" t="str">
            <v>Расхождение списка налогоплательщиков</v>
          </cell>
        </row>
      </sheetData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detail_report"/>
      <sheetName val="detail_report_2"/>
      <sheetName val="error_report"/>
      <sheetName val="correcting_report"/>
      <sheetName val="Settings"/>
      <sheetName val="Отчеты"/>
      <sheetName val="tax_retained_report"/>
      <sheetName val="ndfl6_part2"/>
      <sheetName val="ndfl6_part1_general"/>
      <sheetName val="ndfl6_part1_rates"/>
      <sheetName val="funds_employees"/>
      <sheetName val="funds_employees_report"/>
      <sheetName val="ndfl6_part1"/>
      <sheetName val="tax_diff_report"/>
      <sheetName val="Сотрудники фонда"/>
    </sheetNames>
    <definedNames>
      <definedName name="send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ables/table1.xml><?xml version="1.0" encoding="utf-8"?>
<table xmlns="http://schemas.openxmlformats.org/spreadsheetml/2006/main" id="2" name="Таблица2" displayName="Таблица2" ref="A4:J5" totalsRowShown="0" headerRowDxfId="529" dataDxfId="527" headerRowBorderDxfId="528" tableBorderDxfId="526" totalsRowBorderDxfId="525">
  <autoFilter ref="A4:J5"/>
  <tableColumns count="10">
    <tableColumn id="1" name="1" dataDxfId="524"/>
    <tableColumn id="2" name="2" dataDxfId="523"/>
    <tableColumn id="5" name="3" dataDxfId="522"/>
    <tableColumn id="6" name="4" dataDxfId="521"/>
    <tableColumn id="7" name="5" dataDxfId="520"/>
    <tableColumn id="10" name="6" dataDxfId="519"/>
    <tableColumn id="11" name="7" dataDxfId="518"/>
    <tableColumn id="12" name="8" dataDxfId="517"/>
    <tableColumn id="13" name="9" dataDxfId="516"/>
    <tableColumn id="14" name="10" dataDxfId="5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514" dataDxfId="512" headerRowBorderDxfId="513" tableBorderDxfId="511" totalsRowBorderDxfId="510">
  <autoFilter ref="A5:P6"/>
  <tableColumns count="16">
    <tableColumn id="1" name="1" dataDxfId="509"/>
    <tableColumn id="2" name="2" dataDxfId="508"/>
    <tableColumn id="3" name="3" dataDxfId="507"/>
    <tableColumn id="4" name="4" dataDxfId="506"/>
    <tableColumn id="5" name="5" dataDxfId="505"/>
    <tableColumn id="6" name="6" dataDxfId="504"/>
    <tableColumn id="7" name="7" dataDxfId="503"/>
    <tableColumn id="8" name="8" dataDxfId="502"/>
    <tableColumn id="9" name="9" dataDxfId="501"/>
    <tableColumn id="10" name="10" dataDxfId="500"/>
    <tableColumn id="11" name="11" dataDxfId="499"/>
    <tableColumn id="12" name="12" dataDxfId="498"/>
    <tableColumn id="13" name="13" dataDxfId="497"/>
    <tableColumn id="14" name="14" dataDxfId="496"/>
    <tableColumn id="15" name="15" dataDxfId="495"/>
    <tableColumn id="16" name="16" dataDxfId="49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493" dataDxfId="491" headerRowBorderDxfId="492" tableBorderDxfId="490" totalsRowBorderDxfId="489">
  <autoFilter ref="A3:I4">
    <filterColumn colId="1"/>
  </autoFilter>
  <tableColumns count="9">
    <tableColumn id="1" name="1" dataDxfId="488"/>
    <tableColumn id="3" name="2" dataDxfId="487"/>
    <tableColumn id="2" name="3" dataDxfId="486"/>
    <tableColumn id="5" name="4" dataDxfId="485"/>
    <tableColumn id="6" name="5" dataDxfId="484"/>
    <tableColumn id="7" name="6" dataDxfId="483"/>
    <tableColumn id="10" name="7" dataDxfId="482"/>
    <tableColumn id="11" name="8" dataDxfId="481"/>
    <tableColumn id="12" name="9" dataDxfId="48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479" dataDxfId="477" headerRowBorderDxfId="478" tableBorderDxfId="476" totalsRowBorderDxfId="475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474"/>
    <tableColumn id="20" name="2" dataDxfId="473"/>
    <tableColumn id="19" name="3" dataDxfId="472"/>
    <tableColumn id="18" name="4" dataDxfId="471"/>
    <tableColumn id="17" name="5" dataDxfId="470"/>
    <tableColumn id="23" name="6" dataDxfId="469"/>
    <tableColumn id="22" name="7" dataDxfId="468"/>
    <tableColumn id="21" name="8" dataDxfId="467"/>
    <tableColumn id="28" name="9" dataDxfId="466"/>
    <tableColumn id="29" name="10" dataDxfId="465"/>
    <tableColumn id="27" name="11" dataDxfId="464"/>
    <tableColumn id="26" name="12" dataDxfId="463"/>
    <tableColumn id="25" name="13" dataDxfId="462"/>
    <tableColumn id="5" name="14" dataDxfId="461"/>
    <tableColumn id="4" name="15" dataDxfId="460"/>
    <tableColumn id="3" name="16" dataDxfId="459"/>
    <tableColumn id="2" name="17" dataDxfId="458"/>
    <tableColumn id="24" name="18" dataDxfId="45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2" name="Таблица42" displayName="Таблица42" ref="A4:C14" totalsRowCount="1" headerRowDxfId="455" totalsRowDxfId="454">
  <tableColumns count="3">
    <tableColumn id="1" name="ВИД ВЫПЛАТЫ" totalsRowLabel="Итого" dataDxfId="453" totalsRowDxfId="452" dataCellStyle="Обычный 5"/>
    <tableColumn id="2" name="13%" totalsRowFunction="sum" dataDxfId="451" totalsRowDxfId="450" dataCellStyle="Обычный 5"/>
    <tableColumn id="3" name="30%" totalsRowFunction="sum" dataDxfId="449" totalsRowDxfId="448" dataCellStyle="Обычный 5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43" name="Таблица43" displayName="Таблица43" ref="E4:H14" totalsRowCount="1" headerRowDxfId="447" dataDxfId="445" headerRowBorderDxfId="446" headerRowCellStyle="Обычный 5" dataCellStyle="Обычный 5">
  <tableColumns count="4">
    <tableColumn id="1" name="Сумма по ставкам" totalsRowFunction="sum" dataDxfId="444" totalsRowDxfId="443" dataCellStyle="Обычный 5"/>
    <tableColumn id="2" name="13%" dataDxfId="442" totalsRowDxfId="441" dataCellStyle="Обычный 5">
      <calculatedColumnFormula>B31+#REF!-Таблица42[[#This Row],[13%]]</calculatedColumnFormula>
    </tableColumn>
    <tableColumn id="3" name="30%" dataDxfId="440" totalsRowDxfId="439" dataCellStyle="Обычный 5"/>
    <tableColumn id="4" name="Расхождение по ставкам" dataDxfId="438" totalsRowDxfId="437" dataCellStyle="Обычный 5">
      <calculatedColumnFormula>Таблица43[[#This Row],[13%]]+Таблица43[[#This Row],[30%]]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44" name="Таблица44" displayName="Таблица44" ref="A20:H32" totalsRowCount="1" headerRowDxfId="436" totalsRowDxfId="434" headerRowBorderDxfId="435" headerRowCellStyle="Обычный 5">
  <tableColumns count="8">
    <tableColumn id="1" name="ВИД ВЫПЛАТЫ" totalsRowLabel="Итого по ставке" dataDxfId="433" totalsRowDxfId="432" dataCellStyle="Обычный 5"/>
    <tableColumn id="2" name="13%" totalsRowFunction="sum" dataDxfId="431" totalsRowDxfId="430" dataCellStyle="Обычный 5"/>
    <tableColumn id="3" name="30%" totalsRowFunction="sum" dataDxfId="429" totalsRowDxfId="428" dataCellStyle="Обычный 5"/>
    <tableColumn id="4" name="Столбец1" totalsRowDxfId="427" dataCellStyle="Обычный 5"/>
    <tableColumn id="5" name="без исправлений" dataDxfId="426" totalsRowDxfId="425" dataCellStyle="Обычный 5"/>
    <tableColumn id="6" name="с корректоровкой" dataDxfId="424" totalsRowDxfId="423" dataCellStyle="Обычный 5"/>
    <tableColumn id="7" name="без исправлений2" dataDxfId="422" totalsRowDxfId="421" dataCellStyle="Обычный 5"/>
    <tableColumn id="8" name="с корректоровкой3" dataDxfId="420" totalsRowDxfId="419" dataCellStyle="Обычный 5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45" name="Таблица440" displayName="Таблица440" ref="A2:M3" totalsRowShown="0">
  <autoFilter ref="A2:M3">
    <filterColumn colId="12"/>
  </autoFilter>
  <tableColumns count="13">
    <tableColumn id="1" name="GAZFOND_x000a_Contragent Id"/>
    <tableColumn id="2" name="FND_x000a_SSYLKA"/>
    <tableColumn id="3" name="тип дохода"/>
    <tableColumn id="4" name="ИНН"/>
    <tableColumn id="5" name="Гражданство"/>
    <tableColumn id="6" name="Фамилия"/>
    <tableColumn id="7" name="Имя"/>
    <tableColumn id="8" name="Отчество"/>
    <tableColumn id="9" name="Дата_x000a_рождения" dataDxfId="418"/>
    <tableColumn id="10" name="тип_x000a_удосто-верения"/>
    <tableColumn id="11" name="Серия и номер"/>
    <tableColumn id="12" name="Статус НП"/>
    <tableColumn id="13" name="Ошибка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107" name="Таблица54138105108" displayName="Таблица54138105108" ref="A2:L3" totalsRowShown="0" headerRowDxfId="417" dataDxfId="415" headerRowBorderDxfId="416" tableBorderDxfId="414" totalsRowBorderDxfId="413">
  <autoFilter ref="A2:L3">
    <filterColumn colId="9"/>
    <filterColumn colId="10"/>
    <filterColumn colId="11"/>
  </autoFilter>
  <tableColumns count="12">
    <tableColumn id="1" name="Ssylka" dataDxfId="412"/>
    <tableColumn id="2" name="nom_vkl" dataDxfId="411"/>
    <tableColumn id="3" name="nom_ips" dataDxfId="410"/>
    <tableColumn id="4" name="ФИО" dataDxfId="409"/>
    <tableColumn id="5" name="Бух.счет" dataDxfId="408"/>
    <tableColumn id="6" name="Код вычета" dataDxfId="407"/>
    <tableColumn id="7" name="Период с" dataDxfId="406"/>
    <tableColumn id="8" name="Период по" dataDxfId="405"/>
    <tableColumn id="9" name="Период с_x000a_(БИТ)" dataDxfId="404"/>
    <tableColumn id="10" name="Период по_x000a_(БИТ)" dataDxfId="403"/>
    <tableColumn id="11" name="Сумма" dataDxfId="402"/>
    <tableColumn id="12" name="Применение вычета в движении" dataDxfId="40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4" name="Таблица54138105" displayName="Таблица54138105" ref="A2:K3" totalsRowShown="0" headerRowDxfId="400" dataDxfId="398" headerRowBorderDxfId="399" tableBorderDxfId="397" totalsRowBorderDxfId="396">
  <autoFilter ref="A2:K3">
    <filterColumn colId="9"/>
    <filterColumn colId="10"/>
  </autoFilter>
  <tableColumns count="11">
    <tableColumn id="1" name="Ssylka" dataDxfId="395"/>
    <tableColumn id="2" name="nom_vkl" dataDxfId="394"/>
    <tableColumn id="3" name="nom_ips" dataDxfId="393"/>
    <tableColumn id="4" name="ФИО" dataDxfId="392"/>
    <tableColumn id="5" name="Бух.счет" dataDxfId="391"/>
    <tableColumn id="6" name="Код вычета" dataDxfId="390"/>
    <tableColumn id="7" name="Период с" dataDxfId="389"/>
    <tableColumn id="8" name="Период по" dataDxfId="388"/>
    <tableColumn id="9" name="Сумма по движению" dataDxfId="387"/>
    <tableColumn id="10" name="Расчетная сумма по БИТ" dataDxfId="386"/>
    <tableColumn id="11" name="Расчетная сумма по БИТ_x000a_по счету" dataDxfId="38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37" name="Таблица54138" displayName="Таблица54138" ref="A2:K3" totalsRowShown="0" headerRowDxfId="384" dataDxfId="382" headerRowBorderDxfId="383" tableBorderDxfId="381" totalsRowBorderDxfId="380">
  <autoFilter ref="A2:K3">
    <filterColumn colId="9"/>
    <filterColumn colId="10"/>
  </autoFilter>
  <tableColumns count="11">
    <tableColumn id="1" name="Ssylka" dataDxfId="379"/>
    <tableColumn id="2" name="nom_vkl" dataDxfId="378"/>
    <tableColumn id="3" name="nom_ips" dataDxfId="377"/>
    <tableColumn id="4" name="ФИО" dataDxfId="376"/>
    <tableColumn id="5" name="Тип дохода" dataDxfId="375"/>
    <tableColumn id="6" name="Месяц" dataDxfId="374"/>
    <tableColumn id="7" name="Shifr_schet" dataDxfId="373"/>
    <tableColumn id="8" name="Код вычета_x000a_(ручн)" dataDxfId="372"/>
    <tableColumn id="9" name="Сумма вычета" dataDxfId="371"/>
    <tableColumn id="10" name="Наличие записей в SP_OGR_PV" dataDxfId="370"/>
    <tableColumn id="11" name="Наличие записей в BIT" dataDxfId="36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40" name="Таблица541" displayName="Таблица541" ref="A3:R4" totalsRowShown="0" headerRowDxfId="368" dataDxfId="366" headerRowBorderDxfId="367" tableBorderDxfId="365" totalsRowBorderDxfId="364">
  <autoFilter ref="A3:R4">
    <filterColumn colId="12"/>
    <filterColumn colId="13"/>
    <filterColumn colId="14"/>
    <filterColumn colId="15"/>
    <filterColumn colId="16"/>
    <filterColumn colId="17"/>
  </autoFilter>
  <tableColumns count="18">
    <tableColumn id="1" name="Тип ошибки" dataDxfId="363"/>
    <tableColumn id="2" name="Ошибка" dataDxfId="362"/>
    <tableColumn id="3" name="ИД контрагента" dataDxfId="361"/>
    <tableColumn id="4" name="Фамилия" dataDxfId="360"/>
    <tableColumn id="5" name="Имя" dataDxfId="359"/>
    <tableColumn id="6" name="Отчество" dataDxfId="358"/>
    <tableColumn id="7" name="Дата рождения" dataDxfId="357"/>
    <tableColumn id="8" name="ИНН" dataDxfId="356"/>
    <tableColumn id="9" name="Гражданство" dataDxfId="355"/>
    <tableColumn id="10" name="Резидент" dataDxfId="354"/>
    <tableColumn id="11" name="Код УЛ" dataDxfId="353"/>
    <tableColumn id="12" name="Серия и номер УЛ" dataDxfId="352"/>
    <tableColumn id="13" name="№ справки" dataDxfId="351"/>
    <tableColumn id="19" name="ИНН2" dataDxfId="350"/>
    <tableColumn id="14" name="Гражданство2" dataDxfId="349"/>
    <tableColumn id="15" name="Резидент2" dataDxfId="348"/>
    <tableColumn id="16" name="Код УЛ2" dataDxfId="347"/>
    <tableColumn id="17" name="Серия и номер УЛ3" dataDxfId="34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38" name="Таблица444493347" displayName="Таблица444493347" ref="A2:H3" totalsRowShown="0" headerRowDxfId="345" dataDxfId="343" headerRowBorderDxfId="344" tableBorderDxfId="342" totalsRowBorderDxfId="341">
  <autoFilter ref="A2:H3">
    <filterColumn colId="0"/>
    <filterColumn colId="1"/>
    <filterColumn colId="3"/>
    <filterColumn colId="4"/>
    <filterColumn colId="7"/>
  </autoFilter>
  <tableColumns count="8">
    <tableColumn id="15" name="№_x000a_пачки" dataDxfId="340"/>
    <tableColumn id="14" name="Имя файла" dataDxfId="339"/>
    <tableColumn id="1" name="Количество справок" dataDxfId="338"/>
    <tableColumn id="16" name="Фамилия с" dataDxfId="337"/>
    <tableColumn id="17" name="Фамилия по" dataDxfId="336"/>
    <tableColumn id="2" name="№ справки с" dataDxfId="335"/>
    <tableColumn id="3" name="№ справки по" dataDxfId="334"/>
    <tableColumn id="25" name="Признак справки" dataDxfId="333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39" name="Таблица3348" displayName="Таблица3348" ref="A7:G9" totalsRowCount="1" headerRowDxfId="332" headerRowBorderDxfId="331" tableBorderDxfId="330" totalsRowBorderDxfId="329">
  <autoFilter ref="A7:G8"/>
  <tableColumns count="7">
    <tableColumn id="1" name="№_x000a_справки" totalsRowLabel="Итог" dataDxfId="328" totalsRowDxfId="327"/>
    <tableColumn id="2" name="Фамилия" dataDxfId="326" totalsRowDxfId="325"/>
    <tableColumn id="3" name="UI_PERSON" dataDxfId="324" totalsRowDxfId="323"/>
    <tableColumn id="4" name="Резидент" dataDxfId="322" totalsRowDxfId="321"/>
    <tableColumn id="5" name="Гражданство" dataDxfId="320" totalsRowDxfId="319"/>
    <tableColumn id="6" name="Задолженность" totalsRowFunction="sum" dataDxfId="318" totalsRowDxfId="317"/>
    <tableColumn id="7" name="Коррекция №" totalsRowFunction="count" dataDxfId="316" totalsRowDxfId="31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36" name="Таблица44449" displayName="Таблица44449" ref="A4:P5" totalsRowShown="0" headerRowDxfId="314" dataDxfId="313">
  <autoFilter ref="A4:P5">
    <filterColumn colId="0"/>
    <filterColumn colId="1"/>
    <filterColumn colId="3"/>
    <filterColumn colId="4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</autoFilter>
  <tableColumns count="16">
    <tableColumn id="15" name="1" dataDxfId="312"/>
    <tableColumn id="14" name="2" dataDxfId="311"/>
    <tableColumn id="1" name="3" dataDxfId="310"/>
    <tableColumn id="16" name="4" dataDxfId="309"/>
    <tableColumn id="17" name="5" dataDxfId="308"/>
    <tableColumn id="2" name="6" dataDxfId="307"/>
    <tableColumn id="3" name="7" dataDxfId="306"/>
    <tableColumn id="25" name="8" dataDxfId="305"/>
    <tableColumn id="18" name="9" dataDxfId="304"/>
    <tableColumn id="19" name="10" dataDxfId="303"/>
    <tableColumn id="20" name="11" dataDxfId="302"/>
    <tableColumn id="21" name="12" dataDxfId="301"/>
    <tableColumn id="22" name="13" dataDxfId="300"/>
    <tableColumn id="23" name="14" dataDxfId="299"/>
    <tableColumn id="24" name="15" dataDxfId="298"/>
    <tableColumn id="26" name="16" dataDxfId="297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57" name="Таблица354258" displayName="Таблица354258" ref="A2:I3" headerRowDxfId="296" dataDxfId="294" totalsRowDxfId="292" headerRowBorderDxfId="295" tableBorderDxfId="293">
  <autoFilter ref="A2:I3"/>
  <tableColumns count="9">
    <tableColumn id="1" name="Таблица" totalsRowLabel="Итог" dataDxfId="291" totalsRowDxfId="290"/>
    <tableColumn id="3" name="SSYLKA" dataDxfId="289" totalsRowDxfId="288"/>
    <tableColumn id="4" name="Тип дохода" dataDxfId="287" totalsRowDxfId="286"/>
    <tableColumn id="5" name="Фамилия" dataDxfId="285" totalsRowDxfId="284"/>
    <tableColumn id="6" name="Имя" dataDxfId="283" totalsRowDxfId="282"/>
    <tableColumn id="8" name="Отчество" dataDxfId="281" totalsRowDxfId="280"/>
    <tableColumn id="9" name="ДР" dataDxfId="279" totalsRowDxfId="278"/>
    <tableColumn id="10" name="SSYLKA_REAL" dataDxfId="277" totalsRowDxfId="276"/>
    <tableColumn id="11" name="UI_PERSON" dataDxfId="275" totalsRowDxfId="274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9" name="Menu" displayName="Menu" ref="D2:E35" totalsRowShown="0">
  <autoFilter ref="D2:E35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0" name="Actions" displayName="Actions" ref="G2:L62" totalsRowShown="0">
  <autoFilter ref="G2:L62">
    <filterColumn colId="3"/>
    <filterColumn colId="4"/>
    <filterColumn colId="5"/>
  </autoFilter>
  <tableColumns count="6">
    <tableColumn id="1" name="Code"/>
    <tableColumn id="2" name="Type"/>
    <tableColumn id="3" name="ActionCode"/>
    <tableColumn id="4" name="AfterAction"/>
    <tableColumn id="8" name="ActionParameter"/>
    <tableColumn id="5" name="RepeatCod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1" name="Programs" displayName="Programs" ref="Y2:AC14" totalsRowShown="0">
  <autoFilter ref="Y2:AC14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2" name="Reports" displayName="Reports" ref="N2:T55" totalsRowShown="0">
  <autoFilter ref="N2:T55">
    <filterColumn colId="3"/>
    <filterColumn colId="4"/>
    <filterColumn colId="5"/>
  </autoFilter>
  <tableColumns count="7">
    <tableColumn id="1" name="Code"/>
    <tableColumn id="2" name="TemplateSheetName"/>
    <tableColumn id="3" name="NewSheetName"/>
    <tableColumn id="5" name="CreateMode"/>
    <tableColumn id="7" name="ModePaste"/>
    <tableColumn id="6" name="Program"/>
    <tableColumn id="4" name="ReportTyp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13" name="SubReports" displayName="SubReports" ref="V2:W28" totalsRowShown="0">
  <autoFilter ref="V2:W28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4" name="GeneralOptions" displayName="GeneralOptions" ref="A2:B14" headerRowBorderDxfId="273" tableBorderDxfId="272" totalsRowBorderDxfId="271">
  <autoFilter ref="A2:B14"/>
  <tableColumns count="2">
    <tableColumn id="1" name="Key" totalsRowLabel="Итог" totalsRowDxfId="270"/>
    <tableColumn id="2" name="Value" totalsRowFunction="count" totalsRowDxfId="269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17" name="ActionTypes" displayName="ActionTypes" ref="AM2:AM4" totalsRowShown="0" tableBorderDxfId="268">
  <autoFilter ref="AM2:AM4"/>
  <tableColumns count="1">
    <tableColumn id="1" name="Code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18" name="CreateModes" displayName="CreateModes" ref="AO2:AO4" totalsRowShown="0">
  <autoFilter ref="AO2:AO4"/>
  <tableColumns count="1">
    <tableColumn id="1" name="Code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0" name="ReportTypes" displayName="ReportTypes" ref="AQ2:AQ5" totalsRowShown="0">
  <autoFilter ref="AQ2:AQ5"/>
  <tableColumns count="1">
    <tableColumn id="1" name="Code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15" name="ProgramTypes" displayName="ProgramTypes" ref="AS2:AS4" totalsRowShown="0">
  <autoFilter ref="AS2:AS4"/>
  <tableColumns count="1">
    <tableColumn id="1" name="Code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19" name="ParamPurpose" displayName="ParamPurpose" ref="AU2:AU3" totalsRowShown="0">
  <autoFilter ref="AU2:AU3"/>
  <tableColumns count="1">
    <tableColumn id="1" name="Code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21" name="ReturnTypes" displayName="ReturnTypes" ref="AW2:AW3" totalsRowShown="0">
  <autoFilter ref="AW2:AW3"/>
  <tableColumns count="1">
    <tableColumn id="1" name="Code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23" name="Direction" displayName="Direction" ref="AY2:AY4" totalsRowShown="0">
  <autoFilter ref="AY2:AY4"/>
  <tableColumns count="1">
    <tableColumn id="1" name="Code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22" name="Parameters" displayName="Parameters" ref="AE2:AK28" totalsRowShown="0">
  <autoFilter ref="AE2:AK28">
    <filterColumn colId="5"/>
    <filterColumn colId="6"/>
  </autoFilter>
  <tableColumns count="7">
    <tableColumn id="1" name="Program" dataDxfId="267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24" name="YesNo" displayName="YesNo" ref="BA2:BA4" totalsRowShown="0">
  <autoFilter ref="BA2:BA4"/>
  <tableColumns count="1">
    <tableColumn id="1" name="Code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7" name="AfterAction" displayName="AfterAction" ref="BC2:BC4" totalsRowShown="0">
  <autoFilter ref="BC2:BC4"/>
  <tableColumns count="1">
    <tableColumn id="1" name="Code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27" name="CommonTokens" displayName="CommonTokens" ref="BE2:BF6" totalsRowShown="0">
  <autoFilter ref="BE2:BF6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16" name="Таблица16" displayName="Таблица16" ref="C3:C6" totalsRowShown="0" headerRowDxfId="266" dataDxfId="265" tableBorderDxfId="264">
  <tableColumns count="1">
    <tableColumn id="1" name="Столбец1" dataDxfId="263"/>
  </tableColumns>
  <tableStyleInfo name="TableStyleMedium2" showFirstColumn="0" showLastColumn="0" showRowStripes="0" showColumnStripes="0"/>
</table>
</file>

<file path=xl/tables/table35.xml><?xml version="1.0" encoding="utf-8"?>
<table xmlns="http://schemas.openxmlformats.org/spreadsheetml/2006/main" id="50" name="Таблица44051" displayName="Таблица44051" ref="A2:H3" totalsRowShown="0">
  <autoFilter ref="A2:H3">
    <filterColumn colId="7"/>
  </autoFilter>
  <tableColumns count="8">
    <tableColumn id="1" name="gf_person" dataDxfId="262"/>
    <tableColumn id="2" name="FND_x000a_SSYLKA" dataDxfId="261"/>
    <tableColumn id="3" name="NOM_VKL" dataDxfId="260"/>
    <tableColumn id="4" name="NOM_IPS" dataDxfId="259"/>
    <tableColumn id="6" name="ФИО" dataDxfId="258"/>
    <tableColumn id="7" name="Дата_x000a_рождения" dataDxfId="257"/>
    <tableColumn id="8" name="Гражданство" dataDxfId="256"/>
    <tableColumn id="5" name="Столбец1" dataDxfId="255"/>
  </tableColumns>
  <tableStyleInfo name="TableStyleMedium9" showFirstColumn="0" showLastColumn="0" showRowStripes="1" showColumnStripes="0"/>
</table>
</file>

<file path=xl/tables/table36.xml><?xml version="1.0" encoding="utf-8"?>
<table xmlns="http://schemas.openxmlformats.org/spreadsheetml/2006/main" id="51" name="Таблица4405152" displayName="Таблица4405152" ref="A7:H8" totalsRowShown="0" dataDxfId="254">
  <autoFilter ref="A7:H8">
    <filterColumn colId="6"/>
    <filterColumn colId="7"/>
  </autoFilter>
  <tableColumns count="8">
    <tableColumn id="2" name="Период с" dataDxfId="253"/>
    <tableColumn id="3" name="Период по" dataDxfId="252"/>
    <tableColumn id="4" name="Код вычета" dataDxfId="251"/>
    <tableColumn id="6" name="Сумма" dataDxfId="250"/>
    <tableColumn id="7" name="Описание" dataDxfId="249"/>
    <tableColumn id="8" name="Лимит дохода" dataDxfId="248"/>
    <tableColumn id="5" name="tdappid" dataDxfId="247"/>
    <tableColumn id="9" name="rid" dataDxfId="246"/>
  </tableColumns>
  <tableStyleInfo name="TableStyleMedium9" showFirstColumn="0" showLastColumn="0" showRowStripes="1" showColumnStripes="0"/>
</table>
</file>

<file path=xl/tables/table37.xml><?xml version="1.0" encoding="utf-8"?>
<table xmlns="http://schemas.openxmlformats.org/spreadsheetml/2006/main" id="55" name="Таблица440515256" displayName="Таблица440515256" ref="A11:H12" totalsRowShown="0" dataDxfId="245">
  <autoFilter ref="A11:H12">
    <filterColumn colId="6"/>
    <filterColumn colId="7"/>
  </autoFilter>
  <tableColumns count="8">
    <tableColumn id="2" name="Период с" dataDxfId="244"/>
    <tableColumn id="3" name="Период по" dataDxfId="243"/>
    <tableColumn id="4" name="Shifr_schet" dataDxfId="242"/>
    <tableColumn id="6" name="Сумма" dataDxfId="241"/>
    <tableColumn id="7" name="Описание" dataDxfId="240"/>
    <tableColumn id="8" name="Лимит дохода" dataDxfId="239"/>
    <tableColumn id="5" name="tdappid" dataDxfId="238"/>
    <tableColumn id="9" name="rid" dataDxfId="237"/>
  </tableColumns>
  <tableStyleInfo name="TableStyleMedium9" showFirstColumn="0" showLastColumn="0" showRowStripes="1" showColumnStripes="0"/>
</table>
</file>

<file path=xl/tables/table38.xml><?xml version="1.0" encoding="utf-8"?>
<table xmlns="http://schemas.openxmlformats.org/spreadsheetml/2006/main" id="56" name="Таблица44051525657" displayName="Таблица44051525657" ref="A15:G16" totalsRowShown="0" dataDxfId="236">
  <autoFilter ref="A15:G16">
    <filterColumn colId="6"/>
  </autoFilter>
  <tableColumns count="7">
    <tableColumn id="1" name="Дата операции" dataDxfId="235"/>
    <tableColumn id="2" name="Тип движения" dataDxfId="234"/>
    <tableColumn id="3" name="Счет" dataDxfId="233"/>
    <tableColumn id="4" name="Сумма" dataDxfId="232"/>
    <tableColumn id="6" name="Документ" dataDxfId="231"/>
    <tableColumn id="7" name="Корректирующий документ" dataDxfId="230"/>
    <tableColumn id="10" name="Субсчет" dataDxfId="229"/>
  </tableColumns>
  <tableStyleInfo name="TableStyleMedium9" showFirstColumn="0" showLastColumn="0" showRowStripes="1" showColumnStripes="0"/>
</table>
</file>

<file path=xl/tables/table39.xml><?xml version="1.0" encoding="utf-8"?>
<table xmlns="http://schemas.openxmlformats.org/spreadsheetml/2006/main" id="34" name="Таблица2435" displayName="Таблица2435" ref="A4:L5" totalsRowShown="0" headerRowDxfId="228" dataDxfId="226" headerRowBorderDxfId="227" tableBorderDxfId="225" totalsRowBorderDxfId="224">
  <autoFilter ref="A4:L5">
    <filterColumn colId="1"/>
    <filterColumn colId="8"/>
    <filterColumn colId="9"/>
    <filterColumn colId="10"/>
    <filterColumn colId="11"/>
  </autoFilter>
  <tableColumns count="12">
    <tableColumn id="5" name="1" dataDxfId="223"/>
    <tableColumn id="3" name="2" dataDxfId="222"/>
    <tableColumn id="2" name="3" dataDxfId="221"/>
    <tableColumn id="6" name="4" dataDxfId="220"/>
    <tableColumn id="7" name="5" dataDxfId="219"/>
    <tableColumn id="10" name="6" dataDxfId="218"/>
    <tableColumn id="11" name="7" dataDxfId="217"/>
    <tableColumn id="12" name="8" dataDxfId="216"/>
    <tableColumn id="1" name="9" dataDxfId="215"/>
    <tableColumn id="4" name="10" dataDxfId="214"/>
    <tableColumn id="9" name="12" dataDxfId="213"/>
    <tableColumn id="8" name="11" dataDxfId="212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id="26" name="Таблица26" displayName="Таблица26" ref="B6:D7" totalsRowShown="0" headerRowDxfId="211" headerRowBorderDxfId="210" tableBorderDxfId="209" headerRowCellStyle="Обычный 4">
  <autoFilter ref="B6:D7"/>
  <tableColumns count="3">
    <tableColumn id="1" name="100" dataDxfId="208" dataCellStyle="Обычный 4"/>
    <tableColumn id="2" name="130" dataDxfId="207" dataCellStyle="Обычный 4"/>
    <tableColumn id="3" name="140" dataDxfId="206" dataCellStyle="Обычный 4"/>
  </tableColumns>
  <tableStyleInfo name="TableStyleLight1" showFirstColumn="0" showLastColumn="0" showRowStripes="0" showColumnStripes="0"/>
</table>
</file>

<file path=xl/tables/table41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205" dataDxfId="204"/>
  </tableColumns>
  <tableStyleInfo showFirstColumn="0" showLastColumn="0" showRowStripes="0" showColumnStripes="0"/>
</table>
</file>

<file path=xl/tables/table42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203" dataDxfId="202"/>
  </tableColumns>
  <tableStyleInfo showFirstColumn="0" showLastColumn="0" showRowStripes="0" showColumnStripes="0"/>
</table>
</file>

<file path=xl/tables/table43.xml><?xml version="1.0" encoding="utf-8"?>
<table xmlns="http://schemas.openxmlformats.org/spreadsheetml/2006/main" id="4" name="Таблица4" displayName="Таблица4" ref="B5:E5" headerRowCount="0" totalsRowShown="0" headerRowDxfId="201" dataDxfId="200" tableBorderDxfId="199" totalsRowBorderDxfId="198">
  <tableColumns count="4">
    <tableColumn id="1" name="Столбец1" headerRowDxfId="197" dataDxfId="196" dataCellStyle="Обычный 4"/>
    <tableColumn id="2" name="Столбец2" headerRowDxfId="195" dataDxfId="194" headerRowCellStyle="Обычный 4" dataCellStyle="Обычный 4"/>
    <tableColumn id="3" name="Столбец3" headerRowDxfId="193" dataDxfId="192"/>
    <tableColumn id="4" name="Столбец4" headerRowDxfId="191" dataDxfId="190" headerRowCellStyle="Обычный 4" dataCellStyle="Обычный 4"/>
  </tableColumns>
  <tableStyleInfo name="TableStyleLight1" showFirstColumn="0" showLastColumn="0" showRowStripes="0" showColumnStripes="0"/>
</table>
</file>

<file path=xl/tables/table44.xml><?xml version="1.0" encoding="utf-8"?>
<table xmlns="http://schemas.openxmlformats.org/spreadsheetml/2006/main" id="29" name="Таблица29" displayName="Таблица29" ref="A4:H5" headerRowCount="0" totalsRowCount="1" headerRowDxfId="189" dataDxfId="188">
  <tableColumns count="8">
    <tableColumn id="1" name="Столбец1" totalsRowLabel="Итого:" headerRowDxfId="187" dataDxfId="186" totalsRowDxfId="185"/>
    <tableColumn id="2" name="Столбец2" headerRowDxfId="184" dataDxfId="183" totalsRowDxfId="182"/>
    <tableColumn id="3" name="Столбец3" totalsRowFunction="sum" headerRowDxfId="181" dataDxfId="180" totalsRowDxfId="179"/>
    <tableColumn id="4" name="Столбец4" totalsRowFunction="sum" headerRowDxfId="178" dataDxfId="177" totalsRowDxfId="176"/>
    <tableColumn id="5" name="Столбец5" totalsRowFunction="sum" headerRowDxfId="175" dataDxfId="174" totalsRowDxfId="173"/>
    <tableColumn id="6" name="Столбец6" totalsRowFunction="sum" headerRowDxfId="172" dataDxfId="171" totalsRowDxfId="170"/>
    <tableColumn id="7" name="Столбец7" totalsRowFunction="sum" headerRowDxfId="169" dataDxfId="168" totalsRowDxfId="167"/>
    <tableColumn id="8" name="Столбец8" totalsRowFunction="sum" headerRowDxfId="166" dataDxfId="165" totalsRowDxfId="164"/>
  </tableColumns>
  <tableStyleInfo name="TableStyleLight1" showFirstColumn="0" showLastColumn="0" showRowStripes="0" showColumnStripes="0"/>
</table>
</file>

<file path=xl/tables/table45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163" totalsRowDxfId="162"/>
    <tableColumn id="4" name="Столбец2" dataDxfId="161"/>
    <tableColumn id="5" name="итог" dataDxfId="160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46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159"/>
    <tableColumn id="2" name="Столбец2"/>
    <tableColumn id="3" name="Столбец3" totalsRowFunction="sum" headerRowDxfId="158" dataDxfId="157" totalsRowDxfId="156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47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48.xml><?xml version="1.0" encoding="utf-8"?>
<table xmlns="http://schemas.openxmlformats.org/spreadsheetml/2006/main" id="47" name="Таблица47" displayName="Таблица47" ref="A23:F25" totalsRowCount="1" headerRowDxfId="155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154"/>
    <tableColumn id="5" name="Налог удержанный" totalsRowFunction="sum" dataDxfId="153"/>
    <tableColumn id="6" name="Разница" totalsRowFunction="sum" dataDxfId="152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id="8" name="Таблица8" displayName="Таблица8" ref="A1:D2" insertRow="1" totalsRowShown="0" headerRowDxfId="151" headerRowBorderDxfId="150" tableBorderDxfId="149" totalsRowBorderDxfId="148">
  <autoFilter ref="A1:D2">
    <filterColumn colId="2"/>
    <filterColumn colId="3"/>
  </autoFilter>
  <tableColumns count="4">
    <tableColumn id="1" name="ФИО" dataDxfId="147"/>
    <tableColumn id="5" name="Дата рождения" dataDxfId="146"/>
    <tableColumn id="2" name="Снилс"/>
    <tableColumn id="3" name="ИНН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id="25" name="Таблица8526" displayName="Таблица8526" ref="A2:I3" totalsRowShown="0" headerRowDxfId="145" headerRowBorderDxfId="144" tableBorderDxfId="143" totalsRowBorderDxfId="142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141"/>
    <tableColumn id="6" name="Имя" dataDxfId="140"/>
    <tableColumn id="4" name="Отчество" dataDxfId="139"/>
    <tableColumn id="5" name="Дата рождения" dataDxfId="138"/>
    <tableColumn id="3" name="ИНН" dataDxfId="137"/>
    <tableColumn id="1" name="Участник/Не участник" dataDxfId="136"/>
    <tableColumn id="2" name="Доход" dataDxfId="135"/>
    <tableColumn id="8" name="Пенсионные схемы" dataDxfId="134"/>
    <tableColumn id="9" name="Типы дохода" dataDxfId="133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id="52" name="Таблица52" displayName="Таблица52" ref="A5:I6" headerRowDxfId="132">
  <autoFilter ref="A5:I6">
    <filterColumn colId="5"/>
  </autoFilter>
  <tableColumns count="9">
    <tableColumn id="1" name="Контрагент ID" totalsRowLabel="Итог" dataDxfId="131" totalsRowDxfId="130"/>
    <tableColumn id="2" name="Фамилия" dataDxfId="129" totalsRowDxfId="128"/>
    <tableColumn id="3" name="Имя" dataDxfId="127" totalsRowDxfId="126"/>
    <tableColumn id="4" name="Отчество" dataDxfId="125" totalsRowDxfId="124"/>
    <tableColumn id="5" name="Ставка" dataDxfId="123" totalsRowDxfId="122"/>
    <tableColumn id="9" name="Количество счетов" dataDxfId="121" totalsRowDxfId="120"/>
    <tableColumn id="6" name="Исчисленный налог" dataDxfId="119" totalsRowDxfId="118"/>
    <tableColumn id="7" name="Удержанный налог" dataDxfId="117" totalsRowDxfId="116"/>
    <tableColumn id="8" name="Недоплата" totalsRowFunction="sum" dataDxfId="115" totalsRowDxfId="114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id="28" name="Таблица5229" displayName="Таблица5229" ref="A5:P6" headerRowDxfId="113">
  <autoFilter ref="A5:P6">
    <filterColumn colId="4"/>
    <filterColumn colId="5"/>
    <filterColumn colId="6"/>
    <filterColumn colId="7"/>
    <filterColumn colId="8"/>
    <filterColumn colId="10"/>
    <filterColumn colId="11"/>
    <filterColumn colId="12"/>
    <filterColumn colId="13"/>
    <filterColumn colId="14"/>
  </autoFilter>
  <sortState ref="A6:Q6">
    <sortCondition descending="1" ref="E5"/>
  </sortState>
  <tableColumns count="16">
    <tableColumn id="1" name="Контрагент ID" totalsRowLabel="Итог" dataDxfId="112" totalsRowDxfId="111"/>
    <tableColumn id="2" name="Фамилия" dataDxfId="110" totalsRowDxfId="109"/>
    <tableColumn id="3" name="Имя" dataDxfId="108" totalsRowDxfId="107"/>
    <tableColumn id="4" name="Отчество" dataDxfId="106" totalsRowDxfId="105"/>
    <tableColumn id="9" name="SSYLKA" dataDxfId="104" totalsRowDxfId="103"/>
    <tableColumn id="10" name="Вкладчик" dataDxfId="102" totalsRowDxfId="101"/>
    <tableColumn id="11" name="ИПС" dataDxfId="100" totalsRowDxfId="99"/>
    <tableColumn id="12" name="Пенс.схема" dataDxfId="98" totalsRowDxfId="97"/>
    <tableColumn id="14" name="Счет дохода" dataDxfId="96" totalsRowDxfId="95"/>
    <tableColumn id="5" name="Счет налога" dataDxfId="94" totalsRowDxfId="93"/>
    <tableColumn id="16" name="Доход" dataDxfId="92" totalsRowDxfId="91"/>
    <tableColumn id="15" name="Вычет" dataDxfId="90" totalsRowDxfId="89"/>
    <tableColumn id="13" name="Налог" dataDxfId="88" totalsRowDxfId="87"/>
    <tableColumn id="18" name="Удержано налога" dataDxfId="86" totalsRowDxfId="85"/>
    <tableColumn id="17" name="Исчислено налога" dataDxfId="84" totalsRowDxfId="83"/>
    <tableColumn id="8" name="Недоплата2" totalsRowFunction="sum" dataDxfId="82" totalsRowDxfId="81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id="35" name="Таблица35" displayName="Таблица35" ref="A22:M24" totalsRowCount="1" headerRowDxfId="80" dataDxfId="79">
  <autoFilter ref="A22:M23">
    <filterColumn colId="9"/>
    <filterColumn colId="12"/>
  </autoFilter>
  <tableColumns count="13">
    <tableColumn id="1" name="1" totalsRowLabel="Итог" dataDxfId="78" totalsRowDxfId="77"/>
    <tableColumn id="3" name="2" dataDxfId="76" totalsRowDxfId="75"/>
    <tableColumn id="4" name="3" dataDxfId="74" totalsRowDxfId="73"/>
    <tableColumn id="5" name="4" dataDxfId="72" totalsRowDxfId="71"/>
    <tableColumn id="6" name="5" dataDxfId="70" totalsRowDxfId="69"/>
    <tableColumn id="8" name="6" dataDxfId="68" totalsRowDxfId="67"/>
    <tableColumn id="9" name="7" dataDxfId="66" totalsRowDxfId="65"/>
    <tableColumn id="10" name="8" dataDxfId="64" totalsRowDxfId="63"/>
    <tableColumn id="11" name="9" dataDxfId="62" totalsRowDxfId="61"/>
    <tableColumn id="14" name="10" dataDxfId="60" totalsRowDxfId="59"/>
    <tableColumn id="12" name="11" totalsRowFunction="sum" dataDxfId="58" totalsRowDxfId="57"/>
    <tableColumn id="13" name="12" dataDxfId="56" totalsRowDxfId="55"/>
    <tableColumn id="15" name="13" dataDxfId="54"/>
  </tableColumns>
  <tableStyleInfo name="TableStyleMedium2" showFirstColumn="0" showLastColumn="0" showRowStripes="1" showColumnStripes="0"/>
</table>
</file>

<file path=xl/tables/table54.xml><?xml version="1.0" encoding="utf-8"?>
<table xmlns="http://schemas.openxmlformats.org/spreadsheetml/2006/main" id="41" name="Таблица3542" displayName="Таблица3542" ref="A6:M8" totalsRowCount="1" headerRowDxfId="53" dataDxfId="52">
  <autoFilter ref="A6:M7"/>
  <tableColumns count="13">
    <tableColumn id="1" name="1" totalsRowLabel="Итог" dataDxfId="51" totalsRowDxfId="50"/>
    <tableColumn id="3" name="2" dataDxfId="49" totalsRowDxfId="48"/>
    <tableColumn id="4" name="3" dataDxfId="47" totalsRowDxfId="46"/>
    <tableColumn id="5" name="4" dataDxfId="45" totalsRowDxfId="44"/>
    <tableColumn id="6" name="5" dataDxfId="43" totalsRowDxfId="42"/>
    <tableColumn id="8" name="6" dataDxfId="41" totalsRowDxfId="40"/>
    <tableColumn id="9" name="7" dataDxfId="39" totalsRowDxfId="38"/>
    <tableColumn id="10" name="8" dataDxfId="37" totalsRowDxfId="36"/>
    <tableColumn id="11" name="9" dataDxfId="35" totalsRowDxfId="34"/>
    <tableColumn id="14" name="10" dataDxfId="33" totalsRowDxfId="32"/>
    <tableColumn id="12" name="11" totalsRowFunction="sum" dataDxfId="31" totalsRowDxfId="30"/>
    <tableColumn id="13" name="12" dataDxfId="29" totalsRowDxfId="28"/>
    <tableColumn id="15" name="13" dataDxfId="27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id="48" name="Таблица3549" displayName="Таблица3549" ref="A14:M16" totalsRowCount="1" headerRowDxfId="26" dataDxfId="25">
  <autoFilter ref="A14:M15"/>
  <tableColumns count="13">
    <tableColumn id="1" name="1" totalsRowLabel="Итог" dataDxfId="24" totalsRowDxfId="23"/>
    <tableColumn id="3" name="2" dataDxfId="22" totalsRowDxfId="21"/>
    <tableColumn id="4" name="3" dataDxfId="20" totalsRowDxfId="19"/>
    <tableColumn id="5" name="4" dataDxfId="18" totalsRowDxfId="17"/>
    <tableColumn id="6" name="5" dataDxfId="16" totalsRowDxfId="15"/>
    <tableColumn id="8" name="6" dataDxfId="14" totalsRowDxfId="13"/>
    <tableColumn id="9" name="7" dataDxfId="12" totalsRowDxfId="11"/>
    <tableColumn id="10" name="8" dataDxfId="10" totalsRowDxfId="9"/>
    <tableColumn id="11" name="9" dataDxfId="8" totalsRowDxfId="7"/>
    <tableColumn id="14" name="10" dataDxfId="6" totalsRowDxfId="5"/>
    <tableColumn id="12" name="11" totalsRowFunction="sum" dataDxfId="4" totalsRowDxfId="3"/>
    <tableColumn id="13" name="12" dataDxfId="2" totalsRowDxfId="1"/>
    <tableColumn id="15" name="13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13" Type="http://schemas.openxmlformats.org/officeDocument/2006/relationships/table" Target="../tables/table28.xml"/><Relationship Id="rId18" Type="http://schemas.openxmlformats.org/officeDocument/2006/relationships/table" Target="../tables/table33.xml"/><Relationship Id="rId3" Type="http://schemas.openxmlformats.org/officeDocument/2006/relationships/table" Target="../tables/table18.xml"/><Relationship Id="rId7" Type="http://schemas.openxmlformats.org/officeDocument/2006/relationships/table" Target="../tables/table22.xml"/><Relationship Id="rId12" Type="http://schemas.openxmlformats.org/officeDocument/2006/relationships/table" Target="../tables/table27.xml"/><Relationship Id="rId17" Type="http://schemas.openxmlformats.org/officeDocument/2006/relationships/table" Target="../tables/table32.xml"/><Relationship Id="rId2" Type="http://schemas.openxmlformats.org/officeDocument/2006/relationships/table" Target="../tables/table17.xml"/><Relationship Id="rId16" Type="http://schemas.openxmlformats.org/officeDocument/2006/relationships/table" Target="../tables/table31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21.xml"/><Relationship Id="rId11" Type="http://schemas.openxmlformats.org/officeDocument/2006/relationships/table" Target="../tables/table26.xml"/><Relationship Id="rId5" Type="http://schemas.openxmlformats.org/officeDocument/2006/relationships/table" Target="../tables/table20.xml"/><Relationship Id="rId15" Type="http://schemas.openxmlformats.org/officeDocument/2006/relationships/table" Target="../tables/table30.xml"/><Relationship Id="rId10" Type="http://schemas.openxmlformats.org/officeDocument/2006/relationships/table" Target="../tables/table25.xml"/><Relationship Id="rId4" Type="http://schemas.openxmlformats.org/officeDocument/2006/relationships/table" Target="../tables/table19.xml"/><Relationship Id="rId9" Type="http://schemas.openxmlformats.org/officeDocument/2006/relationships/table" Target="../tables/table24.xml"/><Relationship Id="rId14" Type="http://schemas.openxmlformats.org/officeDocument/2006/relationships/table" Target="../tables/table2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15.bin"/><Relationship Id="rId5" Type="http://schemas.openxmlformats.org/officeDocument/2006/relationships/table" Target="../tables/table38.xml"/><Relationship Id="rId4" Type="http://schemas.openxmlformats.org/officeDocument/2006/relationships/table" Target="../tables/table37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0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.xml"/><Relationship Id="rId2" Type="http://schemas.openxmlformats.org/officeDocument/2006/relationships/table" Target="../tables/table41.xml"/><Relationship Id="rId1" Type="http://schemas.openxmlformats.org/officeDocument/2006/relationships/printerSettings" Target="../printerSettings/printerSettings18.bin"/><Relationship Id="rId4" Type="http://schemas.openxmlformats.org/officeDocument/2006/relationships/table" Target="../tables/table4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2" Type="http://schemas.openxmlformats.org/officeDocument/2006/relationships/table" Target="../tables/table44.xml"/><Relationship Id="rId1" Type="http://schemas.openxmlformats.org/officeDocument/2006/relationships/printerSettings" Target="../printerSettings/printerSettings19.bin"/><Relationship Id="rId6" Type="http://schemas.openxmlformats.org/officeDocument/2006/relationships/table" Target="../tables/table48.xml"/><Relationship Id="rId5" Type="http://schemas.openxmlformats.org/officeDocument/2006/relationships/table" Target="../tables/table47.xml"/><Relationship Id="rId4" Type="http://schemas.openxmlformats.org/officeDocument/2006/relationships/table" Target="../tables/table4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0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1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2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5.xml"/><Relationship Id="rId2" Type="http://schemas.openxmlformats.org/officeDocument/2006/relationships/table" Target="../tables/table54.xml"/><Relationship Id="rId1" Type="http://schemas.openxmlformats.org/officeDocument/2006/relationships/table" Target="../tables/table5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290" t="s">
        <v>248</v>
      </c>
      <c r="B1" s="291"/>
      <c r="C1" s="291"/>
      <c r="D1" s="291"/>
      <c r="E1" s="291"/>
      <c r="F1" s="291"/>
      <c r="G1" s="291"/>
      <c r="H1" s="291"/>
      <c r="I1" s="291"/>
      <c r="J1" s="291"/>
    </row>
    <row r="2" spans="1:10" ht="31.5" customHeight="1">
      <c r="A2" s="288" t="s">
        <v>4</v>
      </c>
      <c r="B2" s="288"/>
      <c r="C2" s="288"/>
      <c r="D2" s="288"/>
      <c r="E2" s="288"/>
      <c r="F2" s="289" t="s">
        <v>23</v>
      </c>
      <c r="G2" s="289"/>
      <c r="H2" s="289"/>
      <c r="I2" s="289"/>
      <c r="J2" s="289"/>
    </row>
    <row r="3" spans="1:10" ht="78" customHeight="1">
      <c r="A3" s="19" t="s">
        <v>0</v>
      </c>
      <c r="B3" s="19" t="s">
        <v>29</v>
      </c>
      <c r="C3" s="20" t="s">
        <v>1</v>
      </c>
      <c r="D3" s="20" t="s">
        <v>2</v>
      </c>
      <c r="E3" s="19" t="s">
        <v>22</v>
      </c>
      <c r="F3" s="21" t="s">
        <v>28</v>
      </c>
      <c r="G3" s="21" t="s">
        <v>32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27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292" t="s">
        <v>248</v>
      </c>
      <c r="B1" s="292"/>
      <c r="C1" s="292"/>
      <c r="D1" s="292"/>
      <c r="E1" s="292"/>
      <c r="F1" s="292"/>
      <c r="G1" s="292"/>
      <c r="H1" s="292"/>
      <c r="I1" s="292"/>
      <c r="J1" s="292"/>
      <c r="K1" s="292"/>
      <c r="L1" s="292"/>
      <c r="M1" s="292"/>
      <c r="N1" s="292"/>
      <c r="O1" s="292"/>
      <c r="P1" s="292"/>
    </row>
    <row r="2" spans="1:16" ht="31.5" customHeight="1">
      <c r="A2" s="297" t="s">
        <v>4</v>
      </c>
      <c r="B2" s="298"/>
      <c r="C2" s="298"/>
      <c r="D2" s="298"/>
      <c r="E2" s="298"/>
      <c r="F2" s="298"/>
      <c r="G2" s="298"/>
      <c r="H2" s="298"/>
      <c r="I2" s="299"/>
      <c r="J2" s="300" t="s">
        <v>23</v>
      </c>
      <c r="K2" s="301"/>
      <c r="L2" s="301"/>
      <c r="M2" s="301"/>
      <c r="N2" s="301"/>
      <c r="O2" s="301"/>
      <c r="P2" s="302"/>
    </row>
    <row r="3" spans="1:16" ht="24" customHeight="1">
      <c r="A3" s="303" t="s">
        <v>0</v>
      </c>
      <c r="B3" s="305" t="s">
        <v>29</v>
      </c>
      <c r="C3" s="305" t="s">
        <v>3</v>
      </c>
      <c r="D3" s="305" t="s">
        <v>30</v>
      </c>
      <c r="E3" s="307" t="s">
        <v>5</v>
      </c>
      <c r="F3" s="308"/>
      <c r="G3" s="309"/>
      <c r="H3" s="307" t="s">
        <v>6</v>
      </c>
      <c r="I3" s="310"/>
      <c r="J3" s="311" t="s">
        <v>28</v>
      </c>
      <c r="K3" s="311" t="s">
        <v>32</v>
      </c>
      <c r="L3" s="293" t="s">
        <v>5</v>
      </c>
      <c r="M3" s="294"/>
      <c r="N3" s="295"/>
      <c r="O3" s="293" t="s">
        <v>6</v>
      </c>
      <c r="P3" s="296"/>
    </row>
    <row r="4" spans="1:16" ht="38.25" customHeight="1">
      <c r="A4" s="304"/>
      <c r="B4" s="306"/>
      <c r="C4" s="306"/>
      <c r="D4" s="306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312"/>
      <c r="K4" s="312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33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activeCell="A4" sqref="A4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292" t="s">
        <v>249</v>
      </c>
      <c r="B1" s="292"/>
      <c r="C1" s="292"/>
      <c r="D1" s="292"/>
      <c r="E1" s="292"/>
      <c r="F1" s="292"/>
      <c r="G1" s="292"/>
      <c r="H1" s="292"/>
      <c r="I1" s="292"/>
      <c r="J1" s="110"/>
      <c r="K1" s="110"/>
      <c r="L1" s="110"/>
      <c r="M1" s="110"/>
      <c r="N1" s="110"/>
      <c r="O1" s="110"/>
      <c r="P1" s="110"/>
    </row>
    <row r="2" spans="1:16" ht="31.5">
      <c r="A2" s="19" t="s">
        <v>35</v>
      </c>
      <c r="B2" s="19" t="s">
        <v>45</v>
      </c>
      <c r="C2" s="19" t="s">
        <v>36</v>
      </c>
      <c r="D2" s="25" t="s">
        <v>37</v>
      </c>
      <c r="E2" s="25" t="s">
        <v>38</v>
      </c>
      <c r="F2" s="19" t="s">
        <v>39</v>
      </c>
      <c r="G2" s="21" t="s">
        <v>40</v>
      </c>
      <c r="H2" s="21" t="s">
        <v>41</v>
      </c>
      <c r="I2" s="21" t="s">
        <v>42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43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O3" sqref="O3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313" t="s">
        <v>250</v>
      </c>
      <c r="B1" s="313"/>
      <c r="C1" s="313"/>
      <c r="D1" s="313"/>
      <c r="E1" s="313"/>
      <c r="F1" s="313"/>
      <c r="G1" s="313"/>
      <c r="H1" s="313"/>
      <c r="I1" s="313"/>
      <c r="J1" s="313"/>
      <c r="K1" s="313"/>
      <c r="L1" s="313"/>
      <c r="M1" s="313"/>
      <c r="N1" s="313"/>
      <c r="O1" s="313"/>
      <c r="P1" s="313"/>
      <c r="Q1" s="313"/>
      <c r="R1" s="313"/>
    </row>
    <row r="2" spans="1:18" ht="31.5" customHeight="1">
      <c r="A2" s="288" t="s">
        <v>59</v>
      </c>
      <c r="B2" s="288"/>
      <c r="C2" s="288"/>
      <c r="D2" s="288"/>
      <c r="E2" s="288" t="s">
        <v>58</v>
      </c>
      <c r="F2" s="288"/>
      <c r="G2" s="288"/>
      <c r="H2" s="288"/>
      <c r="I2" s="288"/>
      <c r="J2" s="288"/>
      <c r="K2" s="314" t="s">
        <v>52</v>
      </c>
      <c r="L2" s="314" t="s">
        <v>53</v>
      </c>
      <c r="M2" s="314" t="s">
        <v>38</v>
      </c>
      <c r="N2" s="314" t="s">
        <v>54</v>
      </c>
      <c r="O2" s="288" t="s">
        <v>60</v>
      </c>
      <c r="P2" s="288"/>
      <c r="Q2" s="288"/>
      <c r="R2" s="288"/>
    </row>
    <row r="3" spans="1:18" ht="31.5">
      <c r="A3" s="19" t="s">
        <v>51</v>
      </c>
      <c r="B3" s="19" t="s">
        <v>57</v>
      </c>
      <c r="C3" s="19" t="s">
        <v>47</v>
      </c>
      <c r="D3" s="19" t="s">
        <v>61</v>
      </c>
      <c r="E3" s="19" t="s">
        <v>50</v>
      </c>
      <c r="F3" s="19" t="s">
        <v>51</v>
      </c>
      <c r="G3" s="19" t="s">
        <v>47</v>
      </c>
      <c r="H3" s="19" t="s">
        <v>61</v>
      </c>
      <c r="I3" s="19" t="s">
        <v>55</v>
      </c>
      <c r="J3" s="19" t="s">
        <v>56</v>
      </c>
      <c r="K3" s="314"/>
      <c r="L3" s="314"/>
      <c r="M3" s="314"/>
      <c r="N3" s="314"/>
      <c r="O3" s="181" t="s">
        <v>329</v>
      </c>
      <c r="P3" s="19" t="s">
        <v>63</v>
      </c>
      <c r="Q3" s="19" t="s">
        <v>64</v>
      </c>
      <c r="R3" s="19" t="s">
        <v>65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48</v>
      </c>
      <c r="R4" s="22" t="s">
        <v>49</v>
      </c>
    </row>
    <row r="5" spans="1:18">
      <c r="A5" s="30" t="s">
        <v>66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6"/>
  <dimension ref="A1:H54"/>
  <sheetViews>
    <sheetView showGridLines="0" topLeftCell="A10" workbookViewId="0">
      <selection activeCell="A21" sqref="A21"/>
    </sheetView>
  </sheetViews>
  <sheetFormatPr defaultRowHeight="15"/>
  <cols>
    <col min="1" max="3" width="29.7109375" customWidth="1"/>
    <col min="4" max="4" width="2.5703125" customWidth="1"/>
    <col min="5" max="8" width="29.7109375" customWidth="1"/>
  </cols>
  <sheetData>
    <row r="1" spans="1:8" ht="33.75" customHeight="1">
      <c r="A1" s="317" t="s">
        <v>292</v>
      </c>
      <c r="B1" s="318"/>
      <c r="C1" s="318"/>
      <c r="D1" s="318"/>
      <c r="E1" s="318"/>
      <c r="F1" s="318"/>
      <c r="G1" s="318"/>
      <c r="H1" s="318"/>
    </row>
    <row r="2" spans="1:8" ht="15.75" customHeight="1">
      <c r="A2" s="322"/>
      <c r="B2" s="322"/>
      <c r="C2" s="322"/>
      <c r="D2" s="322"/>
      <c r="E2" s="322"/>
      <c r="F2" s="322"/>
      <c r="G2" s="322"/>
      <c r="H2" s="322"/>
    </row>
    <row r="3" spans="1:8" ht="27" customHeight="1">
      <c r="A3" s="319" t="s">
        <v>267</v>
      </c>
      <c r="B3" s="319"/>
      <c r="C3" s="319"/>
      <c r="D3" s="117"/>
      <c r="E3" s="319" t="s">
        <v>268</v>
      </c>
      <c r="F3" s="319"/>
      <c r="G3" s="319"/>
      <c r="H3" s="319"/>
    </row>
    <row r="4" spans="1:8">
      <c r="A4" s="155" t="s">
        <v>285</v>
      </c>
      <c r="B4" s="156" t="s">
        <v>269</v>
      </c>
      <c r="C4" s="156" t="s">
        <v>270</v>
      </c>
      <c r="D4" s="117"/>
      <c r="E4" s="124" t="s">
        <v>271</v>
      </c>
      <c r="F4" s="124" t="s">
        <v>269</v>
      </c>
      <c r="G4" s="124" t="s">
        <v>270</v>
      </c>
      <c r="H4" s="124" t="s">
        <v>297</v>
      </c>
    </row>
    <row r="5" spans="1:8" ht="18">
      <c r="A5" s="157" t="s">
        <v>272</v>
      </c>
      <c r="B5" s="158"/>
      <c r="C5" s="158"/>
      <c r="D5" s="117"/>
      <c r="E5" s="123">
        <f>Таблица42[[#This Row],[13%]]+Таблица42[[#This Row],[30%]]</f>
        <v>0</v>
      </c>
      <c r="F5" s="123">
        <f>B21-Таблица42[[#This Row],[13%]]</f>
        <v>0</v>
      </c>
      <c r="G5" s="123">
        <f>C21-Таблица42[[#This Row],[30%]]</f>
        <v>0</v>
      </c>
      <c r="H5" s="123">
        <f>Таблица43[[#This Row],[13%]]+Таблица43[[#This Row],[30%]]</f>
        <v>0</v>
      </c>
    </row>
    <row r="6" spans="1:8" ht="18">
      <c r="A6" s="157" t="s">
        <v>273</v>
      </c>
      <c r="B6" s="158"/>
      <c r="C6" s="158"/>
      <c r="D6" s="117"/>
      <c r="E6" s="123">
        <f>Таблица42[[#This Row],[13%]]+Таблица42[[#This Row],[30%]]</f>
        <v>0</v>
      </c>
      <c r="F6" s="123">
        <f>B22+B23-Таблица42[[#This Row],[13%]]</f>
        <v>0</v>
      </c>
      <c r="G6" s="123">
        <f>C22+C23-Таблица42[[#This Row],[30%]]</f>
        <v>0</v>
      </c>
      <c r="H6" s="123">
        <f>Таблица43[[#This Row],[13%]]+Таблица43[[#This Row],[30%]]</f>
        <v>0</v>
      </c>
    </row>
    <row r="7" spans="1:8" ht="18">
      <c r="A7" s="157" t="s">
        <v>274</v>
      </c>
      <c r="B7" s="158"/>
      <c r="C7" s="158"/>
      <c r="D7" s="117"/>
      <c r="E7" s="123">
        <f>Таблица42[[#This Row],[13%]]+Таблица42[[#This Row],[30%]]</f>
        <v>0</v>
      </c>
      <c r="F7" s="123">
        <f>B24-Таблица42[[#This Row],[13%]]</f>
        <v>0</v>
      </c>
      <c r="G7" s="123">
        <f>C24-Таблица42[[#This Row],[30%]]</f>
        <v>0</v>
      </c>
      <c r="H7" s="123">
        <f>Таблица43[[#This Row],[13%]]+Таблица43[[#This Row],[30%]]</f>
        <v>0</v>
      </c>
    </row>
    <row r="8" spans="1:8" ht="18">
      <c r="A8" s="157" t="s">
        <v>275</v>
      </c>
      <c r="B8" s="158"/>
      <c r="C8" s="159"/>
      <c r="D8" s="117"/>
      <c r="E8" s="123">
        <f>Таблица42[[#This Row],[13%]]+Таблица42[[#This Row],[30%]]</f>
        <v>0</v>
      </c>
      <c r="F8" s="123">
        <f>B25-Таблица42[[#This Row],[13%]]</f>
        <v>0</v>
      </c>
      <c r="G8" s="123">
        <f>C25-Таблица42[[#This Row],[30%]]</f>
        <v>0</v>
      </c>
      <c r="H8" s="123">
        <f>Таблица43[[#This Row],[13%]]+Таблица43[[#This Row],[30%]]</f>
        <v>0</v>
      </c>
    </row>
    <row r="9" spans="1:8" ht="18">
      <c r="A9" s="157" t="s">
        <v>276</v>
      </c>
      <c r="B9" s="158"/>
      <c r="C9" s="159"/>
      <c r="D9" s="117"/>
      <c r="E9" s="123">
        <f>Таблица42[[#This Row],[13%]]+Таблица42[[#This Row],[30%]]</f>
        <v>0</v>
      </c>
      <c r="F9" s="123">
        <f>B26-Таблица42[[#This Row],[13%]]</f>
        <v>0</v>
      </c>
      <c r="G9" s="123">
        <f>C26-Таблица42[[#This Row],[30%]]</f>
        <v>0</v>
      </c>
      <c r="H9" s="123">
        <f>Таблица43[[#This Row],[13%]]+Таблица43[[#This Row],[30%]]</f>
        <v>0</v>
      </c>
    </row>
    <row r="10" spans="1:8" ht="18">
      <c r="A10" s="157" t="s">
        <v>277</v>
      </c>
      <c r="B10" s="158"/>
      <c r="C10" s="158"/>
      <c r="D10" s="117"/>
      <c r="E10" s="123">
        <f>Таблица42[[#This Row],[13%]]+Таблица42[[#This Row],[30%]]</f>
        <v>0</v>
      </c>
      <c r="F10" s="123">
        <f>B27-Таблица42[[#This Row],[13%]]</f>
        <v>0</v>
      </c>
      <c r="G10" s="123">
        <f>C27-Таблица42[[#This Row],[30%]]</f>
        <v>0</v>
      </c>
      <c r="H10" s="123">
        <f>Таблица43[[#This Row],[13%]]+Таблица43[[#This Row],[30%]]</f>
        <v>0</v>
      </c>
    </row>
    <row r="11" spans="1:8" ht="18">
      <c r="A11" s="157" t="s">
        <v>278</v>
      </c>
      <c r="B11" s="158"/>
      <c r="C11" s="160"/>
      <c r="D11" s="117"/>
      <c r="E11" s="123">
        <f>Таблица42[[#This Row],[13%]]+Таблица42[[#This Row],[30%]]</f>
        <v>0</v>
      </c>
      <c r="F11" s="123">
        <f>B28+B29-Таблица42[[#This Row],[13%]]</f>
        <v>0</v>
      </c>
      <c r="G11" s="123">
        <f>C28+C29-Таблица42[[#This Row],[30%]]</f>
        <v>0</v>
      </c>
      <c r="H11" s="123">
        <f>Таблица43[[#This Row],[13%]]+Таблица43[[#This Row],[30%]]</f>
        <v>0</v>
      </c>
    </row>
    <row r="12" spans="1:8" ht="18">
      <c r="A12" s="157" t="s">
        <v>279</v>
      </c>
      <c r="B12" s="158"/>
      <c r="C12" s="160"/>
      <c r="D12" s="117"/>
      <c r="E12" s="123">
        <f>Таблица42[[#This Row],[13%]]+Таблица42[[#This Row],[30%]]</f>
        <v>0</v>
      </c>
      <c r="F12" s="123">
        <f>B30-Таблица42[[#This Row],[13%]]</f>
        <v>0</v>
      </c>
      <c r="G12" s="123">
        <f>C30-Таблица42[[#This Row],[30%]]</f>
        <v>0</v>
      </c>
      <c r="H12" s="123">
        <f>Таблица43[[#This Row],[13%]]+Таблица43[[#This Row],[30%]]</f>
        <v>0</v>
      </c>
    </row>
    <row r="13" spans="1:8" ht="18">
      <c r="A13" s="157" t="s">
        <v>280</v>
      </c>
      <c r="B13" s="158"/>
      <c r="C13" s="160"/>
      <c r="D13" s="117"/>
      <c r="E13" s="123">
        <f>Таблица42[[#This Row],[13%]]+Таблица42[[#This Row],[30%]]</f>
        <v>0</v>
      </c>
      <c r="F13" s="123">
        <f>B31-Таблица42[[#This Row],[13%]]</f>
        <v>0</v>
      </c>
      <c r="G13" s="123">
        <f>C31-Таблица42[[#This Row],[30%]]</f>
        <v>0</v>
      </c>
      <c r="H13" s="123">
        <f>Таблица43[[#This Row],[13%]]+Таблица43[[#This Row],[30%]]</f>
        <v>0</v>
      </c>
    </row>
    <row r="14" spans="1:8" ht="18">
      <c r="A14" s="127" t="s">
        <v>293</v>
      </c>
      <c r="B14" s="131">
        <f>SUBTOTAL(109,[13%])</f>
        <v>0</v>
      </c>
      <c r="C14" s="131">
        <f>SUBTOTAL(109,[30%])</f>
        <v>0</v>
      </c>
      <c r="D14" s="132"/>
      <c r="E14" s="131">
        <f>SUBTOTAL(109,[Сумма по ставкам])</f>
        <v>0</v>
      </c>
      <c r="F14" s="142"/>
      <c r="G14" s="129"/>
      <c r="H14" s="130"/>
    </row>
    <row r="15" spans="1:8" ht="18">
      <c r="A15" s="128" t="s">
        <v>282</v>
      </c>
      <c r="B15" s="123">
        <f>Таблица44[[#Totals],[13%]]-Таблица42[[#Totals],[13%]]</f>
        <v>0</v>
      </c>
      <c r="C15" s="123">
        <f>Таблица44[[#Totals],[30%]]-Таблица42[[#Totals],[30%]]</f>
        <v>0</v>
      </c>
      <c r="D15" s="117"/>
      <c r="E15" s="123">
        <f>B33-Таблица43[[#Totals],[Сумма по ставкам]]</f>
        <v>0</v>
      </c>
      <c r="F15" s="117"/>
      <c r="G15" s="117"/>
      <c r="H15" s="117"/>
    </row>
    <row r="16" spans="1:8">
      <c r="A16" s="117"/>
      <c r="B16" s="120"/>
      <c r="C16" s="120"/>
      <c r="D16" s="117"/>
      <c r="E16" s="117"/>
      <c r="F16" s="117"/>
      <c r="G16" s="117"/>
      <c r="H16" s="117"/>
    </row>
    <row r="17" spans="1:8">
      <c r="A17" s="117"/>
      <c r="B17" s="117"/>
      <c r="C17" s="117"/>
      <c r="D17" s="119"/>
      <c r="E17" s="117"/>
      <c r="F17" s="117"/>
      <c r="G17" s="117"/>
      <c r="H17" s="117"/>
    </row>
    <row r="18" spans="1:8" ht="24.75" customHeight="1">
      <c r="A18" s="320" t="s">
        <v>283</v>
      </c>
      <c r="B18" s="320"/>
      <c r="C18" s="320"/>
      <c r="D18" s="119"/>
      <c r="E18" s="320" t="s">
        <v>284</v>
      </c>
      <c r="F18" s="320"/>
      <c r="G18" s="320"/>
      <c r="H18" s="320"/>
    </row>
    <row r="19" spans="1:8" ht="14.25" customHeight="1">
      <c r="A19" s="320"/>
      <c r="B19" s="320"/>
      <c r="C19" s="320"/>
      <c r="D19" s="118"/>
      <c r="E19" s="321" t="s">
        <v>269</v>
      </c>
      <c r="F19" s="321"/>
      <c r="G19" s="321" t="s">
        <v>270</v>
      </c>
      <c r="H19" s="321"/>
    </row>
    <row r="20" spans="1:8">
      <c r="A20" s="125" t="s">
        <v>285</v>
      </c>
      <c r="B20" s="148" t="s">
        <v>269</v>
      </c>
      <c r="C20" s="125" t="s">
        <v>270</v>
      </c>
      <c r="D20" s="150" t="s">
        <v>135</v>
      </c>
      <c r="E20" s="151" t="s">
        <v>286</v>
      </c>
      <c r="F20" s="149" t="s">
        <v>287</v>
      </c>
      <c r="G20" s="147" t="s">
        <v>295</v>
      </c>
      <c r="H20" s="147" t="s">
        <v>296</v>
      </c>
    </row>
    <row r="21" spans="1:8" ht="18">
      <c r="A21" s="126" t="s">
        <v>266</v>
      </c>
      <c r="B21" s="123"/>
      <c r="C21" s="123"/>
      <c r="D21" s="146"/>
      <c r="E21" s="123"/>
      <c r="F21" s="123"/>
      <c r="G21" s="123"/>
      <c r="H21" s="123"/>
    </row>
    <row r="22" spans="1:8" ht="18">
      <c r="A22" s="154"/>
      <c r="B22" s="123"/>
      <c r="C22" s="123"/>
      <c r="D22" s="146"/>
      <c r="E22" s="123"/>
      <c r="F22" s="123"/>
      <c r="G22" s="123"/>
      <c r="H22" s="123"/>
    </row>
    <row r="23" spans="1:8" ht="18">
      <c r="A23" s="154"/>
      <c r="B23" s="123"/>
      <c r="C23" s="123"/>
      <c r="D23" s="146"/>
      <c r="E23" s="123"/>
      <c r="F23" s="123"/>
      <c r="G23" s="123"/>
      <c r="H23" s="123"/>
    </row>
    <row r="24" spans="1:8" ht="18">
      <c r="A24" s="154"/>
      <c r="B24" s="123"/>
      <c r="C24" s="123"/>
      <c r="D24" s="146"/>
      <c r="E24" s="123"/>
      <c r="F24" s="123"/>
      <c r="G24" s="123"/>
      <c r="H24" s="123"/>
    </row>
    <row r="25" spans="1:8" ht="18">
      <c r="A25" s="154"/>
      <c r="B25" s="123"/>
      <c r="C25" s="123"/>
      <c r="D25" s="146"/>
      <c r="E25" s="123"/>
      <c r="F25" s="123"/>
      <c r="G25" s="123"/>
      <c r="H25" s="123"/>
    </row>
    <row r="26" spans="1:8" ht="18">
      <c r="A26" s="154"/>
      <c r="B26" s="123"/>
      <c r="C26" s="123"/>
      <c r="D26" s="146"/>
      <c r="E26" s="123"/>
      <c r="F26" s="123"/>
      <c r="G26" s="123"/>
      <c r="H26" s="123"/>
    </row>
    <row r="27" spans="1:8" ht="18">
      <c r="A27" s="154"/>
      <c r="B27" s="123"/>
      <c r="C27" s="123"/>
      <c r="D27" s="146"/>
      <c r="E27" s="123"/>
      <c r="F27" s="123"/>
      <c r="G27" s="123"/>
      <c r="H27" s="123"/>
    </row>
    <row r="28" spans="1:8" ht="18">
      <c r="A28" s="154"/>
      <c r="B28" s="123"/>
      <c r="C28" s="123"/>
      <c r="D28" s="146"/>
      <c r="E28" s="123"/>
      <c r="F28" s="123"/>
      <c r="G28" s="123"/>
      <c r="H28" s="123"/>
    </row>
    <row r="29" spans="1:8" ht="18">
      <c r="A29" s="154"/>
      <c r="B29" s="123"/>
      <c r="C29" s="123"/>
      <c r="D29" s="146"/>
      <c r="E29" s="123"/>
      <c r="F29" s="123"/>
      <c r="G29" s="123"/>
      <c r="H29" s="123"/>
    </row>
    <row r="30" spans="1:8" ht="18">
      <c r="A30" s="154"/>
      <c r="B30" s="123"/>
      <c r="C30" s="123"/>
      <c r="D30" s="146"/>
      <c r="E30" s="123"/>
      <c r="F30" s="123"/>
      <c r="G30" s="123"/>
      <c r="H30" s="123"/>
    </row>
    <row r="31" spans="1:8" ht="18">
      <c r="A31" s="126"/>
      <c r="B31" s="141"/>
      <c r="C31" s="123"/>
      <c r="D31" s="117"/>
      <c r="E31" s="123"/>
      <c r="F31" s="123"/>
      <c r="G31" s="123"/>
      <c r="H31" s="123"/>
    </row>
    <row r="32" spans="1:8" ht="18">
      <c r="A32" s="144" t="s">
        <v>281</v>
      </c>
      <c r="B32" s="131">
        <f>SUBTOTAL(109,[13%])</f>
        <v>0</v>
      </c>
      <c r="C32" s="131">
        <f>SUBTOTAL(109,[30%])</f>
        <v>0</v>
      </c>
      <c r="D32" s="152"/>
      <c r="E32" s="153"/>
      <c r="F32" s="153"/>
      <c r="G32" s="153"/>
      <c r="H32" s="153"/>
    </row>
    <row r="33" spans="1:8" ht="18">
      <c r="A33" s="143" t="s">
        <v>294</v>
      </c>
      <c r="B33" s="131">
        <f>Таблица44[[#Totals],[13%]]+Таблица44[[#Totals],[30%]]</f>
        <v>0</v>
      </c>
      <c r="C33" s="131"/>
      <c r="D33" s="117"/>
      <c r="E33" s="133"/>
      <c r="F33" s="133"/>
      <c r="G33" s="133"/>
      <c r="H33" s="133"/>
    </row>
    <row r="34" spans="1:8" ht="18">
      <c r="C34" s="137"/>
      <c r="D34" s="117"/>
      <c r="E34" s="6"/>
      <c r="F34" s="6"/>
      <c r="G34" s="6"/>
      <c r="H34" s="6"/>
    </row>
    <row r="35" spans="1:8">
      <c r="A35" s="117"/>
      <c r="B35" s="121"/>
      <c r="C35" s="117"/>
      <c r="D35" s="117"/>
      <c r="E35" s="117"/>
      <c r="F35" s="117"/>
      <c r="G35" s="117"/>
      <c r="H35" s="117"/>
    </row>
    <row r="36" spans="1:8">
      <c r="A36" s="136" t="s">
        <v>288</v>
      </c>
      <c r="B36" s="140"/>
      <c r="C36" s="117"/>
      <c r="D36" s="117"/>
      <c r="F36" s="117"/>
      <c r="G36" s="117"/>
      <c r="H36" s="117"/>
    </row>
    <row r="37" spans="1:8" ht="18">
      <c r="A37" s="126" t="s">
        <v>289</v>
      </c>
      <c r="B37" s="123">
        <f>B33</f>
        <v>0</v>
      </c>
      <c r="C37" s="117"/>
      <c r="D37" s="117"/>
      <c r="E37" s="134"/>
      <c r="F37" s="117"/>
      <c r="G37" s="117"/>
      <c r="H37" s="117"/>
    </row>
    <row r="38" spans="1:8" ht="18">
      <c r="A38" s="126" t="s">
        <v>298</v>
      </c>
      <c r="B38" s="141"/>
      <c r="C38" s="135"/>
      <c r="D38" s="117"/>
      <c r="F38" s="117"/>
      <c r="G38" s="117"/>
      <c r="H38" s="117"/>
    </row>
    <row r="39" spans="1:8" ht="18">
      <c r="A39" s="126" t="s">
        <v>290</v>
      </c>
      <c r="B39" s="123">
        <f>B37-B38</f>
        <v>0</v>
      </c>
      <c r="C39" s="117"/>
      <c r="D39" s="117"/>
    </row>
    <row r="40" spans="1:8">
      <c r="D40" s="117"/>
    </row>
    <row r="41" spans="1:8">
      <c r="A41" s="315" t="s">
        <v>299</v>
      </c>
      <c r="B41" s="316"/>
      <c r="D41" s="117"/>
    </row>
    <row r="42" spans="1:8">
      <c r="A42" s="315"/>
      <c r="B42" s="316"/>
      <c r="C42" s="117"/>
      <c r="D42" s="117"/>
    </row>
    <row r="43" spans="1:8" ht="18">
      <c r="A43" s="138"/>
      <c r="B43" s="139"/>
      <c r="C43" s="122"/>
      <c r="D43" s="117"/>
    </row>
    <row r="44" spans="1:8" ht="18">
      <c r="A44" s="136" t="s">
        <v>291</v>
      </c>
      <c r="B44" s="141"/>
      <c r="C44" s="117"/>
      <c r="D44" s="117"/>
    </row>
    <row r="45" spans="1:8">
      <c r="D45" s="117"/>
    </row>
    <row r="46" spans="1:8" ht="51.75" customHeight="1">
      <c r="A46" s="161" t="s">
        <v>300</v>
      </c>
      <c r="B46" s="162"/>
      <c r="D46" s="117"/>
    </row>
    <row r="49" ht="15" customHeight="1"/>
    <row r="50" ht="18" customHeight="1"/>
    <row r="51" ht="15" customHeight="1"/>
    <row r="54" ht="18" customHeight="1"/>
  </sheetData>
  <mergeCells count="10">
    <mergeCell ref="A41:A42"/>
    <mergeCell ref="B41:B42"/>
    <mergeCell ref="A1:H1"/>
    <mergeCell ref="E3:H3"/>
    <mergeCell ref="A3:C3"/>
    <mergeCell ref="A18:C19"/>
    <mergeCell ref="E19:F19"/>
    <mergeCell ref="G19:H19"/>
    <mergeCell ref="E18:H18"/>
    <mergeCell ref="A2:H2"/>
  </mergeCells>
  <conditionalFormatting sqref="E15 F14 B15:C15">
    <cfRule type="cellIs" dxfId="456" priority="1" operator="not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20"/>
  <dimension ref="A1:R3"/>
  <sheetViews>
    <sheetView zoomScale="145" zoomScaleNormal="145" workbookViewId="0">
      <pane ySplit="2" topLeftCell="A3" activePane="bottomLeft" state="frozen"/>
      <selection activeCell="A3" sqref="A3"/>
      <selection pane="bottomLeft" activeCell="A3" sqref="A3"/>
    </sheetView>
  </sheetViews>
  <sheetFormatPr defaultRowHeight="15"/>
  <cols>
    <col min="1" max="1" width="14.140625" customWidth="1"/>
    <col min="3" max="3" width="8.42578125" customWidth="1"/>
    <col min="4" max="4" width="15.5703125" customWidth="1"/>
    <col min="5" max="5" width="8.7109375" customWidth="1"/>
    <col min="6" max="8" width="17.140625" customWidth="1"/>
    <col min="9" max="9" width="11.85546875" customWidth="1"/>
    <col min="10" max="10" width="10.28515625" customWidth="1"/>
    <col min="11" max="11" width="17.140625" customWidth="1"/>
    <col min="12" max="12" width="12.42578125" customWidth="1"/>
    <col min="13" max="13" width="53" customWidth="1"/>
  </cols>
  <sheetData>
    <row r="1" spans="1:18" ht="75" customHeight="1">
      <c r="A1" s="313" t="s">
        <v>436</v>
      </c>
      <c r="B1" s="313"/>
      <c r="C1" s="313"/>
      <c r="D1" s="313"/>
      <c r="E1" s="313"/>
      <c r="F1" s="313"/>
      <c r="G1" s="313"/>
      <c r="H1" s="313"/>
      <c r="I1" s="313"/>
      <c r="J1" s="313"/>
      <c r="K1" s="313"/>
      <c r="L1" s="313"/>
      <c r="M1" s="244"/>
      <c r="N1" s="244"/>
      <c r="O1" s="244"/>
      <c r="P1" s="244"/>
      <c r="Q1" s="244"/>
      <c r="R1" s="244"/>
    </row>
    <row r="2" spans="1:18" ht="45" customHeight="1">
      <c r="A2" s="245" t="s">
        <v>437</v>
      </c>
      <c r="B2" s="246" t="s">
        <v>438</v>
      </c>
      <c r="C2" s="246" t="s">
        <v>439</v>
      </c>
      <c r="D2" s="247" t="s">
        <v>100</v>
      </c>
      <c r="E2" s="247" t="s">
        <v>420</v>
      </c>
      <c r="F2" s="247" t="s">
        <v>63</v>
      </c>
      <c r="G2" s="247" t="s">
        <v>64</v>
      </c>
      <c r="H2" s="247" t="s">
        <v>65</v>
      </c>
      <c r="I2" s="248" t="s">
        <v>440</v>
      </c>
      <c r="J2" s="249" t="s">
        <v>441</v>
      </c>
      <c r="K2" s="247" t="s">
        <v>442</v>
      </c>
      <c r="L2" s="250" t="s">
        <v>443</v>
      </c>
      <c r="M2" s="246" t="s">
        <v>325</v>
      </c>
    </row>
    <row r="3" spans="1:18">
      <c r="A3" t="s">
        <v>444</v>
      </c>
      <c r="I3" s="251"/>
    </row>
  </sheetData>
  <mergeCells count="1">
    <mergeCell ref="A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28"/>
  <dimension ref="A1:L3"/>
  <sheetViews>
    <sheetView zoomScale="145" zoomScaleNormal="145" workbookViewId="0">
      <pane ySplit="2" topLeftCell="A3" activePane="bottomLeft" state="frozen"/>
      <selection activeCell="A3" sqref="A3"/>
      <selection pane="bottomLeft" activeCell="L3" sqref="A2:L3"/>
    </sheetView>
  </sheetViews>
  <sheetFormatPr defaultRowHeight="15"/>
  <cols>
    <col min="1" max="1" width="10.28515625" style="262" customWidth="1"/>
    <col min="2" max="3" width="7.7109375" style="262" customWidth="1"/>
    <col min="4" max="4" width="46.42578125" style="262" customWidth="1"/>
    <col min="5" max="5" width="12.140625" style="262" customWidth="1"/>
    <col min="6" max="6" width="15.140625" style="262" customWidth="1"/>
    <col min="7" max="10" width="13.140625" style="262" customWidth="1"/>
    <col min="11" max="11" width="10" style="262" customWidth="1"/>
    <col min="12" max="12" width="13.42578125" style="262" customWidth="1"/>
    <col min="13" max="16384" width="9.140625" style="262"/>
  </cols>
  <sheetData>
    <row r="1" spans="1:12" ht="67.5" customHeight="1">
      <c r="A1" s="313" t="s">
        <v>539</v>
      </c>
      <c r="B1" s="313"/>
      <c r="C1" s="313"/>
      <c r="D1" s="313"/>
      <c r="E1" s="313"/>
      <c r="F1" s="313"/>
      <c r="G1" s="313"/>
      <c r="H1" s="313"/>
      <c r="I1" s="313"/>
      <c r="J1" s="313"/>
      <c r="K1" s="313"/>
    </row>
    <row r="2" spans="1:12" ht="60.75" customHeight="1">
      <c r="A2" s="265" t="s">
        <v>484</v>
      </c>
      <c r="B2" s="264" t="s">
        <v>400</v>
      </c>
      <c r="C2" s="264" t="s">
        <v>401</v>
      </c>
      <c r="D2" s="264" t="s">
        <v>97</v>
      </c>
      <c r="E2" s="264" t="s">
        <v>532</v>
      </c>
      <c r="F2" s="264" t="s">
        <v>511</v>
      </c>
      <c r="G2" s="264" t="s">
        <v>509</v>
      </c>
      <c r="H2" s="264" t="s">
        <v>510</v>
      </c>
      <c r="I2" s="264" t="s">
        <v>540</v>
      </c>
      <c r="J2" s="264" t="s">
        <v>541</v>
      </c>
      <c r="K2" s="269" t="s">
        <v>40</v>
      </c>
      <c r="L2" s="260" t="s">
        <v>542</v>
      </c>
    </row>
    <row r="3" spans="1:12">
      <c r="A3" s="287" t="s">
        <v>537</v>
      </c>
      <c r="B3" s="258"/>
      <c r="C3" s="258"/>
      <c r="D3" s="266"/>
      <c r="E3" s="267"/>
      <c r="F3" s="267"/>
      <c r="G3" s="267"/>
      <c r="H3" s="267"/>
      <c r="I3" s="267"/>
      <c r="J3" s="267"/>
      <c r="K3" s="285"/>
      <c r="L3" s="268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24"/>
  <dimension ref="A1:K3"/>
  <sheetViews>
    <sheetView zoomScale="145" zoomScaleNormal="145" workbookViewId="0">
      <pane ySplit="2" topLeftCell="A3" activePane="bottomLeft" state="frozen"/>
      <selection activeCell="A3" sqref="A3"/>
      <selection pane="bottomLeft" activeCell="A2" sqref="A2:K3"/>
    </sheetView>
  </sheetViews>
  <sheetFormatPr defaultRowHeight="15"/>
  <cols>
    <col min="1" max="1" width="10.28515625" style="262" customWidth="1"/>
    <col min="2" max="3" width="7.7109375" style="262" customWidth="1"/>
    <col min="4" max="4" width="46.42578125" style="262" customWidth="1"/>
    <col min="5" max="5" width="12.140625" style="262" customWidth="1"/>
    <col min="6" max="6" width="15.140625" style="262" customWidth="1"/>
    <col min="7" max="8" width="12.7109375" style="262" customWidth="1"/>
    <col min="9" max="9" width="19.5703125" style="262" customWidth="1"/>
    <col min="10" max="11" width="10" style="262" customWidth="1"/>
    <col min="12" max="16384" width="9.140625" style="262"/>
  </cols>
  <sheetData>
    <row r="1" spans="1:11" ht="92.25" customHeight="1">
      <c r="A1" s="313" t="s">
        <v>531</v>
      </c>
      <c r="B1" s="313"/>
      <c r="C1" s="313"/>
      <c r="D1" s="313"/>
      <c r="E1" s="313"/>
      <c r="F1" s="313"/>
      <c r="G1" s="313"/>
      <c r="H1" s="313"/>
      <c r="I1" s="313"/>
      <c r="J1" s="313"/>
      <c r="K1" s="313"/>
    </row>
    <row r="2" spans="1:11" ht="60.75" customHeight="1">
      <c r="A2" s="265" t="s">
        <v>484</v>
      </c>
      <c r="B2" s="264" t="s">
        <v>400</v>
      </c>
      <c r="C2" s="264" t="s">
        <v>401</v>
      </c>
      <c r="D2" s="264" t="s">
        <v>97</v>
      </c>
      <c r="E2" s="264" t="s">
        <v>532</v>
      </c>
      <c r="F2" s="264" t="s">
        <v>511</v>
      </c>
      <c r="G2" s="264" t="s">
        <v>509</v>
      </c>
      <c r="H2" s="264" t="s">
        <v>510</v>
      </c>
      <c r="I2" s="264" t="s">
        <v>533</v>
      </c>
      <c r="J2" s="269" t="s">
        <v>534</v>
      </c>
      <c r="K2" s="260" t="s">
        <v>535</v>
      </c>
    </row>
    <row r="3" spans="1:11">
      <c r="A3" s="257" t="s">
        <v>529</v>
      </c>
      <c r="B3" s="258"/>
      <c r="C3" s="258"/>
      <c r="D3" s="266"/>
      <c r="E3" s="267"/>
      <c r="F3" s="267"/>
      <c r="G3" s="267"/>
      <c r="H3" s="267"/>
      <c r="I3" s="285"/>
      <c r="J3" s="285"/>
      <c r="K3" s="286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21"/>
  <dimension ref="A1:K3"/>
  <sheetViews>
    <sheetView zoomScale="145" zoomScaleNormal="145" workbookViewId="0">
      <pane ySplit="2" topLeftCell="A3" activePane="bottomLeft" state="frozen"/>
      <selection activeCell="A3" sqref="A3"/>
      <selection pane="bottomLeft" sqref="A1:K1"/>
    </sheetView>
  </sheetViews>
  <sheetFormatPr defaultRowHeight="15"/>
  <cols>
    <col min="1" max="1" width="10.28515625" customWidth="1"/>
    <col min="2" max="3" width="7.7109375" customWidth="1"/>
    <col min="4" max="4" width="46.42578125" customWidth="1"/>
    <col min="5" max="5" width="12.140625" customWidth="1"/>
    <col min="6" max="6" width="15.140625" customWidth="1"/>
    <col min="7" max="8" width="12.7109375" customWidth="1"/>
    <col min="9" max="9" width="19.5703125" customWidth="1"/>
    <col min="10" max="11" width="10" customWidth="1"/>
  </cols>
  <sheetData>
    <row r="1" spans="1:11" ht="77.25" customHeight="1">
      <c r="A1" s="313" t="s">
        <v>483</v>
      </c>
      <c r="B1" s="313"/>
      <c r="C1" s="313"/>
      <c r="D1" s="313"/>
      <c r="E1" s="313"/>
      <c r="F1" s="313"/>
      <c r="G1" s="313"/>
      <c r="H1" s="313"/>
      <c r="I1" s="313"/>
      <c r="J1" s="313"/>
      <c r="K1" s="313"/>
    </row>
    <row r="2" spans="1:11" ht="65.25" customHeight="1">
      <c r="A2" s="237" t="s">
        <v>484</v>
      </c>
      <c r="B2" s="238" t="s">
        <v>400</v>
      </c>
      <c r="C2" s="238" t="s">
        <v>401</v>
      </c>
      <c r="D2" s="238" t="s">
        <v>97</v>
      </c>
      <c r="E2" s="238" t="s">
        <v>3</v>
      </c>
      <c r="F2" s="238" t="s">
        <v>57</v>
      </c>
      <c r="G2" s="238" t="s">
        <v>485</v>
      </c>
      <c r="H2" s="238" t="s">
        <v>486</v>
      </c>
      <c r="I2" s="238" t="s">
        <v>487</v>
      </c>
      <c r="J2" s="239" t="s">
        <v>489</v>
      </c>
      <c r="K2" s="260" t="s">
        <v>490</v>
      </c>
    </row>
    <row r="3" spans="1:11">
      <c r="A3" s="257" t="s">
        <v>481</v>
      </c>
      <c r="B3" s="258"/>
      <c r="C3" s="258"/>
      <c r="D3" s="241"/>
      <c r="E3" s="241"/>
      <c r="F3" s="242"/>
      <c r="G3" s="255"/>
      <c r="H3" s="255"/>
      <c r="I3" s="259"/>
      <c r="J3" s="242"/>
      <c r="K3" s="243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19"/>
  <dimension ref="A1:U4"/>
  <sheetViews>
    <sheetView zoomScale="145" zoomScaleNormal="145" workbookViewId="0">
      <pane ySplit="3" topLeftCell="A4" activePane="bottomLeft" state="frozen"/>
      <selection activeCell="A3" sqref="A3"/>
      <selection pane="bottomLeft" activeCell="A5" sqref="A5"/>
    </sheetView>
  </sheetViews>
  <sheetFormatPr defaultRowHeight="15"/>
  <cols>
    <col min="1" max="1" width="4.28515625" customWidth="1"/>
    <col min="2" max="2" width="34.7109375" customWidth="1"/>
    <col min="3" max="3" width="12.140625" customWidth="1"/>
    <col min="4" max="6" width="15.140625" customWidth="1"/>
    <col min="7" max="7" width="13.140625" customWidth="1"/>
    <col min="8" max="8" width="15.28515625" customWidth="1"/>
    <col min="9" max="9" width="11.42578125" customWidth="1"/>
    <col min="10" max="10" width="4.42578125" customWidth="1"/>
    <col min="11" max="11" width="4.140625" customWidth="1"/>
    <col min="12" max="12" width="15.7109375" customWidth="1"/>
    <col min="13" max="14" width="15.28515625" customWidth="1"/>
    <col min="15" max="15" width="11.42578125" customWidth="1"/>
    <col min="16" max="16" width="4.42578125" customWidth="1"/>
    <col min="17" max="17" width="4.140625" customWidth="1"/>
    <col min="18" max="18" width="15.7109375" customWidth="1"/>
  </cols>
  <sheetData>
    <row r="1" spans="1:21" ht="77.25" customHeight="1">
      <c r="A1" s="290" t="s">
        <v>424</v>
      </c>
      <c r="B1" s="290"/>
      <c r="C1" s="290"/>
      <c r="D1" s="290"/>
      <c r="E1" s="290"/>
      <c r="F1" s="290"/>
      <c r="G1" s="290"/>
      <c r="H1" s="290"/>
      <c r="I1" s="290"/>
      <c r="J1" s="290"/>
      <c r="K1" s="290"/>
      <c r="L1" s="290"/>
      <c r="U1" t="s">
        <v>425</v>
      </c>
    </row>
    <row r="2" spans="1:21" ht="18" customHeight="1">
      <c r="A2" s="323" t="s">
        <v>425</v>
      </c>
      <c r="B2" s="323"/>
      <c r="C2" s="323"/>
      <c r="D2" s="323"/>
      <c r="E2" s="323"/>
      <c r="F2" s="323"/>
      <c r="G2" s="323"/>
      <c r="H2" s="323"/>
      <c r="I2" s="323"/>
      <c r="J2" s="323"/>
      <c r="K2" s="323"/>
      <c r="L2" s="323"/>
      <c r="M2" s="324" t="e">
        <f>report_year-1</f>
        <v>#VALUE!</v>
      </c>
      <c r="N2" s="324"/>
      <c r="O2" s="324"/>
      <c r="P2" s="324"/>
      <c r="Q2" s="324"/>
      <c r="R2" s="324"/>
    </row>
    <row r="3" spans="1:21" ht="31.5" customHeight="1">
      <c r="A3" s="213" t="s">
        <v>426</v>
      </c>
      <c r="B3" s="213" t="s">
        <v>325</v>
      </c>
      <c r="C3" s="213" t="s">
        <v>427</v>
      </c>
      <c r="D3" s="213" t="s">
        <v>63</v>
      </c>
      <c r="E3" s="213" t="s">
        <v>64</v>
      </c>
      <c r="F3" s="213" t="s">
        <v>65</v>
      </c>
      <c r="G3" s="213" t="s">
        <v>98</v>
      </c>
      <c r="H3" s="213" t="s">
        <v>100</v>
      </c>
      <c r="I3" s="213" t="s">
        <v>420</v>
      </c>
      <c r="J3" s="213" t="s">
        <v>419</v>
      </c>
      <c r="K3" s="213" t="s">
        <v>428</v>
      </c>
      <c r="L3" s="213" t="s">
        <v>429</v>
      </c>
      <c r="M3" s="261" t="s">
        <v>498</v>
      </c>
      <c r="N3" s="261" t="s">
        <v>430</v>
      </c>
      <c r="O3" s="261" t="s">
        <v>431</v>
      </c>
      <c r="P3" s="261" t="s">
        <v>432</v>
      </c>
      <c r="Q3" s="261" t="s">
        <v>433</v>
      </c>
      <c r="R3" s="261" t="s">
        <v>434</v>
      </c>
    </row>
    <row r="4" spans="1:21">
      <c r="A4" s="29" t="s">
        <v>544</v>
      </c>
      <c r="B4" s="29"/>
      <c r="C4" s="29"/>
      <c r="D4" s="29"/>
      <c r="E4" s="29"/>
      <c r="F4" s="29"/>
      <c r="G4" s="1"/>
      <c r="H4" s="27"/>
      <c r="I4" s="29"/>
      <c r="J4" s="27"/>
      <c r="K4" s="27"/>
      <c r="L4" s="27"/>
      <c r="M4" s="27"/>
      <c r="N4" s="27"/>
      <c r="O4" s="29"/>
      <c r="P4" s="27"/>
      <c r="Q4" s="27"/>
      <c r="R4" s="27"/>
    </row>
  </sheetData>
  <mergeCells count="3">
    <mergeCell ref="A1:L1"/>
    <mergeCell ref="A2:L2"/>
    <mergeCell ref="M2:R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8"/>
  <dimension ref="A1:H9"/>
  <sheetViews>
    <sheetView zoomScale="145" zoomScaleNormal="145" workbookViewId="0">
      <pane ySplit="2" topLeftCell="A3" activePane="bottomLeft" state="frozen"/>
      <selection activeCell="A3" sqref="A3"/>
      <selection pane="bottomLeft" activeCell="A3" sqref="A3"/>
    </sheetView>
  </sheetViews>
  <sheetFormatPr defaultRowHeight="15"/>
  <cols>
    <col min="1" max="1" width="9.7109375" customWidth="1"/>
    <col min="2" max="2" width="58.5703125" customWidth="1"/>
    <col min="3" max="3" width="12.85546875" customWidth="1"/>
    <col min="4" max="5" width="19.7109375" customWidth="1"/>
    <col min="6" max="7" width="11.7109375" customWidth="1"/>
    <col min="8" max="8" width="13.140625" customWidth="1"/>
  </cols>
  <sheetData>
    <row r="1" spans="1:8" ht="77.25" customHeight="1">
      <c r="A1" s="313" t="s">
        <v>406</v>
      </c>
      <c r="B1" s="313"/>
      <c r="C1" s="313"/>
      <c r="D1" s="313"/>
      <c r="E1" s="313"/>
      <c r="F1" s="313"/>
      <c r="G1" s="313"/>
      <c r="H1" s="313"/>
    </row>
    <row r="2" spans="1:8" ht="25.5">
      <c r="A2" s="221" t="s">
        <v>407</v>
      </c>
      <c r="B2" s="222" t="s">
        <v>408</v>
      </c>
      <c r="C2" s="222" t="s">
        <v>409</v>
      </c>
      <c r="D2" s="222" t="s">
        <v>410</v>
      </c>
      <c r="E2" s="222" t="s">
        <v>411</v>
      </c>
      <c r="F2" s="222" t="s">
        <v>412</v>
      </c>
      <c r="G2" s="222" t="s">
        <v>413</v>
      </c>
      <c r="H2" s="223" t="s">
        <v>414</v>
      </c>
    </row>
    <row r="3" spans="1:8">
      <c r="A3" s="224" t="s">
        <v>415</v>
      </c>
      <c r="B3" s="225"/>
      <c r="C3" s="226"/>
      <c r="D3" s="227"/>
      <c r="E3" s="227"/>
      <c r="F3" s="228"/>
      <c r="G3" s="227"/>
      <c r="H3" s="229"/>
    </row>
    <row r="6" spans="1:8" ht="47.25" customHeight="1">
      <c r="A6" s="313" t="s">
        <v>416</v>
      </c>
      <c r="B6" s="313"/>
      <c r="C6" s="313"/>
      <c r="D6" s="313"/>
      <c r="E6" s="313"/>
      <c r="F6" s="313"/>
      <c r="G6" s="313"/>
    </row>
    <row r="7" spans="1:8" ht="25.5">
      <c r="A7" s="221" t="s">
        <v>417</v>
      </c>
      <c r="B7" s="222" t="s">
        <v>63</v>
      </c>
      <c r="C7" s="222" t="s">
        <v>418</v>
      </c>
      <c r="D7" s="222" t="s">
        <v>419</v>
      </c>
      <c r="E7" s="222" t="s">
        <v>420</v>
      </c>
      <c r="F7" s="230" t="s">
        <v>421</v>
      </c>
      <c r="G7" s="222" t="s">
        <v>422</v>
      </c>
    </row>
    <row r="8" spans="1:8">
      <c r="A8" s="231" t="s">
        <v>423</v>
      </c>
      <c r="B8" s="225"/>
      <c r="C8" s="228"/>
      <c r="D8" s="228"/>
      <c r="E8" s="232"/>
      <c r="F8" s="233"/>
      <c r="G8" s="229"/>
    </row>
    <row r="9" spans="1:8">
      <c r="A9" s="231" t="s">
        <v>218</v>
      </c>
      <c r="B9" s="234"/>
      <c r="C9" s="235"/>
      <c r="D9" s="235"/>
      <c r="E9" s="235"/>
      <c r="F9" s="233">
        <f>SUBTOTAL(109,[Задолженность])</f>
        <v>0</v>
      </c>
      <c r="G9" s="236">
        <f>SUBTOTAL(103,[Коррекция №])</f>
        <v>0</v>
      </c>
    </row>
  </sheetData>
  <mergeCells count="2">
    <mergeCell ref="A1:H1"/>
    <mergeCell ref="A6:G6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4"/>
  <dimension ref="A1:P5"/>
  <sheetViews>
    <sheetView zoomScale="145" zoomScaleNormal="145" workbookViewId="0">
      <pane ySplit="4" topLeftCell="A5" activePane="bottomLeft" state="frozen"/>
      <selection activeCell="A3" sqref="A3"/>
      <selection pane="bottomLeft" activeCell="A3" sqref="A3"/>
    </sheetView>
  </sheetViews>
  <sheetFormatPr defaultRowHeight="15"/>
  <cols>
    <col min="1" max="1" width="5.7109375" customWidth="1"/>
    <col min="2" max="2" width="6.5703125" customWidth="1"/>
    <col min="3" max="3" width="12.7109375" customWidth="1"/>
    <col min="4" max="4" width="9" customWidth="1"/>
    <col min="5" max="5" width="10" customWidth="1"/>
    <col min="6" max="6" width="6.85546875" customWidth="1"/>
    <col min="7" max="7" width="26.140625" customWidth="1"/>
    <col min="8" max="8" width="5.7109375" customWidth="1"/>
    <col min="9" max="9" width="6.5703125" customWidth="1"/>
    <col min="10" max="10" width="12.7109375" customWidth="1"/>
    <col min="12" max="12" width="10" customWidth="1"/>
    <col min="13" max="13" width="7.28515625" customWidth="1"/>
    <col min="14" max="14" width="6.85546875" customWidth="1"/>
    <col min="15" max="15" width="26.140625" customWidth="1"/>
  </cols>
  <sheetData>
    <row r="1" spans="1:16" ht="77.25" customHeight="1">
      <c r="A1" s="290" t="s">
        <v>397</v>
      </c>
      <c r="B1" s="290"/>
      <c r="C1" s="290"/>
      <c r="D1" s="290"/>
      <c r="E1" s="290"/>
      <c r="F1" s="290"/>
      <c r="G1" s="290"/>
      <c r="H1" s="290"/>
      <c r="I1" s="290"/>
      <c r="J1" s="290"/>
      <c r="K1" s="290"/>
      <c r="L1" s="290"/>
      <c r="M1" s="290"/>
      <c r="N1" s="290"/>
      <c r="O1" s="290"/>
      <c r="P1" s="290"/>
    </row>
    <row r="2" spans="1:16" ht="18" customHeight="1">
      <c r="A2" s="325" t="s">
        <v>398</v>
      </c>
      <c r="B2" s="325"/>
      <c r="C2" s="325"/>
      <c r="D2" s="325"/>
      <c r="E2" s="325"/>
      <c r="F2" s="325"/>
      <c r="G2" s="325"/>
      <c r="H2" s="325" t="s">
        <v>399</v>
      </c>
      <c r="I2" s="325"/>
      <c r="J2" s="325"/>
      <c r="K2" s="325"/>
      <c r="L2" s="325"/>
      <c r="M2" s="325"/>
      <c r="N2" s="325"/>
      <c r="O2" s="325"/>
      <c r="P2" s="325"/>
    </row>
    <row r="3" spans="1:16" ht="31.5" customHeight="1">
      <c r="A3" s="213" t="s">
        <v>400</v>
      </c>
      <c r="B3" s="213" t="s">
        <v>401</v>
      </c>
      <c r="C3" s="213" t="s">
        <v>329</v>
      </c>
      <c r="D3" s="213" t="s">
        <v>402</v>
      </c>
      <c r="E3" s="213" t="s">
        <v>403</v>
      </c>
      <c r="F3" s="213" t="s">
        <v>1</v>
      </c>
      <c r="G3" s="213" t="s">
        <v>97</v>
      </c>
      <c r="H3" s="213" t="s">
        <v>404</v>
      </c>
      <c r="I3" s="213" t="s">
        <v>400</v>
      </c>
      <c r="J3" s="213" t="s">
        <v>401</v>
      </c>
      <c r="K3" s="213" t="s">
        <v>329</v>
      </c>
      <c r="L3" s="213" t="s">
        <v>402</v>
      </c>
      <c r="M3" s="213" t="s">
        <v>403</v>
      </c>
      <c r="N3" s="213" t="s">
        <v>1</v>
      </c>
      <c r="O3" s="213" t="s">
        <v>97</v>
      </c>
      <c r="P3" s="213" t="s">
        <v>404</v>
      </c>
    </row>
    <row r="4" spans="1:16">
      <c r="A4" s="214" t="s">
        <v>7</v>
      </c>
      <c r="B4" s="214" t="s">
        <v>8</v>
      </c>
      <c r="C4" s="214" t="s">
        <v>9</v>
      </c>
      <c r="D4" s="214" t="s">
        <v>10</v>
      </c>
      <c r="E4" s="214" t="s">
        <v>11</v>
      </c>
      <c r="F4" s="214" t="s">
        <v>12</v>
      </c>
      <c r="G4" s="214" t="s">
        <v>13</v>
      </c>
      <c r="H4" s="214" t="s">
        <v>14</v>
      </c>
      <c r="I4" s="214" t="s">
        <v>15</v>
      </c>
      <c r="J4" s="214" t="s">
        <v>16</v>
      </c>
      <c r="K4" s="214" t="s">
        <v>17</v>
      </c>
      <c r="L4" s="214" t="s">
        <v>18</v>
      </c>
      <c r="M4" s="214" t="s">
        <v>19</v>
      </c>
      <c r="N4" s="214" t="s">
        <v>20</v>
      </c>
      <c r="O4" s="214" t="s">
        <v>21</v>
      </c>
      <c r="P4" s="215" t="s">
        <v>24</v>
      </c>
    </row>
    <row r="5" spans="1:16">
      <c r="A5" s="216" t="s">
        <v>405</v>
      </c>
      <c r="B5" s="216"/>
      <c r="C5" s="217"/>
      <c r="D5" s="217"/>
      <c r="E5" s="218"/>
      <c r="F5" s="219"/>
      <c r="G5" s="218"/>
      <c r="H5" s="218"/>
      <c r="I5" s="217"/>
      <c r="J5" s="217"/>
      <c r="K5" s="217"/>
      <c r="L5" s="217"/>
      <c r="M5" s="218"/>
      <c r="N5" s="219"/>
      <c r="O5" s="218"/>
      <c r="P5" s="220"/>
    </row>
  </sheetData>
  <mergeCells count="3">
    <mergeCell ref="A1:P1"/>
    <mergeCell ref="A2:G2"/>
    <mergeCell ref="H2:P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22"/>
  <dimension ref="A1:J3"/>
  <sheetViews>
    <sheetView workbookViewId="0">
      <selection activeCell="A4" sqref="A4"/>
    </sheetView>
  </sheetViews>
  <sheetFormatPr defaultRowHeight="15"/>
  <cols>
    <col min="1" max="1" width="19.5703125" customWidth="1"/>
    <col min="2" max="2" width="17.5703125" customWidth="1"/>
    <col min="3" max="3" width="9.28515625" customWidth="1"/>
    <col min="4" max="6" width="28.28515625" customWidth="1"/>
    <col min="7" max="7" width="17.85546875" customWidth="1"/>
    <col min="8" max="9" width="17.5703125" customWidth="1"/>
  </cols>
  <sheetData>
    <row r="1" spans="1:10" ht="84" customHeight="1">
      <c r="A1" s="326" t="s">
        <v>472</v>
      </c>
      <c r="B1" s="326"/>
      <c r="C1" s="326"/>
      <c r="D1" s="326"/>
      <c r="E1" s="326"/>
      <c r="F1" s="326"/>
      <c r="G1" s="326"/>
      <c r="H1" s="326"/>
      <c r="I1" s="326"/>
      <c r="J1" s="187"/>
    </row>
    <row r="2" spans="1:10" ht="39.75" customHeight="1">
      <c r="A2" s="33" t="s">
        <v>474</v>
      </c>
      <c r="B2" s="47" t="s">
        <v>62</v>
      </c>
      <c r="C2" s="254" t="s">
        <v>3</v>
      </c>
      <c r="D2" s="47" t="s">
        <v>63</v>
      </c>
      <c r="E2" s="47" t="s">
        <v>64</v>
      </c>
      <c r="F2" s="47" t="s">
        <v>65</v>
      </c>
      <c r="G2" s="47" t="s">
        <v>475</v>
      </c>
      <c r="H2" s="47" t="s">
        <v>476</v>
      </c>
      <c r="I2" s="34" t="s">
        <v>418</v>
      </c>
    </row>
    <row r="3" spans="1:10">
      <c r="A3" s="240" t="s">
        <v>471</v>
      </c>
      <c r="B3" s="255"/>
      <c r="C3" s="242"/>
      <c r="D3" s="241"/>
      <c r="E3" s="241"/>
      <c r="F3" s="241"/>
      <c r="G3" s="242"/>
      <c r="H3" s="255"/>
      <c r="I3" s="256"/>
    </row>
  </sheetData>
  <mergeCells count="1">
    <mergeCell ref="A1:I1"/>
  </mergeCell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Settings"/>
  <dimension ref="A1:BH62"/>
  <sheetViews>
    <sheetView topLeftCell="K22" workbookViewId="0">
      <selection activeCell="N55" sqref="N55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1" width="23" customWidth="1"/>
    <col min="12" max="12" width="18.42578125" bestFit="1" customWidth="1"/>
    <col min="13" max="13" width="10.85546875" customWidth="1"/>
    <col min="14" max="14" width="30.7109375" bestFit="1" customWidth="1"/>
    <col min="15" max="15" width="32.42578125" bestFit="1" customWidth="1"/>
    <col min="16" max="16" width="34.7109375" customWidth="1"/>
    <col min="17" max="18" width="16.7109375" customWidth="1"/>
    <col min="19" max="19" width="13.85546875" customWidth="1"/>
    <col min="20" max="20" width="13.5703125" bestFit="1" customWidth="1"/>
    <col min="21" max="21" width="23" customWidth="1"/>
    <col min="22" max="22" width="30.7109375" bestFit="1" customWidth="1"/>
    <col min="23" max="23" width="27.140625" bestFit="1" customWidth="1"/>
    <col min="24" max="24" width="19.7109375" bestFit="1" customWidth="1"/>
    <col min="25" max="27" width="17.85546875" customWidth="1"/>
    <col min="28" max="28" width="34" bestFit="1" customWidth="1"/>
    <col min="29" max="29" width="36" bestFit="1" customWidth="1"/>
    <col min="30" max="30" width="19.7109375" bestFit="1" customWidth="1"/>
    <col min="31" max="31" width="18.5703125" bestFit="1" customWidth="1"/>
    <col min="32" max="32" width="14.140625" bestFit="1" customWidth="1"/>
    <col min="33" max="33" width="11.42578125" bestFit="1" customWidth="1"/>
    <col min="34" max="34" width="12.85546875" bestFit="1" customWidth="1"/>
    <col min="35" max="35" width="11.42578125" bestFit="1" customWidth="1"/>
    <col min="36" max="36" width="6.85546875" bestFit="1" customWidth="1"/>
    <col min="37" max="37" width="9.28515625" bestFit="1" customWidth="1"/>
    <col min="38" max="39" width="11.85546875" bestFit="1" customWidth="1"/>
    <col min="40" max="41" width="13.140625" bestFit="1" customWidth="1"/>
    <col min="42" max="43" width="12.140625" bestFit="1" customWidth="1"/>
    <col min="44" max="44" width="13.7109375" bestFit="1" customWidth="1"/>
    <col min="45" max="45" width="7.5703125" customWidth="1"/>
    <col min="46" max="46" width="14" bestFit="1" customWidth="1"/>
    <col min="47" max="47" width="7.5703125" customWidth="1"/>
    <col min="48" max="48" width="12.140625" bestFit="1" customWidth="1"/>
    <col min="49" max="49" width="7.5703125" customWidth="1"/>
    <col min="50" max="50" width="13.5703125" customWidth="1"/>
    <col min="51" max="51" width="7.5703125" customWidth="1"/>
    <col min="54" max="54" width="11.28515625" bestFit="1" customWidth="1"/>
    <col min="56" max="57" width="12.140625" customWidth="1"/>
    <col min="58" max="58" width="11.5703125" bestFit="1" customWidth="1"/>
  </cols>
  <sheetData>
    <row r="1" spans="1:60" ht="29.25" customHeight="1">
      <c r="A1" s="327" t="s">
        <v>115</v>
      </c>
      <c r="B1" s="327"/>
      <c r="D1" s="328" t="s">
        <v>116</v>
      </c>
      <c r="E1" s="328"/>
      <c r="G1" s="328" t="s">
        <v>111</v>
      </c>
      <c r="H1" s="328"/>
      <c r="I1" s="328"/>
      <c r="J1" s="328"/>
      <c r="K1" s="328"/>
      <c r="L1" s="328"/>
      <c r="N1" s="328" t="s">
        <v>106</v>
      </c>
      <c r="O1" s="328"/>
      <c r="P1" s="328"/>
      <c r="Q1" s="328"/>
      <c r="R1" s="328"/>
      <c r="S1" s="328"/>
      <c r="T1" s="328"/>
      <c r="V1" s="328" t="s">
        <v>112</v>
      </c>
      <c r="W1" s="328"/>
      <c r="Y1" s="328" t="s">
        <v>103</v>
      </c>
      <c r="Z1" s="328"/>
      <c r="AA1" s="328"/>
      <c r="AB1" s="328"/>
      <c r="AC1" s="328"/>
      <c r="AE1" s="328" t="s">
        <v>143</v>
      </c>
      <c r="AF1" s="328"/>
      <c r="AG1" s="328"/>
      <c r="AH1" s="328"/>
      <c r="AI1" s="328"/>
      <c r="AJ1" s="328"/>
      <c r="AK1" s="328"/>
      <c r="AM1" s="38" t="s">
        <v>129</v>
      </c>
      <c r="AO1" s="38" t="s">
        <v>131</v>
      </c>
      <c r="AQ1" s="38" t="s">
        <v>133</v>
      </c>
      <c r="AS1" s="38" t="s">
        <v>142</v>
      </c>
      <c r="AU1" s="38" t="s">
        <v>151</v>
      </c>
      <c r="AW1" s="38" t="s">
        <v>152</v>
      </c>
      <c r="AY1" s="38" t="s">
        <v>144</v>
      </c>
      <c r="BA1" s="38" t="s">
        <v>157</v>
      </c>
      <c r="BC1" s="38" t="s">
        <v>164</v>
      </c>
      <c r="BE1" s="329" t="s">
        <v>245</v>
      </c>
      <c r="BF1" s="329"/>
    </row>
    <row r="2" spans="1:60">
      <c r="A2" s="6" t="s">
        <v>136</v>
      </c>
      <c r="B2" s="6" t="s">
        <v>114</v>
      </c>
      <c r="D2" t="s">
        <v>107</v>
      </c>
      <c r="E2" t="s">
        <v>121</v>
      </c>
      <c r="G2" t="s">
        <v>107</v>
      </c>
      <c r="H2" t="s">
        <v>123</v>
      </c>
      <c r="I2" t="s">
        <v>110</v>
      </c>
      <c r="J2" t="s">
        <v>164</v>
      </c>
      <c r="K2" t="s">
        <v>447</v>
      </c>
      <c r="L2" t="s">
        <v>469</v>
      </c>
      <c r="N2" t="s">
        <v>107</v>
      </c>
      <c r="O2" t="s">
        <v>31</v>
      </c>
      <c r="P2" t="s">
        <v>95</v>
      </c>
      <c r="Q2" t="s">
        <v>130</v>
      </c>
      <c r="R2" t="s">
        <v>381</v>
      </c>
      <c r="S2" t="s">
        <v>125</v>
      </c>
      <c r="T2" t="s">
        <v>117</v>
      </c>
      <c r="V2" t="s">
        <v>107</v>
      </c>
      <c r="W2" t="s">
        <v>113</v>
      </c>
      <c r="Y2" t="s">
        <v>107</v>
      </c>
      <c r="Z2" t="s">
        <v>123</v>
      </c>
      <c r="AA2" t="s">
        <v>139</v>
      </c>
      <c r="AB2" t="s">
        <v>145</v>
      </c>
      <c r="AC2" t="s">
        <v>127</v>
      </c>
      <c r="AE2" t="s">
        <v>125</v>
      </c>
      <c r="AF2" t="s">
        <v>153</v>
      </c>
      <c r="AG2" t="s">
        <v>144</v>
      </c>
      <c r="AH2" t="s">
        <v>154</v>
      </c>
      <c r="AI2" t="s">
        <v>155</v>
      </c>
      <c r="AJ2" t="s">
        <v>160</v>
      </c>
      <c r="AK2" t="s">
        <v>163</v>
      </c>
      <c r="AM2" t="s">
        <v>107</v>
      </c>
      <c r="AO2" t="s">
        <v>107</v>
      </c>
      <c r="AQ2" t="s">
        <v>107</v>
      </c>
      <c r="AS2" t="s">
        <v>107</v>
      </c>
      <c r="AU2" t="s">
        <v>107</v>
      </c>
      <c r="AW2" t="s">
        <v>107</v>
      </c>
      <c r="AY2" t="s">
        <v>107</v>
      </c>
      <c r="BA2" t="s">
        <v>107</v>
      </c>
      <c r="BC2" t="s">
        <v>107</v>
      </c>
      <c r="BE2" t="s">
        <v>136</v>
      </c>
      <c r="BF2" t="s">
        <v>114</v>
      </c>
    </row>
    <row r="3" spans="1:60">
      <c r="A3" s="6" t="s">
        <v>179</v>
      </c>
      <c r="B3" s="6" t="s">
        <v>322</v>
      </c>
      <c r="D3" t="s">
        <v>44</v>
      </c>
      <c r="E3" t="s">
        <v>43</v>
      </c>
      <c r="G3" t="s">
        <v>27</v>
      </c>
      <c r="H3" t="s">
        <v>104</v>
      </c>
      <c r="I3" t="s">
        <v>27</v>
      </c>
      <c r="N3" t="s">
        <v>27</v>
      </c>
      <c r="O3" t="s">
        <v>27</v>
      </c>
      <c r="P3" t="s">
        <v>25</v>
      </c>
      <c r="Q3" t="s">
        <v>128</v>
      </c>
      <c r="R3" t="s">
        <v>382</v>
      </c>
      <c r="S3" t="s">
        <v>126</v>
      </c>
      <c r="T3" t="s">
        <v>134</v>
      </c>
      <c r="V3" t="s">
        <v>119</v>
      </c>
      <c r="W3" t="s">
        <v>137</v>
      </c>
      <c r="Y3" s="6" t="s">
        <v>170</v>
      </c>
      <c r="Z3" t="s">
        <v>124</v>
      </c>
      <c r="AA3" t="s">
        <v>141</v>
      </c>
      <c r="AC3" t="s">
        <v>172</v>
      </c>
      <c r="AE3" s="6" t="s">
        <v>126</v>
      </c>
      <c r="AF3" t="s">
        <v>162</v>
      </c>
      <c r="AG3" t="s">
        <v>147</v>
      </c>
      <c r="AJ3">
        <v>2000</v>
      </c>
      <c r="AK3" t="s">
        <v>141</v>
      </c>
      <c r="AM3" s="36" t="s">
        <v>104</v>
      </c>
      <c r="AO3" t="s">
        <v>128</v>
      </c>
      <c r="AQ3" t="s">
        <v>134</v>
      </c>
      <c r="AS3" t="s">
        <v>124</v>
      </c>
      <c r="AU3" t="s">
        <v>150</v>
      </c>
      <c r="AW3" t="s">
        <v>146</v>
      </c>
      <c r="AY3" t="s">
        <v>148</v>
      </c>
      <c r="BA3" t="s">
        <v>141</v>
      </c>
      <c r="BC3" t="s">
        <v>165</v>
      </c>
      <c r="BE3" t="s">
        <v>246</v>
      </c>
      <c r="BF3" t="s">
        <v>158</v>
      </c>
    </row>
    <row r="4" spans="1:60">
      <c r="A4" s="7" t="s">
        <v>101</v>
      </c>
      <c r="B4" s="7" t="s">
        <v>305</v>
      </c>
      <c r="D4" t="s">
        <v>264</v>
      </c>
      <c r="E4" s="6" t="s">
        <v>180</v>
      </c>
      <c r="G4" t="s">
        <v>33</v>
      </c>
      <c r="H4" t="s">
        <v>104</v>
      </c>
      <c r="I4" t="s">
        <v>33</v>
      </c>
      <c r="N4" t="s">
        <v>33</v>
      </c>
      <c r="O4" t="s">
        <v>33</v>
      </c>
      <c r="P4" t="s">
        <v>34</v>
      </c>
      <c r="Q4" t="s">
        <v>128</v>
      </c>
      <c r="R4" t="s">
        <v>382</v>
      </c>
      <c r="S4" t="s">
        <v>126</v>
      </c>
      <c r="T4" t="s">
        <v>134</v>
      </c>
      <c r="V4" t="s">
        <v>119</v>
      </c>
      <c r="W4" s="6" t="s">
        <v>188</v>
      </c>
      <c r="Y4" s="6" t="s">
        <v>126</v>
      </c>
      <c r="Z4" t="s">
        <v>161</v>
      </c>
      <c r="AA4" t="s">
        <v>141</v>
      </c>
      <c r="AB4" t="s">
        <v>146</v>
      </c>
      <c r="AC4" s="6" t="s">
        <v>242</v>
      </c>
      <c r="AD4" s="6"/>
      <c r="AE4" s="45" t="s">
        <v>126</v>
      </c>
      <c r="AF4" s="6" t="s">
        <v>156</v>
      </c>
      <c r="AG4" s="6" t="s">
        <v>148</v>
      </c>
      <c r="AH4" s="6" t="s">
        <v>149</v>
      </c>
      <c r="AI4" s="6" t="s">
        <v>141</v>
      </c>
      <c r="AJ4" s="6">
        <v>40</v>
      </c>
      <c r="AK4" s="6" t="s">
        <v>140</v>
      </c>
      <c r="AM4" s="37" t="s">
        <v>105</v>
      </c>
      <c r="AO4" t="s">
        <v>132</v>
      </c>
      <c r="AQ4" t="s">
        <v>118</v>
      </c>
      <c r="AS4" t="s">
        <v>161</v>
      </c>
      <c r="AY4" t="s">
        <v>147</v>
      </c>
      <c r="BA4" t="s">
        <v>140</v>
      </c>
      <c r="BC4" s="177" t="s">
        <v>468</v>
      </c>
      <c r="BE4" t="s">
        <v>247</v>
      </c>
      <c r="BF4" t="s">
        <v>159</v>
      </c>
    </row>
    <row r="5" spans="1:60">
      <c r="A5" s="7" t="s">
        <v>102</v>
      </c>
      <c r="B5" s="7" t="s">
        <v>26</v>
      </c>
      <c r="D5" t="s">
        <v>306</v>
      </c>
      <c r="E5" s="6" t="s">
        <v>307</v>
      </c>
      <c r="G5" t="s">
        <v>43</v>
      </c>
      <c r="H5" t="s">
        <v>105</v>
      </c>
      <c r="I5" s="6" t="s">
        <v>337</v>
      </c>
      <c r="N5" t="s">
        <v>43</v>
      </c>
      <c r="O5" t="s">
        <v>43</v>
      </c>
      <c r="P5" t="s">
        <v>44</v>
      </c>
      <c r="Q5" t="s">
        <v>128</v>
      </c>
      <c r="R5" t="s">
        <v>382</v>
      </c>
      <c r="S5" t="s">
        <v>126</v>
      </c>
      <c r="T5" t="s">
        <v>134</v>
      </c>
      <c r="V5" t="s">
        <v>119</v>
      </c>
      <c r="W5" s="6" t="s">
        <v>189</v>
      </c>
      <c r="Y5" s="6" t="s">
        <v>166</v>
      </c>
      <c r="Z5" t="s">
        <v>124</v>
      </c>
      <c r="AA5" t="s">
        <v>140</v>
      </c>
      <c r="AB5" s="6"/>
      <c r="AC5" t="s">
        <v>167</v>
      </c>
      <c r="AE5" s="45" t="s">
        <v>126</v>
      </c>
      <c r="AF5" s="177" t="s">
        <v>340</v>
      </c>
      <c r="AG5" s="6" t="s">
        <v>148</v>
      </c>
      <c r="AH5" s="177" t="s">
        <v>341</v>
      </c>
      <c r="AI5" s="6" t="s">
        <v>141</v>
      </c>
      <c r="AJ5" s="6">
        <v>4</v>
      </c>
      <c r="AK5" s="6" t="s">
        <v>140</v>
      </c>
      <c r="AQ5" s="6" t="s">
        <v>304</v>
      </c>
      <c r="BE5" s="177" t="s">
        <v>347</v>
      </c>
      <c r="BF5" s="177" t="s">
        <v>346</v>
      </c>
    </row>
    <row r="6" spans="1:60">
      <c r="A6" s="6" t="s">
        <v>122</v>
      </c>
      <c r="B6" s="6" t="str">
        <f>VLOOKUP(ReportSelected,Menu[],2,FALSE)</f>
        <v>f2_arh_spravki_errors</v>
      </c>
      <c r="D6" s="252" t="s">
        <v>445</v>
      </c>
      <c r="E6" s="177" t="s">
        <v>446</v>
      </c>
      <c r="G6" t="s">
        <v>43</v>
      </c>
      <c r="H6" t="s">
        <v>104</v>
      </c>
      <c r="I6" t="s">
        <v>43</v>
      </c>
      <c r="N6" t="s">
        <v>66</v>
      </c>
      <c r="O6" t="s">
        <v>66</v>
      </c>
      <c r="P6" t="s">
        <v>67</v>
      </c>
      <c r="Q6" t="s">
        <v>128</v>
      </c>
      <c r="R6" t="s">
        <v>382</v>
      </c>
      <c r="S6" t="s">
        <v>126</v>
      </c>
      <c r="T6" t="s">
        <v>134</v>
      </c>
      <c r="V6" s="6" t="s">
        <v>77</v>
      </c>
      <c r="W6" s="6" t="s">
        <v>138</v>
      </c>
      <c r="Y6" s="6" t="s">
        <v>171</v>
      </c>
      <c r="Z6" t="s">
        <v>161</v>
      </c>
      <c r="AA6" t="s">
        <v>141</v>
      </c>
      <c r="AB6" s="6"/>
      <c r="AC6" s="6" t="s">
        <v>243</v>
      </c>
      <c r="AE6" s="45" t="s">
        <v>126</v>
      </c>
      <c r="AF6" s="177" t="s">
        <v>342</v>
      </c>
      <c r="AG6" s="6" t="s">
        <v>148</v>
      </c>
      <c r="AH6" s="177" t="s">
        <v>343</v>
      </c>
      <c r="AI6" s="6" t="s">
        <v>141</v>
      </c>
      <c r="AJ6" s="6">
        <v>2</v>
      </c>
      <c r="AK6" s="6" t="s">
        <v>140</v>
      </c>
      <c r="BE6" s="262" t="s">
        <v>341</v>
      </c>
      <c r="BF6" s="262" t="s">
        <v>341</v>
      </c>
    </row>
    <row r="7" spans="1:60">
      <c r="A7" s="39" t="s">
        <v>149</v>
      </c>
      <c r="B7" s="263"/>
      <c r="D7" t="s">
        <v>449</v>
      </c>
      <c r="E7" s="177" t="s">
        <v>450</v>
      </c>
      <c r="G7" t="s">
        <v>66</v>
      </c>
      <c r="H7" t="s">
        <v>104</v>
      </c>
      <c r="I7" t="s">
        <v>66</v>
      </c>
      <c r="N7" t="s">
        <v>119</v>
      </c>
      <c r="O7" t="s">
        <v>119</v>
      </c>
      <c r="P7" t="s">
        <v>76</v>
      </c>
      <c r="Q7" t="s">
        <v>128</v>
      </c>
      <c r="R7" t="s">
        <v>382</v>
      </c>
      <c r="T7" t="s">
        <v>118</v>
      </c>
      <c r="V7" s="6" t="s">
        <v>77</v>
      </c>
      <c r="W7" s="6" t="s">
        <v>209</v>
      </c>
      <c r="Y7" s="6" t="s">
        <v>180</v>
      </c>
      <c r="Z7" t="s">
        <v>161</v>
      </c>
      <c r="AA7" t="s">
        <v>141</v>
      </c>
      <c r="AB7" s="6"/>
      <c r="AC7" s="6" t="s">
        <v>244</v>
      </c>
      <c r="AE7" s="45" t="s">
        <v>126</v>
      </c>
      <c r="AF7" s="177" t="s">
        <v>344</v>
      </c>
      <c r="AG7" s="177" t="s">
        <v>148</v>
      </c>
      <c r="AH7" s="177" t="s">
        <v>345</v>
      </c>
      <c r="AI7" s="177" t="s">
        <v>141</v>
      </c>
      <c r="AJ7" s="177">
        <v>10</v>
      </c>
      <c r="AK7" s="177" t="s">
        <v>140</v>
      </c>
    </row>
    <row r="8" spans="1:60">
      <c r="A8" s="177" t="s">
        <v>158</v>
      </c>
      <c r="B8" s="180" t="s">
        <v>396</v>
      </c>
      <c r="D8" t="s">
        <v>478</v>
      </c>
      <c r="E8" s="177" t="s">
        <v>465</v>
      </c>
      <c r="G8" t="s">
        <v>119</v>
      </c>
      <c r="H8" t="s">
        <v>104</v>
      </c>
      <c r="I8" t="s">
        <v>119</v>
      </c>
      <c r="N8" t="s">
        <v>77</v>
      </c>
      <c r="O8" t="s">
        <v>77</v>
      </c>
      <c r="P8" t="s">
        <v>78</v>
      </c>
      <c r="Q8" t="s">
        <v>128</v>
      </c>
      <c r="R8" t="s">
        <v>382</v>
      </c>
      <c r="T8" t="s">
        <v>118</v>
      </c>
      <c r="V8" s="6" t="s">
        <v>77</v>
      </c>
      <c r="W8" s="6" t="s">
        <v>210</v>
      </c>
      <c r="Y8" s="6" t="s">
        <v>301</v>
      </c>
      <c r="Z8" s="6" t="s">
        <v>124</v>
      </c>
      <c r="AA8" s="6" t="s">
        <v>141</v>
      </c>
      <c r="AB8" s="6"/>
      <c r="AC8" s="6" t="s">
        <v>302</v>
      </c>
      <c r="AE8" s="6" t="s">
        <v>171</v>
      </c>
      <c r="AF8" t="s">
        <v>162</v>
      </c>
      <c r="AG8" t="s">
        <v>147</v>
      </c>
      <c r="AJ8">
        <v>2000</v>
      </c>
      <c r="AK8" t="s">
        <v>141</v>
      </c>
      <c r="BH8" s="108"/>
    </row>
    <row r="9" spans="1:60">
      <c r="A9" s="177" t="s">
        <v>159</v>
      </c>
      <c r="B9" s="263" t="s">
        <v>386</v>
      </c>
      <c r="D9" s="252" t="s">
        <v>445</v>
      </c>
      <c r="E9" s="177" t="s">
        <v>446</v>
      </c>
      <c r="G9" t="s">
        <v>77</v>
      </c>
      <c r="H9" t="s">
        <v>104</v>
      </c>
      <c r="I9" t="s">
        <v>77</v>
      </c>
      <c r="N9" t="s">
        <v>178</v>
      </c>
      <c r="O9" t="s">
        <v>176</v>
      </c>
      <c r="P9" t="s">
        <v>96</v>
      </c>
      <c r="Q9" t="s">
        <v>128</v>
      </c>
      <c r="R9" t="s">
        <v>382</v>
      </c>
      <c r="S9" t="s">
        <v>126</v>
      </c>
      <c r="T9" t="s">
        <v>134</v>
      </c>
      <c r="V9" s="6" t="s">
        <v>77</v>
      </c>
      <c r="W9" s="6" t="s">
        <v>214</v>
      </c>
      <c r="Y9" s="6" t="s">
        <v>332</v>
      </c>
      <c r="Z9" s="6" t="s">
        <v>161</v>
      </c>
      <c r="AA9" s="6" t="s">
        <v>141</v>
      </c>
      <c r="AB9" s="6"/>
      <c r="AC9" s="6" t="s">
        <v>333</v>
      </c>
      <c r="AE9" s="6" t="s">
        <v>171</v>
      </c>
      <c r="AF9" s="6" t="s">
        <v>169</v>
      </c>
      <c r="AG9" s="6" t="s">
        <v>148</v>
      </c>
      <c r="AH9" s="177" t="s">
        <v>345</v>
      </c>
      <c r="AI9" s="6" t="s">
        <v>141</v>
      </c>
      <c r="AJ9" s="6">
        <v>10</v>
      </c>
      <c r="AK9" s="6" t="s">
        <v>140</v>
      </c>
    </row>
    <row r="10" spans="1:60">
      <c r="A10" s="177" t="s">
        <v>346</v>
      </c>
      <c r="B10" s="263" t="s">
        <v>499</v>
      </c>
      <c r="D10" t="s">
        <v>25</v>
      </c>
      <c r="E10" t="s">
        <v>27</v>
      </c>
      <c r="G10" t="s">
        <v>108</v>
      </c>
      <c r="H10" t="s">
        <v>104</v>
      </c>
      <c r="I10" t="s">
        <v>177</v>
      </c>
      <c r="J10" t="s">
        <v>468</v>
      </c>
      <c r="N10" t="s">
        <v>177</v>
      </c>
      <c r="O10" t="s">
        <v>94</v>
      </c>
      <c r="P10" t="s">
        <v>96</v>
      </c>
      <c r="Q10" t="s">
        <v>128</v>
      </c>
      <c r="R10" t="s">
        <v>382</v>
      </c>
      <c r="S10" s="6"/>
      <c r="T10" t="s">
        <v>134</v>
      </c>
      <c r="V10" s="6" t="s">
        <v>77</v>
      </c>
      <c r="W10" s="6" t="s">
        <v>216</v>
      </c>
      <c r="Y10" s="6" t="s">
        <v>337</v>
      </c>
      <c r="Z10" t="s">
        <v>161</v>
      </c>
      <c r="AA10" t="s">
        <v>141</v>
      </c>
      <c r="AB10" s="6"/>
      <c r="AC10" s="6" t="s">
        <v>338</v>
      </c>
      <c r="AE10" s="46" t="s">
        <v>180</v>
      </c>
      <c r="AF10" t="s">
        <v>162</v>
      </c>
      <c r="AG10" t="s">
        <v>147</v>
      </c>
      <c r="AJ10">
        <v>2000</v>
      </c>
      <c r="AK10" t="s">
        <v>141</v>
      </c>
      <c r="BE10" s="263"/>
      <c r="BF10" s="263"/>
    </row>
    <row r="11" spans="1:60">
      <c r="A11" s="177" t="s">
        <v>448</v>
      </c>
      <c r="B11" s="177"/>
      <c r="D11" t="s">
        <v>34</v>
      </c>
      <c r="E11" t="s">
        <v>33</v>
      </c>
      <c r="G11" t="s">
        <v>108</v>
      </c>
      <c r="H11" t="s">
        <v>105</v>
      </c>
      <c r="I11" t="s">
        <v>166</v>
      </c>
      <c r="N11" s="6" t="s">
        <v>188</v>
      </c>
      <c r="O11" s="6" t="s">
        <v>190</v>
      </c>
      <c r="P11" s="6" t="s">
        <v>188</v>
      </c>
      <c r="Q11" t="s">
        <v>128</v>
      </c>
      <c r="R11" t="s">
        <v>382</v>
      </c>
      <c r="S11" t="s">
        <v>126</v>
      </c>
      <c r="T11" t="s">
        <v>134</v>
      </c>
      <c r="V11" s="6" t="s">
        <v>238</v>
      </c>
      <c r="W11" s="6" t="s">
        <v>236</v>
      </c>
      <c r="Y11" s="177" t="s">
        <v>451</v>
      </c>
      <c r="Z11" s="177" t="s">
        <v>161</v>
      </c>
      <c r="AA11" s="177" t="s">
        <v>141</v>
      </c>
      <c r="AB11" s="177"/>
      <c r="AC11" s="177" t="s">
        <v>452</v>
      </c>
      <c r="AE11" s="46" t="s">
        <v>180</v>
      </c>
      <c r="AF11" s="177" t="s">
        <v>340</v>
      </c>
      <c r="AG11" s="6" t="s">
        <v>148</v>
      </c>
      <c r="AH11" s="177" t="s">
        <v>341</v>
      </c>
      <c r="AI11" s="6" t="s">
        <v>141</v>
      </c>
      <c r="AJ11" s="6">
        <v>4</v>
      </c>
      <c r="AK11" s="6" t="s">
        <v>140</v>
      </c>
    </row>
    <row r="12" spans="1:60">
      <c r="A12" s="177" t="s">
        <v>456</v>
      </c>
      <c r="B12" s="177">
        <v>1</v>
      </c>
      <c r="D12" t="s">
        <v>67</v>
      </c>
      <c r="E12" t="s">
        <v>66</v>
      </c>
      <c r="G12" t="s">
        <v>168</v>
      </c>
      <c r="H12" t="s">
        <v>105</v>
      </c>
      <c r="I12" t="s">
        <v>170</v>
      </c>
      <c r="N12" s="6" t="s">
        <v>189</v>
      </c>
      <c r="O12" s="6" t="s">
        <v>190</v>
      </c>
      <c r="P12" s="6" t="s">
        <v>189</v>
      </c>
      <c r="Q12" t="s">
        <v>128</v>
      </c>
      <c r="R12" t="s">
        <v>382</v>
      </c>
      <c r="S12" t="s">
        <v>126</v>
      </c>
      <c r="T12" t="s">
        <v>134</v>
      </c>
      <c r="V12" s="6" t="s">
        <v>266</v>
      </c>
      <c r="W12" s="6" t="s">
        <v>303</v>
      </c>
      <c r="Y12" s="177" t="s">
        <v>453</v>
      </c>
      <c r="Z12" s="177" t="s">
        <v>161</v>
      </c>
      <c r="AA12" s="177" t="s">
        <v>141</v>
      </c>
      <c r="AB12" s="177"/>
      <c r="AC12" s="263" t="s">
        <v>454</v>
      </c>
      <c r="AE12" s="145" t="s">
        <v>301</v>
      </c>
      <c r="AF12" t="s">
        <v>162</v>
      </c>
      <c r="AG12" s="6" t="s">
        <v>147</v>
      </c>
      <c r="AH12" s="6"/>
      <c r="AI12" s="6"/>
      <c r="AJ12">
        <v>2000</v>
      </c>
      <c r="AK12" t="s">
        <v>141</v>
      </c>
    </row>
    <row r="13" spans="1:60">
      <c r="A13" s="263" t="s">
        <v>500</v>
      </c>
      <c r="B13" s="263" t="s">
        <v>524</v>
      </c>
      <c r="D13" t="s">
        <v>256</v>
      </c>
      <c r="E13" s="6" t="s">
        <v>257</v>
      </c>
      <c r="G13" t="s">
        <v>168</v>
      </c>
      <c r="H13" t="s">
        <v>105</v>
      </c>
      <c r="I13" t="s">
        <v>171</v>
      </c>
      <c r="N13" t="s">
        <v>137</v>
      </c>
      <c r="O13" s="6" t="s">
        <v>190</v>
      </c>
      <c r="P13" t="s">
        <v>137</v>
      </c>
      <c r="Q13" t="s">
        <v>128</v>
      </c>
      <c r="R13" t="s">
        <v>382</v>
      </c>
      <c r="S13" t="s">
        <v>126</v>
      </c>
      <c r="T13" t="s">
        <v>134</v>
      </c>
      <c r="V13" s="177" t="s">
        <v>363</v>
      </c>
      <c r="W13" s="177" t="s">
        <v>356</v>
      </c>
      <c r="Y13" s="263" t="s">
        <v>502</v>
      </c>
      <c r="Z13" s="263" t="s">
        <v>161</v>
      </c>
      <c r="AA13" s="263" t="s">
        <v>141</v>
      </c>
      <c r="AB13" s="263"/>
      <c r="AC13" s="263" t="s">
        <v>503</v>
      </c>
      <c r="AE13" s="145" t="s">
        <v>301</v>
      </c>
      <c r="AF13" s="6" t="s">
        <v>156</v>
      </c>
      <c r="AG13" s="6" t="s">
        <v>148</v>
      </c>
      <c r="AH13" s="6" t="s">
        <v>149</v>
      </c>
      <c r="AI13" s="6" t="s">
        <v>141</v>
      </c>
      <c r="AJ13" s="6">
        <v>40</v>
      </c>
      <c r="AK13" s="6" t="s">
        <v>140</v>
      </c>
    </row>
    <row r="14" spans="1:60">
      <c r="A14" s="263" t="s">
        <v>501</v>
      </c>
      <c r="B14" s="263">
        <v>1659011</v>
      </c>
      <c r="D14" t="s">
        <v>265</v>
      </c>
      <c r="E14" s="6" t="s">
        <v>301</v>
      </c>
      <c r="G14" t="s">
        <v>168</v>
      </c>
      <c r="H14" t="s">
        <v>104</v>
      </c>
      <c r="I14" t="s">
        <v>178</v>
      </c>
      <c r="N14" t="s">
        <v>138</v>
      </c>
      <c r="O14" s="6" t="s">
        <v>190</v>
      </c>
      <c r="P14" s="6" t="s">
        <v>138</v>
      </c>
      <c r="Q14" t="s">
        <v>128</v>
      </c>
      <c r="R14" t="s">
        <v>382</v>
      </c>
      <c r="S14" t="s">
        <v>126</v>
      </c>
      <c r="T14" t="s">
        <v>134</v>
      </c>
      <c r="V14" s="177" t="s">
        <v>363</v>
      </c>
      <c r="W14" s="177" t="s">
        <v>359</v>
      </c>
      <c r="Y14" s="263" t="s">
        <v>525</v>
      </c>
      <c r="Z14" s="263" t="s">
        <v>161</v>
      </c>
      <c r="AA14" s="263" t="s">
        <v>141</v>
      </c>
      <c r="AB14" s="263"/>
      <c r="AC14" s="263" t="s">
        <v>526</v>
      </c>
      <c r="AE14" s="176" t="s">
        <v>332</v>
      </c>
      <c r="AF14" t="s">
        <v>162</v>
      </c>
      <c r="AG14" t="s">
        <v>147</v>
      </c>
      <c r="AJ14">
        <v>2000</v>
      </c>
      <c r="AK14" t="s">
        <v>141</v>
      </c>
    </row>
    <row r="15" spans="1:60">
      <c r="D15" s="6" t="s">
        <v>240</v>
      </c>
      <c r="E15" s="6" t="s">
        <v>241</v>
      </c>
      <c r="G15" t="s">
        <v>109</v>
      </c>
      <c r="H15" t="s">
        <v>104</v>
      </c>
      <c r="I15" t="s">
        <v>178</v>
      </c>
      <c r="N15" s="6" t="s">
        <v>209</v>
      </c>
      <c r="O15" s="6" t="s">
        <v>190</v>
      </c>
      <c r="P15" s="6" t="s">
        <v>209</v>
      </c>
      <c r="Q15" t="s">
        <v>128</v>
      </c>
      <c r="R15" t="s">
        <v>382</v>
      </c>
      <c r="S15" t="s">
        <v>126</v>
      </c>
      <c r="T15" t="s">
        <v>134</v>
      </c>
      <c r="V15" s="177" t="s">
        <v>363</v>
      </c>
      <c r="W15" s="177" t="s">
        <v>365</v>
      </c>
      <c r="AE15" s="176" t="s">
        <v>332</v>
      </c>
      <c r="AF15" s="177" t="s">
        <v>340</v>
      </c>
      <c r="AG15" s="177" t="s">
        <v>148</v>
      </c>
      <c r="AH15" s="177" t="s">
        <v>341</v>
      </c>
      <c r="AI15" s="177" t="s">
        <v>141</v>
      </c>
      <c r="AJ15" s="177">
        <v>4</v>
      </c>
      <c r="AK15" s="177" t="s">
        <v>140</v>
      </c>
    </row>
    <row r="16" spans="1:60">
      <c r="D16" s="6" t="s">
        <v>224</v>
      </c>
      <c r="E16" t="s">
        <v>225</v>
      </c>
      <c r="G16" s="6" t="s">
        <v>180</v>
      </c>
      <c r="H16" t="s">
        <v>105</v>
      </c>
      <c r="I16" s="6" t="s">
        <v>180</v>
      </c>
      <c r="J16" s="6"/>
      <c r="K16" s="177"/>
      <c r="L16" s="177"/>
      <c r="N16" s="6" t="s">
        <v>210</v>
      </c>
      <c r="O16" s="6" t="s">
        <v>190</v>
      </c>
      <c r="P16" s="6" t="s">
        <v>210</v>
      </c>
      <c r="Q16" t="s">
        <v>128</v>
      </c>
      <c r="R16" t="s">
        <v>382</v>
      </c>
      <c r="S16" t="s">
        <v>126</v>
      </c>
      <c r="T16" t="s">
        <v>134</v>
      </c>
      <c r="V16" s="177" t="s">
        <v>376</v>
      </c>
      <c r="W16" s="177" t="s">
        <v>378</v>
      </c>
      <c r="AE16" s="176" t="s">
        <v>332</v>
      </c>
      <c r="AF16" s="177" t="s">
        <v>342</v>
      </c>
      <c r="AG16" s="177" t="s">
        <v>148</v>
      </c>
      <c r="AH16" s="177" t="s">
        <v>343</v>
      </c>
      <c r="AI16" s="177" t="s">
        <v>141</v>
      </c>
      <c r="AJ16" s="177">
        <v>2</v>
      </c>
      <c r="AK16" s="177" t="s">
        <v>140</v>
      </c>
    </row>
    <row r="17" spans="4:37">
      <c r="D17" t="s">
        <v>76</v>
      </c>
      <c r="E17" t="s">
        <v>119</v>
      </c>
      <c r="G17" s="6" t="s">
        <v>180</v>
      </c>
      <c r="H17" s="6" t="s">
        <v>104</v>
      </c>
      <c r="I17" s="6" t="s">
        <v>324</v>
      </c>
      <c r="J17" s="6"/>
      <c r="K17" s="177"/>
      <c r="L17" s="177"/>
      <c r="N17" s="6" t="s">
        <v>214</v>
      </c>
      <c r="O17" s="6" t="s">
        <v>190</v>
      </c>
      <c r="P17" s="6" t="s">
        <v>214</v>
      </c>
      <c r="Q17" t="s">
        <v>128</v>
      </c>
      <c r="R17" t="s">
        <v>382</v>
      </c>
      <c r="S17" t="s">
        <v>126</v>
      </c>
      <c r="T17" t="s">
        <v>134</v>
      </c>
      <c r="V17" s="177" t="s">
        <v>376</v>
      </c>
      <c r="W17" s="177" t="s">
        <v>377</v>
      </c>
      <c r="AE17" s="45" t="s">
        <v>337</v>
      </c>
      <c r="AF17" t="s">
        <v>162</v>
      </c>
      <c r="AG17" t="s">
        <v>147</v>
      </c>
      <c r="AJ17">
        <v>2000</v>
      </c>
      <c r="AK17" t="s">
        <v>141</v>
      </c>
    </row>
    <row r="18" spans="4:37">
      <c r="D18" t="s">
        <v>78</v>
      </c>
      <c r="E18" t="s">
        <v>77</v>
      </c>
      <c r="G18" s="6" t="s">
        <v>225</v>
      </c>
      <c r="H18" t="s">
        <v>104</v>
      </c>
      <c r="I18" t="s">
        <v>77</v>
      </c>
      <c r="J18" s="6"/>
      <c r="K18" s="177"/>
      <c r="L18" s="177"/>
      <c r="N18" s="6" t="s">
        <v>216</v>
      </c>
      <c r="O18" s="6" t="s">
        <v>190</v>
      </c>
      <c r="P18" s="6" t="s">
        <v>216</v>
      </c>
      <c r="Q18" t="s">
        <v>128</v>
      </c>
      <c r="R18" t="s">
        <v>382</v>
      </c>
      <c r="S18" t="s">
        <v>126</v>
      </c>
      <c r="T18" t="s">
        <v>134</v>
      </c>
      <c r="V18" s="177" t="s">
        <v>376</v>
      </c>
      <c r="W18" s="177" t="s">
        <v>379</v>
      </c>
      <c r="AE18" s="45" t="s">
        <v>337</v>
      </c>
      <c r="AF18" s="177" t="s">
        <v>340</v>
      </c>
      <c r="AG18" s="177" t="s">
        <v>148</v>
      </c>
      <c r="AH18" s="177" t="s">
        <v>341</v>
      </c>
      <c r="AI18" s="177" t="s">
        <v>141</v>
      </c>
      <c r="AJ18" s="177">
        <v>4</v>
      </c>
      <c r="AK18" s="177" t="s">
        <v>140</v>
      </c>
    </row>
    <row r="19" spans="4:37">
      <c r="D19" s="6" t="s">
        <v>237</v>
      </c>
      <c r="E19" s="6" t="s">
        <v>238</v>
      </c>
      <c r="G19" s="6" t="s">
        <v>225</v>
      </c>
      <c r="H19" t="s">
        <v>104</v>
      </c>
      <c r="I19" s="6" t="s">
        <v>119</v>
      </c>
      <c r="J19" s="6"/>
      <c r="K19" s="177"/>
      <c r="L19" s="177"/>
      <c r="N19" s="6" t="s">
        <v>238</v>
      </c>
      <c r="O19" s="6" t="s">
        <v>238</v>
      </c>
      <c r="P19" s="6" t="s">
        <v>239</v>
      </c>
      <c r="Q19" t="s">
        <v>128</v>
      </c>
      <c r="R19" t="s">
        <v>382</v>
      </c>
      <c r="T19" t="s">
        <v>118</v>
      </c>
      <c r="V19" s="177" t="s">
        <v>388</v>
      </c>
      <c r="W19" s="177" t="s">
        <v>389</v>
      </c>
      <c r="AE19" s="45" t="s">
        <v>451</v>
      </c>
      <c r="AF19" t="s">
        <v>162</v>
      </c>
      <c r="AG19" t="s">
        <v>147</v>
      </c>
      <c r="AH19" s="177"/>
      <c r="AI19" s="177"/>
      <c r="AJ19">
        <v>2000</v>
      </c>
      <c r="AK19" t="s">
        <v>141</v>
      </c>
    </row>
    <row r="20" spans="4:37">
      <c r="D20" t="s">
        <v>120</v>
      </c>
      <c r="E20" t="s">
        <v>108</v>
      </c>
      <c r="G20" s="6" t="s">
        <v>238</v>
      </c>
      <c r="H20" t="s">
        <v>104</v>
      </c>
      <c r="I20" s="6" t="s">
        <v>238</v>
      </c>
      <c r="J20" s="6"/>
      <c r="K20" s="177"/>
      <c r="L20" s="177"/>
      <c r="N20" s="6" t="s">
        <v>236</v>
      </c>
      <c r="O20" s="6" t="s">
        <v>190</v>
      </c>
      <c r="P20" s="6" t="s">
        <v>236</v>
      </c>
      <c r="Q20" t="s">
        <v>128</v>
      </c>
      <c r="R20" t="s">
        <v>382</v>
      </c>
      <c r="S20" t="s">
        <v>126</v>
      </c>
      <c r="T20" t="s">
        <v>134</v>
      </c>
      <c r="V20" s="177" t="s">
        <v>388</v>
      </c>
      <c r="W20" s="177" t="s">
        <v>390</v>
      </c>
      <c r="AE20" s="45" t="s">
        <v>451</v>
      </c>
      <c r="AF20" s="177" t="s">
        <v>455</v>
      </c>
      <c r="AG20" s="177" t="s">
        <v>148</v>
      </c>
      <c r="AH20" s="177" t="s">
        <v>458</v>
      </c>
      <c r="AI20" s="177" t="s">
        <v>141</v>
      </c>
      <c r="AJ20" s="177">
        <v>3</v>
      </c>
      <c r="AK20" s="177" t="s">
        <v>140</v>
      </c>
    </row>
    <row r="21" spans="4:37">
      <c r="D21" t="s">
        <v>93</v>
      </c>
      <c r="E21" t="s">
        <v>109</v>
      </c>
      <c r="G21" s="6" t="s">
        <v>241</v>
      </c>
      <c r="H21" s="6" t="s">
        <v>104</v>
      </c>
      <c r="I21" s="6" t="s">
        <v>238</v>
      </c>
      <c r="J21" s="6"/>
      <c r="K21" s="177"/>
      <c r="L21" s="177"/>
      <c r="N21" s="6" t="s">
        <v>257</v>
      </c>
      <c r="O21" t="s">
        <v>257</v>
      </c>
      <c r="P21" s="6" t="s">
        <v>255</v>
      </c>
      <c r="Q21" t="s">
        <v>128</v>
      </c>
      <c r="R21" t="s">
        <v>382</v>
      </c>
      <c r="S21" t="s">
        <v>126</v>
      </c>
      <c r="T21" t="s">
        <v>134</v>
      </c>
      <c r="V21" s="177" t="s">
        <v>388</v>
      </c>
      <c r="W21" s="177" t="s">
        <v>379</v>
      </c>
      <c r="AE21" s="45" t="s">
        <v>451</v>
      </c>
      <c r="AF21" s="177" t="s">
        <v>340</v>
      </c>
      <c r="AG21" s="177" t="s">
        <v>148</v>
      </c>
      <c r="AH21" s="177" t="s">
        <v>341</v>
      </c>
      <c r="AI21" s="177" t="s">
        <v>141</v>
      </c>
      <c r="AJ21" s="177">
        <v>4</v>
      </c>
      <c r="AK21" s="177" t="s">
        <v>140</v>
      </c>
    </row>
    <row r="22" spans="4:37">
      <c r="D22" s="6" t="s">
        <v>315</v>
      </c>
      <c r="E22" s="6" t="s">
        <v>312</v>
      </c>
      <c r="G22" s="6" t="s">
        <v>241</v>
      </c>
      <c r="H22" s="6" t="s">
        <v>104</v>
      </c>
      <c r="I22" t="s">
        <v>77</v>
      </c>
      <c r="J22" s="6"/>
      <c r="K22" s="177"/>
      <c r="L22" s="177"/>
      <c r="N22" s="6" t="s">
        <v>266</v>
      </c>
      <c r="O22" s="6" t="s">
        <v>266</v>
      </c>
      <c r="P22" s="6" t="s">
        <v>265</v>
      </c>
      <c r="Q22" t="s">
        <v>128</v>
      </c>
      <c r="R22" t="s">
        <v>382</v>
      </c>
      <c r="S22" t="s">
        <v>126</v>
      </c>
      <c r="T22" t="s">
        <v>118</v>
      </c>
      <c r="V22" s="177" t="s">
        <v>466</v>
      </c>
      <c r="W22" s="177" t="s">
        <v>415</v>
      </c>
      <c r="AE22" s="45" t="s">
        <v>451</v>
      </c>
      <c r="AF22" s="177" t="s">
        <v>342</v>
      </c>
      <c r="AG22" s="177" t="s">
        <v>148</v>
      </c>
      <c r="AH22" s="177" t="s">
        <v>343</v>
      </c>
      <c r="AI22" s="177" t="s">
        <v>141</v>
      </c>
      <c r="AJ22" s="177">
        <v>20</v>
      </c>
      <c r="AK22" s="177" t="s">
        <v>140</v>
      </c>
    </row>
    <row r="23" spans="4:37">
      <c r="D23" s="6" t="s">
        <v>313</v>
      </c>
      <c r="E23" s="6" t="s">
        <v>316</v>
      </c>
      <c r="G23" s="6" t="s">
        <v>241</v>
      </c>
      <c r="H23" s="6" t="s">
        <v>104</v>
      </c>
      <c r="I23" s="6" t="s">
        <v>119</v>
      </c>
      <c r="J23" s="6"/>
      <c r="K23" s="177"/>
      <c r="L23" s="177"/>
      <c r="N23" s="6" t="s">
        <v>303</v>
      </c>
      <c r="O23" s="6"/>
      <c r="P23" s="6"/>
      <c r="R23" t="s">
        <v>382</v>
      </c>
      <c r="S23" t="s">
        <v>126</v>
      </c>
      <c r="T23" s="6" t="s">
        <v>304</v>
      </c>
      <c r="V23" s="177" t="s">
        <v>466</v>
      </c>
      <c r="W23" s="177" t="s">
        <v>423</v>
      </c>
      <c r="AE23" s="45" t="s">
        <v>453</v>
      </c>
      <c r="AF23" t="s">
        <v>162</v>
      </c>
      <c r="AG23" t="s">
        <v>147</v>
      </c>
      <c r="AJ23">
        <v>2000</v>
      </c>
      <c r="AK23" t="s">
        <v>141</v>
      </c>
    </row>
    <row r="24" spans="4:37">
      <c r="D24" s="6" t="s">
        <v>331</v>
      </c>
      <c r="E24" s="6" t="s">
        <v>332</v>
      </c>
      <c r="G24" s="6" t="s">
        <v>257</v>
      </c>
      <c r="H24" s="6" t="s">
        <v>104</v>
      </c>
      <c r="I24" s="6" t="s">
        <v>257</v>
      </c>
      <c r="J24" s="6"/>
      <c r="K24" s="177"/>
      <c r="L24" s="177"/>
      <c r="N24" s="6" t="s">
        <v>312</v>
      </c>
      <c r="O24" t="s">
        <v>312</v>
      </c>
      <c r="P24" s="6" t="s">
        <v>314</v>
      </c>
      <c r="Q24" t="s">
        <v>128</v>
      </c>
      <c r="R24" t="s">
        <v>382</v>
      </c>
      <c r="S24" t="s">
        <v>126</v>
      </c>
      <c r="T24" t="s">
        <v>134</v>
      </c>
      <c r="V24" s="177" t="s">
        <v>491</v>
      </c>
      <c r="W24" s="177" t="s">
        <v>493</v>
      </c>
      <c r="AE24" s="45" t="s">
        <v>453</v>
      </c>
      <c r="AF24" s="177" t="s">
        <v>457</v>
      </c>
      <c r="AG24" s="177" t="s">
        <v>148</v>
      </c>
      <c r="AH24" s="177" t="s">
        <v>448</v>
      </c>
      <c r="AI24" s="177" t="s">
        <v>141</v>
      </c>
      <c r="AJ24" s="177">
        <v>40</v>
      </c>
      <c r="AK24" s="177" t="s">
        <v>140</v>
      </c>
    </row>
    <row r="25" spans="4:37">
      <c r="D25" s="6" t="s">
        <v>323</v>
      </c>
      <c r="E25" s="6" t="s">
        <v>324</v>
      </c>
      <c r="G25" s="6" t="s">
        <v>301</v>
      </c>
      <c r="H25" s="6" t="s">
        <v>104</v>
      </c>
      <c r="I25" s="6" t="s">
        <v>266</v>
      </c>
      <c r="N25" s="6" t="s">
        <v>316</v>
      </c>
      <c r="O25" s="6" t="s">
        <v>312</v>
      </c>
      <c r="P25" s="6" t="s">
        <v>314</v>
      </c>
      <c r="Q25" s="6" t="s">
        <v>128</v>
      </c>
      <c r="R25" s="177" t="s">
        <v>382</v>
      </c>
      <c r="S25" s="6" t="s">
        <v>126</v>
      </c>
      <c r="T25" s="6" t="s">
        <v>134</v>
      </c>
      <c r="V25" s="177" t="s">
        <v>491</v>
      </c>
      <c r="W25" s="177" t="s">
        <v>494</v>
      </c>
      <c r="AE25" s="45" t="s">
        <v>453</v>
      </c>
      <c r="AF25" s="177" t="s">
        <v>455</v>
      </c>
      <c r="AG25" s="177" t="s">
        <v>148</v>
      </c>
      <c r="AH25" s="177" t="s">
        <v>458</v>
      </c>
      <c r="AI25" s="177" t="s">
        <v>141</v>
      </c>
      <c r="AJ25" s="177">
        <v>3</v>
      </c>
      <c r="AK25" s="177" t="s">
        <v>140</v>
      </c>
    </row>
    <row r="26" spans="4:37">
      <c r="D26" s="6" t="s">
        <v>336</v>
      </c>
      <c r="E26" s="6" t="s">
        <v>337</v>
      </c>
      <c r="G26" s="6" t="s">
        <v>307</v>
      </c>
      <c r="H26" t="s">
        <v>104</v>
      </c>
      <c r="I26" t="s">
        <v>33</v>
      </c>
      <c r="J26" s="6"/>
      <c r="K26" s="177"/>
      <c r="L26" s="177"/>
      <c r="N26" s="6" t="s">
        <v>324</v>
      </c>
      <c r="O26" s="6" t="s">
        <v>324</v>
      </c>
      <c r="P26" s="6" t="s">
        <v>323</v>
      </c>
      <c r="Q26" s="6" t="s">
        <v>128</v>
      </c>
      <c r="R26" s="177" t="s">
        <v>382</v>
      </c>
      <c r="S26" s="6" t="s">
        <v>126</v>
      </c>
      <c r="T26" s="6" t="s">
        <v>134</v>
      </c>
      <c r="V26" s="177" t="s">
        <v>491</v>
      </c>
      <c r="W26" s="177" t="s">
        <v>495</v>
      </c>
      <c r="AE26" s="45" t="s">
        <v>453</v>
      </c>
      <c r="AF26" s="177" t="s">
        <v>340</v>
      </c>
      <c r="AG26" s="177" t="s">
        <v>148</v>
      </c>
      <c r="AH26" s="177" t="s">
        <v>341</v>
      </c>
      <c r="AI26" s="177" t="s">
        <v>141</v>
      </c>
      <c r="AJ26" s="177">
        <v>4</v>
      </c>
      <c r="AK26" s="177" t="s">
        <v>140</v>
      </c>
    </row>
    <row r="27" spans="4:37">
      <c r="D27" s="253" t="s">
        <v>445</v>
      </c>
      <c r="E27" s="177" t="s">
        <v>446</v>
      </c>
      <c r="G27" s="6" t="s">
        <v>307</v>
      </c>
      <c r="H27" t="s">
        <v>104</v>
      </c>
      <c r="I27" t="s">
        <v>27</v>
      </c>
      <c r="N27" s="6" t="s">
        <v>334</v>
      </c>
      <c r="O27" s="6" t="s">
        <v>312</v>
      </c>
      <c r="P27" s="6" t="s">
        <v>314</v>
      </c>
      <c r="Q27" s="6" t="s">
        <v>128</v>
      </c>
      <c r="R27" s="177" t="s">
        <v>382</v>
      </c>
      <c r="S27" s="6" t="s">
        <v>126</v>
      </c>
      <c r="T27" s="6" t="s">
        <v>134</v>
      </c>
      <c r="V27" s="177" t="s">
        <v>491</v>
      </c>
      <c r="W27" s="177" t="s">
        <v>496</v>
      </c>
      <c r="AE27" s="45" t="s">
        <v>502</v>
      </c>
      <c r="AF27" s="263" t="s">
        <v>504</v>
      </c>
      <c r="AG27" s="263" t="s">
        <v>148</v>
      </c>
      <c r="AH27" s="263" t="s">
        <v>500</v>
      </c>
      <c r="AI27" s="263" t="s">
        <v>141</v>
      </c>
      <c r="AJ27" s="263">
        <v>20</v>
      </c>
      <c r="AK27" s="263" t="s">
        <v>140</v>
      </c>
    </row>
    <row r="28" spans="4:37">
      <c r="D28" s="177" t="s">
        <v>362</v>
      </c>
      <c r="E28" s="177" t="s">
        <v>363</v>
      </c>
      <c r="G28" s="6" t="s">
        <v>307</v>
      </c>
      <c r="H28" t="s">
        <v>104</v>
      </c>
      <c r="I28" t="s">
        <v>66</v>
      </c>
      <c r="N28" s="177" t="s">
        <v>363</v>
      </c>
      <c r="O28" s="177" t="s">
        <v>363</v>
      </c>
      <c r="P28" s="177" t="s">
        <v>364</v>
      </c>
      <c r="Q28" s="177" t="s">
        <v>128</v>
      </c>
      <c r="R28" s="177" t="s">
        <v>382</v>
      </c>
      <c r="S28" s="177"/>
      <c r="T28" t="s">
        <v>118</v>
      </c>
      <c r="V28" s="177" t="s">
        <v>491</v>
      </c>
      <c r="W28" s="177" t="s">
        <v>497</v>
      </c>
      <c r="AE28" s="45" t="s">
        <v>502</v>
      </c>
      <c r="AF28" s="262" t="s">
        <v>505</v>
      </c>
      <c r="AG28" s="263" t="s">
        <v>148</v>
      </c>
      <c r="AH28" s="263" t="s">
        <v>501</v>
      </c>
      <c r="AI28" t="s">
        <v>141</v>
      </c>
      <c r="AJ28">
        <v>512</v>
      </c>
      <c r="AK28" s="263" t="s">
        <v>140</v>
      </c>
    </row>
    <row r="29" spans="4:37">
      <c r="D29" s="177" t="s">
        <v>394</v>
      </c>
      <c r="E29" s="177" t="s">
        <v>376</v>
      </c>
      <c r="G29" s="6" t="s">
        <v>307</v>
      </c>
      <c r="H29" s="6" t="s">
        <v>104</v>
      </c>
      <c r="I29" s="6" t="s">
        <v>257</v>
      </c>
      <c r="N29" s="177" t="s">
        <v>356</v>
      </c>
      <c r="O29" s="177" t="s">
        <v>190</v>
      </c>
      <c r="P29" s="177" t="s">
        <v>356</v>
      </c>
      <c r="Q29" s="177" t="s">
        <v>128</v>
      </c>
      <c r="R29" s="177" t="s">
        <v>382</v>
      </c>
      <c r="S29" s="177" t="s">
        <v>126</v>
      </c>
      <c r="T29" s="177" t="s">
        <v>134</v>
      </c>
    </row>
    <row r="30" spans="4:37">
      <c r="D30" s="177" t="s">
        <v>395</v>
      </c>
      <c r="E30" s="177" t="s">
        <v>388</v>
      </c>
      <c r="G30" s="6" t="s">
        <v>307</v>
      </c>
      <c r="H30" s="6" t="s">
        <v>104</v>
      </c>
      <c r="I30" s="6" t="s">
        <v>266</v>
      </c>
      <c r="N30" s="177" t="s">
        <v>359</v>
      </c>
      <c r="O30" s="177" t="s">
        <v>190</v>
      </c>
      <c r="P30" s="177" t="s">
        <v>359</v>
      </c>
      <c r="Q30" s="177" t="s">
        <v>128</v>
      </c>
      <c r="R30" s="177" t="s">
        <v>382</v>
      </c>
      <c r="S30" s="177" t="s">
        <v>126</v>
      </c>
      <c r="T30" s="177" t="s">
        <v>134</v>
      </c>
    </row>
    <row r="31" spans="4:37">
      <c r="D31" s="177" t="s">
        <v>479</v>
      </c>
      <c r="E31" s="177" t="s">
        <v>435</v>
      </c>
      <c r="G31" s="6" t="s">
        <v>307</v>
      </c>
      <c r="H31" s="6" t="s">
        <v>104</v>
      </c>
      <c r="I31" s="6" t="s">
        <v>238</v>
      </c>
      <c r="N31" s="177" t="s">
        <v>365</v>
      </c>
      <c r="O31" s="177" t="s">
        <v>190</v>
      </c>
      <c r="P31" s="177" t="s">
        <v>365</v>
      </c>
      <c r="Q31" s="177" t="s">
        <v>128</v>
      </c>
      <c r="R31" s="177" t="s">
        <v>382</v>
      </c>
      <c r="S31" s="177" t="s">
        <v>126</v>
      </c>
      <c r="T31" s="177" t="s">
        <v>134</v>
      </c>
    </row>
    <row r="32" spans="4:37">
      <c r="D32" s="263" t="s">
        <v>545</v>
      </c>
      <c r="E32" s="263" t="s">
        <v>543</v>
      </c>
      <c r="G32" s="6" t="s">
        <v>307</v>
      </c>
      <c r="H32" s="6" t="s">
        <v>104</v>
      </c>
      <c r="I32" t="s">
        <v>77</v>
      </c>
      <c r="N32" s="177" t="s">
        <v>376</v>
      </c>
      <c r="O32" s="177" t="s">
        <v>376</v>
      </c>
      <c r="P32" s="177" t="s">
        <v>380</v>
      </c>
      <c r="Q32" s="177" t="s">
        <v>128</v>
      </c>
      <c r="R32" s="177" t="s">
        <v>382</v>
      </c>
      <c r="S32" s="177"/>
      <c r="T32" t="s">
        <v>118</v>
      </c>
    </row>
    <row r="33" spans="4:20">
      <c r="D33" s="263" t="s">
        <v>480</v>
      </c>
      <c r="E33" s="177" t="s">
        <v>481</v>
      </c>
      <c r="G33" s="6" t="s">
        <v>307</v>
      </c>
      <c r="H33" s="6" t="s">
        <v>104</v>
      </c>
      <c r="I33" s="6" t="s">
        <v>119</v>
      </c>
      <c r="N33" s="177" t="s">
        <v>378</v>
      </c>
      <c r="O33" s="177" t="s">
        <v>190</v>
      </c>
      <c r="P33" s="177" t="s">
        <v>378</v>
      </c>
      <c r="Q33" s="177" t="s">
        <v>128</v>
      </c>
      <c r="R33" s="177" t="s">
        <v>383</v>
      </c>
      <c r="S33" s="177" t="s">
        <v>126</v>
      </c>
      <c r="T33" s="177" t="s">
        <v>134</v>
      </c>
    </row>
    <row r="34" spans="4:20">
      <c r="D34" s="263" t="s">
        <v>528</v>
      </c>
      <c r="E34" s="263" t="s">
        <v>529</v>
      </c>
      <c r="G34" s="6" t="s">
        <v>312</v>
      </c>
      <c r="H34" s="6" t="s">
        <v>104</v>
      </c>
      <c r="I34" t="s">
        <v>312</v>
      </c>
      <c r="N34" s="177" t="s">
        <v>377</v>
      </c>
      <c r="O34" s="177" t="s">
        <v>190</v>
      </c>
      <c r="P34" s="177" t="s">
        <v>377</v>
      </c>
      <c r="Q34" s="177" t="s">
        <v>128</v>
      </c>
      <c r="R34" s="177" t="s">
        <v>383</v>
      </c>
      <c r="S34" s="177" t="s">
        <v>126</v>
      </c>
      <c r="T34" s="177" t="s">
        <v>134</v>
      </c>
    </row>
    <row r="35" spans="4:20">
      <c r="D35" s="263" t="s">
        <v>536</v>
      </c>
      <c r="E35" s="263" t="s">
        <v>537</v>
      </c>
      <c r="G35" s="6" t="s">
        <v>316</v>
      </c>
      <c r="H35" s="6" t="s">
        <v>104</v>
      </c>
      <c r="I35" s="6" t="s">
        <v>316</v>
      </c>
      <c r="J35" s="6"/>
      <c r="K35" s="177"/>
      <c r="L35" s="177"/>
      <c r="N35" s="177" t="s">
        <v>379</v>
      </c>
      <c r="O35" s="177" t="s">
        <v>190</v>
      </c>
      <c r="P35" s="177" t="s">
        <v>379</v>
      </c>
      <c r="Q35" s="177" t="s">
        <v>128</v>
      </c>
      <c r="R35" s="177" t="s">
        <v>383</v>
      </c>
      <c r="S35" s="177" t="s">
        <v>126</v>
      </c>
      <c r="T35" s="177" t="s">
        <v>134</v>
      </c>
    </row>
    <row r="36" spans="4:20">
      <c r="G36" s="6" t="s">
        <v>324</v>
      </c>
      <c r="H36" s="6" t="s">
        <v>104</v>
      </c>
      <c r="I36" s="6" t="s">
        <v>324</v>
      </c>
      <c r="J36" s="6"/>
      <c r="K36" s="177"/>
      <c r="L36" s="177"/>
      <c r="N36" s="177" t="s">
        <v>388</v>
      </c>
      <c r="O36" s="177" t="s">
        <v>376</v>
      </c>
      <c r="P36" s="177" t="s">
        <v>391</v>
      </c>
      <c r="Q36" s="177" t="s">
        <v>128</v>
      </c>
      <c r="R36" s="177" t="s">
        <v>382</v>
      </c>
      <c r="S36" s="177"/>
      <c r="T36" t="s">
        <v>118</v>
      </c>
    </row>
    <row r="37" spans="4:20">
      <c r="G37" s="6" t="s">
        <v>332</v>
      </c>
      <c r="H37" s="6" t="s">
        <v>105</v>
      </c>
      <c r="I37" s="6" t="s">
        <v>332</v>
      </c>
      <c r="J37" s="6"/>
      <c r="K37" s="177"/>
      <c r="L37" s="177"/>
      <c r="N37" s="177" t="s">
        <v>389</v>
      </c>
      <c r="O37" s="177" t="s">
        <v>190</v>
      </c>
      <c r="P37" s="177" t="s">
        <v>389</v>
      </c>
      <c r="Q37" s="177" t="s">
        <v>128</v>
      </c>
      <c r="R37" s="177" t="s">
        <v>383</v>
      </c>
      <c r="S37" s="177" t="s">
        <v>126</v>
      </c>
      <c r="T37" s="177" t="s">
        <v>134</v>
      </c>
    </row>
    <row r="38" spans="4:20">
      <c r="G38" s="6" t="s">
        <v>332</v>
      </c>
      <c r="H38" s="6" t="s">
        <v>104</v>
      </c>
      <c r="I38" s="6" t="s">
        <v>334</v>
      </c>
      <c r="J38" s="6"/>
      <c r="K38" s="177"/>
      <c r="L38" s="177"/>
      <c r="N38" s="177" t="s">
        <v>390</v>
      </c>
      <c r="O38" s="177" t="s">
        <v>190</v>
      </c>
      <c r="P38" s="177" t="s">
        <v>390</v>
      </c>
      <c r="Q38" s="177" t="s">
        <v>128</v>
      </c>
      <c r="R38" s="177" t="s">
        <v>383</v>
      </c>
      <c r="S38" s="177" t="s">
        <v>126</v>
      </c>
      <c r="T38" s="177" t="s">
        <v>134</v>
      </c>
    </row>
    <row r="39" spans="4:20">
      <c r="G39" s="6" t="s">
        <v>337</v>
      </c>
      <c r="H39" s="6" t="s">
        <v>105</v>
      </c>
      <c r="I39" s="6" t="s">
        <v>337</v>
      </c>
      <c r="J39" s="6"/>
      <c r="K39" s="177"/>
      <c r="L39" s="177"/>
      <c r="N39" s="177" t="s">
        <v>405</v>
      </c>
      <c r="O39" s="177" t="s">
        <v>405</v>
      </c>
      <c r="P39" s="177" t="s">
        <v>459</v>
      </c>
      <c r="Q39" s="177" t="s">
        <v>128</v>
      </c>
      <c r="R39" s="177" t="s">
        <v>382</v>
      </c>
      <c r="S39" s="177" t="s">
        <v>126</v>
      </c>
      <c r="T39" s="177" t="s">
        <v>134</v>
      </c>
    </row>
    <row r="40" spans="4:20">
      <c r="G40" s="177" t="s">
        <v>363</v>
      </c>
      <c r="H40" s="177" t="s">
        <v>104</v>
      </c>
      <c r="I40" s="177" t="s">
        <v>363</v>
      </c>
      <c r="J40" s="177"/>
      <c r="K40" s="177"/>
      <c r="L40" s="177"/>
      <c r="N40" s="177" t="s">
        <v>444</v>
      </c>
      <c r="O40" s="177" t="s">
        <v>444</v>
      </c>
      <c r="P40" s="177" t="s">
        <v>461</v>
      </c>
      <c r="Q40" s="177" t="s">
        <v>128</v>
      </c>
      <c r="R40" s="177" t="s">
        <v>382</v>
      </c>
      <c r="S40" s="177" t="s">
        <v>126</v>
      </c>
      <c r="T40" s="177" t="s">
        <v>134</v>
      </c>
    </row>
    <row r="41" spans="4:20">
      <c r="G41" s="177" t="s">
        <v>376</v>
      </c>
      <c r="H41" s="177" t="s">
        <v>104</v>
      </c>
      <c r="I41" s="177" t="s">
        <v>376</v>
      </c>
      <c r="J41" s="177"/>
      <c r="K41" s="177"/>
      <c r="L41" s="177"/>
      <c r="N41" s="177" t="s">
        <v>466</v>
      </c>
      <c r="O41" s="177" t="s">
        <v>466</v>
      </c>
      <c r="P41" s="177" t="s">
        <v>467</v>
      </c>
      <c r="Q41" t="s">
        <v>128</v>
      </c>
      <c r="R41" s="177"/>
      <c r="T41" t="s">
        <v>118</v>
      </c>
    </row>
    <row r="42" spans="4:20">
      <c r="G42" s="177" t="s">
        <v>388</v>
      </c>
      <c r="H42" s="177" t="s">
        <v>104</v>
      </c>
      <c r="I42" s="177" t="s">
        <v>388</v>
      </c>
      <c r="J42" s="177"/>
      <c r="K42" s="177"/>
      <c r="L42" s="177"/>
      <c r="N42" s="177" t="s">
        <v>415</v>
      </c>
      <c r="O42" s="177" t="s">
        <v>190</v>
      </c>
      <c r="P42" s="177" t="s">
        <v>415</v>
      </c>
      <c r="Q42" t="s">
        <v>128</v>
      </c>
      <c r="R42" s="177" t="s">
        <v>382</v>
      </c>
      <c r="S42" t="s">
        <v>126</v>
      </c>
      <c r="T42" t="s">
        <v>134</v>
      </c>
    </row>
    <row r="43" spans="4:20">
      <c r="G43" s="177" t="s">
        <v>470</v>
      </c>
      <c r="H43" s="45" t="s">
        <v>105</v>
      </c>
      <c r="I43" s="45" t="s">
        <v>451</v>
      </c>
      <c r="J43" s="45"/>
      <c r="K43" s="45"/>
      <c r="L43" s="45"/>
      <c r="N43" s="177" t="s">
        <v>423</v>
      </c>
      <c r="O43" s="177" t="s">
        <v>190</v>
      </c>
      <c r="P43" s="177" t="s">
        <v>423</v>
      </c>
      <c r="Q43" s="177" t="s">
        <v>128</v>
      </c>
      <c r="R43" s="177" t="s">
        <v>382</v>
      </c>
      <c r="S43" s="177" t="s">
        <v>126</v>
      </c>
      <c r="T43" s="177" t="s">
        <v>134</v>
      </c>
    </row>
    <row r="44" spans="4:20">
      <c r="G44" s="177" t="s">
        <v>470</v>
      </c>
      <c r="H44" s="45" t="s">
        <v>104</v>
      </c>
      <c r="I44" s="45" t="s">
        <v>405</v>
      </c>
      <c r="J44" t="s">
        <v>468</v>
      </c>
      <c r="L44" s="45" t="s">
        <v>451</v>
      </c>
      <c r="N44" s="177" t="s">
        <v>471</v>
      </c>
      <c r="O44" s="177" t="s">
        <v>471</v>
      </c>
      <c r="P44" s="177" t="s">
        <v>473</v>
      </c>
      <c r="Q44" s="177" t="s">
        <v>128</v>
      </c>
      <c r="R44" s="177" t="s">
        <v>382</v>
      </c>
      <c r="S44" s="177" t="s">
        <v>126</v>
      </c>
      <c r="T44" s="177" t="s">
        <v>134</v>
      </c>
    </row>
    <row r="45" spans="4:20">
      <c r="G45" s="177" t="s">
        <v>450</v>
      </c>
      <c r="H45" s="45" t="s">
        <v>105</v>
      </c>
      <c r="I45" s="45" t="s">
        <v>453</v>
      </c>
      <c r="J45" s="45"/>
      <c r="K45" s="45" t="s">
        <v>460</v>
      </c>
      <c r="L45" s="45"/>
      <c r="N45" s="177" t="s">
        <v>435</v>
      </c>
      <c r="O45" s="177" t="s">
        <v>435</v>
      </c>
      <c r="P45" s="177" t="s">
        <v>477</v>
      </c>
      <c r="Q45" s="177" t="s">
        <v>128</v>
      </c>
      <c r="R45" s="177" t="s">
        <v>382</v>
      </c>
      <c r="S45" s="177" t="s">
        <v>126</v>
      </c>
      <c r="T45" s="177" t="s">
        <v>134</v>
      </c>
    </row>
    <row r="46" spans="4:20">
      <c r="G46" s="177" t="s">
        <v>450</v>
      </c>
      <c r="H46" s="177" t="s">
        <v>104</v>
      </c>
      <c r="I46" s="177" t="s">
        <v>444</v>
      </c>
      <c r="K46" s="177"/>
      <c r="L46" s="45" t="s">
        <v>460</v>
      </c>
      <c r="N46" s="177" t="s">
        <v>481</v>
      </c>
      <c r="O46" s="177" t="s">
        <v>481</v>
      </c>
      <c r="P46" s="177" t="s">
        <v>482</v>
      </c>
      <c r="Q46" s="177" t="s">
        <v>128</v>
      </c>
      <c r="R46" s="177" t="s">
        <v>382</v>
      </c>
      <c r="S46" s="177" t="s">
        <v>126</v>
      </c>
      <c r="T46" s="177" t="s">
        <v>134</v>
      </c>
    </row>
    <row r="47" spans="4:20">
      <c r="G47" s="177" t="s">
        <v>450</v>
      </c>
      <c r="H47" s="177" t="s">
        <v>105</v>
      </c>
      <c r="I47" s="177" t="s">
        <v>453</v>
      </c>
      <c r="J47" s="177"/>
      <c r="K47" s="177" t="s">
        <v>462</v>
      </c>
      <c r="L47" s="177"/>
      <c r="N47" s="177" t="s">
        <v>491</v>
      </c>
      <c r="O47" s="177" t="s">
        <v>491</v>
      </c>
      <c r="P47" s="177" t="s">
        <v>492</v>
      </c>
      <c r="Q47" s="177" t="s">
        <v>128</v>
      </c>
      <c r="R47" s="177" t="s">
        <v>382</v>
      </c>
      <c r="S47" s="177"/>
      <c r="T47" t="s">
        <v>118</v>
      </c>
    </row>
    <row r="48" spans="4:20">
      <c r="G48" s="177" t="s">
        <v>450</v>
      </c>
      <c r="H48" s="177" t="s">
        <v>104</v>
      </c>
      <c r="I48" s="177" t="s">
        <v>481</v>
      </c>
      <c r="K48" s="177"/>
      <c r="L48" s="177"/>
      <c r="N48" s="263" t="s">
        <v>493</v>
      </c>
      <c r="O48" s="263" t="s">
        <v>190</v>
      </c>
      <c r="P48" s="263" t="s">
        <v>493</v>
      </c>
      <c r="Q48" s="262" t="s">
        <v>128</v>
      </c>
      <c r="R48" s="263" t="s">
        <v>382</v>
      </c>
      <c r="S48" s="262" t="s">
        <v>126</v>
      </c>
      <c r="T48" s="262" t="s">
        <v>134</v>
      </c>
    </row>
    <row r="49" spans="7:20">
      <c r="G49" s="177" t="s">
        <v>450</v>
      </c>
      <c r="H49" s="177" t="s">
        <v>104</v>
      </c>
      <c r="I49" s="177" t="s">
        <v>363</v>
      </c>
      <c r="K49" s="177"/>
      <c r="L49" s="177"/>
      <c r="N49" s="177" t="s">
        <v>494</v>
      </c>
      <c r="O49" s="177" t="s">
        <v>190</v>
      </c>
      <c r="P49" s="177" t="s">
        <v>494</v>
      </c>
      <c r="Q49" t="s">
        <v>128</v>
      </c>
      <c r="R49" s="177" t="s">
        <v>382</v>
      </c>
      <c r="S49" t="s">
        <v>126</v>
      </c>
      <c r="T49" t="s">
        <v>134</v>
      </c>
    </row>
    <row r="50" spans="7:20">
      <c r="G50" s="177" t="s">
        <v>450</v>
      </c>
      <c r="H50" s="177" t="s">
        <v>104</v>
      </c>
      <c r="I50" s="177" t="s">
        <v>376</v>
      </c>
      <c r="J50" t="s">
        <v>468</v>
      </c>
      <c r="K50" s="177"/>
      <c r="L50" s="177" t="s">
        <v>462</v>
      </c>
      <c r="N50" s="177" t="s">
        <v>495</v>
      </c>
      <c r="O50" s="177" t="s">
        <v>190</v>
      </c>
      <c r="P50" s="177" t="s">
        <v>495</v>
      </c>
      <c r="Q50" t="s">
        <v>128</v>
      </c>
      <c r="R50" s="177" t="s">
        <v>382</v>
      </c>
      <c r="S50" t="s">
        <v>126</v>
      </c>
      <c r="T50" t="s">
        <v>134</v>
      </c>
    </row>
    <row r="51" spans="7:20">
      <c r="G51" s="177" t="s">
        <v>450</v>
      </c>
      <c r="H51" s="177" t="s">
        <v>105</v>
      </c>
      <c r="I51" s="177" t="s">
        <v>453</v>
      </c>
      <c r="J51" s="177"/>
      <c r="K51" s="177" t="s">
        <v>463</v>
      </c>
      <c r="L51" s="177"/>
      <c r="N51" s="177" t="s">
        <v>496</v>
      </c>
      <c r="O51" s="177" t="s">
        <v>190</v>
      </c>
      <c r="P51" s="177" t="s">
        <v>496</v>
      </c>
      <c r="Q51" t="s">
        <v>128</v>
      </c>
      <c r="R51" s="177" t="s">
        <v>382</v>
      </c>
      <c r="S51" t="s">
        <v>126</v>
      </c>
      <c r="T51" t="s">
        <v>134</v>
      </c>
    </row>
    <row r="52" spans="7:20">
      <c r="G52" s="177" t="s">
        <v>450</v>
      </c>
      <c r="H52" s="177" t="s">
        <v>104</v>
      </c>
      <c r="I52" s="177" t="s">
        <v>471</v>
      </c>
      <c r="K52" s="177"/>
      <c r="L52" s="177"/>
      <c r="N52" s="177" t="s">
        <v>497</v>
      </c>
      <c r="O52" s="177" t="s">
        <v>190</v>
      </c>
      <c r="P52" s="177" t="s">
        <v>497</v>
      </c>
      <c r="Q52" t="s">
        <v>128</v>
      </c>
      <c r="R52" s="177" t="s">
        <v>382</v>
      </c>
      <c r="S52" t="s">
        <v>126</v>
      </c>
      <c r="T52" t="s">
        <v>134</v>
      </c>
    </row>
    <row r="53" spans="7:20">
      <c r="G53" s="177" t="s">
        <v>450</v>
      </c>
      <c r="H53" s="177" t="s">
        <v>104</v>
      </c>
      <c r="I53" s="177" t="s">
        <v>435</v>
      </c>
      <c r="J53" t="s">
        <v>468</v>
      </c>
      <c r="K53" s="177"/>
      <c r="L53" s="177" t="s">
        <v>463</v>
      </c>
      <c r="N53" s="263" t="s">
        <v>529</v>
      </c>
      <c r="O53" s="263" t="s">
        <v>529</v>
      </c>
      <c r="P53" s="263" t="s">
        <v>530</v>
      </c>
      <c r="Q53" s="262" t="s">
        <v>128</v>
      </c>
      <c r="R53" s="263" t="s">
        <v>382</v>
      </c>
      <c r="S53" s="262" t="s">
        <v>126</v>
      </c>
      <c r="T53" s="262" t="s">
        <v>134</v>
      </c>
    </row>
    <row r="54" spans="7:20">
      <c r="G54" s="177" t="s">
        <v>450</v>
      </c>
      <c r="H54" s="177" t="s">
        <v>105</v>
      </c>
      <c r="I54" s="177" t="s">
        <v>453</v>
      </c>
      <c r="J54" s="177"/>
      <c r="K54" s="177" t="s">
        <v>464</v>
      </c>
      <c r="L54" s="177"/>
      <c r="N54" s="263" t="s">
        <v>537</v>
      </c>
      <c r="O54" s="263" t="s">
        <v>537</v>
      </c>
      <c r="P54" s="263" t="s">
        <v>538</v>
      </c>
      <c r="Q54" s="262" t="s">
        <v>128</v>
      </c>
      <c r="R54" s="263" t="s">
        <v>382</v>
      </c>
      <c r="S54" s="262" t="s">
        <v>126</v>
      </c>
      <c r="T54" s="262" t="s">
        <v>134</v>
      </c>
    </row>
    <row r="55" spans="7:20">
      <c r="G55" s="177" t="s">
        <v>465</v>
      </c>
      <c r="H55" s="177" t="s">
        <v>105</v>
      </c>
      <c r="I55" s="177" t="s">
        <v>453</v>
      </c>
      <c r="J55" s="177"/>
      <c r="K55" s="177" t="s">
        <v>465</v>
      </c>
      <c r="L55" s="177"/>
      <c r="N55" s="263" t="s">
        <v>543</v>
      </c>
      <c r="O55" s="263" t="s">
        <v>435</v>
      </c>
      <c r="P55" s="263" t="s">
        <v>477</v>
      </c>
      <c r="Q55" s="262" t="s">
        <v>128</v>
      </c>
      <c r="R55" s="263" t="s">
        <v>382</v>
      </c>
      <c r="S55" s="262" t="s">
        <v>126</v>
      </c>
      <c r="T55" s="262" t="s">
        <v>134</v>
      </c>
    </row>
    <row r="56" spans="7:20">
      <c r="G56" s="177" t="s">
        <v>465</v>
      </c>
      <c r="H56" s="177" t="s">
        <v>104</v>
      </c>
      <c r="I56" s="177" t="s">
        <v>466</v>
      </c>
      <c r="J56" s="177"/>
      <c r="K56" s="177"/>
      <c r="L56" s="177"/>
    </row>
    <row r="57" spans="7:20">
      <c r="G57" s="177" t="s">
        <v>435</v>
      </c>
      <c r="H57" s="177" t="s">
        <v>104</v>
      </c>
      <c r="I57" s="177" t="s">
        <v>435</v>
      </c>
      <c r="J57" s="177"/>
      <c r="K57" s="177"/>
      <c r="L57" s="177"/>
    </row>
    <row r="58" spans="7:20">
      <c r="G58" s="177" t="s">
        <v>481</v>
      </c>
      <c r="H58" s="177" t="s">
        <v>104</v>
      </c>
      <c r="I58" s="177" t="s">
        <v>481</v>
      </c>
      <c r="J58" s="177"/>
      <c r="K58" s="177"/>
      <c r="L58" s="177"/>
    </row>
    <row r="59" spans="7:20">
      <c r="G59" s="177" t="s">
        <v>491</v>
      </c>
      <c r="H59" s="177" t="s">
        <v>104</v>
      </c>
      <c r="I59" s="177" t="s">
        <v>491</v>
      </c>
      <c r="J59" s="177"/>
      <c r="K59" s="177"/>
      <c r="L59" s="177"/>
    </row>
    <row r="60" spans="7:20">
      <c r="G60" s="263" t="s">
        <v>529</v>
      </c>
      <c r="H60" s="263" t="s">
        <v>104</v>
      </c>
      <c r="I60" s="263" t="s">
        <v>529</v>
      </c>
      <c r="J60" s="263"/>
      <c r="K60" s="263"/>
      <c r="L60" s="263"/>
    </row>
    <row r="61" spans="7:20">
      <c r="G61" s="263" t="s">
        <v>537</v>
      </c>
      <c r="H61" s="263" t="s">
        <v>104</v>
      </c>
      <c r="I61" s="263" t="s">
        <v>537</v>
      </c>
      <c r="J61" s="263"/>
      <c r="K61" s="263"/>
      <c r="L61" s="263"/>
    </row>
    <row r="62" spans="7:20">
      <c r="G62" s="263" t="s">
        <v>543</v>
      </c>
      <c r="H62" s="263" t="s">
        <v>104</v>
      </c>
      <c r="I62" s="263" t="s">
        <v>543</v>
      </c>
      <c r="J62" s="263"/>
      <c r="K62" s="263"/>
      <c r="L62" s="263"/>
    </row>
  </sheetData>
  <dataConsolidate/>
  <mergeCells count="8">
    <mergeCell ref="A1:B1"/>
    <mergeCell ref="D1:E1"/>
    <mergeCell ref="BE1:BF1"/>
    <mergeCell ref="AE1:AK1"/>
    <mergeCell ref="Y1:AC1"/>
    <mergeCell ref="N1:T1"/>
    <mergeCell ref="V1:W1"/>
    <mergeCell ref="G1:L1"/>
  </mergeCells>
  <dataValidations count="13">
    <dataValidation type="list" allowBlank="1" showInputMessage="1" showErrorMessage="1" sqref="E10:E12 E21 E3 E16:E18">
      <formula1>INDIRECT("Actions[Code]")</formula1>
    </dataValidation>
    <dataValidation type="list" allowBlank="1" showInputMessage="1" showErrorMessage="1" sqref="AL3:AL6">
      <formula1>INDIRECT("ParamPurpose[Code]")</formula1>
    </dataValidation>
    <dataValidation type="list" allowBlank="1" showInputMessage="1" showErrorMessage="1" sqref="N11:N12 V3:V28 W4:W11">
      <formula1>INDIRECT("Reports[Code]")</formula1>
    </dataValidation>
    <dataValidation type="list" allowBlank="1" showInputMessage="1" showErrorMessage="1" sqref="Z3:Z14">
      <formula1>INDIRECT("ProgramTypes[Code]")</formula1>
    </dataValidation>
    <dataValidation type="list" allowBlank="1" showInputMessage="1" showErrorMessage="1" sqref="AB3:AB14">
      <formula1>INDIRECT("ReturnTypes[Code]")</formula1>
    </dataValidation>
    <dataValidation type="list" allowBlank="1" showInputMessage="1" showErrorMessage="1" sqref="AG3:AG28">
      <formula1>INDIRECT("Direction[Code]")</formula1>
    </dataValidation>
    <dataValidation type="list" allowBlank="1" showInputMessage="1" showErrorMessage="1" sqref="AI3:AI28 AK3:AK28">
      <formula1>INDIRECT("YesNo[Code]")</formula1>
    </dataValidation>
    <dataValidation type="whole" allowBlank="1" showInputMessage="1" showErrorMessage="1" sqref="AJ3:AJ28">
      <formula1>1</formula1>
      <formula2>32767</formula2>
    </dataValidation>
    <dataValidation type="list" allowBlank="1" showInputMessage="1" showErrorMessage="1" sqref="J3:J62">
      <formula1>INDIRECT("AfterAction")</formula1>
    </dataValidation>
    <dataValidation type="list" allowBlank="1" showInputMessage="1" showErrorMessage="1" sqref="H3:H62">
      <formula1>INDIRECT("ActionTypes[Code]")</formula1>
    </dataValidation>
    <dataValidation type="list" allowBlank="1" showInputMessage="1" showErrorMessage="1" sqref="Q3:Q55">
      <formula1>INDIRECT("CreateModes[Code]")</formula1>
    </dataValidation>
    <dataValidation type="list" allowBlank="1" showInputMessage="1" showErrorMessage="1" sqref="T3:T55">
      <formula1>INDIRECT("ReportTypes[Code]")</formula1>
    </dataValidation>
    <dataValidation type="list" allowBlank="1" showInputMessage="1" showErrorMessage="1" sqref="S3:S55">
      <formula1>INDIRECT("Programs[Code]")</formula1>
    </dataValidation>
  </dataValidations>
  <pageMargins left="0.7" right="0.7" top="0.75" bottom="0.75" header="0.3" footer="0.3"/>
  <pageSetup paperSize="9" orientation="portrait" r:id="rId1"/>
  <tableParts count="17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Reports"/>
  <dimension ref="A1:F25"/>
  <sheetViews>
    <sheetView showRowColHeaders="0" tabSelected="1" zoomScale="175" zoomScaleNormal="175" workbookViewId="0">
      <selection activeCell="C2" sqref="C2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92</v>
      </c>
      <c r="C2" s="40" t="s">
        <v>479</v>
      </c>
      <c r="D2" s="32" t="s">
        <v>191</v>
      </c>
      <c r="E2" s="32"/>
    </row>
    <row r="3" spans="1:6" ht="11.25" customHeight="1">
      <c r="A3" s="32"/>
      <c r="B3" s="31"/>
      <c r="C3" s="42" t="s">
        <v>135</v>
      </c>
      <c r="D3" s="32"/>
      <c r="E3" s="32"/>
    </row>
    <row r="4" spans="1:6">
      <c r="A4" s="32"/>
      <c r="B4" s="31" t="s">
        <v>50</v>
      </c>
      <c r="C4" s="178">
        <v>2017</v>
      </c>
      <c r="D4" s="32"/>
      <c r="E4" s="32"/>
    </row>
    <row r="5" spans="1:6">
      <c r="A5" s="32"/>
      <c r="B5" s="31" t="s">
        <v>57</v>
      </c>
      <c r="C5" s="179">
        <v>12</v>
      </c>
      <c r="D5" s="32"/>
      <c r="E5" s="32"/>
    </row>
    <row r="6" spans="1:6">
      <c r="A6" s="32"/>
      <c r="B6" s="31" t="s">
        <v>339</v>
      </c>
      <c r="C6" s="41">
        <v>43465</v>
      </c>
      <c r="D6" s="32"/>
      <c r="E6" s="32"/>
    </row>
    <row r="7" spans="1:6">
      <c r="A7" s="32"/>
      <c r="B7" s="32"/>
      <c r="C7" s="32"/>
      <c r="D7" s="32"/>
      <c r="E7" s="32"/>
    </row>
    <row r="8" spans="1:6" ht="1.5" customHeight="1">
      <c r="A8" s="333"/>
      <c r="B8" s="333"/>
      <c r="C8" s="333"/>
      <c r="D8" s="333"/>
      <c r="E8" s="333"/>
    </row>
    <row r="9" spans="1:6" ht="97.5" customHeight="1">
      <c r="A9" s="44"/>
      <c r="B9" s="334" t="s">
        <v>488</v>
      </c>
      <c r="C9" s="335"/>
      <c r="D9" s="335"/>
      <c r="E9" s="44"/>
    </row>
    <row r="10" spans="1:6" s="43" customFormat="1" ht="14.25" customHeight="1">
      <c r="A10" s="333"/>
      <c r="B10" s="333"/>
      <c r="C10" s="333"/>
      <c r="D10" s="333"/>
      <c r="E10" s="333"/>
    </row>
    <row r="11" spans="1:6" hidden="1">
      <c r="A11" s="330"/>
      <c r="B11" s="331"/>
      <c r="C11" s="331"/>
      <c r="D11" s="331"/>
      <c r="E11" s="332"/>
    </row>
    <row r="12" spans="1:6" hidden="1"/>
    <row r="13" spans="1:6" hidden="1"/>
    <row r="14" spans="1:6" hidden="1"/>
    <row r="15" spans="1:6" hidden="1">
      <c r="F15" s="26" t="s">
        <v>46</v>
      </c>
    </row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/>
    <row r="25" spans="5:5" hidden="1">
      <c r="E25" s="26" t="s">
        <v>46</v>
      </c>
    </row>
  </sheetData>
  <dataConsolidate/>
  <mergeCells count="4">
    <mergeCell ref="A11:E11"/>
    <mergeCell ref="A8:E8"/>
    <mergeCell ref="A10:E10"/>
    <mergeCell ref="B9:D9"/>
  </mergeCells>
  <dataValidations count="4">
    <dataValidation type="list" allowBlank="1" showInputMessage="1" showErrorMessage="1" sqref="C2">
      <formula1>INDIRECT("Menu[Code]")</formula1>
    </dataValidation>
    <dataValidation type="whole" allowBlank="1" showInputMessage="1" showErrorMessage="1" sqref="C4">
      <formula1>2016</formula1>
      <formula2>2033</formula2>
    </dataValidation>
    <dataValidation type="whole" allowBlank="1" showInputMessage="1" showErrorMessage="1" sqref="C5">
      <formula1>1</formula1>
      <formula2>12</formula2>
    </dataValidation>
    <dataValidation type="date" allowBlank="1" showInputMessage="1" showErrorMessage="1" sqref="C6">
      <formula1>42370</formula1>
      <formula2>48944</formula2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26"/>
  <dimension ref="A1:J20"/>
  <sheetViews>
    <sheetView zoomScale="145" zoomScaleNormal="145" workbookViewId="0">
      <pane ySplit="4" topLeftCell="A5" activePane="bottomLeft" state="frozen"/>
      <selection pane="bottomLeft" activeCell="F12" sqref="F12"/>
    </sheetView>
  </sheetViews>
  <sheetFormatPr defaultRowHeight="15"/>
  <cols>
    <col min="1" max="2" width="12.42578125" style="262" customWidth="1"/>
    <col min="3" max="4" width="13.85546875" style="262" customWidth="1"/>
    <col min="5" max="5" width="39" style="262" customWidth="1"/>
    <col min="6" max="7" width="17.140625" style="262" customWidth="1"/>
    <col min="8" max="8" width="14" style="262" customWidth="1"/>
    <col min="9" max="16384" width="9.140625" style="262"/>
  </cols>
  <sheetData>
    <row r="1" spans="1:10" ht="36" customHeight="1">
      <c r="A1" s="313" t="s">
        <v>506</v>
      </c>
      <c r="B1" s="313"/>
      <c r="C1" s="313"/>
      <c r="D1" s="313"/>
      <c r="E1" s="313"/>
      <c r="F1" s="313"/>
      <c r="G1" s="313"/>
      <c r="H1" s="313"/>
      <c r="I1" s="244"/>
      <c r="J1" s="244"/>
    </row>
    <row r="2" spans="1:10" ht="24" customHeight="1">
      <c r="A2" s="246" t="s">
        <v>527</v>
      </c>
      <c r="B2" s="246" t="s">
        <v>438</v>
      </c>
      <c r="C2" s="246" t="s">
        <v>507</v>
      </c>
      <c r="D2" s="247" t="s">
        <v>508</v>
      </c>
      <c r="E2" s="247" t="s">
        <v>97</v>
      </c>
      <c r="F2" s="248" t="s">
        <v>440</v>
      </c>
      <c r="G2" s="247" t="s">
        <v>420</v>
      </c>
      <c r="H2" s="278" t="s">
        <v>135</v>
      </c>
    </row>
    <row r="3" spans="1:10">
      <c r="A3" s="271" t="s">
        <v>493</v>
      </c>
      <c r="B3" s="163"/>
      <c r="C3" s="163"/>
      <c r="D3" s="163"/>
      <c r="E3" s="114"/>
      <c r="F3" s="272"/>
      <c r="G3" s="272"/>
      <c r="H3" s="277"/>
    </row>
    <row r="4" spans="1:10" ht="15.75" thickBot="1">
      <c r="A4" s="279"/>
      <c r="B4" s="279"/>
      <c r="C4" s="279"/>
      <c r="D4" s="279"/>
      <c r="E4" s="279"/>
      <c r="F4" s="279"/>
      <c r="G4" s="279"/>
      <c r="H4" s="279"/>
    </row>
    <row r="5" spans="1:10" ht="19.5" customHeight="1" thickTop="1"/>
    <row r="6" spans="1:10" ht="30" customHeight="1">
      <c r="A6" s="341" t="s">
        <v>520</v>
      </c>
      <c r="B6" s="341"/>
      <c r="C6" s="341"/>
      <c r="D6" s="341"/>
      <c r="E6" s="341"/>
      <c r="F6" s="341"/>
      <c r="G6" s="341"/>
      <c r="H6" s="341"/>
    </row>
    <row r="7" spans="1:10">
      <c r="A7" s="246" t="s">
        <v>509</v>
      </c>
      <c r="B7" s="246" t="s">
        <v>510</v>
      </c>
      <c r="C7" s="247" t="s">
        <v>511</v>
      </c>
      <c r="D7" s="247" t="s">
        <v>40</v>
      </c>
      <c r="E7" s="248" t="s">
        <v>512</v>
      </c>
      <c r="F7" s="247" t="s">
        <v>513</v>
      </c>
      <c r="G7" s="247" t="s">
        <v>514</v>
      </c>
      <c r="H7" s="247" t="s">
        <v>515</v>
      </c>
    </row>
    <row r="8" spans="1:10">
      <c r="A8" s="272" t="s">
        <v>494</v>
      </c>
      <c r="B8" s="272"/>
      <c r="C8" s="165"/>
      <c r="D8" s="281"/>
      <c r="E8" s="283"/>
      <c r="F8" s="166" t="s">
        <v>191</v>
      </c>
      <c r="G8" s="163"/>
      <c r="H8" s="163"/>
    </row>
    <row r="9" spans="1:10" ht="16.5" customHeight="1"/>
    <row r="10" spans="1:10" ht="30" customHeight="1">
      <c r="A10" s="340" t="s">
        <v>523</v>
      </c>
      <c r="B10" s="341"/>
      <c r="C10" s="341"/>
      <c r="D10" s="341"/>
      <c r="E10" s="341"/>
      <c r="F10" s="341"/>
      <c r="G10" s="341"/>
      <c r="H10" s="341"/>
    </row>
    <row r="11" spans="1:10">
      <c r="A11" s="246" t="s">
        <v>509</v>
      </c>
      <c r="B11" s="246" t="s">
        <v>510</v>
      </c>
      <c r="C11" s="247" t="s">
        <v>485</v>
      </c>
      <c r="D11" s="247" t="s">
        <v>40</v>
      </c>
      <c r="E11" s="248" t="s">
        <v>512</v>
      </c>
      <c r="F11" s="247" t="s">
        <v>513</v>
      </c>
      <c r="G11" s="247" t="s">
        <v>514</v>
      </c>
      <c r="H11" s="247" t="s">
        <v>515</v>
      </c>
    </row>
    <row r="12" spans="1:10">
      <c r="A12" s="270" t="s">
        <v>495</v>
      </c>
      <c r="B12" s="272"/>
      <c r="C12" s="165"/>
      <c r="D12" s="115"/>
      <c r="E12" s="283"/>
      <c r="F12" s="166" t="s">
        <v>191</v>
      </c>
      <c r="G12" s="163"/>
      <c r="H12" s="163"/>
    </row>
    <row r="14" spans="1:10" ht="30" customHeight="1">
      <c r="A14" s="341" t="s">
        <v>521</v>
      </c>
      <c r="B14" s="341"/>
      <c r="C14" s="341"/>
      <c r="D14" s="341"/>
      <c r="E14" s="341"/>
      <c r="F14" s="341"/>
      <c r="G14" s="341"/>
    </row>
    <row r="15" spans="1:10" ht="25.5">
      <c r="A15" s="246" t="s">
        <v>35</v>
      </c>
      <c r="B15" s="246" t="s">
        <v>516</v>
      </c>
      <c r="C15" s="246" t="s">
        <v>38</v>
      </c>
      <c r="D15" s="247" t="s">
        <v>40</v>
      </c>
      <c r="E15" s="247" t="s">
        <v>517</v>
      </c>
      <c r="F15" s="247" t="s">
        <v>518</v>
      </c>
      <c r="G15" s="247" t="s">
        <v>39</v>
      </c>
    </row>
    <row r="16" spans="1:10">
      <c r="A16" s="270" t="s">
        <v>496</v>
      </c>
      <c r="B16" s="282"/>
      <c r="C16" s="272"/>
      <c r="D16" s="115"/>
      <c r="E16" s="280"/>
      <c r="F16" s="273"/>
      <c r="G16" s="273"/>
    </row>
    <row r="18" spans="1:5" ht="30" customHeight="1">
      <c r="A18" s="341" t="s">
        <v>522</v>
      </c>
      <c r="B18" s="341"/>
      <c r="C18" s="341"/>
      <c r="D18" s="341"/>
      <c r="E18" s="341"/>
    </row>
    <row r="19" spans="1:5" ht="15.75" thickBot="1">
      <c r="A19" s="274" t="s">
        <v>3</v>
      </c>
      <c r="B19" s="274" t="s">
        <v>57</v>
      </c>
      <c r="C19" s="275" t="s">
        <v>511</v>
      </c>
      <c r="D19" s="275" t="s">
        <v>40</v>
      </c>
      <c r="E19" s="274" t="s">
        <v>519</v>
      </c>
    </row>
    <row r="20" spans="1:5" ht="15.75" thickTop="1">
      <c r="A20" s="276" t="s">
        <v>497</v>
      </c>
      <c r="B20" s="276"/>
      <c r="C20" s="276"/>
      <c r="D20" s="281"/>
      <c r="E20" s="284"/>
    </row>
  </sheetData>
  <mergeCells count="5">
    <mergeCell ref="A10:H10"/>
    <mergeCell ref="A6:H6"/>
    <mergeCell ref="A1:H1"/>
    <mergeCell ref="A14:G14"/>
    <mergeCell ref="A18:E18"/>
  </mergeCell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1"/>
  <dimension ref="A1:L5"/>
  <sheetViews>
    <sheetView workbookViewId="0">
      <selection activeCell="L5" sqref="L5"/>
    </sheetView>
  </sheetViews>
  <sheetFormatPr defaultRowHeight="15"/>
  <cols>
    <col min="1" max="1" width="9" customWidth="1"/>
    <col min="2" max="2" width="11.5703125" customWidth="1"/>
    <col min="3" max="3" width="12.5703125" customWidth="1"/>
    <col min="4" max="4" width="11" customWidth="1"/>
    <col min="5" max="5" width="14.140625" customWidth="1"/>
    <col min="6" max="6" width="10.5703125" customWidth="1"/>
    <col min="7" max="8" width="8" customWidth="1"/>
    <col min="9" max="9" width="14" customWidth="1"/>
    <col min="10" max="10" width="18.42578125" customWidth="1"/>
    <col min="11" max="11" width="62.42578125" customWidth="1"/>
    <col min="12" max="12" width="10.85546875" customWidth="1"/>
  </cols>
  <sheetData>
    <row r="1" spans="1:12" ht="44.25" customHeight="1">
      <c r="A1" s="313" t="s">
        <v>249</v>
      </c>
      <c r="B1" s="313"/>
      <c r="C1" s="313"/>
      <c r="D1" s="313"/>
      <c r="E1" s="313"/>
      <c r="F1" s="313"/>
      <c r="G1" s="313"/>
      <c r="H1" s="313"/>
      <c r="I1" s="313"/>
      <c r="J1" s="313"/>
      <c r="K1" s="313"/>
      <c r="L1" s="313"/>
    </row>
    <row r="2" spans="1:12" ht="44.25" customHeight="1">
      <c r="A2" s="342" t="s">
        <v>327</v>
      </c>
      <c r="B2" s="342"/>
      <c r="C2" s="342"/>
      <c r="D2" s="342" t="s">
        <v>58</v>
      </c>
      <c r="E2" s="342"/>
      <c r="F2" s="342" t="s">
        <v>62</v>
      </c>
      <c r="G2" s="342" t="s">
        <v>52</v>
      </c>
      <c r="H2" s="342" t="s">
        <v>328</v>
      </c>
      <c r="I2" s="342" t="s">
        <v>329</v>
      </c>
      <c r="J2" s="342" t="s">
        <v>3</v>
      </c>
      <c r="K2" s="342" t="s">
        <v>325</v>
      </c>
      <c r="L2" s="342" t="s">
        <v>330</v>
      </c>
    </row>
    <row r="3" spans="1:12" ht="31.5">
      <c r="A3" s="170" t="s">
        <v>326</v>
      </c>
      <c r="B3" s="171" t="s">
        <v>47</v>
      </c>
      <c r="C3" s="171" t="s">
        <v>61</v>
      </c>
      <c r="D3" s="171" t="s">
        <v>47</v>
      </c>
      <c r="E3" s="171" t="s">
        <v>61</v>
      </c>
      <c r="F3" s="342"/>
      <c r="G3" s="342" t="s">
        <v>41</v>
      </c>
      <c r="H3" s="342" t="s">
        <v>325</v>
      </c>
      <c r="I3" s="342"/>
      <c r="J3" s="342"/>
      <c r="K3" s="342"/>
      <c r="L3" s="342"/>
    </row>
    <row r="4" spans="1:12">
      <c r="A4" s="173" t="s">
        <v>7</v>
      </c>
      <c r="B4" s="173" t="s">
        <v>8</v>
      </c>
      <c r="C4" s="173" t="s">
        <v>9</v>
      </c>
      <c r="D4" s="173" t="s">
        <v>10</v>
      </c>
      <c r="E4" s="173" t="s">
        <v>11</v>
      </c>
      <c r="F4" s="174" t="s">
        <v>12</v>
      </c>
      <c r="G4" s="174" t="s">
        <v>13</v>
      </c>
      <c r="H4" s="173" t="s">
        <v>14</v>
      </c>
      <c r="I4" s="175" t="s">
        <v>15</v>
      </c>
      <c r="J4" s="175" t="s">
        <v>16</v>
      </c>
      <c r="K4" s="175" t="s">
        <v>18</v>
      </c>
      <c r="L4" s="175" t="s">
        <v>17</v>
      </c>
    </row>
    <row r="5" spans="1:12">
      <c r="A5" s="29" t="s">
        <v>324</v>
      </c>
      <c r="B5" s="29"/>
      <c r="C5" s="28"/>
      <c r="D5" s="172"/>
      <c r="E5" s="28"/>
      <c r="F5" s="29"/>
      <c r="G5" s="172"/>
      <c r="H5" s="172"/>
      <c r="I5" s="29"/>
      <c r="J5" s="29"/>
      <c r="K5" s="29"/>
      <c r="L5" s="28"/>
    </row>
  </sheetData>
  <mergeCells count="10">
    <mergeCell ref="A1:L1"/>
    <mergeCell ref="J2:J3"/>
    <mergeCell ref="L2:L3"/>
    <mergeCell ref="K2:K3"/>
    <mergeCell ref="A2:C2"/>
    <mergeCell ref="D2:E2"/>
    <mergeCell ref="F2:F3"/>
    <mergeCell ref="G2:G3"/>
    <mergeCell ref="H2:H3"/>
    <mergeCell ref="I2:I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B7" sqref="B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290" t="s">
        <v>251</v>
      </c>
      <c r="B1" s="290"/>
      <c r="C1" s="290"/>
      <c r="D1" s="290"/>
      <c r="E1" s="111"/>
      <c r="F1" s="111"/>
      <c r="G1" s="111"/>
      <c r="H1" s="111"/>
      <c r="I1" s="111"/>
      <c r="J1" s="111"/>
    </row>
    <row r="2" spans="1:10">
      <c r="B2" s="95"/>
      <c r="C2" s="64" t="s">
        <v>226</v>
      </c>
      <c r="D2" s="64" t="s">
        <v>227</v>
      </c>
      <c r="E2" s="6"/>
      <c r="F2" s="6"/>
      <c r="G2" s="6"/>
      <c r="H2" s="6"/>
      <c r="I2" s="6"/>
      <c r="J2" s="6"/>
    </row>
    <row r="3" spans="1:10">
      <c r="B3" s="96" t="s">
        <v>228</v>
      </c>
      <c r="C3" s="65">
        <f>SUM(Таблица26[130])</f>
        <v>0</v>
      </c>
      <c r="D3" s="65">
        <f>SUM(Таблица26[140])</f>
        <v>0</v>
      </c>
    </row>
    <row r="4" spans="1:10" ht="15.75" thickBot="1">
      <c r="B4" s="95"/>
      <c r="C4" s="95"/>
      <c r="D4" s="95"/>
    </row>
    <row r="5" spans="1:10" ht="43.15" customHeight="1">
      <c r="A5" s="97" t="s">
        <v>182</v>
      </c>
      <c r="B5" s="98" t="s">
        <v>229</v>
      </c>
      <c r="C5" s="99" t="s">
        <v>230</v>
      </c>
      <c r="D5" s="100" t="s">
        <v>230</v>
      </c>
    </row>
    <row r="6" spans="1:10" s="102" customFormat="1" ht="12" thickBot="1">
      <c r="A6" s="101" t="s">
        <v>183</v>
      </c>
      <c r="B6" s="105" t="s">
        <v>235</v>
      </c>
      <c r="C6" s="106" t="s">
        <v>231</v>
      </c>
      <c r="D6" s="107" t="s">
        <v>232</v>
      </c>
    </row>
    <row r="7" spans="1:10">
      <c r="A7" s="51"/>
      <c r="B7" s="103" t="s">
        <v>236</v>
      </c>
      <c r="C7" s="104"/>
      <c r="D7" s="104"/>
    </row>
    <row r="9" spans="1:10">
      <c r="B9" t="s">
        <v>233</v>
      </c>
    </row>
    <row r="10" spans="1:10">
      <c r="B10" t="s">
        <v>234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343" t="s">
        <v>252</v>
      </c>
      <c r="B1" s="344"/>
      <c r="C1" s="344"/>
      <c r="D1" s="344"/>
      <c r="E1" s="344"/>
    </row>
    <row r="2" spans="1:6" ht="19.5" customHeight="1">
      <c r="A2" s="345" t="s">
        <v>181</v>
      </c>
      <c r="B2" s="346"/>
      <c r="C2" s="346"/>
      <c r="D2" s="346"/>
      <c r="E2" s="347"/>
    </row>
    <row r="3" spans="1:6" ht="30">
      <c r="A3" s="77" t="s">
        <v>182</v>
      </c>
      <c r="B3" s="77" t="s">
        <v>68</v>
      </c>
      <c r="C3" s="77" t="s">
        <v>69</v>
      </c>
      <c r="D3" s="77" t="s">
        <v>70</v>
      </c>
      <c r="E3" s="77" t="s">
        <v>71</v>
      </c>
    </row>
    <row r="4" spans="1:6">
      <c r="A4" s="78" t="s">
        <v>183</v>
      </c>
      <c r="B4" s="76" t="s">
        <v>72</v>
      </c>
      <c r="C4" s="76" t="s">
        <v>73</v>
      </c>
      <c r="D4" s="76" t="s">
        <v>74</v>
      </c>
      <c r="E4" s="76" t="s">
        <v>75</v>
      </c>
    </row>
    <row r="5" spans="1:6">
      <c r="A5" s="79"/>
      <c r="B5" s="80" t="s">
        <v>137</v>
      </c>
      <c r="C5" s="81"/>
      <c r="D5" s="82"/>
      <c r="E5" s="83"/>
    </row>
    <row r="6" spans="1:6">
      <c r="D6" t="s">
        <v>191</v>
      </c>
    </row>
    <row r="7" spans="1:6">
      <c r="D7" t="s">
        <v>184</v>
      </c>
    </row>
    <row r="8" spans="1:6" ht="20.25" customHeight="1">
      <c r="D8" s="328" t="s">
        <v>185</v>
      </c>
      <c r="E8" s="328"/>
    </row>
    <row r="9" spans="1:6">
      <c r="C9" s="6"/>
      <c r="D9" s="6" t="s">
        <v>188</v>
      </c>
      <c r="E9" s="55"/>
      <c r="F9" s="6"/>
    </row>
    <row r="10" spans="1:6">
      <c r="C10" s="55"/>
      <c r="D10" s="56" t="s">
        <v>186</v>
      </c>
      <c r="E10" s="57">
        <f>SUBTOTAL(109,ndfl6_part1_general_recalc_curr[[#All],[Столбец2]])</f>
        <v>0</v>
      </c>
      <c r="F10" s="6"/>
    </row>
    <row r="11" spans="1:6" ht="19.5" customHeight="1">
      <c r="C11" s="53"/>
      <c r="D11" s="328" t="s">
        <v>187</v>
      </c>
      <c r="E11" s="328"/>
    </row>
    <row r="12" spans="1:6">
      <c r="D12" s="6" t="s">
        <v>189</v>
      </c>
      <c r="E12" s="53"/>
    </row>
    <row r="13" spans="1:6">
      <c r="D13" s="54" t="s">
        <v>186</v>
      </c>
      <c r="E13" s="57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activeCell="A9" sqref="A9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348" t="s">
        <v>253</v>
      </c>
      <c r="B1" s="349"/>
      <c r="C1" s="349"/>
      <c r="D1" s="349"/>
      <c r="E1" s="349"/>
      <c r="F1" s="349"/>
      <c r="G1" s="349"/>
      <c r="H1" s="349"/>
    </row>
    <row r="2" spans="1:8" ht="30.75" thickBot="1">
      <c r="A2" s="74" t="s">
        <v>182</v>
      </c>
      <c r="B2" s="72" t="s">
        <v>79</v>
      </c>
      <c r="C2" s="72" t="s">
        <v>1</v>
      </c>
      <c r="D2" s="72" t="s">
        <v>80</v>
      </c>
      <c r="E2" s="72" t="s">
        <v>81</v>
      </c>
      <c r="F2" s="72" t="s">
        <v>82</v>
      </c>
      <c r="G2" s="72" t="s">
        <v>83</v>
      </c>
      <c r="H2" s="73" t="s">
        <v>84</v>
      </c>
    </row>
    <row r="3" spans="1:8">
      <c r="A3" s="75" t="s">
        <v>183</v>
      </c>
      <c r="B3" s="58" t="s">
        <v>85</v>
      </c>
      <c r="C3" s="58" t="s">
        <v>86</v>
      </c>
      <c r="D3" s="58" t="s">
        <v>87</v>
      </c>
      <c r="E3" s="58" t="s">
        <v>88</v>
      </c>
      <c r="F3" s="58" t="s">
        <v>89</v>
      </c>
      <c r="G3" s="58" t="s">
        <v>90</v>
      </c>
      <c r="H3" s="59" t="s">
        <v>91</v>
      </c>
    </row>
    <row r="4" spans="1:8">
      <c r="A4" s="68"/>
      <c r="B4" s="69" t="s">
        <v>138</v>
      </c>
      <c r="C4" s="70"/>
      <c r="D4" s="70"/>
      <c r="E4" s="70"/>
      <c r="F4" s="71"/>
      <c r="G4" s="71"/>
      <c r="H4" s="71"/>
    </row>
    <row r="5" spans="1:8">
      <c r="A5" s="91" t="s">
        <v>215</v>
      </c>
      <c r="B5" s="92"/>
      <c r="C5" s="93">
        <f>SUBTOTAL(109,[Столбец3])</f>
        <v>0</v>
      </c>
      <c r="D5" s="93">
        <f>SUBTOTAL(109,[Столбец4])</f>
        <v>0</v>
      </c>
      <c r="E5" s="93">
        <f>SUBTOTAL(109,[Столбец5])</f>
        <v>0</v>
      </c>
      <c r="F5" s="94">
        <f>SUBTOTAL(109,[Столбец6])</f>
        <v>0</v>
      </c>
      <c r="G5" s="94">
        <f>SUBTOTAL(109,[Столбец7])</f>
        <v>0</v>
      </c>
      <c r="H5" s="94">
        <f>SUBTOTAL(109,[Столбец8])</f>
        <v>0</v>
      </c>
    </row>
    <row r="6" spans="1:8">
      <c r="A6" t="s">
        <v>192</v>
      </c>
    </row>
    <row r="7" spans="1:8">
      <c r="A7" s="60" t="s">
        <v>193</v>
      </c>
      <c r="C7" s="53"/>
      <c r="D7" s="53"/>
      <c r="E7" s="355" t="s">
        <v>194</v>
      </c>
      <c r="F7" s="355"/>
      <c r="G7" s="355"/>
      <c r="H7" s="355"/>
    </row>
    <row r="8" spans="1:8">
      <c r="A8" s="84" t="s">
        <v>195</v>
      </c>
      <c r="B8" s="84" t="s">
        <v>196</v>
      </c>
      <c r="C8" s="84" t="s">
        <v>221</v>
      </c>
      <c r="D8" s="84" t="s">
        <v>197</v>
      </c>
      <c r="E8" s="84" t="s">
        <v>198</v>
      </c>
      <c r="F8" s="84" t="s">
        <v>199</v>
      </c>
      <c r="G8" s="84" t="s">
        <v>211</v>
      </c>
      <c r="H8" s="84" t="s">
        <v>212</v>
      </c>
    </row>
    <row r="9" spans="1:8">
      <c r="A9" s="6" t="s">
        <v>209</v>
      </c>
      <c r="C9" s="53"/>
      <c r="D9" s="53"/>
    </row>
    <row r="10" spans="1:8">
      <c r="A10" s="6"/>
      <c r="C10" s="53"/>
      <c r="D10" s="53"/>
    </row>
    <row r="11" spans="1:8" ht="15.75" thickBot="1">
      <c r="C11" s="53"/>
      <c r="E11" s="356" t="s">
        <v>200</v>
      </c>
      <c r="F11" s="356"/>
      <c r="G11" s="356"/>
      <c r="H11" s="356"/>
    </row>
    <row r="12" spans="1:8">
      <c r="C12" s="53"/>
      <c r="D12" s="85"/>
      <c r="E12" s="352" t="s">
        <v>201</v>
      </c>
      <c r="F12" s="353"/>
      <c r="G12" s="354"/>
      <c r="H12" s="350" t="s">
        <v>213</v>
      </c>
    </row>
    <row r="13" spans="1:8" ht="15.75" thickBot="1">
      <c r="C13" s="89" t="s">
        <v>221</v>
      </c>
      <c r="D13" s="85" t="s">
        <v>202</v>
      </c>
      <c r="E13" s="86" t="s">
        <v>203</v>
      </c>
      <c r="F13" s="87" t="s">
        <v>204</v>
      </c>
      <c r="G13" s="88" t="s">
        <v>205</v>
      </c>
      <c r="H13" s="350"/>
    </row>
    <row r="14" spans="1:8">
      <c r="A14" s="6" t="s">
        <v>210</v>
      </c>
      <c r="C14" s="53"/>
    </row>
    <row r="15" spans="1:8">
      <c r="C15" s="61">
        <f>SUM(Таблица30[Столбец1])+SUM(Таблица31[Столбец3])</f>
        <v>0</v>
      </c>
      <c r="D15" t="s">
        <v>206</v>
      </c>
      <c r="E15" s="53"/>
    </row>
    <row r="16" spans="1:8">
      <c r="A16" s="60" t="s">
        <v>207</v>
      </c>
      <c r="E16" s="53"/>
    </row>
    <row r="17" spans="1:8" ht="37.5" customHeight="1">
      <c r="A17" s="89" t="s">
        <v>195</v>
      </c>
      <c r="B17" s="89" t="s">
        <v>196</v>
      </c>
      <c r="C17" s="89" t="s">
        <v>221</v>
      </c>
      <c r="D17" s="89" t="s">
        <v>222</v>
      </c>
      <c r="E17" s="90" t="s">
        <v>223</v>
      </c>
    </row>
    <row r="18" spans="1:8">
      <c r="A18" t="s">
        <v>214</v>
      </c>
      <c r="F18" s="62"/>
    </row>
    <row r="19" spans="1:8" ht="15.75" thickBot="1">
      <c r="C19" s="63">
        <f>SUM(C18:C18)</f>
        <v>0</v>
      </c>
      <c r="D19" t="s">
        <v>208</v>
      </c>
      <c r="F19" s="62"/>
    </row>
    <row r="20" spans="1:8" ht="15.75" thickTop="1">
      <c r="C20" s="64">
        <f>tax_13+tax_30</f>
        <v>0</v>
      </c>
      <c r="D20" t="s">
        <v>220</v>
      </c>
    </row>
    <row r="21" spans="1:8">
      <c r="C21" s="65"/>
      <c r="H21" s="66"/>
    </row>
    <row r="22" spans="1:8">
      <c r="A22" s="351" t="s">
        <v>219</v>
      </c>
      <c r="B22" s="351"/>
      <c r="C22" s="351"/>
      <c r="D22" s="351"/>
      <c r="E22" s="351"/>
      <c r="F22" s="351"/>
      <c r="G22" s="66"/>
      <c r="H22" s="66"/>
    </row>
    <row r="23" spans="1:8">
      <c r="A23" s="67" t="s">
        <v>63</v>
      </c>
      <c r="B23" s="67" t="s">
        <v>64</v>
      </c>
      <c r="C23" s="67" t="s">
        <v>65</v>
      </c>
      <c r="D23" s="67" t="s">
        <v>82</v>
      </c>
      <c r="E23" s="67" t="s">
        <v>69</v>
      </c>
      <c r="F23" s="67" t="s">
        <v>217</v>
      </c>
      <c r="G23" s="66"/>
    </row>
    <row r="24" spans="1:8">
      <c r="A24" t="s">
        <v>216</v>
      </c>
      <c r="D24" s="53"/>
      <c r="E24" s="53"/>
      <c r="F24" s="53"/>
    </row>
    <row r="25" spans="1:8">
      <c r="A25" t="s">
        <v>218</v>
      </c>
      <c r="D25" s="53">
        <f>SUBTOTAL(109,[Налог исчисленный])</f>
        <v>0</v>
      </c>
      <c r="E25" s="53">
        <f>SUBTOTAL(109,[Налог удержанный])</f>
        <v>0</v>
      </c>
      <c r="F25" s="53">
        <f>SUBTOTAL(109,[Разница])</f>
        <v>0</v>
      </c>
      <c r="G25" s="53"/>
      <c r="H25" s="53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D19" sqref="D19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97</v>
      </c>
      <c r="B1" s="34" t="s">
        <v>98</v>
      </c>
      <c r="C1" s="34" t="s">
        <v>99</v>
      </c>
      <c r="D1" s="34" t="s">
        <v>100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326" t="s">
        <v>254</v>
      </c>
      <c r="B1" s="326"/>
      <c r="C1" s="326"/>
      <c r="D1" s="326"/>
      <c r="E1" s="326"/>
      <c r="F1" s="326"/>
      <c r="G1" s="326"/>
      <c r="H1" s="326"/>
      <c r="I1" s="326"/>
    </row>
    <row r="2" spans="1:9" ht="34.5" customHeight="1">
      <c r="A2" s="33" t="s">
        <v>63</v>
      </c>
      <c r="B2" s="47" t="s">
        <v>64</v>
      </c>
      <c r="C2" s="47" t="s">
        <v>65</v>
      </c>
      <c r="D2" s="47" t="s">
        <v>98</v>
      </c>
      <c r="E2" s="47" t="s">
        <v>100</v>
      </c>
      <c r="F2" s="51" t="s">
        <v>173</v>
      </c>
      <c r="G2" s="51" t="s">
        <v>1</v>
      </c>
      <c r="H2" s="51" t="s">
        <v>174</v>
      </c>
      <c r="I2" s="52" t="s">
        <v>175</v>
      </c>
    </row>
    <row r="3" spans="1:9">
      <c r="A3" t="s">
        <v>178</v>
      </c>
      <c r="B3" s="48"/>
      <c r="C3" s="48"/>
      <c r="D3" s="49"/>
      <c r="E3" s="48"/>
      <c r="F3" s="48"/>
      <c r="G3" s="48"/>
      <c r="H3" s="48"/>
      <c r="I3" s="50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119</v>
      </c>
    </row>
    <row r="2" spans="1:1">
      <c r="A2" t="s">
        <v>77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selection activeCell="C14" sqref="C14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358" t="s">
        <v>263</v>
      </c>
      <c r="B1" s="359"/>
      <c r="C1" s="359"/>
      <c r="D1" s="359"/>
      <c r="E1" s="359"/>
      <c r="F1" s="359"/>
      <c r="G1" s="359"/>
      <c r="H1" s="359"/>
      <c r="I1" s="359"/>
    </row>
    <row r="2" spans="1:9" ht="15.75">
      <c r="A2" s="112"/>
    </row>
    <row r="3" spans="1:9" ht="31.5" customHeight="1">
      <c r="A3" s="357" t="s">
        <v>262</v>
      </c>
      <c r="B3" s="357"/>
      <c r="C3" s="357"/>
      <c r="D3" s="357"/>
      <c r="E3" s="357"/>
      <c r="F3" s="357"/>
      <c r="G3" s="357"/>
      <c r="H3" s="357"/>
      <c r="I3" s="116">
        <f>SUBTOTAL(109,Таблица52[Недоплата])</f>
        <v>0</v>
      </c>
    </row>
    <row r="4" spans="1:9" ht="15.75">
      <c r="A4" s="112"/>
    </row>
    <row r="5" spans="1:9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79</v>
      </c>
      <c r="F5" s="113" t="s">
        <v>261</v>
      </c>
      <c r="G5" s="113" t="s">
        <v>259</v>
      </c>
      <c r="H5" s="113" t="s">
        <v>227</v>
      </c>
      <c r="I5" s="113" t="s">
        <v>260</v>
      </c>
    </row>
    <row r="6" spans="1:9">
      <c r="A6" s="114" t="s">
        <v>257</v>
      </c>
      <c r="B6" s="114"/>
      <c r="C6" s="114"/>
      <c r="D6" s="114"/>
      <c r="E6" s="109"/>
      <c r="F6" s="109"/>
      <c r="G6" s="115"/>
      <c r="H6" s="115"/>
      <c r="I6" s="115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7"/>
  <dimension ref="A1:P6"/>
  <sheetViews>
    <sheetView workbookViewId="0">
      <selection activeCell="B39" sqref="B39"/>
    </sheetView>
  </sheetViews>
  <sheetFormatPr defaultRowHeight="15"/>
  <cols>
    <col min="1" max="1" width="8.7109375" customWidth="1"/>
    <col min="2" max="5" width="20.85546875" customWidth="1"/>
    <col min="6" max="7" width="8.7109375" customWidth="1"/>
    <col min="8" max="9" width="15" customWidth="1"/>
    <col min="11" max="11" width="14.7109375" customWidth="1"/>
    <col min="13" max="13" width="12.140625" bestFit="1" customWidth="1"/>
    <col min="14" max="16" width="12.140625" customWidth="1"/>
    <col min="17" max="17" width="24.5703125" bestFit="1" customWidth="1"/>
    <col min="18" max="18" width="23.85546875" bestFit="1" customWidth="1"/>
    <col min="19" max="19" width="15.7109375" bestFit="1" customWidth="1"/>
  </cols>
  <sheetData>
    <row r="1" spans="1:16" ht="50.25" customHeight="1">
      <c r="A1" s="358" t="s">
        <v>263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</row>
    <row r="2" spans="1:16" ht="15.75">
      <c r="A2" s="112"/>
      <c r="F2" s="112"/>
      <c r="G2" s="112"/>
      <c r="H2" s="112"/>
      <c r="I2" s="112"/>
    </row>
    <row r="3" spans="1:16" ht="31.5" customHeight="1">
      <c r="A3" s="360" t="s">
        <v>262</v>
      </c>
      <c r="B3" s="360"/>
      <c r="C3" s="360"/>
      <c r="D3" s="360"/>
      <c r="E3" s="360"/>
      <c r="F3" s="360"/>
      <c r="G3" s="360"/>
      <c r="H3" s="360"/>
      <c r="I3" s="360"/>
      <c r="J3" s="360"/>
      <c r="K3" s="360"/>
      <c r="L3" s="360"/>
      <c r="M3" s="360"/>
      <c r="N3" s="360"/>
      <c r="O3" s="361"/>
      <c r="P3" s="164">
        <f>SUBTOTAL(109,Таблица5229[Недоплата2])</f>
        <v>0</v>
      </c>
    </row>
    <row r="4" spans="1:16" ht="37.5" customHeight="1">
      <c r="A4" s="167"/>
      <c r="B4" s="168"/>
      <c r="C4" s="168"/>
      <c r="D4" s="168"/>
      <c r="E4" s="168"/>
      <c r="F4" s="168"/>
      <c r="G4" s="168"/>
      <c r="H4" s="168"/>
      <c r="I4" s="168"/>
      <c r="J4" s="169"/>
      <c r="K4" s="362" t="s">
        <v>310</v>
      </c>
      <c r="L4" s="362"/>
      <c r="M4" s="362"/>
      <c r="N4" s="363" t="s">
        <v>311</v>
      </c>
      <c r="O4" s="364"/>
      <c r="P4" s="365"/>
    </row>
    <row r="5" spans="1:16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62</v>
      </c>
      <c r="F5" s="113" t="s">
        <v>52</v>
      </c>
      <c r="G5" s="113" t="s">
        <v>53</v>
      </c>
      <c r="H5" s="113" t="s">
        <v>308</v>
      </c>
      <c r="I5" s="113" t="s">
        <v>317</v>
      </c>
      <c r="J5" s="113" t="s">
        <v>318</v>
      </c>
      <c r="K5" s="113" t="s">
        <v>1</v>
      </c>
      <c r="L5" s="113" t="s">
        <v>2</v>
      </c>
      <c r="M5" s="113" t="s">
        <v>309</v>
      </c>
      <c r="N5" s="113" t="s">
        <v>319</v>
      </c>
      <c r="O5" s="113" t="s">
        <v>320</v>
      </c>
      <c r="P5" s="113" t="s">
        <v>321</v>
      </c>
    </row>
    <row r="6" spans="1:16">
      <c r="A6" s="114" t="s">
        <v>335</v>
      </c>
      <c r="B6" s="114"/>
      <c r="C6" s="114"/>
      <c r="D6" s="114"/>
      <c r="E6" s="114"/>
      <c r="F6" s="163"/>
      <c r="G6" s="163"/>
      <c r="H6" s="165"/>
      <c r="I6" s="165"/>
      <c r="J6" s="165"/>
      <c r="K6" s="166"/>
      <c r="L6" s="166"/>
      <c r="M6" s="166"/>
      <c r="N6" s="166"/>
      <c r="O6" s="166"/>
      <c r="P6" s="166"/>
    </row>
  </sheetData>
  <mergeCells count="4">
    <mergeCell ref="A1:P1"/>
    <mergeCell ref="A3:O3"/>
    <mergeCell ref="K4:M4"/>
    <mergeCell ref="N4:P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15"/>
  <dimension ref="A1:N23"/>
  <sheetViews>
    <sheetView zoomScale="145" zoomScaleNormal="145" workbookViewId="0">
      <selection activeCell="C16" sqref="C16"/>
    </sheetView>
  </sheetViews>
  <sheetFormatPr defaultRowHeight="15"/>
  <cols>
    <col min="1" max="1" width="25.42578125" customWidth="1"/>
    <col min="2" max="2" width="6.5703125" bestFit="1" customWidth="1"/>
    <col min="3" max="5" width="21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326" t="s">
        <v>366</v>
      </c>
      <c r="B1" s="326"/>
      <c r="C1" s="326"/>
      <c r="D1" s="326"/>
      <c r="E1" s="326"/>
      <c r="F1" s="187"/>
      <c r="G1" s="187"/>
      <c r="H1" s="187"/>
      <c r="I1" s="187"/>
      <c r="J1" s="187"/>
      <c r="K1" s="187"/>
      <c r="L1" s="187"/>
      <c r="M1" s="187"/>
      <c r="N1" s="187"/>
    </row>
    <row r="3" spans="1:14">
      <c r="A3" s="205" t="s">
        <v>367</v>
      </c>
      <c r="B3" s="205"/>
      <c r="C3" s="205" t="s">
        <v>368</v>
      </c>
      <c r="D3" s="205" t="s">
        <v>369</v>
      </c>
      <c r="E3" s="205" t="s">
        <v>355</v>
      </c>
    </row>
    <row r="4" spans="1:14" ht="30" customHeight="1">
      <c r="A4" s="188" t="s">
        <v>370</v>
      </c>
      <c r="B4" s="188"/>
      <c r="C4" s="210" t="s">
        <v>392</v>
      </c>
      <c r="D4" s="210"/>
      <c r="E4" s="210"/>
    </row>
    <row r="5" spans="1:14">
      <c r="A5" s="189" t="s">
        <v>371</v>
      </c>
      <c r="B5" s="189"/>
      <c r="C5" s="190"/>
      <c r="D5" s="190"/>
      <c r="E5" s="190"/>
    </row>
    <row r="6" spans="1:14">
      <c r="A6" s="189" t="s">
        <v>372</v>
      </c>
      <c r="B6" s="189"/>
      <c r="C6" s="190"/>
      <c r="D6" s="191"/>
      <c r="E6" s="190"/>
    </row>
    <row r="7" spans="1:14">
      <c r="A7" s="207"/>
      <c r="B7" s="208"/>
      <c r="C7" s="204"/>
      <c r="D7" s="204"/>
      <c r="E7" s="204"/>
    </row>
    <row r="8" spans="1:14">
      <c r="A8" s="336" t="s">
        <v>373</v>
      </c>
      <c r="B8" s="336"/>
      <c r="C8" s="336"/>
      <c r="D8" s="336"/>
      <c r="E8" s="336"/>
    </row>
    <row r="9" spans="1:14">
      <c r="A9" s="206" t="s">
        <v>367</v>
      </c>
      <c r="B9" s="206" t="s">
        <v>79</v>
      </c>
      <c r="C9" s="206" t="s">
        <v>368</v>
      </c>
      <c r="D9" s="206" t="s">
        <v>369</v>
      </c>
      <c r="E9" s="206" t="s">
        <v>355</v>
      </c>
    </row>
    <row r="10" spans="1:14">
      <c r="A10" s="192" t="s">
        <v>1</v>
      </c>
      <c r="B10" s="193">
        <v>13</v>
      </c>
      <c r="C10" s="194" t="s">
        <v>393</v>
      </c>
      <c r="D10" s="195"/>
      <c r="E10" s="196"/>
    </row>
    <row r="11" spans="1:14">
      <c r="A11" s="189" t="s">
        <v>81</v>
      </c>
      <c r="B11" s="197">
        <v>13</v>
      </c>
      <c r="C11" s="198"/>
      <c r="D11" s="199"/>
      <c r="E11" s="200"/>
    </row>
    <row r="12" spans="1:14">
      <c r="A12" s="189" t="s">
        <v>82</v>
      </c>
      <c r="B12" s="197">
        <v>13</v>
      </c>
      <c r="C12" s="198"/>
      <c r="D12" s="199"/>
      <c r="E12" s="200"/>
    </row>
    <row r="13" spans="1:14">
      <c r="A13" s="189" t="s">
        <v>69</v>
      </c>
      <c r="B13" s="197">
        <v>13</v>
      </c>
      <c r="C13" s="198"/>
      <c r="D13" s="190"/>
      <c r="E13" s="200"/>
    </row>
    <row r="14" spans="1:14">
      <c r="A14" s="192" t="s">
        <v>1</v>
      </c>
      <c r="B14" s="193">
        <v>30</v>
      </c>
      <c r="C14" s="194"/>
      <c r="D14" s="195"/>
      <c r="E14" s="201"/>
    </row>
    <row r="15" spans="1:14">
      <c r="A15" s="189" t="s">
        <v>81</v>
      </c>
      <c r="B15" s="197">
        <v>30</v>
      </c>
      <c r="C15" s="198"/>
      <c r="D15" s="199"/>
      <c r="E15" s="200"/>
    </row>
    <row r="16" spans="1:14">
      <c r="A16" s="189" t="s">
        <v>82</v>
      </c>
      <c r="B16" s="197">
        <v>30</v>
      </c>
      <c r="C16" s="198"/>
      <c r="D16" s="199"/>
      <c r="E16" s="200"/>
    </row>
    <row r="17" spans="1:5">
      <c r="A17" s="189" t="s">
        <v>69</v>
      </c>
      <c r="B17" s="197">
        <v>30</v>
      </c>
      <c r="C17" s="198"/>
      <c r="D17" s="190"/>
      <c r="E17" s="200"/>
    </row>
    <row r="18" spans="1:5">
      <c r="A18" s="182"/>
      <c r="B18" s="182"/>
      <c r="C18" s="182"/>
      <c r="D18" s="182"/>
      <c r="E18" s="182"/>
    </row>
    <row r="19" spans="1:5">
      <c r="A19" s="337" t="s">
        <v>384</v>
      </c>
      <c r="B19" s="338"/>
      <c r="C19" s="338"/>
      <c r="D19" s="338"/>
      <c r="E19" s="339"/>
    </row>
    <row r="20" spans="1:5">
      <c r="A20" s="206"/>
      <c r="B20" s="211"/>
      <c r="C20" s="209" t="s">
        <v>374</v>
      </c>
      <c r="D20" s="206" t="s">
        <v>375</v>
      </c>
      <c r="E20" s="206" t="s">
        <v>293</v>
      </c>
    </row>
    <row r="21" spans="1:5">
      <c r="A21" s="189" t="s">
        <v>385</v>
      </c>
      <c r="B21" s="212"/>
      <c r="C21" s="190" t="s">
        <v>379</v>
      </c>
      <c r="D21" s="190"/>
      <c r="E21" s="190" t="e">
        <f>C21+D21</f>
        <v>#VALUE!</v>
      </c>
    </row>
    <row r="22" spans="1:5">
      <c r="A22" s="202">
        <v>83</v>
      </c>
      <c r="B22" s="212"/>
      <c r="C22" s="190"/>
      <c r="D22" s="199"/>
      <c r="E22" s="190">
        <f>C22+D22</f>
        <v>0</v>
      </c>
    </row>
    <row r="23" spans="1:5">
      <c r="A23" s="203"/>
      <c r="B23" s="203"/>
      <c r="C23" s="190" t="e">
        <f>C21+C22</f>
        <v>#VALUE!</v>
      </c>
      <c r="D23" s="190">
        <f>D21+D22</f>
        <v>0</v>
      </c>
      <c r="E23" s="191" t="e">
        <f>C23+D23</f>
        <v>#VALUE!</v>
      </c>
    </row>
  </sheetData>
  <mergeCells count="3">
    <mergeCell ref="A8:E8"/>
    <mergeCell ref="A19:E19"/>
    <mergeCell ref="A1:E1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13"/>
  <dimension ref="A1:N25"/>
  <sheetViews>
    <sheetView workbookViewId="0">
      <selection activeCell="I6" sqref="I6"/>
    </sheetView>
  </sheetViews>
  <sheetFormatPr defaultRowHeight="15"/>
  <cols>
    <col min="2" max="3" width="6.5703125" bestFit="1" customWidth="1"/>
    <col min="4" max="4" width="12.140625" customWidth="1"/>
    <col min="5" max="5" width="38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326" t="s">
        <v>348</v>
      </c>
      <c r="B1" s="326"/>
      <c r="C1" s="326"/>
      <c r="D1" s="326"/>
      <c r="E1" s="326"/>
      <c r="F1" s="326"/>
      <c r="G1" s="326"/>
      <c r="H1" s="326"/>
      <c r="I1" s="326"/>
      <c r="J1" s="326"/>
      <c r="K1" s="326"/>
      <c r="L1" s="326"/>
      <c r="M1" s="326"/>
      <c r="N1" s="187"/>
    </row>
    <row r="3" spans="1:14">
      <c r="A3" s="373" t="s">
        <v>357</v>
      </c>
      <c r="B3" s="373"/>
      <c r="C3" s="373"/>
      <c r="D3" s="373"/>
      <c r="E3" s="373"/>
      <c r="F3" s="373"/>
      <c r="G3" s="373"/>
      <c r="H3" s="373"/>
      <c r="I3" s="373"/>
      <c r="J3" s="373"/>
      <c r="K3" s="373"/>
      <c r="L3" s="373"/>
      <c r="M3" s="373"/>
    </row>
    <row r="4" spans="1:14" ht="37.5" customHeight="1">
      <c r="A4" s="366" t="s">
        <v>349</v>
      </c>
      <c r="B4" s="370" t="s">
        <v>352</v>
      </c>
      <c r="C4" s="371"/>
      <c r="D4" s="366" t="s">
        <v>329</v>
      </c>
      <c r="E4" s="366" t="s">
        <v>97</v>
      </c>
      <c r="F4" s="183" t="s">
        <v>1</v>
      </c>
      <c r="G4" s="183" t="s">
        <v>2</v>
      </c>
      <c r="H4" s="183" t="s">
        <v>82</v>
      </c>
      <c r="I4" s="370" t="s">
        <v>69</v>
      </c>
      <c r="J4" s="372"/>
      <c r="K4" s="371"/>
      <c r="L4" s="366" t="s">
        <v>353</v>
      </c>
      <c r="M4" s="368" t="s">
        <v>354</v>
      </c>
      <c r="N4" s="186"/>
    </row>
    <row r="5" spans="1:14" ht="33.75" customHeight="1">
      <c r="A5" s="367"/>
      <c r="B5" s="185" t="s">
        <v>350</v>
      </c>
      <c r="C5" s="185" t="s">
        <v>351</v>
      </c>
      <c r="D5" s="367"/>
      <c r="E5" s="367"/>
      <c r="F5" s="185"/>
      <c r="G5" s="185"/>
      <c r="H5" s="185"/>
      <c r="I5" s="185" t="s">
        <v>350</v>
      </c>
      <c r="J5" s="185" t="s">
        <v>351</v>
      </c>
      <c r="K5" s="185" t="s">
        <v>361</v>
      </c>
      <c r="L5" s="367"/>
      <c r="M5" s="369"/>
    </row>
    <row r="6" spans="1:14">
      <c r="A6" s="109" t="s">
        <v>7</v>
      </c>
      <c r="B6" s="109" t="s">
        <v>8</v>
      </c>
      <c r="C6" s="109" t="s">
        <v>9</v>
      </c>
      <c r="D6" s="109" t="s">
        <v>10</v>
      </c>
      <c r="E6" s="109" t="s">
        <v>11</v>
      </c>
      <c r="F6" s="109" t="s">
        <v>12</v>
      </c>
      <c r="G6" s="109" t="s">
        <v>13</v>
      </c>
      <c r="H6" s="109" t="s">
        <v>14</v>
      </c>
      <c r="I6" s="109" t="s">
        <v>15</v>
      </c>
      <c r="J6" s="109" t="s">
        <v>16</v>
      </c>
      <c r="K6" s="109" t="s">
        <v>17</v>
      </c>
      <c r="L6" s="109" t="s">
        <v>18</v>
      </c>
      <c r="M6" s="109" t="s">
        <v>19</v>
      </c>
    </row>
    <row r="7" spans="1:14">
      <c r="A7" s="109" t="s">
        <v>356</v>
      </c>
      <c r="B7" s="109"/>
      <c r="C7" s="109"/>
      <c r="D7" s="182"/>
      <c r="E7" s="182"/>
      <c r="F7" s="184"/>
      <c r="G7" s="184"/>
      <c r="H7" s="184"/>
      <c r="I7" s="184"/>
      <c r="J7" s="184"/>
      <c r="K7" s="109"/>
      <c r="L7" s="109"/>
      <c r="M7" s="184"/>
    </row>
    <row r="8" spans="1:14">
      <c r="A8" s="109" t="s">
        <v>218</v>
      </c>
      <c r="B8" s="109"/>
      <c r="C8" s="109"/>
      <c r="D8" s="182"/>
      <c r="E8" s="182"/>
      <c r="F8" s="182"/>
      <c r="G8" s="182"/>
      <c r="H8" s="182"/>
      <c r="I8" s="182"/>
      <c r="J8" s="184"/>
      <c r="K8" s="109">
        <f>SUBTOTAL(109,[11])</f>
        <v>0</v>
      </c>
      <c r="L8" s="109"/>
    </row>
    <row r="11" spans="1:14">
      <c r="A11" s="373" t="s">
        <v>358</v>
      </c>
      <c r="B11" s="373"/>
      <c r="C11" s="373"/>
      <c r="D11" s="373"/>
      <c r="E11" s="373"/>
      <c r="F11" s="373"/>
      <c r="G11" s="373"/>
      <c r="H11" s="373"/>
      <c r="I11" s="373"/>
      <c r="J11" s="373"/>
      <c r="K11" s="373"/>
      <c r="L11" s="373"/>
      <c r="M11" s="373"/>
    </row>
    <row r="12" spans="1:14" ht="37.5" customHeight="1">
      <c r="A12" s="366" t="s">
        <v>349</v>
      </c>
      <c r="B12" s="370" t="s">
        <v>352</v>
      </c>
      <c r="C12" s="371"/>
      <c r="D12" s="366" t="s">
        <v>329</v>
      </c>
      <c r="E12" s="366" t="s">
        <v>97</v>
      </c>
      <c r="F12" s="183" t="s">
        <v>1</v>
      </c>
      <c r="G12" s="183" t="s">
        <v>2</v>
      </c>
      <c r="H12" s="183" t="s">
        <v>82</v>
      </c>
      <c r="I12" s="370" t="s">
        <v>69</v>
      </c>
      <c r="J12" s="372"/>
      <c r="K12" s="371"/>
      <c r="L12" s="366" t="s">
        <v>353</v>
      </c>
      <c r="M12" s="368" t="s">
        <v>354</v>
      </c>
      <c r="N12" s="186"/>
    </row>
    <row r="13" spans="1:14" ht="33.75" customHeight="1">
      <c r="A13" s="367"/>
      <c r="B13" s="185" t="s">
        <v>350</v>
      </c>
      <c r="C13" s="185"/>
      <c r="D13" s="367"/>
      <c r="E13" s="367"/>
      <c r="F13" s="185"/>
      <c r="G13" s="185"/>
      <c r="H13" s="185"/>
      <c r="I13" s="185" t="s">
        <v>350</v>
      </c>
      <c r="J13" s="185" t="s">
        <v>387</v>
      </c>
      <c r="K13" s="185" t="s">
        <v>361</v>
      </c>
      <c r="L13" s="367"/>
      <c r="M13" s="369"/>
    </row>
    <row r="14" spans="1:14">
      <c r="A14" s="109" t="s">
        <v>7</v>
      </c>
      <c r="B14" s="109" t="s">
        <v>8</v>
      </c>
      <c r="C14" s="109" t="s">
        <v>9</v>
      </c>
      <c r="D14" s="109" t="s">
        <v>10</v>
      </c>
      <c r="E14" s="109" t="s">
        <v>11</v>
      </c>
      <c r="F14" s="109" t="s">
        <v>12</v>
      </c>
      <c r="G14" s="109" t="s">
        <v>13</v>
      </c>
      <c r="H14" s="109" t="s">
        <v>14</v>
      </c>
      <c r="I14" s="109" t="s">
        <v>15</v>
      </c>
      <c r="J14" s="109" t="s">
        <v>16</v>
      </c>
      <c r="K14" s="109" t="s">
        <v>17</v>
      </c>
      <c r="L14" s="109" t="s">
        <v>18</v>
      </c>
      <c r="M14" s="109" t="s">
        <v>19</v>
      </c>
    </row>
    <row r="15" spans="1:14">
      <c r="A15" s="109" t="s">
        <v>359</v>
      </c>
      <c r="B15" s="109"/>
      <c r="C15" s="109"/>
      <c r="D15" s="182"/>
      <c r="E15" s="182"/>
      <c r="F15" s="184"/>
      <c r="G15" s="184"/>
      <c r="H15" s="184"/>
      <c r="I15" s="184"/>
      <c r="J15" s="184"/>
      <c r="K15" s="109"/>
      <c r="L15" s="109"/>
      <c r="M15" s="184"/>
    </row>
    <row r="16" spans="1:14">
      <c r="A16" s="109" t="s">
        <v>218</v>
      </c>
      <c r="B16" s="109"/>
      <c r="C16" s="109"/>
      <c r="D16" s="182"/>
      <c r="E16" s="182"/>
      <c r="F16" s="182"/>
      <c r="G16" s="182"/>
      <c r="H16" s="182"/>
      <c r="I16" s="182"/>
      <c r="J16" s="184"/>
      <c r="K16" s="109">
        <f>SUBTOTAL(109,[11])</f>
        <v>0</v>
      </c>
      <c r="L16" s="109"/>
    </row>
    <row r="19" spans="1:14">
      <c r="A19" s="373" t="s">
        <v>360</v>
      </c>
      <c r="B19" s="373"/>
      <c r="C19" s="373"/>
      <c r="D19" s="373"/>
      <c r="E19" s="373"/>
      <c r="F19" s="373"/>
      <c r="G19" s="373"/>
      <c r="H19" s="373"/>
      <c r="I19" s="373"/>
      <c r="J19" s="373"/>
      <c r="K19" s="373"/>
      <c r="L19" s="373"/>
      <c r="M19" s="373"/>
    </row>
    <row r="20" spans="1:14" ht="37.5" customHeight="1">
      <c r="A20" s="366" t="s">
        <v>349</v>
      </c>
      <c r="B20" s="370" t="s">
        <v>352</v>
      </c>
      <c r="C20" s="371"/>
      <c r="D20" s="366" t="s">
        <v>329</v>
      </c>
      <c r="E20" s="366" t="s">
        <v>97</v>
      </c>
      <c r="F20" s="183" t="s">
        <v>1</v>
      </c>
      <c r="G20" s="183" t="s">
        <v>2</v>
      </c>
      <c r="H20" s="183" t="s">
        <v>82</v>
      </c>
      <c r="I20" s="370" t="s">
        <v>69</v>
      </c>
      <c r="J20" s="372"/>
      <c r="K20" s="371"/>
      <c r="L20" s="366" t="s">
        <v>353</v>
      </c>
      <c r="M20" s="368" t="s">
        <v>354</v>
      </c>
      <c r="N20" s="186"/>
    </row>
    <row r="21" spans="1:14" ht="33.75" customHeight="1">
      <c r="A21" s="367"/>
      <c r="B21" s="185" t="s">
        <v>350</v>
      </c>
      <c r="C21" s="185"/>
      <c r="D21" s="367"/>
      <c r="E21" s="367"/>
      <c r="F21" s="185"/>
      <c r="G21" s="185"/>
      <c r="H21" s="185"/>
      <c r="I21" s="185" t="s">
        <v>351</v>
      </c>
      <c r="J21" s="185" t="s">
        <v>387</v>
      </c>
      <c r="K21" s="185" t="s">
        <v>361</v>
      </c>
      <c r="L21" s="367"/>
      <c r="M21" s="369"/>
    </row>
    <row r="22" spans="1:14">
      <c r="A22" s="109" t="s">
        <v>7</v>
      </c>
      <c r="B22" s="109" t="s">
        <v>8</v>
      </c>
      <c r="C22" s="109" t="s">
        <v>9</v>
      </c>
      <c r="D22" s="109" t="s">
        <v>10</v>
      </c>
      <c r="E22" s="109" t="s">
        <v>11</v>
      </c>
      <c r="F22" s="109" t="s">
        <v>12</v>
      </c>
      <c r="G22" s="109" t="s">
        <v>13</v>
      </c>
      <c r="H22" s="109" t="s">
        <v>14</v>
      </c>
      <c r="I22" s="109" t="s">
        <v>15</v>
      </c>
      <c r="J22" s="109" t="s">
        <v>16</v>
      </c>
      <c r="K22" s="109" t="s">
        <v>17</v>
      </c>
      <c r="L22" s="109" t="s">
        <v>18</v>
      </c>
      <c r="M22" s="109" t="s">
        <v>19</v>
      </c>
    </row>
    <row r="23" spans="1:14">
      <c r="A23" s="109" t="s">
        <v>365</v>
      </c>
      <c r="B23" s="109"/>
      <c r="C23" s="109"/>
      <c r="D23" s="182"/>
      <c r="E23" s="182"/>
      <c r="F23" s="184"/>
      <c r="G23" s="184"/>
      <c r="H23" s="184"/>
      <c r="I23" s="184"/>
      <c r="J23" s="184"/>
      <c r="K23" s="109"/>
      <c r="L23" s="109"/>
      <c r="M23" s="184"/>
    </row>
    <row r="24" spans="1:14">
      <c r="A24" s="109" t="s">
        <v>218</v>
      </c>
      <c r="B24" s="109"/>
      <c r="C24" s="109"/>
      <c r="D24" s="182"/>
      <c r="E24" s="182"/>
      <c r="F24" s="182"/>
      <c r="G24" s="182"/>
      <c r="H24" s="182"/>
      <c r="I24" s="182"/>
      <c r="J24" s="184"/>
      <c r="K24" s="109">
        <f>SUBTOTAL(109,[11])</f>
        <v>0</v>
      </c>
      <c r="L24" s="109"/>
    </row>
    <row r="25" spans="1:14">
      <c r="A25" s="109"/>
      <c r="B25" s="109"/>
      <c r="C25" s="109"/>
      <c r="D25" s="182"/>
      <c r="E25" s="182"/>
      <c r="F25" s="182"/>
      <c r="G25" s="182"/>
      <c r="H25" s="182"/>
      <c r="I25" s="182"/>
      <c r="J25" s="184"/>
      <c r="K25" s="109"/>
      <c r="L25" s="109"/>
    </row>
  </sheetData>
  <mergeCells count="25">
    <mergeCell ref="A11:M11"/>
    <mergeCell ref="A20:A21"/>
    <mergeCell ref="A3:M3"/>
    <mergeCell ref="A19:M19"/>
    <mergeCell ref="A12:A13"/>
    <mergeCell ref="B12:C12"/>
    <mergeCell ref="D12:D13"/>
    <mergeCell ref="E12:E13"/>
    <mergeCell ref="I12:K12"/>
    <mergeCell ref="A1:M1"/>
    <mergeCell ref="L20:L21"/>
    <mergeCell ref="M20:M21"/>
    <mergeCell ref="L4:L5"/>
    <mergeCell ref="D20:D21"/>
    <mergeCell ref="E20:E21"/>
    <mergeCell ref="M4:M5"/>
    <mergeCell ref="B20:C20"/>
    <mergeCell ref="I20:K20"/>
    <mergeCell ref="A4:A5"/>
    <mergeCell ref="B4:C4"/>
    <mergeCell ref="D4:D5"/>
    <mergeCell ref="E4:E5"/>
    <mergeCell ref="I4:K4"/>
    <mergeCell ref="L12:L13"/>
    <mergeCell ref="M12:M13"/>
  </mergeCells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27</vt:i4>
      </vt:variant>
      <vt:variant>
        <vt:lpstr>Именованные диапазоны</vt:lpstr>
      </vt:variant>
      <vt:variant>
        <vt:i4>25</vt:i4>
      </vt:variant>
    </vt:vector>
  </HeadingPairs>
  <TitlesOfParts>
    <vt:vector size="52" baseType="lpstr">
      <vt:lpstr>detail_report</vt:lpstr>
      <vt:lpstr>detail_report_2</vt:lpstr>
      <vt:lpstr>error_report</vt:lpstr>
      <vt:lpstr>correcting_report</vt:lpstr>
      <vt:lpstr>tax_retained_report</vt:lpstr>
      <vt:lpstr>f2_error_report</vt:lpstr>
      <vt:lpstr>f2_vych_diff_periods</vt:lpstr>
      <vt:lpstr>f2_vych_diff_amounts</vt:lpstr>
      <vt:lpstr>f2_load_vych_errors</vt:lpstr>
      <vt:lpstr>f2_arh_spravki_errors</vt:lpstr>
      <vt:lpstr>f2_arh_batch_xml_head</vt:lpstr>
      <vt:lpstr>f2_ndfl_nalplat_pers</vt:lpstr>
      <vt:lpstr>f2_enumarate_error</vt:lpstr>
      <vt:lpstr>Settings</vt:lpstr>
      <vt:lpstr>Отчеты</vt:lpstr>
      <vt:lpstr>f2_load_vych_person</vt:lpstr>
      <vt:lpstr>synch_error_report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tax_diff_report</vt:lpstr>
      <vt:lpstr>tax_diff_det_report</vt:lpstr>
      <vt:lpstr>cmp_f2ndfl_f6</vt:lpstr>
      <vt:lpstr>cmp_f2ndfl_pers</vt:lpstr>
      <vt:lpstr>action_parameter</vt:lpstr>
      <vt:lpstr>code_na</vt:lpstr>
      <vt:lpstr>data_source_name</vt:lpstr>
      <vt:lpstr>end_date</vt:lpstr>
      <vt:lpstr>menu_item_selected</vt:lpstr>
      <vt:lpstr>oracle_owner</vt:lpstr>
      <vt:lpstr>output</vt:lpstr>
      <vt:lpstr>parameter_name</vt:lpstr>
      <vt:lpstr>parameter_value</vt:lpstr>
      <vt:lpstr>report_code</vt:lpstr>
      <vt:lpstr>report_date</vt:lpstr>
      <vt:lpstr>report_year</vt:lpstr>
      <vt:lpstr>ReportDate</vt:lpstr>
      <vt:lpstr>ReportMonth</vt:lpstr>
      <vt:lpstr>ReportSelected</vt:lpstr>
      <vt:lpstr>ReportYear</vt:lpstr>
      <vt:lpstr>start_date</vt:lpstr>
      <vt:lpstr>start_sheet_name</vt:lpstr>
      <vt:lpstr>tax_13</vt:lpstr>
      <vt:lpstr>tax_13_amount</vt:lpstr>
      <vt:lpstr>tax_30</vt:lpstr>
      <vt:lpstr>tax_retained_report!TAX_NOT_RETAINED</vt:lpstr>
      <vt:lpstr>tax_retained_report!TAX_RETAINED_DATE</vt:lpstr>
      <vt:lpstr>tax_retained_report!TAX_RETURN</vt:lpstr>
      <vt:lpstr>tax_retained_report!TAX_RETURN_83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2018-02-15T10:13:31Z</dcterms:modified>
</cp:coreProperties>
</file>