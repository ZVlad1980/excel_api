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1" activeTab="11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load_vych_errors" sheetId="321" state="hidden" r:id="rId7"/>
    <sheet name="f2_arh_spravki_errors" sheetId="298" state="hidden" r:id="rId8"/>
    <sheet name="f2_arh_batch_xml_head" sheetId="297" state="hidden" r:id="rId9"/>
    <sheet name="f2_ndfl_nalplat_pers" sheetId="295" state="hidden" r:id="rId10"/>
    <sheet name="f2_enumarate_error" sheetId="320" state="hidden" r:id="rId11"/>
    <sheet name="Settings" sheetId="103" r:id="rId12"/>
    <sheet name="Отчеты" sheetId="6" r:id="rId13"/>
    <sheet name="Ошибки вычетов" sheetId="323" r:id="rId14"/>
    <sheet name="synch_error_report" sheetId="283" state="hidden" r:id="rId15"/>
    <sheet name="ndfl6_part2" sheetId="249" state="hidden" r:id="rId16"/>
    <sheet name="ndfl6_part1_general" sheetId="71" state="hidden" r:id="rId17"/>
    <sheet name="ndfl6_part1_rates" sheetId="69" state="hidden" r:id="rId18"/>
    <sheet name="funds_employees" sheetId="73" state="hidden" r:id="rId19"/>
    <sheet name="funds_employees_report" sheetId="123" state="hidden" r:id="rId20"/>
    <sheet name="ndfl6_part1" sheetId="248" state="hidden" r:id="rId21"/>
    <sheet name="tax_diff_report" sheetId="271" state="hidden" r:id="rId22"/>
    <sheet name="tax_diff_det_report" sheetId="282" state="hidden" r:id="rId23"/>
    <sheet name="cmp_f2ndfl_f6" sheetId="294" state="hidden" r:id="rId24"/>
    <sheet name="cmp_f2ndfl_pers" sheetId="284" state="hidden" r:id="rId25"/>
  </sheets>
  <functionGroups/>
  <externalReferences>
    <externalReference r:id="rId26"/>
    <externalReference r:id="rId27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_year">[1]f2_arh_spravki_errors!$T$1</definedName>
    <definedName name="ReportDate">Отчеты!$C$6</definedName>
    <definedName name="ReportMonth">Отчеты!$C$5</definedName>
    <definedName name="ReportSelected" localSheetId="8">[1]Отчеты!$C$2</definedName>
    <definedName name="ReportSelected" localSheetId="7">[1]Отчеты!$C$2</definedName>
    <definedName name="ReportSelected" localSheetId="5">[1]Отчеты!$C$2</definedName>
    <definedName name="ReportSelected" localSheetId="6">[1]Отчеты!$C$2</definedName>
    <definedName name="ReportSelected" localSheetId="9">[1]Отчеты!$C$2</definedName>
    <definedName name="ReportSelected" localSheetId="13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<sst xmlns="http://schemas.openxmlformats.org/spreadsheetml/2006/main" count="1489" uniqueCount="510">
  <si>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</si>
  <si>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</si>
  <si>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</si>
  <si>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</si>
  <si>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</si>
  <si>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</si>
  <si>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</si>
  <si>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</si>
  <si>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</si>
  <si>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</si>
  <si>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</si>
  <si>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</si>
  <si>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</si>
  <si>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</si>
  <si>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</si>
  <si>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</si>
  <si>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</si>
  <si>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</si>
  <si>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</si>
  <si>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</si>
  <si>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</si>
  <si>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</si>
  <si>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</si>
  <si>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</si>
  <si>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</si>
  <si>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</si>
  <si>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</si>
  <si>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</si>
  <si>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</si>
  <si>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</si>
  <si>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</si>
  <si>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</si>
  <si>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</si>
  <si>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</si>
  <si>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</si>
  <si>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</si>
  <si>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</si>
  <si>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</si>
  <si>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</si>
  <si>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</si>
  <si>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</si>
  <si>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</si>
  <si>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</si>
  <si>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</si>
  <si>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</si>
  <si>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</si>
  <si>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</si>
  <si>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</si>
  <si>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</si>
  <si>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</si>
  <si>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</si>
  <si>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</si>
  <si>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</si>
  <si>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</si>
  <si>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</si>
  <si>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</si>
  <si>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</si>
  <si>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</si>
  <si>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</si>
  <si>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</si>
  <si>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</si>
  <si>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</si>
  <si>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</si>
  <si>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</si>
  <si>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</si>
  <si>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</si>
  <si>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</si>
  <si>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</si>
  <si>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</si>
  <si>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</si>
  <si>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</si>
  <si>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</si>
  <si>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</si>
  <si>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</si>
  <si>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</si>
  <si>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</si>
  <si>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</si>
  <si>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</si>
  <si>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</si>
  <si>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</si>
  <si>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</si>
  <si>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</si>
  <si>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</si>
  <si>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</si>
  <si>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</si>
  <si>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</si>
  <si>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</si>
  <si>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</si>
  <si>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</si>
  <si>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</si>
  <si>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</si>
  <si>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</si>
  <si>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</si>
  <si>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</si>
  <si>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</si>
  <si>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</si>
  <si>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</si>
  <si>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</si>
  <si>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</si>
  <si>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</si>
  <si>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</si>
  <si>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</si>
  <si>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</si>
  <si>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</si>
  <si>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</si>
  <si>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</si>
  <si>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</si>
  <si>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</si>
  <si>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</si>
  <si>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</si>
  <si>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</si>
  <si>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</si>
  <si>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</si>
  <si>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</si>
  <si>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</si>
  <si>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</si>
  <si>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</si>
  <si>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</si>
  <si>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</si>
  <si>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</si>
  <si>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</si>
  <si>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</si>
  <si>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</si>
  <si>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</si>
  <si>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</si>
  <si>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</si>
  <si>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</si>
  <si>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</si>
  <si>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</si>
  <si>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</si>
  <si>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</si>
  <si>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</si>
  <si>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</si>
  <si>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</si>
  <si>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</si>
  <si>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</si>
  <si>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</si>
  <si>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</si>
  <si>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</si>
  <si>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</si>
  <si>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</si>
  <si>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</si>
  <si>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</si>
  <si>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</si>
  <si>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</si>
  <si>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</si>
  <si>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</si>
  <si>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</si>
  <si>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</si>
  <si>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</si>
  <si>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</si>
  <si>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</si>
  <si>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</si>
  <si>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</si>
  <si>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</si>
  <si>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</si>
  <si>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</si>
  <si>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</si>
  <si>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</si>
  <si>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</si>
  <si>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</si>
  <si>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</si>
  <si>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</si>
  <si>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</si>
  <si>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</si>
  <si>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</si>
  <si>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</si>
  <si>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</si>
  <si>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</si>
  <si>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</si>
  <si>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</si>
  <si>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</si>
  <si>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</si>
  <si>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</si>
  <si>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</si>
  <si>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</si>
  <si>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</si>
  <si>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</si>
  <si>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</si>
  <si>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</si>
  <si>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</si>
  <si>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</si>
  <si>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</si>
  <si>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</si>
  <si>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</si>
  <si>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</si>
  <si>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</si>
  <si>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</si>
  <si>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</si>
  <si>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</si>
  <si>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</si>
  <si>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</si>
  <si>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</si>
  <si>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</si>
  <si>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</si>
  <si>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</si>
  <si>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</si>
  <si>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</si>
  <si>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</si>
  <si>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</si>
  <si>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</si>
  <si>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</si>
  <si>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</si>
  <si>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</si>
  <si>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</si>
  <si>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</si>
  <si>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</si>
  <si>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</si>
  <si>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</si>
  <si>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</si>
  <si>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</si>
  <si>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</si>
  <si>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</si>
  <si>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</si>
  <si>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</si>
  <si>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</si>
  <si>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</si>
  <si>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</si>
  <si>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</si>
  <si>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</si>
  <si>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</si>
  <si>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</si>
  <si>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</si>
  <si>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</si>
  <si>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</si>
  <si>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</si>
  <si>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</si>
  <si>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</si>
  <si>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</si>
  <si>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</si>
  <si>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</si>
  <si>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</si>
  <si>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</si>
  <si>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</si>
  <si>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</si>
  <si>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</si>
  <si>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</si>
  <si>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</si>
  <si>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</si>
  <si>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</si>
  <si>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</si>
  <si>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</si>
  <si>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</si>
  <si>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</si>
  <si>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</si>
  <si>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</si>
  <si>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</si>
  <si>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</si>
  <si>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</si>
  <si>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</si>
  <si>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</si>
  <si>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</si>
  <si>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</si>
  <si>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</si>
  <si>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</si>
  <si>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</si>
  <si>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</si>
  <si>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</si>
  <si>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</si>
  <si>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</si>
  <si>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</si>
  <si>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</si>
  <si>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</si>
  <si>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</si>
  <si>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</si>
  <si>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</si>
  <si>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</si>
  <si>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</si>
  <si>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</si>
  <si>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</si>
  <si>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</si>
  <si>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</si>
  <si>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</si>
  <si>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</si>
  <si>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</si>
  <si>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</si>
  <si>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</si>
  <si>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</si>
  <si>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</si>
  <si>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</si>
  <si>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</si>
  <si>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</si>
  <si>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</si>
  <si>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</si>
  <si>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</si>
  <si>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</si>
  <si>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</si>
  <si>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</si>
  <si>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</si>
  <si>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</si>
  <si>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</si>
  <si>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</si>
  <si>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</si>
  <si>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</si>
  <si>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</si>
  <si>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</si>
  <si>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</si>
  <si>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</si>
  <si>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</si>
  <si>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</si>
  <si>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</si>
  <si>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</si>
  <si>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</si>
  <si>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</si>
  <si>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</si>
  <si>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</si>
  <si>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</si>
  <si>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</si>
  <si>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</si>
  <si>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</si>
  <si>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</si>
  <si>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</si>
  <si>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</si>
  <si>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</si>
  <si>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</si>
  <si>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</si>
  <si>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</si>
  <si>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</si>
  <si>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</si>
  <si>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</si>
  <si>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</si>
  <si>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</si>
  <si>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</si>
  <si>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</si>
  <si>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</si>
  <si>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</si>
  <si>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</si>
  <si>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</si>
  <si>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</si>
  <si>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</si>
  <si>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</si>
  <si>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</si>
  <si>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</si>
  <si>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</si>
  <si>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</si>
  <si>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</si>
  <si>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</si>
  <si>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</si>
  <si>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</si>
  <si>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</si>
  <si>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</si>
  <si>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</si>
  <si>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</si>
  <si>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</si>
  <si>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</si>
  <si>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</si>
  <si>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</si>
  <si>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</si>
  <si>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</si>
  <si>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</si>
  <si>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</si>
  <si>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</si>
  <si>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</si>
  <si>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</si>
  <si>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</si>
  <si>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</si>
  <si>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</si>
  <si>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</si>
  <si>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</si>
  <si>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</si>
  <si>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</si>
  <si>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</si>
  <si>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</si>
  <si>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</si>
  <si>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</si>
  <si>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</si>
  <si>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</si>
  <si>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</si>
  <si>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</si>
  <si>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</si>
  <si>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</si>
  <si>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</si>
  <si>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</si>
  <si>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</si>
  <si>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</si>
  <si>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</si>
  <si>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</si>
  <si>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</si>
  <si>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</si>
  <si>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</si>
  <si>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</si>
  <si>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</si>
  <si>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</si>
  <si>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</si>
  <si>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</si>
  <si>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</si>
  <si>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</si>
  <si>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</si>
  <si>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</si>
  <si>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</si>
  <si>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</si>
  <si>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</si>
  <si>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</si>
  <si>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</si>
  <si>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</si>
  <si>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</si>
  <si>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</si>
  <si>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</si>
  <si>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</si>
  <si>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</si>
  <si>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</si>
  <si>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</si>
  <si>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</si>
  <si>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</si>
  <si>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</si>
  <si>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</si>
  <si>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</si>
  <si>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</si>
  <si>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</si>
  <si>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</si>
  <si>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</si>
  <si>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</si>
  <si>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</si>
  <si>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</si>
  <si>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</si>
  <si>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</si>
  <si>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</si>
  <si>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</si>
  <si>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</si>
  <si>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</si>
  <si>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</si>
  <si>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</si>
  <si>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</si>
  <si>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</si>
  <si>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</si>
  <si>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</si>
  <si>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</si>
  <si>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</si>
  <si>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</si>
  <si>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</si>
  <si>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</si>
  <si>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</si>
  <si>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</si>
  <si>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</si>
  <si>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</si>
  <si>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</si>
  <si>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</si>
  <si>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</si>
  <si>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</si>
  <si>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</si>
  <si>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</si>
  <si>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</si>
  <si>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</si>
  <si>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</si>
  <si>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</si>
  <si>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</si>
  <si>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</si>
  <si>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</si>
  <si>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</si>
  <si>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</si>
  <si>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</si>
  <si>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</si>
  <si>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</si>
  <si>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</si>
  <si>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</si>
  <si>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</si>
  <si>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</si>
  <si>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</si>
  <si>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</si>
  <si>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</si>
  <si>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</si>
  <si>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</si>
  <si>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</si>
  <si>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</si>
  <si>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</si>
  <si>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</si>
  <si>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</si>
  <si>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</si>
  <si>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</si>
  <si>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</si>
  <si>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</si>
  <si>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</si>
  <si>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</si>
  <si>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</si>
  <si>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</si>
  <si>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</si>
  <si>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</si>
  <si>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</si>
  <si>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</si>
  <si>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</si>
  <si>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</si>
  <si>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</si>
  <si>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</si>
  <si>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</si>
  <si>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</si>
  <si>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</si>
  <si>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</si>
  <si>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</si>
  <si>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Ошибки налоговых вычетов
F2NDFL_LOAD_VYCH
отчетный период: 2017</t>
  </si>
  <si>
    <t>Акимов Александр Григорьевич</t>
  </si>
  <si>
    <t>Пенсия</t>
  </si>
  <si>
    <t>01</t>
  </si>
  <si>
    <t>02</t>
  </si>
  <si>
    <t>Акинин Владимир Михайлович</t>
  </si>
  <si>
    <t>Барбаш Тамара Николаевна</t>
  </si>
  <si>
    <t>06</t>
  </si>
  <si>
    <t>Болтнева Лариса Владимировна</t>
  </si>
  <si>
    <t>Вафин Айдар Раззакович</t>
  </si>
  <si>
    <t>Дедюхина Светлана Ивановна</t>
  </si>
  <si>
    <t>Дидук Наталья Валентиновна</t>
  </si>
  <si>
    <t>08</t>
  </si>
  <si>
    <t>Зудов Александр Михайлович</t>
  </si>
  <si>
    <t>Кузнецова Елена Николаевна</t>
  </si>
  <si>
    <t>04</t>
  </si>
  <si>
    <t>Кутузов Александр Валентинович</t>
  </si>
  <si>
    <t>Кутузова Тамара Ивановна</t>
  </si>
  <si>
    <t>Низамов Азат Аглямович</t>
  </si>
  <si>
    <t>09</t>
  </si>
  <si>
    <t>Федькин Юрий Николаевич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</si>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</sst>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9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5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6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1" xfId="0" applyFont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1" fontId="0" fillId="0" borderId="9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474"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 refreshError="1"/>
      <sheetData sheetId="1" refreshError="1"/>
      <sheetData sheetId="2">
        <row r="1">
          <cell r="T1" t="str">
            <v>#ReportYear#</v>
          </cell>
        </row>
      </sheetData>
      <sheetData sheetId="3" refreshError="1"/>
      <sheetData sheetId="4">
        <row r="2">
          <cell r="C2" t="str">
            <v>Расхождение списка налогоплательщиков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473" dataDxfId="471" headerRowBorderDxfId="472" tableBorderDxfId="470" totalsRowBorderDxfId="469">
  <autoFilter ref="A4:J5"/>
  <tableColumns count="10">
    <tableColumn id="1" name="1" dataDxfId="468"/>
    <tableColumn id="2" name="2" dataDxfId="467"/>
    <tableColumn id="5" name="3" dataDxfId="466"/>
    <tableColumn id="6" name="4" dataDxfId="465"/>
    <tableColumn id="7" name="5" dataDxfId="464"/>
    <tableColumn id="10" name="6" dataDxfId="463"/>
    <tableColumn id="11" name="7" dataDxfId="462"/>
    <tableColumn id="12" name="8" dataDxfId="461"/>
    <tableColumn id="13" name="9" dataDxfId="460"/>
    <tableColumn id="14" name="10" dataDxfId="4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458" dataDxfId="456" headerRowBorderDxfId="457" tableBorderDxfId="455" totalsRowBorderDxfId="454">
  <autoFilter ref="A5:P6"/>
  <tableColumns count="16">
    <tableColumn id="1" name="1" dataDxfId="453"/>
    <tableColumn id="2" name="2" dataDxfId="452"/>
    <tableColumn id="3" name="3" dataDxfId="451"/>
    <tableColumn id="4" name="4" dataDxfId="450"/>
    <tableColumn id="5" name="5" dataDxfId="449"/>
    <tableColumn id="6" name="6" dataDxfId="448"/>
    <tableColumn id="7" name="7" dataDxfId="447"/>
    <tableColumn id="8" name="8" dataDxfId="446"/>
    <tableColumn id="9" name="9" dataDxfId="445"/>
    <tableColumn id="10" name="10" dataDxfId="444"/>
    <tableColumn id="11" name="11" dataDxfId="443"/>
    <tableColumn id="12" name="12" dataDxfId="442"/>
    <tableColumn id="13" name="13" dataDxfId="441"/>
    <tableColumn id="14" name="14" dataDxfId="440"/>
    <tableColumn id="15" name="15" dataDxfId="439"/>
    <tableColumn id="16" name="16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37" dataDxfId="435" headerRowBorderDxfId="436" tableBorderDxfId="434" totalsRowBorderDxfId="433">
  <autoFilter ref="A3:I4">
    <filterColumn colId="1"/>
  </autoFilter>
  <tableColumns count="9">
    <tableColumn id="1" name="1" dataDxfId="432"/>
    <tableColumn id="3" name="2" dataDxfId="431"/>
    <tableColumn id="2" name="3" dataDxfId="430"/>
    <tableColumn id="5" name="4" dataDxfId="429"/>
    <tableColumn id="6" name="5" dataDxfId="428"/>
    <tableColumn id="7" name="6" dataDxfId="427"/>
    <tableColumn id="10" name="7" dataDxfId="426"/>
    <tableColumn id="11" name="8" dataDxfId="425"/>
    <tableColumn id="12" name="9" dataDxfId="4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23" dataDxfId="421" headerRowBorderDxfId="422" tableBorderDxfId="420" totalsRowBorderDxfId="419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18"/>
    <tableColumn id="20" name="2" dataDxfId="417"/>
    <tableColumn id="19" name="3" dataDxfId="416"/>
    <tableColumn id="18" name="4" dataDxfId="415"/>
    <tableColumn id="17" name="5" dataDxfId="414"/>
    <tableColumn id="23" name="6" dataDxfId="413"/>
    <tableColumn id="22" name="7" dataDxfId="412"/>
    <tableColumn id="21" name="8" dataDxfId="411"/>
    <tableColumn id="28" name="9" dataDxfId="410"/>
    <tableColumn id="29" name="10" dataDxfId="409"/>
    <tableColumn id="27" name="11" dataDxfId="408"/>
    <tableColumn id="26" name="12" dataDxfId="407"/>
    <tableColumn id="25" name="13" dataDxfId="406"/>
    <tableColumn id="5" name="14" dataDxfId="405"/>
    <tableColumn id="4" name="15" dataDxfId="404"/>
    <tableColumn id="3" name="16" dataDxfId="403"/>
    <tableColumn id="2" name="17" dataDxfId="402"/>
    <tableColumn id="24" name="18" dataDxfId="40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399" totalsRowDxfId="398">
  <tableColumns count="3">
    <tableColumn id="1" name="ВИД ВЫПЛАТЫ" totalsRowLabel="Итого" dataDxfId="397" totalsRowDxfId="396" dataCellStyle="Обычный 5"/>
    <tableColumn id="2" name="13%" totalsRowFunction="sum" dataDxfId="395" totalsRowDxfId="394" dataCellStyle="Обычный 5"/>
    <tableColumn id="3" name="30%" totalsRowFunction="sum" dataDxfId="393" totalsRowDxfId="392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391" dataDxfId="389" headerRowBorderDxfId="390" headerRowCellStyle="Обычный 5" dataCellStyle="Обычный 5">
  <tableColumns count="4">
    <tableColumn id="1" name="Сумма по ставкам" totalsRowFunction="sum" dataDxfId="388" totalsRowDxfId="387" dataCellStyle="Обычный 5"/>
    <tableColumn id="2" name="13%" dataDxfId="386" totalsRowDxfId="385" dataCellStyle="Обычный 5">
      <calculatedColumnFormula>B31+#REF!-Таблица42[[#This Row],[13%]]</calculatedColumnFormula>
    </tableColumn>
    <tableColumn id="3" name="30%" dataDxfId="384" totalsRowDxfId="383" dataCellStyle="Обычный 5"/>
    <tableColumn id="4" name="Расхождение по ставкам" dataDxfId="382" totalsRowDxfId="381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380" totalsRowDxfId="378" headerRowBorderDxfId="379" headerRowCellStyle="Обычный 5">
  <tableColumns count="8">
    <tableColumn id="1" name="ВИД ВЫПЛАТЫ" totalsRowLabel="Итого по ставке" dataDxfId="377" totalsRowDxfId="376" dataCellStyle="Обычный 5"/>
    <tableColumn id="2" name="13%" totalsRowFunction="sum" dataDxfId="375" totalsRowDxfId="374" dataCellStyle="Обычный 5"/>
    <tableColumn id="3" name="30%" totalsRowFunction="sum" dataDxfId="373" totalsRowDxfId="372" dataCellStyle="Обычный 5"/>
    <tableColumn id="4" name="Столбец1" totalsRowDxfId="371" dataCellStyle="Обычный 5"/>
    <tableColumn id="5" name="без исправлений" dataDxfId="370" totalsRowDxfId="369" dataCellStyle="Обычный 5"/>
    <tableColumn id="6" name="с корректоровкой" dataDxfId="368" totalsRowDxfId="367" dataCellStyle="Обычный 5"/>
    <tableColumn id="7" name="без исправлений2" dataDxfId="366" totalsRowDxfId="365" dataCellStyle="Обычный 5"/>
    <tableColumn id="8" name="с корректоровкой3" dataDxfId="364" totalsRowDxfId="363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362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7" name="Таблица54138" displayName="Таблица54138" ref="A3:I4" totalsRowShown="0" headerRowDxfId="27" dataDxfId="26" headerRowBorderDxfId="24" tableBorderDxfId="25" totalsRowBorderDxfId="23">
  <autoFilter ref="A3:I4"/>
  <tableColumns count="9">
    <tableColumn id="1" name="Ssylka" dataDxfId="17"/>
    <tableColumn id="2" name="nom_vkl" dataDxfId="16"/>
    <tableColumn id="3" name="nom_ips" dataDxfId="14"/>
    <tableColumn id="4" name="ФИО" dataDxfId="15"/>
    <tableColumn id="5" name="Тип дохода" dataDxfId="22"/>
    <tableColumn id="6" name="Месяц" dataDxfId="21"/>
    <tableColumn id="7" name="Shifr_schet" dataDxfId="20"/>
    <tableColumn id="8" name="Код вычета_x000a_(ручн)" dataDxfId="19"/>
    <tableColumn id="9" name="Сумма вычета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0" name="Таблица541" displayName="Таблица541" ref="A3:Q4" totalsRowShown="0" headerRowDxfId="361" dataDxfId="359" headerRowBorderDxfId="360" tableBorderDxfId="358" totalsRowBorderDxfId="357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356"/>
    <tableColumn id="2" name="Ошибка" dataDxfId="355"/>
    <tableColumn id="3" name="ИД контрагента" dataDxfId="354"/>
    <tableColumn id="4" name="Фамилия" dataDxfId="353"/>
    <tableColumn id="5" name="Имя" dataDxfId="352"/>
    <tableColumn id="6" name="Отчество" dataDxfId="351"/>
    <tableColumn id="7" name="Дата рождения" dataDxfId="350"/>
    <tableColumn id="8" name="ИНН" dataDxfId="349"/>
    <tableColumn id="9" name="Гражданство" dataDxfId="348"/>
    <tableColumn id="10" name="Резидент" dataDxfId="347"/>
    <tableColumn id="11" name="Код УЛ" dataDxfId="346"/>
    <tableColumn id="12" name="Серия и номер УЛ" dataDxfId="345"/>
    <tableColumn id="13" name="ИНН2" dataDxfId="344"/>
    <tableColumn id="14" name="Гражданство2" dataDxfId="343"/>
    <tableColumn id="15" name="Резидент2" dataDxfId="342"/>
    <tableColumn id="16" name="Код УЛ2" dataDxfId="341"/>
    <tableColumn id="17" name="Серия и номер УЛ3" dataDxfId="3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8" name="Таблица444493347" displayName="Таблица444493347" ref="A2:H3" totalsRowShown="0" headerRowDxfId="339" dataDxfId="337" headerRowBorderDxfId="338" tableBorderDxfId="336" totalsRowBorderDxfId="335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34"/>
    <tableColumn id="14" name="Имя файла" dataDxfId="333"/>
    <tableColumn id="1" name="Количество справок" dataDxfId="332"/>
    <tableColumn id="16" name="Фамилия с" dataDxfId="331"/>
    <tableColumn id="17" name="Фамилия по" dataDxfId="330"/>
    <tableColumn id="2" name="№ справки с" dataDxfId="329"/>
    <tableColumn id="3" name="№ справки по" dataDxfId="328"/>
    <tableColumn id="25" name="Признак справки" dataDxfId="327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9" name="Таблица3348" displayName="Таблица3348" ref="A7:G9" totalsRowCount="1" headerRowDxfId="326" headerRowBorderDxfId="325" tableBorderDxfId="324" totalsRowBorderDxfId="323">
  <autoFilter ref="A7:G8"/>
  <tableColumns count="7">
    <tableColumn id="1" name="№_x000a_справки" totalsRowLabel="Итог" dataDxfId="322" totalsRowDxfId="321"/>
    <tableColumn id="2" name="Фамилия" dataDxfId="320" totalsRowDxfId="319"/>
    <tableColumn id="3" name="UI_PERSON" dataDxfId="318" totalsRowDxfId="317"/>
    <tableColumn id="4" name="Резидент" dataDxfId="316" totalsRowDxfId="315"/>
    <tableColumn id="5" name="Гражданство" dataDxfId="314" totalsRowDxfId="313"/>
    <tableColumn id="6" name="Задолженность" totalsRowFunction="sum" dataDxfId="312" totalsRowDxfId="311"/>
    <tableColumn id="7" name="Коррекция №" totalsRowFunction="count" dataDxfId="310" totalsRowDxfId="30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Таблица44449" displayName="Таблица44449" ref="A4:P5" totalsRowShown="0" headerRowDxfId="308" dataDxfId="307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06"/>
    <tableColumn id="14" name="2" dataDxfId="305"/>
    <tableColumn id="1" name="3" dataDxfId="304"/>
    <tableColumn id="16" name="4" dataDxfId="303"/>
    <tableColumn id="17" name="5" dataDxfId="302"/>
    <tableColumn id="2" name="6" dataDxfId="301"/>
    <tableColumn id="3" name="7" dataDxfId="300"/>
    <tableColumn id="25" name="8" dataDxfId="299"/>
    <tableColumn id="18" name="9" dataDxfId="298"/>
    <tableColumn id="19" name="10" dataDxfId="297"/>
    <tableColumn id="20" name="11" dataDxfId="296"/>
    <tableColumn id="21" name="12" dataDxfId="295"/>
    <tableColumn id="22" name="13" dataDxfId="294"/>
    <tableColumn id="23" name="14" dataDxfId="293"/>
    <tableColumn id="24" name="15" dataDxfId="292"/>
    <tableColumn id="26" name="16" dataDxfId="291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57" name="Таблица354258" displayName="Таблица354258" ref="A2:I3" headerRowDxfId="290" dataDxfId="288" totalsRowDxfId="286" headerRowBorderDxfId="289" tableBorderDxfId="287">
  <autoFilter ref="A2:I3"/>
  <tableColumns count="9">
    <tableColumn id="1" name="Таблица" totalsRowLabel="Итог" dataDxfId="285" totalsRowDxfId="284"/>
    <tableColumn id="3" name="SSYLKA" dataDxfId="283" totalsRowDxfId="282"/>
    <tableColumn id="4" name="Тип дохода" dataDxfId="281" totalsRowDxfId="280"/>
    <tableColumn id="5" name="Фамилия" dataDxfId="279" totalsRowDxfId="278"/>
    <tableColumn id="6" name="Имя" dataDxfId="277" totalsRowDxfId="276"/>
    <tableColumn id="8" name="Отчество" dataDxfId="275" totalsRowDxfId="274"/>
    <tableColumn id="9" name="ДР" dataDxfId="273" totalsRowDxfId="272"/>
    <tableColumn id="10" name="SSYLKA_REAL" dataDxfId="271" totalsRowDxfId="270"/>
    <tableColumn id="11" name="UI_PERSON" dataDxfId="269" totalsRowDxfId="26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Menu" displayName="Menu" ref="D2:E32" totalsRowShown="0">
  <autoFilter ref="D2:E3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Actions" displayName="Actions" ref="G2:L58" totalsRowShown="0">
  <autoFilter ref="G2:L58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Programs" displayName="Programs" ref="Y2:AC12" totalsRowShown="0">
  <autoFilter ref="Y2:AC12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2" name="Reports" displayName="Reports" ref="N2:T46" totalsRowShown="0">
  <autoFilter ref="N2:T46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3" name="SubReports" displayName="SubReports" ref="V2:W23" totalsRowShown="0">
  <autoFilter ref="V2:W2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4" name="GeneralOptions" displayName="GeneralOptions" ref="A2:B12" headerRowBorderDxfId="267" tableBorderDxfId="266" totalsRowBorderDxfId="265">
  <autoFilter ref="A2:B12"/>
  <tableColumns count="2">
    <tableColumn id="1" name="Key" totalsRowLabel="Итог" totalsRowDxfId="264"/>
    <tableColumn id="2" name="Value" totalsRowFunction="count" totalsRowDxfId="26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7" name="ActionTypes" displayName="ActionTypes" ref="AM2:AM4" totalsRowShown="0" tableBorderDxfId="262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2" name="Parameters" displayName="Parameters" ref="AE2:AK26" totalsRowShown="0">
  <autoFilter ref="AE2:AK26">
    <filterColumn colId="5"/>
    <filterColumn colId="6"/>
  </autoFilter>
  <tableColumns count="7">
    <tableColumn id="1" name="Program" dataDxfId="261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6" name="Таблица16" displayName="Таблица16" ref="C3:C6" totalsRowShown="0" headerRowDxfId="260" dataDxfId="259" tableBorderDxfId="258">
  <tableColumns count="1">
    <tableColumn id="1" name="Столбец1" dataDxfId="257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id="49" name="Таблица5413850" displayName="Таблица5413850" ref="A3:I17" totalsRowShown="0" headerRowDxfId="4" dataDxfId="3" headerRowBorderDxfId="1" tableBorderDxfId="2" totalsRowBorderDxfId="0">
  <autoFilter ref="A3:I17"/>
  <tableColumns count="9">
    <tableColumn id="1" name="Ssylka" dataDxfId="13"/>
    <tableColumn id="2" name="nom_vkl" dataDxfId="12"/>
    <tableColumn id="3" name="nom_ips" dataDxfId="11"/>
    <tableColumn id="4" name="ФИО" dataDxfId="10"/>
    <tableColumn id="5" name="Тип дохода" dataDxfId="9"/>
    <tableColumn id="6" name="Месяц" dataDxfId="8"/>
    <tableColumn id="7" name="Shifr_schet" dataDxfId="7"/>
    <tableColumn id="8" name="Код вычета_x000a_(ручн)" dataDxfId="6"/>
    <tableColumn id="9" name="Сумма вычета" dataDxfId="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4" name="Таблица2435" displayName="Таблица2435" ref="A4:L5" totalsRowShown="0" headerRowDxfId="256" dataDxfId="254" headerRowBorderDxfId="255" tableBorderDxfId="253" totalsRowBorderDxfId="252">
  <autoFilter ref="A4:L5">
    <filterColumn colId="1"/>
    <filterColumn colId="8"/>
    <filterColumn colId="9"/>
    <filterColumn colId="10"/>
    <filterColumn colId="11"/>
  </autoFilter>
  <tableColumns count="12">
    <tableColumn id="5" name="1" dataDxfId="251"/>
    <tableColumn id="3" name="2" dataDxfId="250"/>
    <tableColumn id="2" name="3" dataDxfId="249"/>
    <tableColumn id="6" name="4" dataDxfId="248"/>
    <tableColumn id="7" name="5" dataDxfId="247"/>
    <tableColumn id="10" name="6" dataDxfId="246"/>
    <tableColumn id="11" name="7" dataDxfId="245"/>
    <tableColumn id="12" name="8" dataDxfId="244"/>
    <tableColumn id="1" name="9" dataDxfId="243"/>
    <tableColumn id="4" name="10" dataDxfId="242"/>
    <tableColumn id="9" name="12" dataDxfId="241"/>
    <tableColumn id="8" name="11" dataDxfId="24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6" name="Таблица26" displayName="Таблица26" ref="B6:D7" totalsRowShown="0" headerRowDxfId="239" headerRowBorderDxfId="238" tableBorderDxfId="237" headerRowCellStyle="Обычный 4">
  <autoFilter ref="B6:D7"/>
  <tableColumns count="3">
    <tableColumn id="1" name="100" dataDxfId="236" dataCellStyle="Обычный 4"/>
    <tableColumn id="2" name="130" dataDxfId="235" dataCellStyle="Обычный 4"/>
    <tableColumn id="3" name="140" dataDxfId="234" dataCellStyle="Обычный 4"/>
  </tableColumns>
  <tableStyleInfo name="TableStyleLight1" showFirstColumn="0" showLastColumn="0" showRowStripes="0" showColumnStripes="0"/>
</table>
</file>

<file path=xl/tables/table36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33" dataDxfId="232"/>
  </tableColumns>
  <tableStyleInfo showFirstColumn="0" showLastColumn="0" showRowStripes="0" showColumnStripes="0"/>
</table>
</file>

<file path=xl/tables/table37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31" dataDxfId="230"/>
  </tableColumns>
  <tableStyleInfo showFirstColumn="0" showLastColumn="0" showRowStripes="0" showColumnStripes="0"/>
</table>
</file>

<file path=xl/tables/table38.xml><?xml version="1.0" encoding="utf-8"?>
<table xmlns="http://schemas.openxmlformats.org/spreadsheetml/2006/main" id="4" name="Таблица4" displayName="Таблица4" ref="B5:E5" headerRowCount="0" totalsRowShown="0" headerRowDxfId="229" dataDxfId="228" tableBorderDxfId="227" totalsRowBorderDxfId="226">
  <tableColumns count="4">
    <tableColumn id="1" name="Столбец1" headerRowDxfId="225" dataDxfId="224" dataCellStyle="Обычный 4"/>
    <tableColumn id="2" name="Столбец2" headerRowDxfId="223" dataDxfId="222" headerRowCellStyle="Обычный 4" dataCellStyle="Обычный 4"/>
    <tableColumn id="3" name="Столбец3" headerRowDxfId="221" dataDxfId="220"/>
    <tableColumn id="4" name="Столбец4" headerRowDxfId="219" dataDxfId="218" headerRowCellStyle="Обычный 4" dataCellStyle="Обычный 4"/>
  </tableColumns>
  <tableStyleInfo name="TableStyleLight1" showFirstColumn="0" showLastColumn="0" showRowStripes="0" showColumnStripes="0"/>
</table>
</file>

<file path=xl/tables/table39.xml><?xml version="1.0" encoding="utf-8"?>
<table xmlns="http://schemas.openxmlformats.org/spreadsheetml/2006/main" id="29" name="Таблица29" displayName="Таблица29" ref="A4:H5" headerRowCount="0" totalsRowCount="1" headerRowDxfId="217" dataDxfId="216">
  <tableColumns count="8">
    <tableColumn id="1" name="Столбец1" totalsRowLabel="Итого:" headerRowDxfId="215" dataDxfId="214" totalsRowDxfId="213"/>
    <tableColumn id="2" name="Столбец2" headerRowDxfId="212" dataDxfId="211" totalsRowDxfId="210"/>
    <tableColumn id="3" name="Столбец3" totalsRowFunction="sum" headerRowDxfId="209" dataDxfId="208" totalsRowDxfId="207"/>
    <tableColumn id="4" name="Столбец4" totalsRowFunction="sum" headerRowDxfId="206" dataDxfId="205" totalsRowDxfId="204"/>
    <tableColumn id="5" name="Столбец5" totalsRowFunction="sum" headerRowDxfId="203" dataDxfId="202" totalsRowDxfId="201"/>
    <tableColumn id="6" name="Столбец6" totalsRowFunction="sum" headerRowDxfId="200" dataDxfId="199" totalsRowDxfId="198"/>
    <tableColumn id="7" name="Столбец7" totalsRowFunction="sum" headerRowDxfId="197" dataDxfId="196" totalsRowDxfId="195"/>
    <tableColumn id="8" name="Столбец8" totalsRowFunction="sum" headerRowDxfId="194" dataDxfId="193" totalsRowDxfId="192"/>
  </tableColumns>
  <tableStyleInfo name="TableStyleLight1" showFirstColumn="0" showLastColumn="0" showRowStripes="0" showColumnStripes="0"/>
</table>
</file>

<file path=xl/tables/table40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91" totalsRowDxfId="190"/>
    <tableColumn id="4" name="Столбец2" dataDxfId="189"/>
    <tableColumn id="5" name="итог" dataDxfId="18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87"/>
    <tableColumn id="2" name="Столбец2"/>
    <tableColumn id="3" name="Столбец3" totalsRowFunction="sum" headerRowDxfId="186" dataDxfId="185" totalsRowDxfId="184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2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47" name="Таблица47" displayName="Таблица47" ref="A23:F25" totalsRowCount="1" headerRowDxfId="183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82"/>
    <tableColumn id="5" name="Налог удержанный" totalsRowFunction="sum" dataDxfId="181"/>
    <tableColumn id="6" name="Разница" totalsRowFunction="sum" dataDxfId="18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8" name="Таблица8" displayName="Таблица8" ref="A1:D2" insertRow="1" totalsRowShown="0" headerRowDxfId="179" headerRowBorderDxfId="178" tableBorderDxfId="177" totalsRowBorderDxfId="176">
  <autoFilter ref="A1:D2">
    <filterColumn colId="2"/>
    <filterColumn colId="3"/>
  </autoFilter>
  <tableColumns count="4">
    <tableColumn id="1" name="ФИО" dataDxfId="175"/>
    <tableColumn id="5" name="Дата рождения" dataDxfId="174"/>
    <tableColumn id="2" name="Снилс"/>
    <tableColumn id="3" name="ИНН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5" name="Таблица8526" displayName="Таблица8526" ref="A2:I3" totalsRowShown="0" headerRowDxfId="173" headerRowBorderDxfId="172" tableBorderDxfId="171" totalsRowBorderDxfId="170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69"/>
    <tableColumn id="6" name="Имя" dataDxfId="168"/>
    <tableColumn id="4" name="Отчество" dataDxfId="167"/>
    <tableColumn id="5" name="Дата рождения" dataDxfId="166"/>
    <tableColumn id="3" name="ИНН" dataDxfId="165"/>
    <tableColumn id="1" name="Участник/Не участник" dataDxfId="164"/>
    <tableColumn id="2" name="Доход" dataDxfId="163"/>
    <tableColumn id="8" name="Пенсионные схемы" dataDxfId="162"/>
    <tableColumn id="9" name="Типы дохода" dataDxfId="16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52" name="Таблица52" displayName="Таблица52" ref="A5:I6" headerRowDxfId="160">
  <autoFilter ref="A5:I6">
    <filterColumn colId="5"/>
  </autoFilter>
  <tableColumns count="9">
    <tableColumn id="1" name="Контрагент ID" totalsRowLabel="Итог" dataDxfId="159" totalsRowDxfId="158"/>
    <tableColumn id="2" name="Фамилия" dataDxfId="157" totalsRowDxfId="156"/>
    <tableColumn id="3" name="Имя" dataDxfId="155" totalsRowDxfId="154"/>
    <tableColumn id="4" name="Отчество" dataDxfId="153" totalsRowDxfId="152"/>
    <tableColumn id="5" name="Ставка" dataDxfId="151" totalsRowDxfId="150"/>
    <tableColumn id="9" name="Количество счетов" dataDxfId="149" totalsRowDxfId="148"/>
    <tableColumn id="6" name="Исчисленный налог" dataDxfId="147" totalsRowDxfId="146"/>
    <tableColumn id="7" name="Удержанный налог" dataDxfId="145" totalsRowDxfId="144"/>
    <tableColumn id="8" name="Недоплата" totalsRowFunction="sum" dataDxfId="143" totalsRowDxfId="142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28" name="Таблица5229" displayName="Таблица5229" ref="A5:P6" headerRowDxfId="141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40" totalsRowDxfId="139"/>
    <tableColumn id="2" name="Фамилия" dataDxfId="138" totalsRowDxfId="137"/>
    <tableColumn id="3" name="Имя" dataDxfId="136" totalsRowDxfId="135"/>
    <tableColumn id="4" name="Отчество" dataDxfId="134" totalsRowDxfId="133"/>
    <tableColumn id="9" name="SSYLKA" dataDxfId="132" totalsRowDxfId="131"/>
    <tableColumn id="10" name="Вкладчик" dataDxfId="130" totalsRowDxfId="129"/>
    <tableColumn id="11" name="ИПС" dataDxfId="128" totalsRowDxfId="127"/>
    <tableColumn id="12" name="Пенс.схема" dataDxfId="126" totalsRowDxfId="125"/>
    <tableColumn id="14" name="Счет дохода" dataDxfId="124" totalsRowDxfId="123"/>
    <tableColumn id="5" name="Счет налога" dataDxfId="122" totalsRowDxfId="121"/>
    <tableColumn id="16" name="Доход" dataDxfId="120" totalsRowDxfId="119"/>
    <tableColumn id="15" name="Вычет" dataDxfId="118" totalsRowDxfId="117"/>
    <tableColumn id="13" name="Налог" dataDxfId="116" totalsRowDxfId="115"/>
    <tableColumn id="18" name="Удержано налога" dataDxfId="114" totalsRowDxfId="113"/>
    <tableColumn id="17" name="Исчислено налога" dataDxfId="112" totalsRowDxfId="111"/>
    <tableColumn id="8" name="Недоплата2" totalsRowFunction="sum" dataDxfId="110" totalsRowDxfId="10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35" name="Таблица35" displayName="Таблица35" ref="A22:M24" totalsRowCount="1" headerRowDxfId="108" dataDxfId="107">
  <autoFilter ref="A22:M23">
    <filterColumn colId="9"/>
    <filterColumn colId="12"/>
  </autoFilter>
  <tableColumns count="13">
    <tableColumn id="1" name="1" totalsRowLabel="Итог" dataDxfId="106" totalsRowDxfId="105"/>
    <tableColumn id="3" name="2" dataDxfId="104" totalsRowDxfId="103"/>
    <tableColumn id="4" name="3" dataDxfId="102" totalsRowDxfId="101"/>
    <tableColumn id="5" name="4" dataDxfId="100" totalsRowDxfId="99"/>
    <tableColumn id="6" name="5" dataDxfId="98" totalsRowDxfId="97"/>
    <tableColumn id="8" name="6" dataDxfId="96" totalsRowDxfId="95"/>
    <tableColumn id="9" name="7" dataDxfId="94" totalsRowDxfId="93"/>
    <tableColumn id="10" name="8" dataDxfId="92" totalsRowDxfId="91"/>
    <tableColumn id="11" name="9" dataDxfId="90" totalsRowDxfId="89"/>
    <tableColumn id="14" name="10" dataDxfId="88" totalsRowDxfId="87"/>
    <tableColumn id="12" name="11" totalsRowFunction="sum" dataDxfId="86" totalsRowDxfId="85"/>
    <tableColumn id="13" name="12" dataDxfId="84" totalsRowDxfId="83"/>
    <tableColumn id="15" name="13" dataDxfId="8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1" name="Таблица3542" displayName="Таблица3542" ref="A6:M8" totalsRowCount="1" headerRowDxfId="81" dataDxfId="80">
  <autoFilter ref="A6:M7"/>
  <tableColumns count="13">
    <tableColumn id="1" name="1" totalsRowLabel="Итог" dataDxfId="79" totalsRowDxfId="78"/>
    <tableColumn id="3" name="2" dataDxfId="77" totalsRowDxfId="76"/>
    <tableColumn id="4" name="3" dataDxfId="75" totalsRowDxfId="74"/>
    <tableColumn id="5" name="4" dataDxfId="73" totalsRowDxfId="72"/>
    <tableColumn id="6" name="5" dataDxfId="71" totalsRowDxfId="70"/>
    <tableColumn id="8" name="6" dataDxfId="69" totalsRowDxfId="68"/>
    <tableColumn id="9" name="7" dataDxfId="67" totalsRowDxfId="66"/>
    <tableColumn id="10" name="8" dataDxfId="65" totalsRowDxfId="64"/>
    <tableColumn id="11" name="9" dataDxfId="63" totalsRowDxfId="62"/>
    <tableColumn id="14" name="10" dataDxfId="61" totalsRowDxfId="60"/>
    <tableColumn id="12" name="11" totalsRowFunction="sum" dataDxfId="59" totalsRowDxfId="58"/>
    <tableColumn id="13" name="12" dataDxfId="57" totalsRowDxfId="56"/>
    <tableColumn id="15" name="13" dataDxfId="55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48" name="Таблица3549" displayName="Таблица3549" ref="A14:M16" totalsRowCount="1" headerRowDxfId="54" dataDxfId="53">
  <autoFilter ref="A14:M15"/>
  <tableColumns count="13">
    <tableColumn id="1" name="1" totalsRowLabel="Итог" dataDxfId="52" totalsRowDxfId="51"/>
    <tableColumn id="3" name="2" dataDxfId="50" totalsRowDxfId="49"/>
    <tableColumn id="4" name="3" dataDxfId="48" totalsRowDxfId="47"/>
    <tableColumn id="5" name="4" dataDxfId="46" totalsRowDxfId="45"/>
    <tableColumn id="6" name="5" dataDxfId="44" totalsRowDxfId="43"/>
    <tableColumn id="8" name="6" dataDxfId="42" totalsRowDxfId="41"/>
    <tableColumn id="9" name="7" dataDxfId="40" totalsRowDxfId="39"/>
    <tableColumn id="10" name="8" dataDxfId="38" totalsRowDxfId="37"/>
    <tableColumn id="11" name="9" dataDxfId="36" totalsRowDxfId="35"/>
    <tableColumn id="14" name="10" dataDxfId="34" totalsRowDxfId="33"/>
    <tableColumn id="12" name="11" totalsRowFunction="sum" dataDxfId="32" totalsRowDxfId="31"/>
    <tableColumn id="13" name="12" dataDxfId="30" totalsRowDxfId="29"/>
    <tableColumn id="15" name="13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18" Type="http://schemas.openxmlformats.org/officeDocument/2006/relationships/table" Target="../tables/table31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table" Target="../tables/table4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60" t="s">
        <v>248</v>
      </c>
      <c r="B1" s="261"/>
      <c r="C1" s="261"/>
      <c r="D1" s="261"/>
      <c r="E1" s="261"/>
      <c r="F1" s="261"/>
      <c r="G1" s="261"/>
      <c r="H1" s="261"/>
      <c r="I1" s="261"/>
      <c r="J1" s="261"/>
    </row>
    <row r="2" spans="1:10" ht="31.5" customHeight="1">
      <c r="A2" s="258" t="s">
        <v>4</v>
      </c>
      <c r="B2" s="258"/>
      <c r="C2" s="258"/>
      <c r="D2" s="258"/>
      <c r="E2" s="258"/>
      <c r="F2" s="259" t="s">
        <v>23</v>
      </c>
      <c r="G2" s="259"/>
      <c r="H2" s="259"/>
      <c r="I2" s="259"/>
      <c r="J2" s="25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62" t="s">
        <v>248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</row>
    <row r="2" spans="1:16" ht="31.5" customHeight="1">
      <c r="A2" s="267" t="s">
        <v>4</v>
      </c>
      <c r="B2" s="268"/>
      <c r="C2" s="268"/>
      <c r="D2" s="268"/>
      <c r="E2" s="268"/>
      <c r="F2" s="268"/>
      <c r="G2" s="268"/>
      <c r="H2" s="268"/>
      <c r="I2" s="269"/>
      <c r="J2" s="270" t="s">
        <v>23</v>
      </c>
      <c r="K2" s="271"/>
      <c r="L2" s="271"/>
      <c r="M2" s="271"/>
      <c r="N2" s="271"/>
      <c r="O2" s="271"/>
      <c r="P2" s="272"/>
    </row>
    <row r="3" spans="1:16" ht="24" customHeight="1">
      <c r="A3" s="273" t="s">
        <v>0</v>
      </c>
      <c r="B3" s="275" t="s">
        <v>29</v>
      </c>
      <c r="C3" s="275" t="s">
        <v>3</v>
      </c>
      <c r="D3" s="275" t="s">
        <v>30</v>
      </c>
      <c r="E3" s="277" t="s">
        <v>5</v>
      </c>
      <c r="F3" s="278"/>
      <c r="G3" s="279"/>
      <c r="H3" s="277" t="s">
        <v>6</v>
      </c>
      <c r="I3" s="280"/>
      <c r="J3" s="281" t="s">
        <v>28</v>
      </c>
      <c r="K3" s="281" t="s">
        <v>32</v>
      </c>
      <c r="L3" s="263" t="s">
        <v>5</v>
      </c>
      <c r="M3" s="264"/>
      <c r="N3" s="265"/>
      <c r="O3" s="263" t="s">
        <v>6</v>
      </c>
      <c r="P3" s="266"/>
    </row>
    <row r="4" spans="1:16" ht="38.25" customHeight="1">
      <c r="A4" s="274"/>
      <c r="B4" s="276"/>
      <c r="C4" s="276"/>
      <c r="D4" s="27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82"/>
      <c r="K4" s="28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62" t="s">
        <v>249</v>
      </c>
      <c r="B1" s="262"/>
      <c r="C1" s="262"/>
      <c r="D1" s="262"/>
      <c r="E1" s="262"/>
      <c r="F1" s="262"/>
      <c r="G1" s="262"/>
      <c r="H1" s="262"/>
      <c r="I1" s="262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83" t="s">
        <v>250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</row>
    <row r="2" spans="1:18" ht="31.5" customHeight="1">
      <c r="A2" s="258" t="s">
        <v>59</v>
      </c>
      <c r="B2" s="258"/>
      <c r="C2" s="258"/>
      <c r="D2" s="258"/>
      <c r="E2" s="258" t="s">
        <v>58</v>
      </c>
      <c r="F2" s="258"/>
      <c r="G2" s="258"/>
      <c r="H2" s="258"/>
      <c r="I2" s="258"/>
      <c r="J2" s="258"/>
      <c r="K2" s="284" t="s">
        <v>52</v>
      </c>
      <c r="L2" s="284" t="s">
        <v>53</v>
      </c>
      <c r="M2" s="284" t="s">
        <v>38</v>
      </c>
      <c r="N2" s="284" t="s">
        <v>54</v>
      </c>
      <c r="O2" s="258" t="s">
        <v>60</v>
      </c>
      <c r="P2" s="258"/>
      <c r="Q2" s="258"/>
      <c r="R2" s="25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84"/>
      <c r="L3" s="284"/>
      <c r="M3" s="284"/>
      <c r="N3" s="284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87" t="s">
        <v>292</v>
      </c>
      <c r="B1" s="288"/>
      <c r="C1" s="288"/>
      <c r="D1" s="288"/>
      <c r="E1" s="288"/>
      <c r="F1" s="288"/>
      <c r="G1" s="288"/>
      <c r="H1" s="288"/>
    </row>
    <row r="2" spans="1:8" ht="15.75" customHeight="1">
      <c r="A2" s="292"/>
      <c r="B2" s="292"/>
      <c r="C2" s="292"/>
      <c r="D2" s="292"/>
      <c r="E2" s="292"/>
      <c r="F2" s="292"/>
      <c r="G2" s="292"/>
      <c r="H2" s="292"/>
    </row>
    <row r="3" spans="1:8" ht="27" customHeight="1">
      <c r="A3" s="289" t="s">
        <v>267</v>
      </c>
      <c r="B3" s="289"/>
      <c r="C3" s="289"/>
      <c r="D3" s="117"/>
      <c r="E3" s="289" t="s">
        <v>268</v>
      </c>
      <c r="F3" s="289"/>
      <c r="G3" s="289"/>
      <c r="H3" s="289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90" t="s">
        <v>283</v>
      </c>
      <c r="B18" s="290"/>
      <c r="C18" s="290"/>
      <c r="D18" s="119"/>
      <c r="E18" s="290" t="s">
        <v>284</v>
      </c>
      <c r="F18" s="290"/>
      <c r="G18" s="290"/>
      <c r="H18" s="290"/>
    </row>
    <row r="19" spans="1:8" ht="14.25" customHeight="1">
      <c r="A19" s="290"/>
      <c r="B19" s="290"/>
      <c r="C19" s="290"/>
      <c r="D19" s="118"/>
      <c r="E19" s="291" t="s">
        <v>269</v>
      </c>
      <c r="F19" s="291"/>
      <c r="G19" s="291" t="s">
        <v>270</v>
      </c>
      <c r="H19" s="291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85" t="s">
        <v>299</v>
      </c>
      <c r="B41" s="286"/>
      <c r="D41" s="117"/>
    </row>
    <row r="42" spans="1:8">
      <c r="A42" s="285"/>
      <c r="B42" s="286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00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283" t="s">
        <v>436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45"/>
      <c r="N1" s="245"/>
      <c r="O1" s="245"/>
      <c r="P1" s="245"/>
      <c r="Q1" s="245"/>
      <c r="R1" s="245"/>
    </row>
    <row r="2" spans="1:18" ht="45" customHeight="1">
      <c r="A2" s="246" t="s">
        <v>437</v>
      </c>
      <c r="B2" s="247" t="s">
        <v>438</v>
      </c>
      <c r="C2" s="247" t="s">
        <v>439</v>
      </c>
      <c r="D2" s="248" t="s">
        <v>100</v>
      </c>
      <c r="E2" s="248" t="s">
        <v>420</v>
      </c>
      <c r="F2" s="248" t="s">
        <v>63</v>
      </c>
      <c r="G2" s="248" t="s">
        <v>64</v>
      </c>
      <c r="H2" s="248" t="s">
        <v>65</v>
      </c>
      <c r="I2" s="249" t="s">
        <v>440</v>
      </c>
      <c r="J2" s="250" t="s">
        <v>441</v>
      </c>
      <c r="K2" s="248" t="s">
        <v>442</v>
      </c>
      <c r="L2" s="251" t="s">
        <v>443</v>
      </c>
      <c r="M2" s="247" t="s">
        <v>325</v>
      </c>
    </row>
    <row r="3" spans="1:18">
      <c r="A3" t="s">
        <v>444</v>
      </c>
      <c r="I3" s="2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1"/>
  <dimension ref="A1:I4"/>
  <sheetViews>
    <sheetView zoomScale="145" zoomScaleNormal="145" workbookViewId="0">
      <pane ySplit="3" topLeftCell="A4" activePane="bottomLeft" state="frozen"/>
      <selection activeCell="A3" sqref="A3"/>
      <selection pane="bottomLeft" activeCell="D4" sqref="D4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</cols>
  <sheetData>
    <row r="1" spans="1:9" ht="77.25" customHeight="1">
      <c r="A1" s="260" t="s">
        <v>483</v>
      </c>
      <c r="B1" s="260"/>
      <c r="C1" s="260"/>
      <c r="D1" s="260"/>
      <c r="E1" s="260"/>
      <c r="F1" s="260"/>
      <c r="G1" s="260"/>
      <c r="H1" s="260"/>
      <c r="I1" s="260"/>
    </row>
    <row r="2" spans="1:9" ht="18" customHeight="1">
      <c r="A2" s="293"/>
      <c r="B2" s="293"/>
      <c r="C2" s="293"/>
      <c r="D2" s="293"/>
      <c r="E2" s="293"/>
      <c r="F2" s="293"/>
      <c r="G2" s="293"/>
      <c r="H2" s="293"/>
      <c r="I2" s="293"/>
    </row>
    <row r="3" spans="1:9" ht="65.25" customHeight="1">
      <c r="A3" s="237" t="s">
        <v>484</v>
      </c>
      <c r="B3" s="238" t="s">
        <v>400</v>
      </c>
      <c r="C3" s="238" t="s">
        <v>401</v>
      </c>
      <c r="D3" s="238" t="s">
        <v>97</v>
      </c>
      <c r="E3" s="238" t="s">
        <v>3</v>
      </c>
      <c r="F3" s="238" t="s">
        <v>57</v>
      </c>
      <c r="G3" s="238" t="s">
        <v>485</v>
      </c>
      <c r="H3" s="238" t="s">
        <v>486</v>
      </c>
      <c r="I3" s="238" t="s">
        <v>487</v>
      </c>
    </row>
    <row r="4" spans="1:9">
      <c r="A4" s="344" t="s">
        <v>481</v>
      </c>
      <c r="B4" s="345"/>
      <c r="C4" s="345"/>
      <c r="D4" s="242"/>
      <c r="E4" s="242"/>
      <c r="F4" s="243"/>
      <c r="G4" s="256"/>
      <c r="H4" s="256"/>
      <c r="I4" s="346"/>
    </row>
  </sheetData>
  <mergeCells count="2">
    <mergeCell ref="A2:I2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9"/>
  <dimension ref="A1:T4"/>
  <sheetViews>
    <sheetView zoomScale="145" zoomScaleNormal="145" workbookViewId="0">
      <pane ySplit="3" topLeftCell="A4" activePane="bottomLeft" state="frozen"/>
      <selection activeCell="A3" sqref="A3"/>
      <selection pane="bottomLeft" activeCell="A3" sqref="A3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260" t="s">
        <v>424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T1" t="s">
        <v>425</v>
      </c>
    </row>
    <row r="2" spans="1:20" ht="18" customHeight="1">
      <c r="A2" s="293" t="s">
        <v>425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4" t="e">
        <f>report_year-1</f>
        <v>#VALUE!</v>
      </c>
      <c r="N2" s="295"/>
      <c r="O2" s="295"/>
      <c r="P2" s="295"/>
      <c r="Q2" s="296"/>
    </row>
    <row r="3" spans="1:20" ht="31.5" customHeight="1">
      <c r="A3" s="237" t="s">
        <v>426</v>
      </c>
      <c r="B3" s="238" t="s">
        <v>325</v>
      </c>
      <c r="C3" s="238" t="s">
        <v>427</v>
      </c>
      <c r="D3" s="238" t="s">
        <v>63</v>
      </c>
      <c r="E3" s="238" t="s">
        <v>64</v>
      </c>
      <c r="F3" s="238" t="s">
        <v>65</v>
      </c>
      <c r="G3" s="238" t="s">
        <v>98</v>
      </c>
      <c r="H3" s="238" t="s">
        <v>100</v>
      </c>
      <c r="I3" s="238" t="s">
        <v>420</v>
      </c>
      <c r="J3" s="238" t="s">
        <v>419</v>
      </c>
      <c r="K3" s="238" t="s">
        <v>428</v>
      </c>
      <c r="L3" s="239" t="s">
        <v>429</v>
      </c>
      <c r="M3" s="240" t="s">
        <v>430</v>
      </c>
      <c r="N3" s="240" t="s">
        <v>431</v>
      </c>
      <c r="O3" s="240" t="s">
        <v>432</v>
      </c>
      <c r="P3" s="240" t="s">
        <v>433</v>
      </c>
      <c r="Q3" s="240" t="s">
        <v>434</v>
      </c>
    </row>
    <row r="4" spans="1:20">
      <c r="A4" s="241" t="s">
        <v>435</v>
      </c>
      <c r="B4" s="242"/>
      <c r="C4" s="242"/>
      <c r="D4" s="242"/>
      <c r="E4" s="242"/>
      <c r="F4" s="242"/>
      <c r="G4" s="13"/>
      <c r="H4" s="243"/>
      <c r="I4" s="242"/>
      <c r="J4" s="243"/>
      <c r="K4" s="243"/>
      <c r="L4" s="244"/>
      <c r="M4" s="243"/>
      <c r="N4" s="242"/>
      <c r="O4" s="243"/>
      <c r="P4" s="243"/>
      <c r="Q4" s="244"/>
    </row>
  </sheetData>
  <mergeCells count="3">
    <mergeCell ref="A1:L1"/>
    <mergeCell ref="A2:L2"/>
    <mergeCell ref="M2:Q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283" t="s">
        <v>406</v>
      </c>
      <c r="B1" s="283"/>
      <c r="C1" s="283"/>
      <c r="D1" s="283"/>
      <c r="E1" s="283"/>
      <c r="F1" s="283"/>
      <c r="G1" s="283"/>
      <c r="H1" s="283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283" t="s">
        <v>416</v>
      </c>
      <c r="B6" s="283"/>
      <c r="C6" s="283"/>
      <c r="D6" s="283"/>
      <c r="E6" s="283"/>
      <c r="F6" s="283"/>
      <c r="G6" s="283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60" t="s">
        <v>397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</row>
    <row r="2" spans="1:16" ht="18" customHeight="1">
      <c r="A2" s="297" t="s">
        <v>398</v>
      </c>
      <c r="B2" s="297"/>
      <c r="C2" s="297"/>
      <c r="D2" s="297"/>
      <c r="E2" s="297"/>
      <c r="F2" s="297"/>
      <c r="G2" s="297"/>
      <c r="H2" s="297" t="s">
        <v>399</v>
      </c>
      <c r="I2" s="297"/>
      <c r="J2" s="297"/>
      <c r="K2" s="297"/>
      <c r="L2" s="297"/>
      <c r="M2" s="297"/>
      <c r="N2" s="297"/>
      <c r="O2" s="297"/>
      <c r="P2" s="297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298" t="s">
        <v>472</v>
      </c>
      <c r="B1" s="298"/>
      <c r="C1" s="298"/>
      <c r="D1" s="298"/>
      <c r="E1" s="298"/>
      <c r="F1" s="298"/>
      <c r="G1" s="298"/>
      <c r="H1" s="298"/>
      <c r="I1" s="298"/>
      <c r="J1" s="187"/>
    </row>
    <row r="2" spans="1:10" ht="39.75" customHeight="1">
      <c r="A2" s="33" t="s">
        <v>474</v>
      </c>
      <c r="B2" s="47" t="s">
        <v>62</v>
      </c>
      <c r="C2" s="255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1" t="s">
        <v>471</v>
      </c>
      <c r="B3" s="256"/>
      <c r="C3" s="243"/>
      <c r="D3" s="242"/>
      <c r="E3" s="242"/>
      <c r="F3" s="242"/>
      <c r="G3" s="243"/>
      <c r="H3" s="256"/>
      <c r="I3" s="25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ettings"/>
  <dimension ref="A1:BH58"/>
  <sheetViews>
    <sheetView tabSelected="1" topLeftCell="A19" workbookViewId="0">
      <selection activeCell="J44" sqref="J4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</cols>
  <sheetData>
    <row r="1" spans="1:60" ht="29.25" customHeight="1">
      <c r="A1" s="299" t="s">
        <v>115</v>
      </c>
      <c r="B1" s="299"/>
      <c r="D1" s="300" t="s">
        <v>116</v>
      </c>
      <c r="E1" s="300"/>
      <c r="G1" s="300" t="s">
        <v>111</v>
      </c>
      <c r="H1" s="300"/>
      <c r="I1" s="300"/>
      <c r="J1" s="300"/>
      <c r="K1" s="300"/>
      <c r="L1" s="300"/>
      <c r="N1" s="300" t="s">
        <v>106</v>
      </c>
      <c r="O1" s="300"/>
      <c r="P1" s="300"/>
      <c r="Q1" s="300"/>
      <c r="R1" s="300"/>
      <c r="S1" s="300"/>
      <c r="T1" s="300"/>
      <c r="V1" s="300" t="s">
        <v>112</v>
      </c>
      <c r="W1" s="300"/>
      <c r="Y1" s="300" t="s">
        <v>103</v>
      </c>
      <c r="Z1" s="300"/>
      <c r="AA1" s="300"/>
      <c r="AB1" s="300"/>
      <c r="AC1" s="300"/>
      <c r="AE1" s="300" t="s">
        <v>143</v>
      </c>
      <c r="AF1" s="300"/>
      <c r="AG1" s="300"/>
      <c r="AH1" s="300"/>
      <c r="AI1" s="300"/>
      <c r="AJ1" s="300"/>
      <c r="AK1" s="300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01" t="s">
        <v>245</v>
      </c>
      <c r="BF1" s="301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f2_load_vych_errors</v>
      </c>
      <c r="D6" s="253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177" t="s">
        <v>341</v>
      </c>
      <c r="BF6" s="177" t="s">
        <v>341</v>
      </c>
    </row>
    <row r="7" spans="1:60">
      <c r="A7" s="39" t="s">
        <v>149</v>
      </c>
      <c r="B7" s="177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177" t="s">
        <v>386</v>
      </c>
      <c r="D9" s="253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177" t="s">
        <v>386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177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4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177" t="s">
        <v>480</v>
      </c>
      <c r="E32" s="177" t="s">
        <v>481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7:20"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7:20"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7:20"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7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7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7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7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7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7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7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7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7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7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7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7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</row>
    <row r="48" spans="7:20">
      <c r="G48" s="177" t="s">
        <v>450</v>
      </c>
      <c r="H48" s="177" t="s">
        <v>104</v>
      </c>
      <c r="I48" s="177" t="s">
        <v>481</v>
      </c>
      <c r="K48" s="177"/>
      <c r="L48" s="177"/>
    </row>
    <row r="49" spans="7:12">
      <c r="G49" s="177" t="s">
        <v>450</v>
      </c>
      <c r="H49" s="177" t="s">
        <v>104</v>
      </c>
      <c r="I49" s="177" t="s">
        <v>363</v>
      </c>
      <c r="K49" s="177"/>
      <c r="L49" s="177"/>
    </row>
    <row r="50" spans="7:12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</row>
    <row r="51" spans="7:12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</row>
    <row r="52" spans="7:12">
      <c r="G52" s="177" t="s">
        <v>450</v>
      </c>
      <c r="H52" s="177" t="s">
        <v>104</v>
      </c>
      <c r="I52" s="177" t="s">
        <v>471</v>
      </c>
      <c r="K52" s="177"/>
      <c r="L52" s="177"/>
    </row>
    <row r="53" spans="7:12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</row>
    <row r="54" spans="7:12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</row>
    <row r="55" spans="7:12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</row>
    <row r="56" spans="7:12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12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12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3 W4:W11">
      <formula1>INDIRECT("Reports[Code]")</formula1>
    </dataValidation>
    <dataValidation type="list" allowBlank="1" showInputMessage="1" showErrorMessage="1" sqref="Z3:Z12">
      <formula1>INDIRECT("ProgramTypes[Code]")</formula1>
    </dataValidation>
    <dataValidation type="list" allowBlank="1" showInputMessage="1" showErrorMessage="1" sqref="AB3:AB12">
      <formula1>INDIRECT("ReturnTypes[Code]")</formula1>
    </dataValidation>
    <dataValidation type="list" allowBlank="1" showInputMessage="1" showErrorMessage="1" sqref="Q3:Q46">
      <formula1>INDIRECT("CreateModes[Code]")</formula1>
    </dataValidation>
    <dataValidation type="list" allowBlank="1" showInputMessage="1" showErrorMessage="1" sqref="T3:T46">
      <formula1>INDIRECT("ReportTypes[Code]")</formula1>
    </dataValidation>
    <dataValidation type="list" allowBlank="1" showInputMessage="1" showErrorMessage="1" sqref="S3:S46">
      <formula1>INDIRECT("Programs[Code]")</formula1>
    </dataValidation>
    <dataValidation type="list" allowBlank="1" showInputMessage="1" showErrorMessage="1" sqref="AG3:AG26">
      <formula1>INDIRECT("Direction[Code]")</formula1>
    </dataValidation>
    <dataValidation type="list" allowBlank="1" showInputMessage="1" showErrorMessage="1" sqref="AI3:AI26 AK3:AK26">
      <formula1>INDIRECT("YesNo[Code]")</formula1>
    </dataValidation>
    <dataValidation type="whole" allowBlank="1" showInputMessage="1" showErrorMessage="1" sqref="AJ3:AJ26">
      <formula1>1</formula1>
      <formula2>32767</formula2>
    </dataValidation>
    <dataValidation type="list" allowBlank="1" showInputMessage="1" showErrorMessage="1" sqref="J3:J58">
      <formula1>INDIRECT("AfterAction")</formula1>
    </dataValidation>
    <dataValidation type="list" allowBlank="1" showInputMessage="1" showErrorMessage="1" sqref="H3:H58">
      <formula1>INDIRECT("ActionTypes[Code]")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480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05"/>
      <c r="B8" s="305"/>
      <c r="C8" s="305"/>
      <c r="D8" s="305"/>
      <c r="E8" s="305"/>
    </row>
    <row r="9" spans="1:6" ht="97.5" customHeight="1">
      <c r="A9" s="44"/>
      <c r="B9" s="306" t="s">
        <v>509</v>
      </c>
      <c r="C9" s="307"/>
      <c r="D9" s="307"/>
      <c r="E9" s="44"/>
    </row>
    <row r="10" spans="1:6" s="43" customFormat="1" ht="14.25" customHeight="1">
      <c r="A10" s="305"/>
      <c r="B10" s="305"/>
      <c r="C10" s="305"/>
      <c r="D10" s="305"/>
      <c r="E10" s="305"/>
    </row>
    <row r="11" spans="1:6" hidden="1">
      <c r="A11" s="302"/>
      <c r="B11" s="303"/>
      <c r="C11" s="303"/>
      <c r="D11" s="303"/>
      <c r="E11" s="30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3"/>
  <dimension ref="A1:I17"/>
  <sheetViews>
    <sheetView zoomScale="145" zoomScaleNormal="145" workbookViewId="0">
      <pane ySplit="3" topLeftCell="A4" activePane="bottomLeft" state="frozen"/>
      <selection activeCell="A3" sqref="A3"/>
      <selection pane="bottomLeft" activeCell="H8" sqref="H8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</cols>
  <sheetData>
    <row r="1" spans="1:9" ht="77.25" customHeight="1">
      <c r="A1" s="260" t="s">
        <v>488</v>
      </c>
      <c r="B1" s="260"/>
      <c r="C1" s="260"/>
      <c r="D1" s="260"/>
      <c r="E1" s="260"/>
      <c r="F1" s="260"/>
      <c r="G1" s="260"/>
      <c r="H1" s="260"/>
      <c r="I1" s="260"/>
    </row>
    <row r="2" spans="1:9" ht="18" customHeight="1">
      <c r="A2" s="293"/>
      <c r="B2" s="293"/>
      <c r="C2" s="293"/>
      <c r="D2" s="293"/>
      <c r="E2" s="293"/>
      <c r="F2" s="293"/>
      <c r="G2" s="293"/>
      <c r="H2" s="293"/>
      <c r="I2" s="293"/>
    </row>
    <row r="3" spans="1:9" ht="65.25" customHeight="1">
      <c r="A3" s="237" t="s">
        <v>484</v>
      </c>
      <c r="B3" s="238" t="s">
        <v>400</v>
      </c>
      <c r="C3" s="238" t="s">
        <v>401</v>
      </c>
      <c r="D3" s="238" t="s">
        <v>97</v>
      </c>
      <c r="E3" s="238" t="s">
        <v>3</v>
      </c>
      <c r="F3" s="238" t="s">
        <v>57</v>
      </c>
      <c r="G3" s="238" t="s">
        <v>485</v>
      </c>
      <c r="H3" s="238" t="s">
        <v>486</v>
      </c>
      <c r="I3" s="238" t="s">
        <v>487</v>
      </c>
    </row>
    <row r="4" spans="1:9">
      <c r="A4" s="344">
        <v>1659124</v>
      </c>
      <c r="B4" s="345">
        <v>18</v>
      </c>
      <c r="C4" s="345">
        <v>10171</v>
      </c>
      <c r="D4" s="242" t="s">
        <v>489</v>
      </c>
      <c r="E4" s="242" t="s">
        <v>490</v>
      </c>
      <c r="F4" s="243" t="s">
        <v>491</v>
      </c>
      <c r="G4" s="256">
        <v>-1025</v>
      </c>
      <c r="H4" s="256"/>
      <c r="I4" s="346">
        <v>500</v>
      </c>
    </row>
    <row r="5" spans="1:9">
      <c r="A5" s="347">
        <v>1659124</v>
      </c>
      <c r="B5" s="349">
        <v>18</v>
      </c>
      <c r="C5" s="349">
        <v>10171</v>
      </c>
      <c r="D5" s="29" t="s">
        <v>489</v>
      </c>
      <c r="E5" s="29" t="s">
        <v>490</v>
      </c>
      <c r="F5" s="27" t="s">
        <v>492</v>
      </c>
      <c r="G5" s="30">
        <v>-1025</v>
      </c>
      <c r="H5" s="30"/>
      <c r="I5" s="348">
        <v>500</v>
      </c>
    </row>
    <row r="6" spans="1:9">
      <c r="A6" s="347">
        <v>225062</v>
      </c>
      <c r="B6" s="349">
        <v>18</v>
      </c>
      <c r="C6" s="349">
        <v>8348</v>
      </c>
      <c r="D6" s="29" t="s">
        <v>493</v>
      </c>
      <c r="E6" s="29" t="s">
        <v>490</v>
      </c>
      <c r="F6" s="27" t="s">
        <v>16</v>
      </c>
      <c r="G6" s="30">
        <v>-1025</v>
      </c>
      <c r="H6" s="30"/>
      <c r="I6" s="348">
        <v>500</v>
      </c>
    </row>
    <row r="7" spans="1:9">
      <c r="A7" s="347">
        <v>94632</v>
      </c>
      <c r="B7" s="349">
        <v>21</v>
      </c>
      <c r="C7" s="349">
        <v>5629</v>
      </c>
      <c r="D7" s="29" t="s">
        <v>494</v>
      </c>
      <c r="E7" s="29" t="s">
        <v>490</v>
      </c>
      <c r="F7" s="27" t="s">
        <v>495</v>
      </c>
      <c r="G7" s="30">
        <v>-1025</v>
      </c>
      <c r="H7" s="30"/>
      <c r="I7" s="348">
        <v>500</v>
      </c>
    </row>
    <row r="8" spans="1:9">
      <c r="A8" s="347">
        <v>132034</v>
      </c>
      <c r="B8" s="349">
        <v>37</v>
      </c>
      <c r="C8" s="349">
        <v>921</v>
      </c>
      <c r="D8" s="29" t="s">
        <v>496</v>
      </c>
      <c r="E8" s="29" t="s">
        <v>490</v>
      </c>
      <c r="F8" s="27" t="s">
        <v>18</v>
      </c>
      <c r="G8" s="30">
        <v>-1021</v>
      </c>
      <c r="H8" s="30"/>
      <c r="I8" s="348">
        <v>16800</v>
      </c>
    </row>
    <row r="9" spans="1:9">
      <c r="A9" s="347">
        <v>2017858</v>
      </c>
      <c r="B9" s="349">
        <v>57</v>
      </c>
      <c r="C9" s="349">
        <v>5964</v>
      </c>
      <c r="D9" s="29" t="s">
        <v>497</v>
      </c>
      <c r="E9" s="29" t="s">
        <v>490</v>
      </c>
      <c r="F9" s="27" t="s">
        <v>16</v>
      </c>
      <c r="G9" s="30">
        <v>-1025</v>
      </c>
      <c r="H9" s="30"/>
      <c r="I9" s="348">
        <v>500</v>
      </c>
    </row>
    <row r="10" spans="1:9">
      <c r="A10" s="347">
        <v>1197257</v>
      </c>
      <c r="B10" s="349">
        <v>75</v>
      </c>
      <c r="C10" s="349">
        <v>6060</v>
      </c>
      <c r="D10" s="29" t="s">
        <v>498</v>
      </c>
      <c r="E10" s="29" t="s">
        <v>490</v>
      </c>
      <c r="F10" s="27" t="s">
        <v>17</v>
      </c>
      <c r="G10" s="30">
        <v>-1025</v>
      </c>
      <c r="H10" s="30"/>
      <c r="I10" s="348">
        <v>500</v>
      </c>
    </row>
    <row r="11" spans="1:9">
      <c r="A11" s="347">
        <v>90113</v>
      </c>
      <c r="B11" s="349">
        <v>140</v>
      </c>
      <c r="C11" s="349">
        <v>3479</v>
      </c>
      <c r="D11" s="29" t="s">
        <v>499</v>
      </c>
      <c r="E11" s="29" t="s">
        <v>490</v>
      </c>
      <c r="F11" s="27" t="s">
        <v>500</v>
      </c>
      <c r="G11" s="30">
        <v>-1021</v>
      </c>
      <c r="H11" s="30"/>
      <c r="I11" s="348">
        <v>1400</v>
      </c>
    </row>
    <row r="12" spans="1:9">
      <c r="A12" s="347">
        <v>564900</v>
      </c>
      <c r="B12" s="349">
        <v>516</v>
      </c>
      <c r="C12" s="349">
        <v>132</v>
      </c>
      <c r="D12" s="29" t="s">
        <v>501</v>
      </c>
      <c r="E12" s="29" t="s">
        <v>490</v>
      </c>
      <c r="F12" s="27" t="s">
        <v>492</v>
      </c>
      <c r="G12" s="30">
        <v>-1025</v>
      </c>
      <c r="H12" s="30"/>
      <c r="I12" s="348">
        <v>500</v>
      </c>
    </row>
    <row r="13" spans="1:9">
      <c r="A13" s="347">
        <v>2012034</v>
      </c>
      <c r="B13" s="349">
        <v>18</v>
      </c>
      <c r="C13" s="349">
        <v>10205</v>
      </c>
      <c r="D13" s="29" t="s">
        <v>502</v>
      </c>
      <c r="E13" s="29" t="s">
        <v>490</v>
      </c>
      <c r="F13" s="27" t="s">
        <v>503</v>
      </c>
      <c r="G13" s="30">
        <v>-1025</v>
      </c>
      <c r="H13" s="30"/>
      <c r="I13" s="348">
        <v>500</v>
      </c>
    </row>
    <row r="14" spans="1:9">
      <c r="A14" s="347">
        <v>234201</v>
      </c>
      <c r="B14" s="349">
        <v>12</v>
      </c>
      <c r="C14" s="349">
        <v>15355</v>
      </c>
      <c r="D14" s="29" t="s">
        <v>504</v>
      </c>
      <c r="E14" s="29" t="s">
        <v>490</v>
      </c>
      <c r="F14" s="27" t="s">
        <v>18</v>
      </c>
      <c r="G14" s="30">
        <v>-1021</v>
      </c>
      <c r="H14" s="30"/>
      <c r="I14" s="348">
        <v>5600</v>
      </c>
    </row>
    <row r="15" spans="1:9">
      <c r="A15" s="347">
        <v>227010</v>
      </c>
      <c r="B15" s="349">
        <v>12</v>
      </c>
      <c r="C15" s="349">
        <v>14651</v>
      </c>
      <c r="D15" s="29" t="s">
        <v>505</v>
      </c>
      <c r="E15" s="29" t="s">
        <v>490</v>
      </c>
      <c r="F15" s="27" t="s">
        <v>18</v>
      </c>
      <c r="G15" s="30">
        <v>-1021</v>
      </c>
      <c r="H15" s="30"/>
      <c r="I15" s="348">
        <v>5600</v>
      </c>
    </row>
    <row r="16" spans="1:9">
      <c r="A16" s="347">
        <v>72664</v>
      </c>
      <c r="B16" s="349">
        <v>71</v>
      </c>
      <c r="C16" s="349">
        <v>3443</v>
      </c>
      <c r="D16" s="29" t="s">
        <v>506</v>
      </c>
      <c r="E16" s="29" t="s">
        <v>490</v>
      </c>
      <c r="F16" s="27" t="s">
        <v>507</v>
      </c>
      <c r="G16" s="30">
        <v>-1021</v>
      </c>
      <c r="H16" s="30"/>
      <c r="I16" s="348">
        <v>8400</v>
      </c>
    </row>
    <row r="17" spans="1:9">
      <c r="A17" s="347">
        <v>225204</v>
      </c>
      <c r="B17" s="349">
        <v>18</v>
      </c>
      <c r="C17" s="349">
        <v>8341</v>
      </c>
      <c r="D17" s="29" t="s">
        <v>508</v>
      </c>
      <c r="E17" s="29" t="s">
        <v>490</v>
      </c>
      <c r="F17" s="27" t="s">
        <v>495</v>
      </c>
      <c r="G17" s="30">
        <v>-1025</v>
      </c>
      <c r="H17" s="30"/>
      <c r="I17" s="348">
        <v>500</v>
      </c>
    </row>
  </sheetData>
  <mergeCells count="2">
    <mergeCell ref="A1:I1"/>
    <mergeCell ref="A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83" t="s">
        <v>249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</row>
    <row r="2" spans="1:12" ht="44.25" customHeight="1">
      <c r="A2" s="308" t="s">
        <v>327</v>
      </c>
      <c r="B2" s="308"/>
      <c r="C2" s="308"/>
      <c r="D2" s="308" t="s">
        <v>58</v>
      </c>
      <c r="E2" s="308"/>
      <c r="F2" s="308" t="s">
        <v>62</v>
      </c>
      <c r="G2" s="308" t="s">
        <v>52</v>
      </c>
      <c r="H2" s="308" t="s">
        <v>328</v>
      </c>
      <c r="I2" s="308" t="s">
        <v>329</v>
      </c>
      <c r="J2" s="308" t="s">
        <v>3</v>
      </c>
      <c r="K2" s="308" t="s">
        <v>325</v>
      </c>
      <c r="L2" s="30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08"/>
      <c r="G3" s="308" t="s">
        <v>41</v>
      </c>
      <c r="H3" s="308" t="s">
        <v>325</v>
      </c>
      <c r="I3" s="308"/>
      <c r="J3" s="308"/>
      <c r="K3" s="308"/>
      <c r="L3" s="30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60" t="s">
        <v>251</v>
      </c>
      <c r="B1" s="260"/>
      <c r="C1" s="260"/>
      <c r="D1" s="260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09" t="s">
        <v>252</v>
      </c>
      <c r="B1" s="310"/>
      <c r="C1" s="310"/>
      <c r="D1" s="310"/>
      <c r="E1" s="310"/>
    </row>
    <row r="2" spans="1:6" ht="19.5" customHeight="1">
      <c r="A2" s="311" t="s">
        <v>181</v>
      </c>
      <c r="B2" s="312"/>
      <c r="C2" s="312"/>
      <c r="D2" s="312"/>
      <c r="E2" s="313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00" t="s">
        <v>185</v>
      </c>
      <c r="E8" s="30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00" t="s">
        <v>187</v>
      </c>
      <c r="E11" s="30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14" t="s">
        <v>253</v>
      </c>
      <c r="B1" s="315"/>
      <c r="C1" s="315"/>
      <c r="D1" s="315"/>
      <c r="E1" s="315"/>
      <c r="F1" s="315"/>
      <c r="G1" s="315"/>
      <c r="H1" s="315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21" t="s">
        <v>194</v>
      </c>
      <c r="F7" s="321"/>
      <c r="G7" s="321"/>
      <c r="H7" s="321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22" t="s">
        <v>200</v>
      </c>
      <c r="F11" s="322"/>
      <c r="G11" s="322"/>
      <c r="H11" s="322"/>
    </row>
    <row r="12" spans="1:8">
      <c r="C12" s="53"/>
      <c r="D12" s="85"/>
      <c r="E12" s="318" t="s">
        <v>201</v>
      </c>
      <c r="F12" s="319"/>
      <c r="G12" s="320"/>
      <c r="H12" s="316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16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17" t="s">
        <v>219</v>
      </c>
      <c r="B22" s="317"/>
      <c r="C22" s="317"/>
      <c r="D22" s="317"/>
      <c r="E22" s="317"/>
      <c r="F22" s="317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98" t="s">
        <v>254</v>
      </c>
      <c r="B1" s="298"/>
      <c r="C1" s="298"/>
      <c r="D1" s="298"/>
      <c r="E1" s="298"/>
      <c r="F1" s="298"/>
      <c r="G1" s="298"/>
      <c r="H1" s="298"/>
      <c r="I1" s="298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24" t="s">
        <v>263</v>
      </c>
      <c r="B1" s="325"/>
      <c r="C1" s="325"/>
      <c r="D1" s="325"/>
      <c r="E1" s="325"/>
      <c r="F1" s="325"/>
      <c r="G1" s="325"/>
      <c r="H1" s="325"/>
      <c r="I1" s="325"/>
    </row>
    <row r="2" spans="1:9" ht="15.75">
      <c r="A2" s="112"/>
    </row>
    <row r="3" spans="1:9" ht="31.5" customHeight="1">
      <c r="A3" s="323" t="s">
        <v>262</v>
      </c>
      <c r="B3" s="323"/>
      <c r="C3" s="323"/>
      <c r="D3" s="323"/>
      <c r="E3" s="323"/>
      <c r="F3" s="323"/>
      <c r="G3" s="323"/>
      <c r="H3" s="32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24" t="s">
        <v>263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/>
      <c r="P1" s="324"/>
    </row>
    <row r="2" spans="1:16" ht="15.75">
      <c r="A2" s="112"/>
      <c r="F2" s="112"/>
      <c r="G2" s="112"/>
      <c r="H2" s="112"/>
      <c r="I2" s="112"/>
    </row>
    <row r="3" spans="1:16" ht="31.5" customHeight="1">
      <c r="A3" s="326" t="s">
        <v>262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28" t="s">
        <v>310</v>
      </c>
      <c r="L4" s="328"/>
      <c r="M4" s="328"/>
      <c r="N4" s="329" t="s">
        <v>311</v>
      </c>
      <c r="O4" s="330"/>
      <c r="P4" s="33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98" t="s">
        <v>366</v>
      </c>
      <c r="B1" s="298"/>
      <c r="C1" s="298"/>
      <c r="D1" s="298"/>
      <c r="E1" s="298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32" t="s">
        <v>373</v>
      </c>
      <c r="B8" s="332"/>
      <c r="C8" s="332"/>
      <c r="D8" s="332"/>
      <c r="E8" s="332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33" t="s">
        <v>384</v>
      </c>
      <c r="B19" s="334"/>
      <c r="C19" s="334"/>
      <c r="D19" s="334"/>
      <c r="E19" s="335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98" t="s">
        <v>348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187"/>
    </row>
    <row r="3" spans="1:14">
      <c r="A3" s="336" t="s">
        <v>357</v>
      </c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</row>
    <row r="4" spans="1:14" ht="37.5" customHeight="1">
      <c r="A4" s="337" t="s">
        <v>349</v>
      </c>
      <c r="B4" s="339" t="s">
        <v>352</v>
      </c>
      <c r="C4" s="340"/>
      <c r="D4" s="337" t="s">
        <v>329</v>
      </c>
      <c r="E4" s="337" t="s">
        <v>97</v>
      </c>
      <c r="F4" s="183" t="s">
        <v>1</v>
      </c>
      <c r="G4" s="183" t="s">
        <v>2</v>
      </c>
      <c r="H4" s="183" t="s">
        <v>82</v>
      </c>
      <c r="I4" s="339" t="s">
        <v>69</v>
      </c>
      <c r="J4" s="341"/>
      <c r="K4" s="340"/>
      <c r="L4" s="337" t="s">
        <v>353</v>
      </c>
      <c r="M4" s="342" t="s">
        <v>354</v>
      </c>
      <c r="N4" s="186"/>
    </row>
    <row r="5" spans="1:14" ht="33.75" customHeight="1">
      <c r="A5" s="338"/>
      <c r="B5" s="185" t="s">
        <v>350</v>
      </c>
      <c r="C5" s="185" t="s">
        <v>351</v>
      </c>
      <c r="D5" s="338"/>
      <c r="E5" s="338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38"/>
      <c r="M5" s="34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36" t="s">
        <v>358</v>
      </c>
      <c r="B11" s="336"/>
      <c r="C11" s="336"/>
      <c r="D11" s="336"/>
      <c r="E11" s="336"/>
      <c r="F11" s="336"/>
      <c r="G11" s="336"/>
      <c r="H11" s="336"/>
      <c r="I11" s="336"/>
      <c r="J11" s="336"/>
      <c r="K11" s="336"/>
      <c r="L11" s="336"/>
      <c r="M11" s="336"/>
    </row>
    <row r="12" spans="1:14" ht="37.5" customHeight="1">
      <c r="A12" s="337" t="s">
        <v>349</v>
      </c>
      <c r="B12" s="339" t="s">
        <v>352</v>
      </c>
      <c r="C12" s="340"/>
      <c r="D12" s="337" t="s">
        <v>329</v>
      </c>
      <c r="E12" s="337" t="s">
        <v>97</v>
      </c>
      <c r="F12" s="183" t="s">
        <v>1</v>
      </c>
      <c r="G12" s="183" t="s">
        <v>2</v>
      </c>
      <c r="H12" s="183" t="s">
        <v>82</v>
      </c>
      <c r="I12" s="339" t="s">
        <v>69</v>
      </c>
      <c r="J12" s="341"/>
      <c r="K12" s="340"/>
      <c r="L12" s="337" t="s">
        <v>353</v>
      </c>
      <c r="M12" s="342" t="s">
        <v>354</v>
      </c>
      <c r="N12" s="186"/>
    </row>
    <row r="13" spans="1:14" ht="33.75" customHeight="1">
      <c r="A13" s="338"/>
      <c r="B13" s="185" t="s">
        <v>350</v>
      </c>
      <c r="C13" s="185"/>
      <c r="D13" s="338"/>
      <c r="E13" s="338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38"/>
      <c r="M13" s="34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36" t="s">
        <v>360</v>
      </c>
      <c r="B19" s="336"/>
      <c r="C19" s="336"/>
      <c r="D19" s="336"/>
      <c r="E19" s="336"/>
      <c r="F19" s="336"/>
      <c r="G19" s="336"/>
      <c r="H19" s="336"/>
      <c r="I19" s="336"/>
      <c r="J19" s="336"/>
      <c r="K19" s="336"/>
      <c r="L19" s="336"/>
      <c r="M19" s="336"/>
    </row>
    <row r="20" spans="1:14" ht="37.5" customHeight="1">
      <c r="A20" s="337" t="s">
        <v>349</v>
      </c>
      <c r="B20" s="339" t="s">
        <v>352</v>
      </c>
      <c r="C20" s="340"/>
      <c r="D20" s="337" t="s">
        <v>329</v>
      </c>
      <c r="E20" s="337" t="s">
        <v>97</v>
      </c>
      <c r="F20" s="183" t="s">
        <v>1</v>
      </c>
      <c r="G20" s="183" t="s">
        <v>2</v>
      </c>
      <c r="H20" s="183" t="s">
        <v>82</v>
      </c>
      <c r="I20" s="339" t="s">
        <v>69</v>
      </c>
      <c r="J20" s="341"/>
      <c r="K20" s="340"/>
      <c r="L20" s="337" t="s">
        <v>353</v>
      </c>
      <c r="M20" s="342" t="s">
        <v>354</v>
      </c>
      <c r="N20" s="186"/>
    </row>
    <row r="21" spans="1:14" ht="33.75" customHeight="1">
      <c r="A21" s="338"/>
      <c r="B21" s="185" t="s">
        <v>350</v>
      </c>
      <c r="C21" s="185"/>
      <c r="D21" s="338"/>
      <c r="E21" s="338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38"/>
      <c r="M21" s="34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22</vt:i4>
      </vt:variant>
    </vt:vector>
  </HeadingPairs>
  <TitlesOfParts>
    <vt:vector size="47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Ошибки вычетов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2018-02-10T10:50:31Z</dcterms:modified>
</cp:coreProperties>
</file>