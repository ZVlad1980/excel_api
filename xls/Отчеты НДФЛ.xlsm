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4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Settings" sheetId="103" state="hidden" r:id="rId14"/>
    <sheet name="Отчеты" sheetId="6" r:id="rId15"/>
    <sheet name="f2_load_vych_person" sheetId="332" state="hidden" r:id="rId16"/>
    <sheet name="synch_error_report" sheetId="283" state="hidden" r:id="rId17"/>
    <sheet name="ndfl6_part2" sheetId="249" state="hidden" r:id="rId18"/>
    <sheet name="ndfl6_part1_general" sheetId="71" state="hidden" r:id="rId19"/>
    <sheet name="ndfl6_part1_rates" sheetId="69" state="hidden" r:id="rId20"/>
    <sheet name="funds_employees" sheetId="73" state="hidden" r:id="rId21"/>
    <sheet name="funds_employees_report" sheetId="123" state="hidden" r:id="rId22"/>
    <sheet name="ndfl6_part1" sheetId="248" state="hidden" r:id="rId23"/>
    <sheet name="tax_diff_report" sheetId="271" state="hidden" r:id="rId24"/>
    <sheet name="tax_diff_det_report" sheetId="282" state="hidden" r:id="rId25"/>
    <sheet name="cmp_f2ndfl_f6" sheetId="294" state="hidden" r:id="rId26"/>
    <sheet name="cmp_f2ndfl_pers" sheetId="284" state="hidden" r:id="rId27"/>
  </sheets>
  <functionGroups/>
  <externalReferences>
    <externalReference r:id="rId28"/>
    <externalReference r:id="rId29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0">[1]Отчеты!$C$2</definedName>
    <definedName name="ReportSelected" localSheetId="9">[1]Отчеты!$C$2</definedName>
    <definedName name="ReportSelected" localSheetId="5">[1]Отчеты!$C$2</definedName>
    <definedName name="ReportSelected" localSheetId="8">[1]Отчеты!$C$2</definedName>
    <definedName name="ReportSelected" localSheetId="15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<sst xmlns="http://schemas.openxmlformats.org/spreadsheetml/2006/main" count="1616" uniqueCount="543">
  <si>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</si>
  <si>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</si>
  <si>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</si>
  <si>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</si>
  <si>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</si>
  <si>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</si>
  <si>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</si>
  <si>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</si>
  <si>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</si>
  <si>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</si>
  <si>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</si>
  <si>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</si>
  <si>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</si>
  <si>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</si>
  <si>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</si>
  <si>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</si>
  <si>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</si>
  <si>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</si>
  <si>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</si>
  <si>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</si>
  <si>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</si>
  <si>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</si>
  <si>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</si>
  <si>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</si>
  <si>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</si>
  <si>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</si>
  <si>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</si>
  <si>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</si>
  <si>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</si>
  <si>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</si>
  <si>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</si>
  <si>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</si>
  <si>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</si>
  <si>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</si>
  <si>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</si>
  <si>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</si>
  <si>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</si>
  <si>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</si>
  <si>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</si>
  <si>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</si>
  <si>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</si>
  <si>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</si>
  <si>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</si>
  <si>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</si>
  <si>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</si>
  <si>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</si>
  <si>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</si>
  <si>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</si>
  <si>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</si>
  <si>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</si>
  <si>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</si>
  <si>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</si>
  <si>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</si>
  <si>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</si>
  <si>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</si>
  <si>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</si>
  <si>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</si>
  <si>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</si>
  <si>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</si>
  <si>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</si>
  <si>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</si>
  <si>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</si>
  <si>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</si>
  <si>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</si>
  <si>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</si>
  <si>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</si>
  <si>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</si>
  <si>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</si>
  <si>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</si>
  <si>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</si>
  <si>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</si>
  <si>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</si>
  <si>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</si>
  <si>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</si>
  <si>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</si>
  <si>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</si>
  <si>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</si>
  <si>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</si>
  <si>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</si>
  <si>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</si>
  <si>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</si>
  <si>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</si>
  <si>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</si>
  <si>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</si>
  <si>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</si>
  <si>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</si>
  <si>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</si>
  <si>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</si>
  <si>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</si>
  <si>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</si>
  <si>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</si>
  <si>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</si>
  <si>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</si>
  <si>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</si>
  <si>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</si>
  <si>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</si>
  <si>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</si>
  <si>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</si>
  <si>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</si>
  <si>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</si>
  <si>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</si>
  <si>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</si>
  <si>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</si>
  <si>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</si>
  <si>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</si>
  <si>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</si>
  <si>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</si>
  <si>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</si>
  <si>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</si>
  <si>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</si>
  <si>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</si>
  <si>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</si>
  <si>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</si>
  <si>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</si>
  <si>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</si>
  <si>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</si>
  <si>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</si>
  <si>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</si>
  <si>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</si>
  <si>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</si>
  <si>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</si>
  <si>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</si>
  <si>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</si>
  <si>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</si>
  <si>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</si>
  <si>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</si>
  <si>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</si>
  <si>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</si>
  <si>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</si>
  <si>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</si>
  <si>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</si>
  <si>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</si>
  <si>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</si>
  <si>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</si>
  <si>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</si>
  <si>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</si>
  <si>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</si>
  <si>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</si>
  <si>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</si>
  <si>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</si>
  <si>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</si>
  <si>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</si>
  <si>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</si>
  <si>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</si>
  <si>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</si>
  <si>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</si>
  <si>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</si>
  <si>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</si>
  <si>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</si>
  <si>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</si>
  <si>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</si>
  <si>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</si>
  <si>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</si>
  <si>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</si>
  <si>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</si>
  <si>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</si>
  <si>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</si>
  <si>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</si>
  <si>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</si>
  <si>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</si>
  <si>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</si>
  <si>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</si>
  <si>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</si>
  <si>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</si>
  <si>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</si>
  <si>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</si>
  <si>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</si>
  <si>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</si>
  <si>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</si>
  <si>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</si>
  <si>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</si>
  <si>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</si>
  <si>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</si>
  <si>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</si>
  <si>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</si>
  <si>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</si>
  <si>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</si>
  <si>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</si>
  <si>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</si>
  <si>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</si>
  <si>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</si>
  <si>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</si>
  <si>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</si>
  <si>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</si>
  <si>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</si>
  <si>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</si>
  <si>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</si>
  <si>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</si>
  <si>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</si>
  <si>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</si>
  <si>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</si>
  <si>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</si>
  <si>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</si>
  <si>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</si>
  <si>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</si>
  <si>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</si>
  <si>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</si>
  <si>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</si>
  <si>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</si>
  <si>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</si>
  <si>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</si>
  <si>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</si>
  <si>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</si>
  <si>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</si>
  <si>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</si>
  <si>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</si>
  <si>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</si>
  <si>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</si>
  <si>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</si>
  <si>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</si>
  <si>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</si>
  <si>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</si>
  <si>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</si>
  <si>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</si>
  <si>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</si>
  <si>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</si>
  <si>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</si>
  <si>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</si>
  <si>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</si>
  <si>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</si>
  <si>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</si>
  <si>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</si>
  <si>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</si>
  <si>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</si>
  <si>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</si>
  <si>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</si>
  <si>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</si>
  <si>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</si>
  <si>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</si>
  <si>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</si>
  <si>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</si>
  <si>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</si>
  <si>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</si>
  <si>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</si>
  <si>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</si>
  <si>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</si>
  <si>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</si>
  <si>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</si>
  <si>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</si>
  <si>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</si>
  <si>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</si>
  <si>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</si>
  <si>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</si>
  <si>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</si>
  <si>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</si>
  <si>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</si>
  <si>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</si>
  <si>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</si>
  <si>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</si>
  <si>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</si>
  <si>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</si>
  <si>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</si>
  <si>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</si>
  <si>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</si>
  <si>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</si>
  <si>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</si>
  <si>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</si>
  <si>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</si>
  <si>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</si>
  <si>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</si>
  <si>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</si>
  <si>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</si>
  <si>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</si>
  <si>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</si>
  <si>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</si>
  <si>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</si>
  <si>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</si>
  <si>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</si>
  <si>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</si>
  <si>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</si>
  <si>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</si>
  <si>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</si>
  <si>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</si>
  <si>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</si>
  <si>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</si>
  <si>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</si>
  <si>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</si>
  <si>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</si>
  <si>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</si>
  <si>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</si>
  <si>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</si>
  <si>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</si>
  <si>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</si>
  <si>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</si>
  <si>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</si>
  <si>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</si>
  <si>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</si>
  <si>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</si>
  <si>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</si>
  <si>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</si>
  <si>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</si>
  <si>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</si>
  <si>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</si>
  <si>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</si>
  <si>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</si>
  <si>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</si>
  <si>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</si>
  <si>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</si>
  <si>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</si>
  <si>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</si>
  <si>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</si>
  <si>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</si>
  <si>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</si>
  <si>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</si>
  <si>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</si>
  <si>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</si>
  <si>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</si>
  <si>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</si>
  <si>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</si>
  <si>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</si>
  <si>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</si>
  <si>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</si>
  <si>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</si>
  <si>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</si>
  <si>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</si>
  <si>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</si>
  <si>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</si>
  <si>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</si>
  <si>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</si>
  <si>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</si>
  <si>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</si>
  <si>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</si>
  <si>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</si>
  <si>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</si>
  <si>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</si>
  <si>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</si>
  <si>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</si>
  <si>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</si>
  <si>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</si>
  <si>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</si>
  <si>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</si>
  <si>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</si>
  <si>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</si>
  <si>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</si>
  <si>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</si>
  <si>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</si>
  <si>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</si>
  <si>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</si>
  <si>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</si>
  <si>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</si>
  <si>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</si>
  <si>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</si>
  <si>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</si>
  <si>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</si>
  <si>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</si>
  <si>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</si>
  <si>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</si>
  <si>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</si>
  <si>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</si>
  <si>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</si>
  <si>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</si>
  <si>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</si>
  <si>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</si>
  <si>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</si>
  <si>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</si>
  <si>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</si>
  <si>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</si>
  <si>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</si>
  <si>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</si>
  <si>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</si>
  <si>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</si>
  <si>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</si>
  <si>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</si>
  <si>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</si>
  <si>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</si>
  <si>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</si>
  <si>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</si>
  <si>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</si>
  <si>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</si>
  <si>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</si>
  <si>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</si>
  <si>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</si>
  <si>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</si>
  <si>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</si>
  <si>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</si>
  <si>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</si>
  <si>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</si>
  <si>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</si>
  <si>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</si>
  <si>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</si>
  <si>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</si>
  <si>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</si>
  <si>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</si>
  <si>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</si>
  <si>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</si>
  <si>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</si>
  <si>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</si>
  <si>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</si>
  <si>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</si>
  <si>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</si>
  <si>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</si>
  <si>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</si>
  <si>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</si>
  <si>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</si>
  <si>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</si>
  <si>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</si>
  <si>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</si>
  <si>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</si>
  <si>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</si>
  <si>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</si>
  <si>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</si>
  <si>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</si>
  <si>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</si>
  <si>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</si>
  <si>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</si>
  <si>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</si>
  <si>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</si>
  <si>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</si>
  <si>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</si>
  <si>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</si>
  <si>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</si>
  <si>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</si>
  <si>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</si>
  <si>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</si>
  <si>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</si>
  <si>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</si>
  <si>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</si>
  <si>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</si>
  <si>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</si>
  <si>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</si>
  <si>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</si>
  <si>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</si>
  <si>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</si>
  <si>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</si>
  <si>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</si>
  <si>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</si>
  <si>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</si>
  <si>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</si>
  <si>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</si>
  <si>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</si>
  <si>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</si>
  <si>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</si>
  <si>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</si>
  <si>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</si>
  <si>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</si>
  <si>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</si>
  <si>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</si>
  <si>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</si>
  <si>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</si>
  <si>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</si>
  <si>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</si>
  <si>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</si>
  <si>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</si>
  <si>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</si>
  <si>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</si>
  <si>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</si>
  <si>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</si>
  <si>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</si>
  <si>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</si>
  <si>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</si>
  <si>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</si>
  <si>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</si>
  <si>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</si>
  <si>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</si>
  <si>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</si>
  <si>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</si>
  <si>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</si>
  <si>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</si>
  <si>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</si>
  <si>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</si>
  <si>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</si>
  <si>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</si>
  <si>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</si>
  <si>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</si>
  <si>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</si>
  <si>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</si>
  <si>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</si>
  <si>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</si>
  <si>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</si>
  <si>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</si>
  <si>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</si>
  <si>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</si>
  <si>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</si>
  <si>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</si>
  <si>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</si>
  <si>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</si>
  <si>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</si>
  <si>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</si>
  <si>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</si>
  <si>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</si>
  <si>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</si>
  <si>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</si>
  <si>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</si>
  <si>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</si>
  <si>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</si>
  <si>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</si>
  <si>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</si>
  <si>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</si>
  <si>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</si>
  <si>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</si>
  <si>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</si>
  <si>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</si>
  <si>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</si>
  <si>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</si>
  <si>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</si>
  <si>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</si>
  <si>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</si>
  <si>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</si>
  <si>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</si>
  <si>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31.12.2018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</si>
  <si>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</si>
  <si>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</si>
  <si>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</si>
  <si>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</si>
  <si>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</si>
  <si>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</si>
  <si>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</si>
  <si>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</si>
  <si>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</si>
  <si>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</si>
  <si>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</si>
  <si>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</si>
  <si>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</si>
  <si>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</si>
  <si>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</si>
  <si>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</si>
  <si>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</si>
  <si>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</si>
  <si>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</si>
  <si>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</si>
  <si>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</si>
  <si>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</si>
  <si>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</si>
  <si>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</si>
  <si>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ssylka_fl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</si>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</sst>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7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30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C2" t="str">
            <v>Расхождение списка налогоплательщиков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29" dataDxfId="527" headerRowBorderDxfId="528" tableBorderDxfId="526" totalsRowBorderDxfId="525">
  <autoFilter ref="A4:J5"/>
  <tableColumns count="10">
    <tableColumn id="1" name="1" dataDxfId="524"/>
    <tableColumn id="2" name="2" dataDxfId="523"/>
    <tableColumn id="5" name="3" dataDxfId="522"/>
    <tableColumn id="6" name="4" dataDxfId="521"/>
    <tableColumn id="7" name="5" dataDxfId="520"/>
    <tableColumn id="10" name="6" dataDxfId="519"/>
    <tableColumn id="11" name="7" dataDxfId="518"/>
    <tableColumn id="12" name="8" dataDxfId="517"/>
    <tableColumn id="13" name="9" dataDxfId="516"/>
    <tableColumn id="14" name="10" dataDxfId="5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14" dataDxfId="512" headerRowBorderDxfId="513" tableBorderDxfId="511" totalsRowBorderDxfId="510">
  <autoFilter ref="A5:P6"/>
  <tableColumns count="16">
    <tableColumn id="1" name="1" dataDxfId="509"/>
    <tableColumn id="2" name="2" dataDxfId="508"/>
    <tableColumn id="3" name="3" dataDxfId="507"/>
    <tableColumn id="4" name="4" dataDxfId="506"/>
    <tableColumn id="5" name="5" dataDxfId="505"/>
    <tableColumn id="6" name="6" dataDxfId="504"/>
    <tableColumn id="7" name="7" dataDxfId="503"/>
    <tableColumn id="8" name="8" dataDxfId="502"/>
    <tableColumn id="9" name="9" dataDxfId="501"/>
    <tableColumn id="10" name="10" dataDxfId="500"/>
    <tableColumn id="11" name="11" dataDxfId="499"/>
    <tableColumn id="12" name="12" dataDxfId="498"/>
    <tableColumn id="13" name="13" dataDxfId="497"/>
    <tableColumn id="14" name="14" dataDxfId="496"/>
    <tableColumn id="15" name="15" dataDxfId="495"/>
    <tableColumn id="16" name="16" dataDxfId="49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93" dataDxfId="491" headerRowBorderDxfId="492" tableBorderDxfId="490" totalsRowBorderDxfId="489">
  <autoFilter ref="A3:I4">
    <filterColumn colId="1"/>
  </autoFilter>
  <tableColumns count="9">
    <tableColumn id="1" name="1" dataDxfId="488"/>
    <tableColumn id="3" name="2" dataDxfId="487"/>
    <tableColumn id="2" name="3" dataDxfId="486"/>
    <tableColumn id="5" name="4" dataDxfId="485"/>
    <tableColumn id="6" name="5" dataDxfId="484"/>
    <tableColumn id="7" name="6" dataDxfId="483"/>
    <tableColumn id="10" name="7" dataDxfId="482"/>
    <tableColumn id="11" name="8" dataDxfId="481"/>
    <tableColumn id="12" name="9" dataDxfId="48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479" dataDxfId="477" headerRowBorderDxfId="478" tableBorderDxfId="476" totalsRowBorderDxfId="47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74"/>
    <tableColumn id="20" name="2" dataDxfId="473"/>
    <tableColumn id="19" name="3" dataDxfId="472"/>
    <tableColumn id="18" name="4" dataDxfId="471"/>
    <tableColumn id="17" name="5" dataDxfId="470"/>
    <tableColumn id="23" name="6" dataDxfId="469"/>
    <tableColumn id="22" name="7" dataDxfId="468"/>
    <tableColumn id="21" name="8" dataDxfId="467"/>
    <tableColumn id="28" name="9" dataDxfId="466"/>
    <tableColumn id="29" name="10" dataDxfId="465"/>
    <tableColumn id="27" name="11" dataDxfId="464"/>
    <tableColumn id="26" name="12" dataDxfId="463"/>
    <tableColumn id="25" name="13" dataDxfId="462"/>
    <tableColumn id="5" name="14" dataDxfId="461"/>
    <tableColumn id="4" name="15" dataDxfId="460"/>
    <tableColumn id="3" name="16" dataDxfId="459"/>
    <tableColumn id="2" name="17" dataDxfId="458"/>
    <tableColumn id="24" name="18" dataDxfId="4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455" totalsRowDxfId="454">
  <tableColumns count="3">
    <tableColumn id="1" name="ВИД ВЫПЛАТЫ" totalsRowLabel="Итого" dataDxfId="453" totalsRowDxfId="452" dataCellStyle="Обычный 5"/>
    <tableColumn id="2" name="13%" totalsRowFunction="sum" dataDxfId="451" totalsRowDxfId="450" dataCellStyle="Обычный 5"/>
    <tableColumn id="3" name="30%" totalsRowFunction="sum" dataDxfId="449" totalsRowDxfId="448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447" dataDxfId="445" headerRowBorderDxfId="446" headerRowCellStyle="Обычный 5" dataCellStyle="Обычный 5">
  <tableColumns count="4">
    <tableColumn id="1" name="Сумма по ставкам" totalsRowFunction="sum" dataDxfId="444" totalsRowDxfId="443" dataCellStyle="Обычный 5"/>
    <tableColumn id="2" name="13%" dataDxfId="442" totalsRowDxfId="441" dataCellStyle="Обычный 5">
      <calculatedColumnFormula>B31+#REF!-Таблица42[[#This Row],[13%]]</calculatedColumnFormula>
    </tableColumn>
    <tableColumn id="3" name="30%" dataDxfId="440" totalsRowDxfId="439" dataCellStyle="Обычный 5"/>
    <tableColumn id="4" name="Расхождение по ставкам" dataDxfId="438" totalsRowDxfId="437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36" totalsRowDxfId="434" headerRowBorderDxfId="435" headerRowCellStyle="Обычный 5">
  <tableColumns count="8">
    <tableColumn id="1" name="ВИД ВЫПЛАТЫ" totalsRowLabel="Итого по ставке" dataDxfId="433" totalsRowDxfId="432" dataCellStyle="Обычный 5"/>
    <tableColumn id="2" name="13%" totalsRowFunction="sum" dataDxfId="431" totalsRowDxfId="430" dataCellStyle="Обычный 5"/>
    <tableColumn id="3" name="30%" totalsRowFunction="sum" dataDxfId="429" totalsRowDxfId="428" dataCellStyle="Обычный 5"/>
    <tableColumn id="4" name="Столбец1" totalsRowDxfId="427" dataCellStyle="Обычный 5"/>
    <tableColumn id="5" name="без исправлений" dataDxfId="426" totalsRowDxfId="425" dataCellStyle="Обычный 5"/>
    <tableColumn id="6" name="с корректоровкой" dataDxfId="424" totalsRowDxfId="423" dataCellStyle="Обычный 5"/>
    <tableColumn id="7" name="без исправлений2" dataDxfId="422" totalsRowDxfId="421" dataCellStyle="Обычный 5"/>
    <tableColumn id="8" name="с корректоровкой3" dataDxfId="420" totalsRowDxfId="419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18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7" name="Таблица54138105108" displayName="Таблица54138105108" ref="A2:L3" totalsRowShown="0" headerRowDxfId="15" dataDxfId="31" headerRowBorderDxfId="29" tableBorderDxfId="30" totalsRowBorderDxfId="28">
  <autoFilter ref="A2:L3">
    <filterColumn colId="9"/>
    <filterColumn colId="10"/>
    <filterColumn colId="11"/>
  </autoFilter>
  <tableColumns count="12">
    <tableColumn id="1" name="Ssylka" dataDxfId="27"/>
    <tableColumn id="2" name="nom_vkl" dataDxfId="26"/>
    <tableColumn id="3" name="nom_ips" dataDxfId="25"/>
    <tableColumn id="4" name="ФИО" dataDxfId="24"/>
    <tableColumn id="5" name="Бух.счет" dataDxfId="23"/>
    <tableColumn id="6" name="Код вычета" dataDxfId="22"/>
    <tableColumn id="7" name="Период с" dataDxfId="21"/>
    <tableColumn id="8" name="Период по" dataDxfId="20"/>
    <tableColumn id="9" name="Период с_x000a_(БИТ)" dataDxfId="19"/>
    <tableColumn id="10" name="Период по_x000a_(БИТ)" dataDxfId="18"/>
    <tableColumn id="11" name="Сумма" dataDxfId="17"/>
    <tableColumn id="12" name="Применение вычета в движении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4" name="Таблица54138105" displayName="Таблица54138105" ref="A2:K3" totalsRowShown="0" headerRowDxfId="0" dataDxfId="32" headerRowBorderDxfId="13" tableBorderDxfId="14" totalsRowBorderDxfId="12">
  <autoFilter ref="A2:K3">
    <filterColumn colId="9"/>
    <filterColumn colId="10"/>
  </autoFilter>
  <tableColumns count="11">
    <tableColumn id="1" name="Ssylka" dataDxfId="11"/>
    <tableColumn id="2" name="nom_vkl" dataDxfId="10"/>
    <tableColumn id="3" name="nom_ips" dataDxfId="9"/>
    <tableColumn id="4" name="ФИО" dataDxfId="8"/>
    <tableColumn id="5" name="Бух.счет" dataDxfId="7"/>
    <tableColumn id="6" name="Код вычета" dataDxfId="6"/>
    <tableColumn id="7" name="Период с" dataDxfId="5"/>
    <tableColumn id="8" name="Период по" dataDxfId="4"/>
    <tableColumn id="9" name="Сумма по движению" dataDxfId="3"/>
    <tableColumn id="10" name="Расчетная сумма по БИТ" dataDxfId="2"/>
    <tableColumn id="11" name="Расчетная сумма по БИТ_x000a_по счету" dataDxfId="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7" name="Таблица54138" displayName="Таблица54138" ref="A2:K3" totalsRowShown="0" headerRowDxfId="417" dataDxfId="415" headerRowBorderDxfId="416" tableBorderDxfId="414" totalsRowBorderDxfId="413">
  <autoFilter ref="A2:K3">
    <filterColumn colId="9"/>
    <filterColumn colId="10"/>
  </autoFilter>
  <tableColumns count="11">
    <tableColumn id="1" name="Ssylka" dataDxfId="412"/>
    <tableColumn id="2" name="nom_vkl" dataDxfId="411"/>
    <tableColumn id="3" name="nom_ips" dataDxfId="410"/>
    <tableColumn id="4" name="ФИО" dataDxfId="409"/>
    <tableColumn id="5" name="Тип дохода" dataDxfId="408"/>
    <tableColumn id="6" name="Месяц" dataDxfId="407"/>
    <tableColumn id="7" name="Shifr_schet" dataDxfId="406"/>
    <tableColumn id="8" name="Код вычета_x000a_(ручн)" dataDxfId="405"/>
    <tableColumn id="9" name="Сумма вычета" dataDxfId="404"/>
    <tableColumn id="10" name="Наличие записей в SP_OGR_PV" dataDxfId="403"/>
    <tableColumn id="11" name="Наличие записей в BIT" dataDxfId="40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40" name="Таблица541" displayName="Таблица541" ref="A3:R4" totalsRowShown="0" headerRowDxfId="401" dataDxfId="399" headerRowBorderDxfId="400" tableBorderDxfId="398" totalsRowBorderDxfId="397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96"/>
    <tableColumn id="2" name="Ошибка" dataDxfId="395"/>
    <tableColumn id="3" name="ИД контрагента" dataDxfId="394"/>
    <tableColumn id="4" name="Фамилия" dataDxfId="393"/>
    <tableColumn id="5" name="Имя" dataDxfId="392"/>
    <tableColumn id="6" name="Отчество" dataDxfId="391"/>
    <tableColumn id="7" name="Дата рождения" dataDxfId="390"/>
    <tableColumn id="8" name="ИНН" dataDxfId="389"/>
    <tableColumn id="9" name="Гражданство" dataDxfId="388"/>
    <tableColumn id="10" name="Резидент" dataDxfId="387"/>
    <tableColumn id="11" name="Код УЛ" dataDxfId="386"/>
    <tableColumn id="12" name="Серия и номер УЛ" dataDxfId="385"/>
    <tableColumn id="13" name="№ справки" dataDxfId="384"/>
    <tableColumn id="19" name="ИНН2" dataDxfId="383"/>
    <tableColumn id="14" name="Гражданство2" dataDxfId="382"/>
    <tableColumn id="15" name="Резидент2" dataDxfId="381"/>
    <tableColumn id="16" name="Код УЛ2" dataDxfId="380"/>
    <tableColumn id="17" name="Серия и номер УЛ3" dataDxfId="37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8" name="Таблица444493347" displayName="Таблица444493347" ref="A2:H3" totalsRowShown="0" headerRowDxfId="378" dataDxfId="376" headerRowBorderDxfId="377" tableBorderDxfId="375" totalsRowBorderDxfId="374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73"/>
    <tableColumn id="14" name="Имя файла" dataDxfId="372"/>
    <tableColumn id="1" name="Количество справок" dataDxfId="371"/>
    <tableColumn id="16" name="Фамилия с" dataDxfId="370"/>
    <tableColumn id="17" name="Фамилия по" dataDxfId="369"/>
    <tableColumn id="2" name="№ справки с" dataDxfId="368"/>
    <tableColumn id="3" name="№ справки по" dataDxfId="367"/>
    <tableColumn id="25" name="Признак справки" dataDxfId="366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9" name="Таблица3348" displayName="Таблица3348" ref="A7:G9" totalsRowCount="1" headerRowDxfId="365" headerRowBorderDxfId="364" tableBorderDxfId="363" totalsRowBorderDxfId="362">
  <autoFilter ref="A7:G8"/>
  <tableColumns count="7">
    <tableColumn id="1" name="№_x000a_справки" totalsRowLabel="Итог" dataDxfId="361" totalsRowDxfId="360"/>
    <tableColumn id="2" name="Фамилия" dataDxfId="359" totalsRowDxfId="358"/>
    <tableColumn id="3" name="UI_PERSON" dataDxfId="357" totalsRowDxfId="356"/>
    <tableColumn id="4" name="Резидент" dataDxfId="355" totalsRowDxfId="354"/>
    <tableColumn id="5" name="Гражданство" dataDxfId="353" totalsRowDxfId="352"/>
    <tableColumn id="6" name="Задолженность" totalsRowFunction="sum" dataDxfId="351" totalsRowDxfId="350"/>
    <tableColumn id="7" name="Коррекция №" totalsRowFunction="count" dataDxfId="349" totalsRowDxfId="34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6" name="Таблица44449" displayName="Таблица44449" ref="A4:P5" totalsRowShown="0" headerRowDxfId="347" dataDxfId="346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45"/>
    <tableColumn id="14" name="2" dataDxfId="344"/>
    <tableColumn id="1" name="3" dataDxfId="343"/>
    <tableColumn id="16" name="4" dataDxfId="342"/>
    <tableColumn id="17" name="5" dataDxfId="341"/>
    <tableColumn id="2" name="6" dataDxfId="340"/>
    <tableColumn id="3" name="7" dataDxfId="339"/>
    <tableColumn id="25" name="8" dataDxfId="338"/>
    <tableColumn id="18" name="9" dataDxfId="337"/>
    <tableColumn id="19" name="10" dataDxfId="336"/>
    <tableColumn id="20" name="11" dataDxfId="335"/>
    <tableColumn id="21" name="12" dataDxfId="334"/>
    <tableColumn id="22" name="13" dataDxfId="333"/>
    <tableColumn id="23" name="14" dataDxfId="332"/>
    <tableColumn id="24" name="15" dataDxfId="331"/>
    <tableColumn id="26" name="16" dataDxfId="330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57" name="Таблица354258" displayName="Таблица354258" ref="A2:I3" headerRowDxfId="329" dataDxfId="327" totalsRowDxfId="325" headerRowBorderDxfId="328" tableBorderDxfId="326">
  <autoFilter ref="A2:I3"/>
  <tableColumns count="9">
    <tableColumn id="1" name="Таблица" totalsRowLabel="Итог" dataDxfId="324" totalsRowDxfId="323"/>
    <tableColumn id="3" name="SSYLKA" dataDxfId="322" totalsRowDxfId="321"/>
    <tableColumn id="4" name="Тип дохода" dataDxfId="320" totalsRowDxfId="319"/>
    <tableColumn id="5" name="Фамилия" dataDxfId="318" totalsRowDxfId="317"/>
    <tableColumn id="6" name="Имя" dataDxfId="316" totalsRowDxfId="315"/>
    <tableColumn id="8" name="Отчество" dataDxfId="314" totalsRowDxfId="313"/>
    <tableColumn id="9" name="ДР" dataDxfId="312" totalsRowDxfId="311"/>
    <tableColumn id="10" name="SSYLKA_REAL" dataDxfId="310" totalsRowDxfId="309"/>
    <tableColumn id="11" name="UI_PERSON" dataDxfId="308" totalsRowDxfId="30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Menu" displayName="Menu" ref="D2:E34" totalsRowShown="0">
  <autoFilter ref="D2:E3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Actions" displayName="Actions" ref="G2:L61" totalsRowShown="0">
  <autoFilter ref="G2:L61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Reports" displayName="Reports" ref="N2:T54" totalsRowShown="0">
  <autoFilter ref="N2:T54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3" name="SubReports" displayName="SubReports" ref="V2:W28" totalsRowShown="0">
  <autoFilter ref="V2:W28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4" name="GeneralOptions" displayName="GeneralOptions" ref="A2:B14" headerRowBorderDxfId="306" tableBorderDxfId="305" totalsRowBorderDxfId="304">
  <autoFilter ref="A2:B14"/>
  <tableColumns count="2">
    <tableColumn id="1" name="Key" totalsRowLabel="Итог" totalsRowDxfId="303"/>
    <tableColumn id="2" name="Value" totalsRowFunction="count" totalsRowDxfId="30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7" name="ActionTypes" displayName="ActionTypes" ref="AM2:AM4" totalsRowShown="0" tableBorderDxfId="301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2" name="Parameters" displayName="Parameters" ref="AE2:AK28" totalsRowShown="0">
  <autoFilter ref="AE2:AK28">
    <filterColumn colId="5"/>
    <filterColumn colId="6"/>
  </autoFilter>
  <tableColumns count="7">
    <tableColumn id="1" name="Program" dataDxfId="30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6" name="Таблица16" displayName="Таблица16" ref="C3:C6" totalsRowShown="0" headerRowDxfId="299" dataDxfId="298" tableBorderDxfId="297">
  <tableColumns count="1">
    <tableColumn id="1" name="Столбец1" dataDxfId="296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66"/>
    <tableColumn id="2" name="FND_x000a_SSYLKA" dataDxfId="65"/>
    <tableColumn id="3" name="NOM_VKL" dataDxfId="64"/>
    <tableColumn id="4" name="NOM_IPS" dataDxfId="63"/>
    <tableColumn id="6" name="ФИО" dataDxfId="62"/>
    <tableColumn id="7" name="Дата_x000a_рождения" dataDxfId="61"/>
    <tableColumn id="8" name="Гражданство" dataDxfId="60"/>
    <tableColumn id="5" name="Столбец1" dataDxfId="46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1" name="Таблица4405152" displayName="Таблица4405152" ref="A7:H8" totalsRowShown="0" dataDxfId="59">
  <autoFilter ref="A7:H8">
    <filterColumn colId="6"/>
    <filterColumn colId="7"/>
  </autoFilter>
  <tableColumns count="8">
    <tableColumn id="2" name="Период с" dataDxfId="47"/>
    <tableColumn id="3" name="Период по" dataDxfId="58"/>
    <tableColumn id="4" name="Код вычета" dataDxfId="57"/>
    <tableColumn id="6" name="Сумма" dataDxfId="39"/>
    <tableColumn id="7" name="Описание" dataDxfId="37"/>
    <tableColumn id="8" name="Лимит дохода" dataDxfId="38"/>
    <tableColumn id="5" name="tdappid" dataDxfId="53"/>
    <tableColumn id="9" name="rid" dataDxfId="52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55" name="Таблица440515256" displayName="Таблица440515256" ref="A11:H12" totalsRowShown="0" dataDxfId="54">
  <autoFilter ref="A11:H12">
    <filterColumn colId="6"/>
    <filterColumn colId="7"/>
  </autoFilter>
  <tableColumns count="8">
    <tableColumn id="2" name="Период с" dataDxfId="48"/>
    <tableColumn id="3" name="Период по" dataDxfId="56"/>
    <tableColumn id="4" name="Shifr_schet" dataDxfId="55"/>
    <tableColumn id="6" name="Сумма" dataDxfId="36"/>
    <tableColumn id="7" name="Описание" dataDxfId="34"/>
    <tableColumn id="8" name="Лимит дохода" dataDxfId="35"/>
    <tableColumn id="5" name="tdappid" dataDxfId="51"/>
    <tableColumn id="9" name="rid" dataDxfId="50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6" name="Таблица44051525657" displayName="Таблица44051525657" ref="A15:G16" totalsRowShown="0" dataDxfId="49">
  <autoFilter ref="A15:G16">
    <filterColumn colId="6"/>
  </autoFilter>
  <tableColumns count="7">
    <tableColumn id="1" name="Дата операции" dataDxfId="33"/>
    <tableColumn id="2" name="Тип движения" dataDxfId="40"/>
    <tableColumn id="3" name="Счет" dataDxfId="41"/>
    <tableColumn id="4" name="Сумма" dataDxfId="42"/>
    <tableColumn id="6" name="Документ" dataDxfId="43"/>
    <tableColumn id="7" name="Корректирующий документ" dataDxfId="44"/>
    <tableColumn id="10" name="Субсчет" dataDxfId="45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34" name="Таблица2435" displayName="Таблица2435" ref="A4:L5" totalsRowShown="0" headerRowDxfId="295" dataDxfId="293" headerRowBorderDxfId="294" tableBorderDxfId="292" totalsRowBorderDxfId="291">
  <autoFilter ref="A4:L5">
    <filterColumn colId="1"/>
    <filterColumn colId="8"/>
    <filterColumn colId="9"/>
    <filterColumn colId="10"/>
    <filterColumn colId="11"/>
  </autoFilter>
  <tableColumns count="12">
    <tableColumn id="5" name="1" dataDxfId="290"/>
    <tableColumn id="3" name="2" dataDxfId="289"/>
    <tableColumn id="2" name="3" dataDxfId="288"/>
    <tableColumn id="6" name="4" dataDxfId="287"/>
    <tableColumn id="7" name="5" dataDxfId="286"/>
    <tableColumn id="10" name="6" dataDxfId="285"/>
    <tableColumn id="11" name="7" dataDxfId="284"/>
    <tableColumn id="12" name="8" dataDxfId="283"/>
    <tableColumn id="1" name="9" dataDxfId="282"/>
    <tableColumn id="4" name="10" dataDxfId="281"/>
    <tableColumn id="9" name="12" dataDxfId="280"/>
    <tableColumn id="8" name="11" dataDxfId="27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6" name="Таблица26" displayName="Таблица26" ref="B6:D7" totalsRowShown="0" headerRowDxfId="278" headerRowBorderDxfId="277" tableBorderDxfId="276" headerRowCellStyle="Обычный 4">
  <autoFilter ref="B6:D7"/>
  <tableColumns count="3">
    <tableColumn id="1" name="100" dataDxfId="275" dataCellStyle="Обычный 4"/>
    <tableColumn id="2" name="130" dataDxfId="274" dataCellStyle="Обычный 4"/>
    <tableColumn id="3" name="140" dataDxfId="273" dataCellStyle="Обычный 4"/>
  </tableColumns>
  <tableStyleInfo name="TableStyleLight1" showFirstColumn="0" showLastColumn="0" showRowStripes="0" showColumnStripes="0"/>
</table>
</file>

<file path=xl/tables/table41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72" dataDxfId="271"/>
  </tableColumns>
  <tableStyleInfo showFirstColumn="0" showLastColumn="0" showRowStripes="0" showColumnStripes="0"/>
</table>
</file>

<file path=xl/tables/table42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70" dataDxfId="269"/>
  </tableColumns>
  <tableStyleInfo showFirstColumn="0" showLastColumn="0" showRowStripes="0" showColumnStripes="0"/>
</table>
</file>

<file path=xl/tables/table43.xml><?xml version="1.0" encoding="utf-8"?>
<table xmlns="http://schemas.openxmlformats.org/spreadsheetml/2006/main" id="4" name="Таблица4" displayName="Таблица4" ref="B5:E5" headerRowCount="0" totalsRowShown="0" headerRowDxfId="268" dataDxfId="267" tableBorderDxfId="266" totalsRowBorderDxfId="265">
  <tableColumns count="4">
    <tableColumn id="1" name="Столбец1" headerRowDxfId="264" dataDxfId="263" dataCellStyle="Обычный 4"/>
    <tableColumn id="2" name="Столбец2" headerRowDxfId="262" dataDxfId="261" headerRowCellStyle="Обычный 4" dataCellStyle="Обычный 4"/>
    <tableColumn id="3" name="Столбец3" headerRowDxfId="260" dataDxfId="259"/>
    <tableColumn id="4" name="Столбец4" headerRowDxfId="258" dataDxfId="257" headerRowCellStyle="Обычный 4" dataCellStyle="Обычный 4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29" name="Таблица29" displayName="Таблица29" ref="A4:H5" headerRowCount="0" totalsRowCount="1" headerRowDxfId="256" dataDxfId="255">
  <tableColumns count="8">
    <tableColumn id="1" name="Столбец1" totalsRowLabel="Итого:" headerRowDxfId="254" dataDxfId="253" totalsRowDxfId="252"/>
    <tableColumn id="2" name="Столбец2" headerRowDxfId="251" dataDxfId="250" totalsRowDxfId="249"/>
    <tableColumn id="3" name="Столбец3" totalsRowFunction="sum" headerRowDxfId="248" dataDxfId="247" totalsRowDxfId="246"/>
    <tableColumn id="4" name="Столбец4" totalsRowFunction="sum" headerRowDxfId="245" dataDxfId="244" totalsRowDxfId="243"/>
    <tableColumn id="5" name="Столбец5" totalsRowFunction="sum" headerRowDxfId="242" dataDxfId="241" totalsRowDxfId="240"/>
    <tableColumn id="6" name="Столбец6" totalsRowFunction="sum" headerRowDxfId="239" dataDxfId="238" totalsRowDxfId="237"/>
    <tableColumn id="7" name="Столбец7" totalsRowFunction="sum" headerRowDxfId="236" dataDxfId="235" totalsRowDxfId="234"/>
    <tableColumn id="8" name="Столбец8" totalsRowFunction="sum" headerRowDxfId="233" dataDxfId="232" totalsRowDxfId="231"/>
  </tableColumns>
  <tableStyleInfo name="TableStyleLight1" showFirstColumn="0" showLastColumn="0" showRowStripes="0" showColumnStripes="0"/>
</table>
</file>

<file path=xl/tables/table45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30" totalsRowDxfId="229"/>
    <tableColumn id="4" name="Столбец2" dataDxfId="228"/>
    <tableColumn id="5" name="итог" dataDxfId="227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26"/>
    <tableColumn id="2" name="Столбец2"/>
    <tableColumn id="3" name="Столбец3" totalsRowFunction="sum" headerRowDxfId="225" dataDxfId="224" totalsRowDxfId="22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47" name="Таблица47" displayName="Таблица47" ref="A23:F25" totalsRowCount="1" headerRowDxfId="222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21"/>
    <tableColumn id="5" name="Налог удержанный" totalsRowFunction="sum" dataDxfId="220"/>
    <tableColumn id="6" name="Разница" totalsRowFunction="sum" dataDxfId="21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8" name="Таблица8" displayName="Таблица8" ref="A1:D2" insertRow="1" totalsRowShown="0" headerRowDxfId="218" headerRowBorderDxfId="217" tableBorderDxfId="216" totalsRowBorderDxfId="215">
  <autoFilter ref="A1:D2">
    <filterColumn colId="2"/>
    <filterColumn colId="3"/>
  </autoFilter>
  <tableColumns count="4">
    <tableColumn id="1" name="ФИО" dataDxfId="214"/>
    <tableColumn id="5" name="Дата рождения" dataDxfId="213"/>
    <tableColumn id="2" name="Снилс"/>
    <tableColumn id="3" name="ИНН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5" name="Таблица8526" displayName="Таблица8526" ref="A2:I3" totalsRowShown="0" headerRowDxfId="212" headerRowBorderDxfId="211" tableBorderDxfId="210" totalsRowBorderDxfId="209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08"/>
    <tableColumn id="6" name="Имя" dataDxfId="207"/>
    <tableColumn id="4" name="Отчество" dataDxfId="206"/>
    <tableColumn id="5" name="Дата рождения" dataDxfId="205"/>
    <tableColumn id="3" name="ИНН" dataDxfId="204"/>
    <tableColumn id="1" name="Участник/Не участник" dataDxfId="203"/>
    <tableColumn id="2" name="Доход" dataDxfId="202"/>
    <tableColumn id="8" name="Пенсионные схемы" dataDxfId="201"/>
    <tableColumn id="9" name="Типы дохода" dataDxfId="20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2" name="Таблица52" displayName="Таблица52" ref="A5:I6" headerRowDxfId="199">
  <autoFilter ref="A5:I6">
    <filterColumn colId="5"/>
  </autoFilter>
  <tableColumns count="9">
    <tableColumn id="1" name="Контрагент ID" totalsRowLabel="Итог" dataDxfId="198" totalsRowDxfId="197"/>
    <tableColumn id="2" name="Фамилия" dataDxfId="196" totalsRowDxfId="195"/>
    <tableColumn id="3" name="Имя" dataDxfId="194" totalsRowDxfId="193"/>
    <tableColumn id="4" name="Отчество" dataDxfId="192" totalsRowDxfId="191"/>
    <tableColumn id="5" name="Ставка" dataDxfId="190" totalsRowDxfId="189"/>
    <tableColumn id="9" name="Количество счетов" dataDxfId="188" totalsRowDxfId="187"/>
    <tableColumn id="6" name="Исчисленный налог" dataDxfId="186" totalsRowDxfId="185"/>
    <tableColumn id="7" name="Удержанный налог" dataDxfId="184" totalsRowDxfId="183"/>
    <tableColumn id="8" name="Недоплата" totalsRowFunction="sum" dataDxfId="182" totalsRowDxfId="181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8" name="Таблица5229" displayName="Таблица5229" ref="A5:P6" headerRowDxfId="180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79" totalsRowDxfId="178"/>
    <tableColumn id="2" name="Фамилия" dataDxfId="177" totalsRowDxfId="176"/>
    <tableColumn id="3" name="Имя" dataDxfId="175" totalsRowDxfId="174"/>
    <tableColumn id="4" name="Отчество" dataDxfId="173" totalsRowDxfId="172"/>
    <tableColumn id="9" name="SSYLKA" dataDxfId="171" totalsRowDxfId="170"/>
    <tableColumn id="10" name="Вкладчик" dataDxfId="169" totalsRowDxfId="168"/>
    <tableColumn id="11" name="ИПС" dataDxfId="167" totalsRowDxfId="166"/>
    <tableColumn id="12" name="Пенс.схема" dataDxfId="165" totalsRowDxfId="164"/>
    <tableColumn id="14" name="Счет дохода" dataDxfId="163" totalsRowDxfId="162"/>
    <tableColumn id="5" name="Счет налога" dataDxfId="161" totalsRowDxfId="160"/>
    <tableColumn id="16" name="Доход" dataDxfId="159" totalsRowDxfId="158"/>
    <tableColumn id="15" name="Вычет" dataDxfId="157" totalsRowDxfId="156"/>
    <tableColumn id="13" name="Налог" dataDxfId="155" totalsRowDxfId="154"/>
    <tableColumn id="18" name="Удержано налога" dataDxfId="153" totalsRowDxfId="152"/>
    <tableColumn id="17" name="Исчислено налога" dataDxfId="151" totalsRowDxfId="150"/>
    <tableColumn id="8" name="Недоплата2" totalsRowFunction="sum" dataDxfId="149" totalsRowDxfId="148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35" name="Таблица35" displayName="Таблица35" ref="A22:M24" totalsRowCount="1" headerRowDxfId="147" dataDxfId="146">
  <autoFilter ref="A22:M23">
    <filterColumn colId="9"/>
    <filterColumn colId="12"/>
  </autoFilter>
  <tableColumns count="13">
    <tableColumn id="1" name="1" totalsRowLabel="Итог" dataDxfId="145" totalsRowDxfId="144"/>
    <tableColumn id="3" name="2" dataDxfId="143" totalsRowDxfId="142"/>
    <tableColumn id="4" name="3" dataDxfId="141" totalsRowDxfId="140"/>
    <tableColumn id="5" name="4" dataDxfId="139" totalsRowDxfId="138"/>
    <tableColumn id="6" name="5" dataDxfId="137" totalsRowDxfId="136"/>
    <tableColumn id="8" name="6" dataDxfId="135" totalsRowDxfId="134"/>
    <tableColumn id="9" name="7" dataDxfId="133" totalsRowDxfId="132"/>
    <tableColumn id="10" name="8" dataDxfId="131" totalsRowDxfId="130"/>
    <tableColumn id="11" name="9" dataDxfId="129" totalsRowDxfId="128"/>
    <tableColumn id="14" name="10" dataDxfId="127" totalsRowDxfId="126"/>
    <tableColumn id="12" name="11" totalsRowFunction="sum" dataDxfId="125" totalsRowDxfId="124"/>
    <tableColumn id="13" name="12" dataDxfId="123" totalsRowDxfId="122"/>
    <tableColumn id="15" name="13" dataDxfId="121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41" name="Таблица3542" displayName="Таблица3542" ref="A6:M8" totalsRowCount="1" headerRowDxfId="120" dataDxfId="119">
  <autoFilter ref="A6:M7"/>
  <tableColumns count="13">
    <tableColumn id="1" name="1" totalsRowLabel="Итог" dataDxfId="118" totalsRowDxfId="117"/>
    <tableColumn id="3" name="2" dataDxfId="116" totalsRowDxfId="115"/>
    <tableColumn id="4" name="3" dataDxfId="114" totalsRowDxfId="113"/>
    <tableColumn id="5" name="4" dataDxfId="112" totalsRowDxfId="111"/>
    <tableColumn id="6" name="5" dataDxfId="110" totalsRowDxfId="109"/>
    <tableColumn id="8" name="6" dataDxfId="108" totalsRowDxfId="107"/>
    <tableColumn id="9" name="7" dataDxfId="106" totalsRowDxfId="105"/>
    <tableColumn id="10" name="8" dataDxfId="104" totalsRowDxfId="103"/>
    <tableColumn id="11" name="9" dataDxfId="102" totalsRowDxfId="101"/>
    <tableColumn id="14" name="10" dataDxfId="100" totalsRowDxfId="99"/>
    <tableColumn id="12" name="11" totalsRowFunction="sum" dataDxfId="98" totalsRowDxfId="97"/>
    <tableColumn id="13" name="12" dataDxfId="96" totalsRowDxfId="95"/>
    <tableColumn id="15" name="13" dataDxfId="94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48" name="Таблица3549" displayName="Таблица3549" ref="A14:M16" totalsRowCount="1" headerRowDxfId="93" dataDxfId="92">
  <autoFilter ref="A14:M15"/>
  <tableColumns count="13">
    <tableColumn id="1" name="1" totalsRowLabel="Итог" dataDxfId="91" totalsRowDxfId="90"/>
    <tableColumn id="3" name="2" dataDxfId="89" totalsRowDxfId="88"/>
    <tableColumn id="4" name="3" dataDxfId="87" totalsRowDxfId="86"/>
    <tableColumn id="5" name="4" dataDxfId="85" totalsRowDxfId="84"/>
    <tableColumn id="6" name="5" dataDxfId="83" totalsRowDxfId="82"/>
    <tableColumn id="8" name="6" dataDxfId="81" totalsRowDxfId="80"/>
    <tableColumn id="9" name="7" dataDxfId="79" totalsRowDxfId="78"/>
    <tableColumn id="10" name="8" dataDxfId="77" totalsRowDxfId="76"/>
    <tableColumn id="11" name="9" dataDxfId="75" totalsRowDxfId="74"/>
    <tableColumn id="14" name="10" dataDxfId="73" totalsRowDxfId="72"/>
    <tableColumn id="12" name="11" totalsRowFunction="sum" dataDxfId="71" totalsRowDxfId="70"/>
    <tableColumn id="13" name="12" dataDxfId="69" totalsRowDxfId="68"/>
    <tableColumn id="15" name="13" dataDxfId="6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72" t="s">
        <v>248</v>
      </c>
      <c r="B1" s="273"/>
      <c r="C1" s="273"/>
      <c r="D1" s="273"/>
      <c r="E1" s="273"/>
      <c r="F1" s="273"/>
      <c r="G1" s="273"/>
      <c r="H1" s="273"/>
      <c r="I1" s="273"/>
      <c r="J1" s="273"/>
    </row>
    <row r="2" spans="1:10" ht="31.5" customHeight="1">
      <c r="A2" s="270" t="s">
        <v>4</v>
      </c>
      <c r="B2" s="270"/>
      <c r="C2" s="270"/>
      <c r="D2" s="270"/>
      <c r="E2" s="270"/>
      <c r="F2" s="271" t="s">
        <v>23</v>
      </c>
      <c r="G2" s="271"/>
      <c r="H2" s="271"/>
      <c r="I2" s="271"/>
      <c r="J2" s="271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74" t="s">
        <v>248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</row>
    <row r="2" spans="1:16" ht="31.5" customHeight="1">
      <c r="A2" s="279" t="s">
        <v>4</v>
      </c>
      <c r="B2" s="280"/>
      <c r="C2" s="280"/>
      <c r="D2" s="280"/>
      <c r="E2" s="280"/>
      <c r="F2" s="280"/>
      <c r="G2" s="280"/>
      <c r="H2" s="280"/>
      <c r="I2" s="281"/>
      <c r="J2" s="282" t="s">
        <v>23</v>
      </c>
      <c r="K2" s="283"/>
      <c r="L2" s="283"/>
      <c r="M2" s="283"/>
      <c r="N2" s="283"/>
      <c r="O2" s="283"/>
      <c r="P2" s="284"/>
    </row>
    <row r="3" spans="1:16" ht="24" customHeight="1">
      <c r="A3" s="285" t="s">
        <v>0</v>
      </c>
      <c r="B3" s="287" t="s">
        <v>29</v>
      </c>
      <c r="C3" s="287" t="s">
        <v>3</v>
      </c>
      <c r="D3" s="287" t="s">
        <v>30</v>
      </c>
      <c r="E3" s="289" t="s">
        <v>5</v>
      </c>
      <c r="F3" s="290"/>
      <c r="G3" s="291"/>
      <c r="H3" s="289" t="s">
        <v>6</v>
      </c>
      <c r="I3" s="292"/>
      <c r="J3" s="293" t="s">
        <v>28</v>
      </c>
      <c r="K3" s="293" t="s">
        <v>32</v>
      </c>
      <c r="L3" s="275" t="s">
        <v>5</v>
      </c>
      <c r="M3" s="276"/>
      <c r="N3" s="277"/>
      <c r="O3" s="275" t="s">
        <v>6</v>
      </c>
      <c r="P3" s="278"/>
    </row>
    <row r="4" spans="1:16" ht="38.25" customHeight="1">
      <c r="A4" s="286"/>
      <c r="B4" s="288"/>
      <c r="C4" s="288"/>
      <c r="D4" s="288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94"/>
      <c r="K4" s="294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74" t="s">
        <v>249</v>
      </c>
      <c r="B1" s="274"/>
      <c r="C1" s="274"/>
      <c r="D1" s="274"/>
      <c r="E1" s="274"/>
      <c r="F1" s="274"/>
      <c r="G1" s="274"/>
      <c r="H1" s="274"/>
      <c r="I1" s="274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95" t="s">
        <v>250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</row>
    <row r="2" spans="1:18" ht="31.5" customHeight="1">
      <c r="A2" s="270" t="s">
        <v>59</v>
      </c>
      <c r="B2" s="270"/>
      <c r="C2" s="270"/>
      <c r="D2" s="270"/>
      <c r="E2" s="270" t="s">
        <v>58</v>
      </c>
      <c r="F2" s="270"/>
      <c r="G2" s="270"/>
      <c r="H2" s="270"/>
      <c r="I2" s="270"/>
      <c r="J2" s="270"/>
      <c r="K2" s="296" t="s">
        <v>52</v>
      </c>
      <c r="L2" s="296" t="s">
        <v>53</v>
      </c>
      <c r="M2" s="296" t="s">
        <v>38</v>
      </c>
      <c r="N2" s="296" t="s">
        <v>54</v>
      </c>
      <c r="O2" s="270" t="s">
        <v>60</v>
      </c>
      <c r="P2" s="270"/>
      <c r="Q2" s="270"/>
      <c r="R2" s="270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96"/>
      <c r="L3" s="296"/>
      <c r="M3" s="296"/>
      <c r="N3" s="296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99" t="s">
        <v>292</v>
      </c>
      <c r="B1" s="300"/>
      <c r="C1" s="300"/>
      <c r="D1" s="300"/>
      <c r="E1" s="300"/>
      <c r="F1" s="300"/>
      <c r="G1" s="300"/>
      <c r="H1" s="300"/>
    </row>
    <row r="2" spans="1:8" ht="15.75" customHeight="1">
      <c r="A2" s="304"/>
      <c r="B2" s="304"/>
      <c r="C2" s="304"/>
      <c r="D2" s="304"/>
      <c r="E2" s="304"/>
      <c r="F2" s="304"/>
      <c r="G2" s="304"/>
      <c r="H2" s="304"/>
    </row>
    <row r="3" spans="1:8" ht="27" customHeight="1">
      <c r="A3" s="301" t="s">
        <v>267</v>
      </c>
      <c r="B3" s="301"/>
      <c r="C3" s="301"/>
      <c r="D3" s="117"/>
      <c r="E3" s="301" t="s">
        <v>268</v>
      </c>
      <c r="F3" s="301"/>
      <c r="G3" s="301"/>
      <c r="H3" s="301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02" t="s">
        <v>283</v>
      </c>
      <c r="B18" s="302"/>
      <c r="C18" s="302"/>
      <c r="D18" s="119"/>
      <c r="E18" s="302" t="s">
        <v>284</v>
      </c>
      <c r="F18" s="302"/>
      <c r="G18" s="302"/>
      <c r="H18" s="302"/>
    </row>
    <row r="19" spans="1:8" ht="14.25" customHeight="1">
      <c r="A19" s="302"/>
      <c r="B19" s="302"/>
      <c r="C19" s="302"/>
      <c r="D19" s="118"/>
      <c r="E19" s="303" t="s">
        <v>269</v>
      </c>
      <c r="F19" s="303"/>
      <c r="G19" s="303" t="s">
        <v>270</v>
      </c>
      <c r="H19" s="303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97" t="s">
        <v>299</v>
      </c>
      <c r="B41" s="298"/>
      <c r="D41" s="117"/>
    </row>
    <row r="42" spans="1:8">
      <c r="A42" s="297"/>
      <c r="B42" s="298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456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295" t="s">
        <v>436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44"/>
      <c r="N1" s="244"/>
      <c r="O1" s="244"/>
      <c r="P1" s="244"/>
      <c r="Q1" s="244"/>
      <c r="R1" s="244"/>
    </row>
    <row r="2" spans="1:18" ht="45" customHeight="1">
      <c r="A2" s="245" t="s">
        <v>437</v>
      </c>
      <c r="B2" s="246" t="s">
        <v>438</v>
      </c>
      <c r="C2" s="246" t="s">
        <v>439</v>
      </c>
      <c r="D2" s="247" t="s">
        <v>100</v>
      </c>
      <c r="E2" s="247" t="s">
        <v>420</v>
      </c>
      <c r="F2" s="247" t="s">
        <v>63</v>
      </c>
      <c r="G2" s="247" t="s">
        <v>64</v>
      </c>
      <c r="H2" s="247" t="s">
        <v>65</v>
      </c>
      <c r="I2" s="248" t="s">
        <v>440</v>
      </c>
      <c r="J2" s="249" t="s">
        <v>441</v>
      </c>
      <c r="K2" s="247" t="s">
        <v>442</v>
      </c>
      <c r="L2" s="250" t="s">
        <v>443</v>
      </c>
      <c r="M2" s="246" t="s">
        <v>325</v>
      </c>
    </row>
    <row r="3" spans="1:18">
      <c r="A3" t="s">
        <v>444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10" width="13.140625" style="262" customWidth="1"/>
    <col min="11" max="11" width="10" style="262" customWidth="1"/>
    <col min="12" max="12" width="13.42578125" style="262" customWidth="1"/>
    <col min="13" max="16384" width="9.140625" style="262"/>
  </cols>
  <sheetData>
    <row r="1" spans="1:12" ht="67.5" customHeight="1">
      <c r="A1" s="295" t="s">
        <v>539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12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532</v>
      </c>
      <c r="F2" s="264" t="s">
        <v>511</v>
      </c>
      <c r="G2" s="264" t="s">
        <v>509</v>
      </c>
      <c r="H2" s="264" t="s">
        <v>510</v>
      </c>
      <c r="I2" s="264" t="s">
        <v>540</v>
      </c>
      <c r="J2" s="264" t="s">
        <v>541</v>
      </c>
      <c r="K2" s="269" t="s">
        <v>40</v>
      </c>
      <c r="L2" s="260" t="s">
        <v>542</v>
      </c>
    </row>
    <row r="3" spans="1:12">
      <c r="A3" s="373" t="s">
        <v>537</v>
      </c>
      <c r="B3" s="258"/>
      <c r="C3" s="258"/>
      <c r="D3" s="266"/>
      <c r="E3" s="267"/>
      <c r="F3" s="267"/>
      <c r="G3" s="267"/>
      <c r="H3" s="267"/>
      <c r="I3" s="267"/>
      <c r="J3" s="267"/>
      <c r="K3" s="371"/>
      <c r="L3" s="268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8" width="12.7109375" style="262" customWidth="1"/>
    <col min="9" max="9" width="19.5703125" style="262" customWidth="1"/>
    <col min="10" max="11" width="10" style="262" customWidth="1"/>
    <col min="12" max="16384" width="9.140625" style="262"/>
  </cols>
  <sheetData>
    <row r="1" spans="1:11" ht="92.25" customHeight="1">
      <c r="A1" s="295" t="s">
        <v>531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11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532</v>
      </c>
      <c r="F2" s="264" t="s">
        <v>511</v>
      </c>
      <c r="G2" s="264" t="s">
        <v>509</v>
      </c>
      <c r="H2" s="264" t="s">
        <v>510</v>
      </c>
      <c r="I2" s="264" t="s">
        <v>533</v>
      </c>
      <c r="J2" s="269" t="s">
        <v>534</v>
      </c>
      <c r="K2" s="260" t="s">
        <v>535</v>
      </c>
    </row>
    <row r="3" spans="1:11">
      <c r="A3" s="257" t="s">
        <v>529</v>
      </c>
      <c r="B3" s="258"/>
      <c r="C3" s="258"/>
      <c r="D3" s="266"/>
      <c r="E3" s="267"/>
      <c r="F3" s="267"/>
      <c r="G3" s="267"/>
      <c r="H3" s="267"/>
      <c r="I3" s="371"/>
      <c r="J3" s="371"/>
      <c r="K3" s="372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295" t="s">
        <v>483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11" ht="65.25" customHeight="1">
      <c r="A2" s="237" t="s">
        <v>484</v>
      </c>
      <c r="B2" s="238" t="s">
        <v>400</v>
      </c>
      <c r="C2" s="238" t="s">
        <v>401</v>
      </c>
      <c r="D2" s="238" t="s">
        <v>97</v>
      </c>
      <c r="E2" s="238" t="s">
        <v>3</v>
      </c>
      <c r="F2" s="238" t="s">
        <v>57</v>
      </c>
      <c r="G2" s="238" t="s">
        <v>485</v>
      </c>
      <c r="H2" s="238" t="s">
        <v>486</v>
      </c>
      <c r="I2" s="238" t="s">
        <v>487</v>
      </c>
      <c r="J2" s="239" t="s">
        <v>489</v>
      </c>
      <c r="K2" s="260" t="s">
        <v>490</v>
      </c>
    </row>
    <row r="3" spans="1:11">
      <c r="A3" s="257" t="s">
        <v>481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topLeftCell="F1" zoomScale="145" zoomScaleNormal="145" workbookViewId="0">
      <pane ySplit="3" topLeftCell="A4" activePane="bottomLeft" state="frozen"/>
      <selection activeCell="A3" sqref="A3"/>
      <selection pane="bottomLeft" activeCell="U1" sqref="U1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72" t="s">
        <v>424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U1" t="s">
        <v>425</v>
      </c>
    </row>
    <row r="2" spans="1:21" ht="18" customHeight="1">
      <c r="A2" s="305" t="s">
        <v>425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6" t="e">
        <f>report_year-1</f>
        <v>#VALUE!</v>
      </c>
      <c r="N2" s="306"/>
      <c r="O2" s="306"/>
      <c r="P2" s="306"/>
      <c r="Q2" s="306"/>
      <c r="R2" s="306"/>
    </row>
    <row r="3" spans="1:21" ht="31.5" customHeight="1">
      <c r="A3" s="213" t="s">
        <v>426</v>
      </c>
      <c r="B3" s="213" t="s">
        <v>325</v>
      </c>
      <c r="C3" s="213" t="s">
        <v>427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420</v>
      </c>
      <c r="J3" s="213" t="s">
        <v>419</v>
      </c>
      <c r="K3" s="213" t="s">
        <v>428</v>
      </c>
      <c r="L3" s="213" t="s">
        <v>429</v>
      </c>
      <c r="M3" s="261" t="s">
        <v>498</v>
      </c>
      <c r="N3" s="261" t="s">
        <v>430</v>
      </c>
      <c r="O3" s="261" t="s">
        <v>431</v>
      </c>
      <c r="P3" s="261" t="s">
        <v>432</v>
      </c>
      <c r="Q3" s="261" t="s">
        <v>433</v>
      </c>
      <c r="R3" s="261" t="s">
        <v>434</v>
      </c>
    </row>
    <row r="4" spans="1:21">
      <c r="A4" s="29" t="s">
        <v>435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295" t="s">
        <v>406</v>
      </c>
      <c r="B1" s="295"/>
      <c r="C1" s="295"/>
      <c r="D1" s="295"/>
      <c r="E1" s="295"/>
      <c r="F1" s="295"/>
      <c r="G1" s="295"/>
      <c r="H1" s="295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295" t="s">
        <v>416</v>
      </c>
      <c r="B6" s="295"/>
      <c r="C6" s="295"/>
      <c r="D6" s="295"/>
      <c r="E6" s="295"/>
      <c r="F6" s="295"/>
      <c r="G6" s="295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72" t="s">
        <v>397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</row>
    <row r="2" spans="1:16" ht="18" customHeight="1">
      <c r="A2" s="307" t="s">
        <v>398</v>
      </c>
      <c r="B2" s="307"/>
      <c r="C2" s="307"/>
      <c r="D2" s="307"/>
      <c r="E2" s="307"/>
      <c r="F2" s="307"/>
      <c r="G2" s="307"/>
      <c r="H2" s="307" t="s">
        <v>399</v>
      </c>
      <c r="I2" s="307"/>
      <c r="J2" s="307"/>
      <c r="K2" s="307"/>
      <c r="L2" s="307"/>
      <c r="M2" s="307"/>
      <c r="N2" s="307"/>
      <c r="O2" s="307"/>
      <c r="P2" s="307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08" t="s">
        <v>472</v>
      </c>
      <c r="B1" s="308"/>
      <c r="C1" s="308"/>
      <c r="D1" s="308"/>
      <c r="E1" s="308"/>
      <c r="F1" s="308"/>
      <c r="G1" s="308"/>
      <c r="H1" s="308"/>
      <c r="I1" s="308"/>
      <c r="J1" s="187"/>
    </row>
    <row r="2" spans="1:10" ht="39.75" customHeight="1">
      <c r="A2" s="33" t="s">
        <v>474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475</v>
      </c>
      <c r="H2" s="47" t="s">
        <v>476</v>
      </c>
      <c r="I2" s="34" t="s">
        <v>418</v>
      </c>
    </row>
    <row r="3" spans="1:10">
      <c r="A3" s="240" t="s">
        <v>471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ettings"/>
  <dimension ref="A1:BH61"/>
  <sheetViews>
    <sheetView topLeftCell="A19" workbookViewId="0">
      <selection activeCell="G61" sqref="G61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09" t="s">
        <v>115</v>
      </c>
      <c r="B1" s="309"/>
      <c r="D1" s="310" t="s">
        <v>116</v>
      </c>
      <c r="E1" s="310"/>
      <c r="G1" s="310" t="s">
        <v>111</v>
      </c>
      <c r="H1" s="310"/>
      <c r="I1" s="310"/>
      <c r="J1" s="310"/>
      <c r="K1" s="310"/>
      <c r="L1" s="310"/>
      <c r="N1" s="310" t="s">
        <v>106</v>
      </c>
      <c r="O1" s="310"/>
      <c r="P1" s="310"/>
      <c r="Q1" s="310"/>
      <c r="R1" s="310"/>
      <c r="S1" s="310"/>
      <c r="T1" s="310"/>
      <c r="V1" s="310" t="s">
        <v>112</v>
      </c>
      <c r="W1" s="310"/>
      <c r="Y1" s="310" t="s">
        <v>103</v>
      </c>
      <c r="Z1" s="310"/>
      <c r="AA1" s="310"/>
      <c r="AB1" s="310"/>
      <c r="AC1" s="310"/>
      <c r="AE1" s="310" t="s">
        <v>143</v>
      </c>
      <c r="AF1" s="310"/>
      <c r="AG1" s="310"/>
      <c r="AH1" s="310"/>
      <c r="AI1" s="310"/>
      <c r="AJ1" s="310"/>
      <c r="AK1" s="310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11" t="s">
        <v>245</v>
      </c>
      <c r="BF1" s="311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469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468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f2_vych_diff_periods</v>
      </c>
      <c r="D6" s="252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341</v>
      </c>
    </row>
    <row r="7" spans="1:60">
      <c r="A7" s="39" t="s">
        <v>149</v>
      </c>
      <c r="B7" s="263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478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386</v>
      </c>
      <c r="D9" s="252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263" t="s">
        <v>499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468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448</v>
      </c>
      <c r="B11" s="177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263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500</v>
      </c>
      <c r="B13" s="263" t="s">
        <v>524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Y13" s="263" t="s">
        <v>502</v>
      </c>
      <c r="Z13" s="263" t="s">
        <v>161</v>
      </c>
      <c r="AA13" s="263" t="s">
        <v>141</v>
      </c>
      <c r="AB13" s="263"/>
      <c r="AC13" s="263" t="s">
        <v>503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501</v>
      </c>
      <c r="B14" s="263">
        <v>1659011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Y14" s="263" t="s">
        <v>525</v>
      </c>
      <c r="Z14" s="263" t="s">
        <v>161</v>
      </c>
      <c r="AA14" s="263" t="s">
        <v>141</v>
      </c>
      <c r="AB14" s="263"/>
      <c r="AC14" s="263" t="s">
        <v>526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V24" s="177" t="s">
        <v>491</v>
      </c>
      <c r="W24" s="177" t="s">
        <v>493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V25" s="177" t="s">
        <v>491</v>
      </c>
      <c r="W25" s="177" t="s">
        <v>494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V26" s="177" t="s">
        <v>491</v>
      </c>
      <c r="W26" s="177" t="s">
        <v>495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  <c r="V27" s="177" t="s">
        <v>491</v>
      </c>
      <c r="W27" s="177" t="s">
        <v>496</v>
      </c>
      <c r="AE27" s="45" t="s">
        <v>502</v>
      </c>
      <c r="AF27" s="263" t="s">
        <v>504</v>
      </c>
      <c r="AG27" s="263" t="s">
        <v>148</v>
      </c>
      <c r="AH27" s="263" t="s">
        <v>500</v>
      </c>
      <c r="AI27" s="263" t="s">
        <v>141</v>
      </c>
      <c r="AJ27" s="263">
        <v>20</v>
      </c>
      <c r="AK27" s="263" t="s">
        <v>140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  <c r="V28" s="177" t="s">
        <v>491</v>
      </c>
      <c r="W28" s="177" t="s">
        <v>497</v>
      </c>
      <c r="AE28" s="45" t="s">
        <v>502</v>
      </c>
      <c r="AF28" s="262" t="s">
        <v>505</v>
      </c>
      <c r="AG28" s="263" t="s">
        <v>148</v>
      </c>
      <c r="AH28" s="263" t="s">
        <v>501</v>
      </c>
      <c r="AI28" t="s">
        <v>141</v>
      </c>
      <c r="AJ28">
        <v>512</v>
      </c>
      <c r="AK28" s="263" t="s">
        <v>140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177" t="s">
        <v>479</v>
      </c>
      <c r="E31" s="177" t="s">
        <v>435</v>
      </c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D32" s="263" t="s">
        <v>480</v>
      </c>
      <c r="E32" s="177" t="s">
        <v>481</v>
      </c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4:20">
      <c r="D33" s="263" t="s">
        <v>528</v>
      </c>
      <c r="E33" s="263" t="s">
        <v>529</v>
      </c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4:20">
      <c r="D34" s="263" t="s">
        <v>536</v>
      </c>
      <c r="E34" s="263" t="s">
        <v>537</v>
      </c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4:20"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4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4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4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4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4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4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4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4:20">
      <c r="G43" s="177" t="s">
        <v>470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4:20">
      <c r="G44" s="177" t="s">
        <v>470</v>
      </c>
      <c r="H44" s="45" t="s">
        <v>104</v>
      </c>
      <c r="I44" s="45" t="s">
        <v>405</v>
      </c>
      <c r="J44" t="s">
        <v>468</v>
      </c>
      <c r="L44" s="45" t="s">
        <v>451</v>
      </c>
      <c r="N44" s="177" t="s">
        <v>471</v>
      </c>
      <c r="O44" s="177" t="s">
        <v>471</v>
      </c>
      <c r="P44" s="177" t="s">
        <v>473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4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477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4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  <c r="N46" s="177" t="s">
        <v>481</v>
      </c>
      <c r="O46" s="177" t="s">
        <v>481</v>
      </c>
      <c r="P46" s="177" t="s">
        <v>482</v>
      </c>
      <c r="Q46" s="177" t="s">
        <v>128</v>
      </c>
      <c r="R46" s="177" t="s">
        <v>382</v>
      </c>
      <c r="S46" s="177" t="s">
        <v>126</v>
      </c>
      <c r="T46" s="177" t="s">
        <v>134</v>
      </c>
    </row>
    <row r="47" spans="4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  <c r="N47" s="177" t="s">
        <v>491</v>
      </c>
      <c r="O47" s="177" t="s">
        <v>491</v>
      </c>
      <c r="P47" s="177" t="s">
        <v>492</v>
      </c>
      <c r="Q47" s="177" t="s">
        <v>128</v>
      </c>
      <c r="R47" s="177" t="s">
        <v>382</v>
      </c>
      <c r="S47" s="177"/>
      <c r="T47" t="s">
        <v>118</v>
      </c>
    </row>
    <row r="48" spans="4:20">
      <c r="G48" s="177" t="s">
        <v>450</v>
      </c>
      <c r="H48" s="177" t="s">
        <v>104</v>
      </c>
      <c r="I48" s="177" t="s">
        <v>481</v>
      </c>
      <c r="K48" s="177"/>
      <c r="L48" s="177"/>
      <c r="N48" s="263" t="s">
        <v>493</v>
      </c>
      <c r="O48" s="263" t="s">
        <v>190</v>
      </c>
      <c r="P48" s="263" t="s">
        <v>493</v>
      </c>
      <c r="Q48" s="262" t="s">
        <v>128</v>
      </c>
      <c r="R48" s="263" t="s">
        <v>382</v>
      </c>
      <c r="S48" s="262" t="s">
        <v>126</v>
      </c>
      <c r="T48" s="262" t="s">
        <v>134</v>
      </c>
    </row>
    <row r="49" spans="7:20">
      <c r="G49" s="177" t="s">
        <v>450</v>
      </c>
      <c r="H49" s="177" t="s">
        <v>104</v>
      </c>
      <c r="I49" s="177" t="s">
        <v>363</v>
      </c>
      <c r="K49" s="177"/>
      <c r="L49" s="177"/>
      <c r="N49" s="177" t="s">
        <v>494</v>
      </c>
      <c r="O49" s="177" t="s">
        <v>190</v>
      </c>
      <c r="P49" s="177" t="s">
        <v>494</v>
      </c>
      <c r="Q49" t="s">
        <v>128</v>
      </c>
      <c r="R49" s="177" t="s">
        <v>382</v>
      </c>
      <c r="S49" t="s">
        <v>126</v>
      </c>
      <c r="T49" t="s">
        <v>134</v>
      </c>
    </row>
    <row r="50" spans="7:20">
      <c r="G50" s="177" t="s">
        <v>450</v>
      </c>
      <c r="H50" s="177" t="s">
        <v>104</v>
      </c>
      <c r="I50" s="177" t="s">
        <v>376</v>
      </c>
      <c r="J50" t="s">
        <v>468</v>
      </c>
      <c r="K50" s="177"/>
      <c r="L50" s="177" t="s">
        <v>462</v>
      </c>
      <c r="N50" s="177" t="s">
        <v>495</v>
      </c>
      <c r="O50" s="177" t="s">
        <v>190</v>
      </c>
      <c r="P50" s="177" t="s">
        <v>495</v>
      </c>
      <c r="Q50" t="s">
        <v>128</v>
      </c>
      <c r="R50" s="177" t="s">
        <v>382</v>
      </c>
      <c r="S50" t="s">
        <v>126</v>
      </c>
      <c r="T50" t="s">
        <v>134</v>
      </c>
    </row>
    <row r="51" spans="7:20">
      <c r="G51" s="177" t="s">
        <v>450</v>
      </c>
      <c r="H51" s="177" t="s">
        <v>105</v>
      </c>
      <c r="I51" s="177" t="s">
        <v>453</v>
      </c>
      <c r="J51" s="177"/>
      <c r="K51" s="177" t="s">
        <v>463</v>
      </c>
      <c r="L51" s="177"/>
      <c r="N51" s="177" t="s">
        <v>496</v>
      </c>
      <c r="O51" s="177" t="s">
        <v>190</v>
      </c>
      <c r="P51" s="177" t="s">
        <v>496</v>
      </c>
      <c r="Q51" t="s">
        <v>128</v>
      </c>
      <c r="R51" s="177" t="s">
        <v>382</v>
      </c>
      <c r="S51" t="s">
        <v>126</v>
      </c>
      <c r="T51" t="s">
        <v>134</v>
      </c>
    </row>
    <row r="52" spans="7:20">
      <c r="G52" s="177" t="s">
        <v>450</v>
      </c>
      <c r="H52" s="177" t="s">
        <v>104</v>
      </c>
      <c r="I52" s="177" t="s">
        <v>471</v>
      </c>
      <c r="K52" s="177"/>
      <c r="L52" s="177"/>
      <c r="N52" s="177" t="s">
        <v>497</v>
      </c>
      <c r="O52" s="177" t="s">
        <v>190</v>
      </c>
      <c r="P52" s="177" t="s">
        <v>497</v>
      </c>
      <c r="Q52" t="s">
        <v>128</v>
      </c>
      <c r="R52" s="177" t="s">
        <v>382</v>
      </c>
      <c r="S52" t="s">
        <v>126</v>
      </c>
      <c r="T52" t="s">
        <v>134</v>
      </c>
    </row>
    <row r="53" spans="7:20">
      <c r="G53" s="177" t="s">
        <v>450</v>
      </c>
      <c r="H53" s="177" t="s">
        <v>104</v>
      </c>
      <c r="I53" s="177" t="s">
        <v>435</v>
      </c>
      <c r="J53" t="s">
        <v>468</v>
      </c>
      <c r="K53" s="177"/>
      <c r="L53" s="177" t="s">
        <v>463</v>
      </c>
      <c r="N53" s="263" t="s">
        <v>529</v>
      </c>
      <c r="O53" s="263" t="s">
        <v>529</v>
      </c>
      <c r="P53" s="263" t="s">
        <v>530</v>
      </c>
      <c r="Q53" s="262" t="s">
        <v>128</v>
      </c>
      <c r="R53" s="263" t="s">
        <v>382</v>
      </c>
      <c r="S53" s="262" t="s">
        <v>126</v>
      </c>
      <c r="T53" s="262" t="s">
        <v>134</v>
      </c>
    </row>
    <row r="54" spans="7:20">
      <c r="G54" s="177" t="s">
        <v>450</v>
      </c>
      <c r="H54" s="177" t="s">
        <v>105</v>
      </c>
      <c r="I54" s="177" t="s">
        <v>453</v>
      </c>
      <c r="J54" s="177"/>
      <c r="K54" s="177" t="s">
        <v>464</v>
      </c>
      <c r="L54" s="177"/>
      <c r="N54" s="263" t="s">
        <v>537</v>
      </c>
      <c r="O54" s="263" t="s">
        <v>537</v>
      </c>
      <c r="P54" s="263" t="s">
        <v>538</v>
      </c>
      <c r="Q54" s="262" t="s">
        <v>128</v>
      </c>
      <c r="R54" s="263" t="s">
        <v>382</v>
      </c>
      <c r="S54" s="262" t="s">
        <v>126</v>
      </c>
      <c r="T54" s="262" t="s">
        <v>134</v>
      </c>
    </row>
    <row r="55" spans="7:20">
      <c r="G55" s="177" t="s">
        <v>465</v>
      </c>
      <c r="H55" s="177" t="s">
        <v>105</v>
      </c>
      <c r="I55" s="177" t="s">
        <v>453</v>
      </c>
      <c r="J55" s="177"/>
      <c r="K55" s="177" t="s">
        <v>465</v>
      </c>
      <c r="L55" s="177"/>
    </row>
    <row r="56" spans="7:20">
      <c r="G56" s="177" t="s">
        <v>465</v>
      </c>
      <c r="H56" s="177" t="s">
        <v>104</v>
      </c>
      <c r="I56" s="177" t="s">
        <v>466</v>
      </c>
      <c r="J56" s="177"/>
      <c r="K56" s="177"/>
      <c r="L56" s="177"/>
    </row>
    <row r="57" spans="7:20">
      <c r="G57" s="177" t="s">
        <v>435</v>
      </c>
      <c r="H57" s="177" t="s">
        <v>104</v>
      </c>
      <c r="I57" s="177" t="s">
        <v>435</v>
      </c>
      <c r="J57" s="177"/>
      <c r="K57" s="177"/>
      <c r="L57" s="177"/>
    </row>
    <row r="58" spans="7:20">
      <c r="G58" s="177" t="s">
        <v>481</v>
      </c>
      <c r="H58" s="177" t="s">
        <v>104</v>
      </c>
      <c r="I58" s="177" t="s">
        <v>481</v>
      </c>
      <c r="J58" s="177"/>
      <c r="K58" s="177"/>
      <c r="L58" s="177"/>
    </row>
    <row r="59" spans="7:20">
      <c r="G59" s="177" t="s">
        <v>491</v>
      </c>
      <c r="H59" s="177" t="s">
        <v>104</v>
      </c>
      <c r="I59" s="177" t="s">
        <v>491</v>
      </c>
      <c r="J59" s="177"/>
      <c r="K59" s="177"/>
      <c r="L59" s="177"/>
    </row>
    <row r="60" spans="7:20">
      <c r="G60" s="263" t="s">
        <v>529</v>
      </c>
      <c r="H60" s="263" t="s">
        <v>104</v>
      </c>
      <c r="I60" s="263" t="s">
        <v>529</v>
      </c>
      <c r="J60" s="263"/>
      <c r="K60" s="263"/>
      <c r="L60" s="263"/>
    </row>
    <row r="61" spans="7:20">
      <c r="G61" s="263" t="s">
        <v>537</v>
      </c>
      <c r="H61" s="263" t="s">
        <v>104</v>
      </c>
      <c r="I61" s="263" t="s">
        <v>537</v>
      </c>
      <c r="J61" s="263"/>
      <c r="K61" s="263"/>
      <c r="L61" s="263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8 W4:W11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AG3:AG28">
      <formula1>INDIRECT("Direction[Code]")</formula1>
    </dataValidation>
    <dataValidation type="list" allowBlank="1" showInputMessage="1" showErrorMessage="1" sqref="AI3:AI28 AK3:AK28">
      <formula1>INDIRECT("YesNo[Code]")</formula1>
    </dataValidation>
    <dataValidation type="whole" allowBlank="1" showInputMessage="1" showErrorMessage="1" sqref="AJ3:AJ28">
      <formula1>1</formula1>
      <formula2>32767</formula2>
    </dataValidation>
    <dataValidation type="list" allowBlank="1" showInputMessage="1" showErrorMessage="1" sqref="J3:J61">
      <formula1>INDIRECT("AfterAction")</formula1>
    </dataValidation>
    <dataValidation type="list" allowBlank="1" showInputMessage="1" showErrorMessage="1" sqref="H3:H61">
      <formula1>INDIRECT("ActionTypes[Code]")</formula1>
    </dataValidation>
    <dataValidation type="list" allowBlank="1" showInputMessage="1" showErrorMessage="1" sqref="Q3:Q54">
      <formula1>INDIRECT("CreateModes[Code]")</formula1>
    </dataValidation>
    <dataValidation type="list" allowBlank="1" showInputMessage="1" showErrorMessage="1" sqref="T3:T54">
      <formula1>INDIRECT("ReportTypes[Code]")</formula1>
    </dataValidation>
    <dataValidation type="list" allowBlank="1" showInputMessage="1" showErrorMessage="1" sqref="S3:S54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536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43465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15"/>
      <c r="B8" s="315"/>
      <c r="C8" s="315"/>
      <c r="D8" s="315"/>
      <c r="E8" s="315"/>
    </row>
    <row r="9" spans="1:6" ht="97.5" customHeight="1">
      <c r="A9" s="44"/>
      <c r="B9" s="316" t="s">
        <v>488</v>
      </c>
      <c r="C9" s="317"/>
      <c r="D9" s="317"/>
      <c r="E9" s="44"/>
    </row>
    <row r="10" spans="1:6" s="43" customFormat="1" ht="14.25" customHeight="1">
      <c r="A10" s="315"/>
      <c r="B10" s="315"/>
      <c r="C10" s="315"/>
      <c r="D10" s="315"/>
      <c r="E10" s="315"/>
    </row>
    <row r="11" spans="1:6" hidden="1">
      <c r="A11" s="312"/>
      <c r="B11" s="313"/>
      <c r="C11" s="313"/>
      <c r="D11" s="313"/>
      <c r="E11" s="314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F12" sqref="F12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295" t="s">
        <v>506</v>
      </c>
      <c r="B1" s="295"/>
      <c r="C1" s="295"/>
      <c r="D1" s="295"/>
      <c r="E1" s="295"/>
      <c r="F1" s="295"/>
      <c r="G1" s="295"/>
      <c r="H1" s="295"/>
      <c r="I1" s="244"/>
      <c r="J1" s="244"/>
    </row>
    <row r="2" spans="1:10" ht="24" customHeight="1">
      <c r="A2" s="246" t="s">
        <v>527</v>
      </c>
      <c r="B2" s="246" t="s">
        <v>438</v>
      </c>
      <c r="C2" s="246" t="s">
        <v>507</v>
      </c>
      <c r="D2" s="247" t="s">
        <v>508</v>
      </c>
      <c r="E2" s="247" t="s">
        <v>97</v>
      </c>
      <c r="F2" s="248" t="s">
        <v>440</v>
      </c>
      <c r="G2" s="247" t="s">
        <v>420</v>
      </c>
      <c r="H2" s="362" t="s">
        <v>135</v>
      </c>
    </row>
    <row r="3" spans="1:10">
      <c r="A3" s="355" t="s">
        <v>493</v>
      </c>
      <c r="B3" s="163"/>
      <c r="C3" s="163"/>
      <c r="D3" s="163"/>
      <c r="E3" s="114"/>
      <c r="F3" s="356"/>
      <c r="G3" s="356"/>
      <c r="H3" s="361"/>
    </row>
    <row r="4" spans="1:10" ht="15.75" thickBot="1">
      <c r="A4" s="363"/>
      <c r="B4" s="363"/>
      <c r="C4" s="363"/>
      <c r="D4" s="363"/>
      <c r="E4" s="363"/>
      <c r="F4" s="363"/>
      <c r="G4" s="363"/>
      <c r="H4" s="363"/>
    </row>
    <row r="5" spans="1:10" ht="19.5" customHeight="1" thickTop="1"/>
    <row r="6" spans="1:10" ht="30" customHeight="1">
      <c r="A6" s="364" t="s">
        <v>520</v>
      </c>
      <c r="B6" s="364"/>
      <c r="C6" s="364"/>
      <c r="D6" s="364"/>
      <c r="E6" s="364"/>
      <c r="F6" s="364"/>
      <c r="G6" s="364"/>
      <c r="H6" s="364"/>
    </row>
    <row r="7" spans="1:10">
      <c r="A7" s="246" t="s">
        <v>509</v>
      </c>
      <c r="B7" s="246" t="s">
        <v>510</v>
      </c>
      <c r="C7" s="247" t="s">
        <v>511</v>
      </c>
      <c r="D7" s="247" t="s">
        <v>40</v>
      </c>
      <c r="E7" s="248" t="s">
        <v>512</v>
      </c>
      <c r="F7" s="247" t="s">
        <v>513</v>
      </c>
      <c r="G7" s="247" t="s">
        <v>514</v>
      </c>
      <c r="H7" s="247" t="s">
        <v>515</v>
      </c>
    </row>
    <row r="8" spans="1:10">
      <c r="A8" s="356" t="s">
        <v>494</v>
      </c>
      <c r="B8" s="356"/>
      <c r="C8" s="165"/>
      <c r="D8" s="367"/>
      <c r="E8" s="369"/>
      <c r="F8" s="166" t="s">
        <v>191</v>
      </c>
      <c r="G8" s="163"/>
      <c r="H8" s="163"/>
    </row>
    <row r="9" spans="1:10" ht="16.5" customHeight="1"/>
    <row r="10" spans="1:10" ht="30" customHeight="1">
      <c r="A10" s="365" t="s">
        <v>523</v>
      </c>
      <c r="B10" s="364"/>
      <c r="C10" s="364"/>
      <c r="D10" s="364"/>
      <c r="E10" s="364"/>
      <c r="F10" s="364"/>
      <c r="G10" s="364"/>
      <c r="H10" s="364"/>
    </row>
    <row r="11" spans="1:10">
      <c r="A11" s="246" t="s">
        <v>509</v>
      </c>
      <c r="B11" s="246" t="s">
        <v>510</v>
      </c>
      <c r="C11" s="247" t="s">
        <v>485</v>
      </c>
      <c r="D11" s="247" t="s">
        <v>40</v>
      </c>
      <c r="E11" s="248" t="s">
        <v>512</v>
      </c>
      <c r="F11" s="247" t="s">
        <v>513</v>
      </c>
      <c r="G11" s="247" t="s">
        <v>514</v>
      </c>
      <c r="H11" s="247" t="s">
        <v>515</v>
      </c>
    </row>
    <row r="12" spans="1:10">
      <c r="A12" s="354" t="s">
        <v>495</v>
      </c>
      <c r="B12" s="356"/>
      <c r="C12" s="165"/>
      <c r="D12" s="115"/>
      <c r="E12" s="369"/>
      <c r="F12" s="166" t="s">
        <v>191</v>
      </c>
      <c r="G12" s="163"/>
      <c r="H12" s="163"/>
    </row>
    <row r="14" spans="1:10" ht="30" customHeight="1">
      <c r="A14" s="364" t="s">
        <v>521</v>
      </c>
      <c r="B14" s="364"/>
      <c r="C14" s="364"/>
      <c r="D14" s="364"/>
      <c r="E14" s="364"/>
      <c r="F14" s="364"/>
      <c r="G14" s="364"/>
    </row>
    <row r="15" spans="1:10" ht="25.5">
      <c r="A15" s="246" t="s">
        <v>35</v>
      </c>
      <c r="B15" s="246" t="s">
        <v>516</v>
      </c>
      <c r="C15" s="246" t="s">
        <v>38</v>
      </c>
      <c r="D15" s="247" t="s">
        <v>40</v>
      </c>
      <c r="E15" s="247" t="s">
        <v>517</v>
      </c>
      <c r="F15" s="247" t="s">
        <v>518</v>
      </c>
      <c r="G15" s="247" t="s">
        <v>39</v>
      </c>
    </row>
    <row r="16" spans="1:10">
      <c r="A16" s="354" t="s">
        <v>496</v>
      </c>
      <c r="B16" s="368"/>
      <c r="C16" s="356"/>
      <c r="D16" s="115"/>
      <c r="E16" s="366"/>
      <c r="F16" s="357"/>
      <c r="G16" s="357"/>
    </row>
    <row r="18" spans="1:5" ht="30" customHeight="1">
      <c r="A18" s="364" t="s">
        <v>522</v>
      </c>
      <c r="B18" s="364"/>
      <c r="C18" s="364"/>
      <c r="D18" s="364"/>
      <c r="E18" s="364"/>
    </row>
    <row r="19" spans="1:5" ht="15.75" thickBot="1">
      <c r="A19" s="358" t="s">
        <v>3</v>
      </c>
      <c r="B19" s="358" t="s">
        <v>57</v>
      </c>
      <c r="C19" s="359" t="s">
        <v>511</v>
      </c>
      <c r="D19" s="359" t="s">
        <v>40</v>
      </c>
      <c r="E19" s="358" t="s">
        <v>519</v>
      </c>
    </row>
    <row r="20" spans="1:5" ht="15.75" thickTop="1">
      <c r="A20" s="360" t="s">
        <v>497</v>
      </c>
      <c r="B20" s="360"/>
      <c r="C20" s="360"/>
      <c r="D20" s="367"/>
      <c r="E20" s="370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95" t="s">
        <v>249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</row>
    <row r="2" spans="1:12" ht="44.25" customHeight="1">
      <c r="A2" s="322" t="s">
        <v>327</v>
      </c>
      <c r="B2" s="322"/>
      <c r="C2" s="322"/>
      <c r="D2" s="322" t="s">
        <v>58</v>
      </c>
      <c r="E2" s="322"/>
      <c r="F2" s="322" t="s">
        <v>62</v>
      </c>
      <c r="G2" s="322" t="s">
        <v>52</v>
      </c>
      <c r="H2" s="322" t="s">
        <v>328</v>
      </c>
      <c r="I2" s="322" t="s">
        <v>329</v>
      </c>
      <c r="J2" s="322" t="s">
        <v>3</v>
      </c>
      <c r="K2" s="322" t="s">
        <v>325</v>
      </c>
      <c r="L2" s="322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22"/>
      <c r="G3" s="322" t="s">
        <v>41</v>
      </c>
      <c r="H3" s="322" t="s">
        <v>325</v>
      </c>
      <c r="I3" s="322"/>
      <c r="J3" s="322"/>
      <c r="K3" s="322"/>
      <c r="L3" s="322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72" t="s">
        <v>251</v>
      </c>
      <c r="B1" s="272"/>
      <c r="C1" s="272"/>
      <c r="D1" s="272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23" t="s">
        <v>252</v>
      </c>
      <c r="B1" s="324"/>
      <c r="C1" s="324"/>
      <c r="D1" s="324"/>
      <c r="E1" s="324"/>
    </row>
    <row r="2" spans="1:6" ht="19.5" customHeight="1">
      <c r="A2" s="325" t="s">
        <v>181</v>
      </c>
      <c r="B2" s="326"/>
      <c r="C2" s="326"/>
      <c r="D2" s="326"/>
      <c r="E2" s="327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10" t="s">
        <v>185</v>
      </c>
      <c r="E8" s="31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10" t="s">
        <v>187</v>
      </c>
      <c r="E11" s="31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28" t="s">
        <v>253</v>
      </c>
      <c r="B1" s="329"/>
      <c r="C1" s="329"/>
      <c r="D1" s="329"/>
      <c r="E1" s="329"/>
      <c r="F1" s="329"/>
      <c r="G1" s="329"/>
      <c r="H1" s="329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35" t="s">
        <v>194</v>
      </c>
      <c r="F7" s="335"/>
      <c r="G7" s="335"/>
      <c r="H7" s="335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36" t="s">
        <v>200</v>
      </c>
      <c r="F11" s="336"/>
      <c r="G11" s="336"/>
      <c r="H11" s="336"/>
    </row>
    <row r="12" spans="1:8">
      <c r="C12" s="53"/>
      <c r="D12" s="85"/>
      <c r="E12" s="332" t="s">
        <v>201</v>
      </c>
      <c r="F12" s="333"/>
      <c r="G12" s="334"/>
      <c r="H12" s="330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30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31" t="s">
        <v>219</v>
      </c>
      <c r="B22" s="331"/>
      <c r="C22" s="331"/>
      <c r="D22" s="331"/>
      <c r="E22" s="331"/>
      <c r="F22" s="331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08" t="s">
        <v>254</v>
      </c>
      <c r="B1" s="308"/>
      <c r="C1" s="308"/>
      <c r="D1" s="308"/>
      <c r="E1" s="308"/>
      <c r="F1" s="308"/>
      <c r="G1" s="308"/>
      <c r="H1" s="308"/>
      <c r="I1" s="308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38" t="s">
        <v>263</v>
      </c>
      <c r="B1" s="339"/>
      <c r="C1" s="339"/>
      <c r="D1" s="339"/>
      <c r="E1" s="339"/>
      <c r="F1" s="339"/>
      <c r="G1" s="339"/>
      <c r="H1" s="339"/>
      <c r="I1" s="339"/>
    </row>
    <row r="2" spans="1:9" ht="15.75">
      <c r="A2" s="112"/>
    </row>
    <row r="3" spans="1:9" ht="31.5" customHeight="1">
      <c r="A3" s="337" t="s">
        <v>262</v>
      </c>
      <c r="B3" s="337"/>
      <c r="C3" s="337"/>
      <c r="D3" s="337"/>
      <c r="E3" s="337"/>
      <c r="F3" s="337"/>
      <c r="G3" s="337"/>
      <c r="H3" s="337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38" t="s">
        <v>263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</row>
    <row r="2" spans="1:16" ht="15.75">
      <c r="A2" s="112"/>
      <c r="F2" s="112"/>
      <c r="G2" s="112"/>
      <c r="H2" s="112"/>
      <c r="I2" s="112"/>
    </row>
    <row r="3" spans="1:16" ht="31.5" customHeight="1">
      <c r="A3" s="340" t="s">
        <v>262</v>
      </c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1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42" t="s">
        <v>310</v>
      </c>
      <c r="L4" s="342"/>
      <c r="M4" s="342"/>
      <c r="N4" s="343" t="s">
        <v>311</v>
      </c>
      <c r="O4" s="344"/>
      <c r="P4" s="345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08" t="s">
        <v>366</v>
      </c>
      <c r="B1" s="308"/>
      <c r="C1" s="308"/>
      <c r="D1" s="308"/>
      <c r="E1" s="308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18" t="s">
        <v>373</v>
      </c>
      <c r="B8" s="318"/>
      <c r="C8" s="318"/>
      <c r="D8" s="318"/>
      <c r="E8" s="318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19" t="s">
        <v>384</v>
      </c>
      <c r="B19" s="320"/>
      <c r="C19" s="320"/>
      <c r="D19" s="320"/>
      <c r="E19" s="321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08" t="s">
        <v>348</v>
      </c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187"/>
    </row>
    <row r="3" spans="1:14">
      <c r="A3" s="353" t="s">
        <v>357</v>
      </c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</row>
    <row r="4" spans="1:14" ht="37.5" customHeight="1">
      <c r="A4" s="346" t="s">
        <v>349</v>
      </c>
      <c r="B4" s="350" t="s">
        <v>352</v>
      </c>
      <c r="C4" s="351"/>
      <c r="D4" s="346" t="s">
        <v>329</v>
      </c>
      <c r="E4" s="346" t="s">
        <v>97</v>
      </c>
      <c r="F4" s="183" t="s">
        <v>1</v>
      </c>
      <c r="G4" s="183" t="s">
        <v>2</v>
      </c>
      <c r="H4" s="183" t="s">
        <v>82</v>
      </c>
      <c r="I4" s="350" t="s">
        <v>69</v>
      </c>
      <c r="J4" s="352"/>
      <c r="K4" s="351"/>
      <c r="L4" s="346" t="s">
        <v>353</v>
      </c>
      <c r="M4" s="348" t="s">
        <v>354</v>
      </c>
      <c r="N4" s="186"/>
    </row>
    <row r="5" spans="1:14" ht="33.75" customHeight="1">
      <c r="A5" s="347"/>
      <c r="B5" s="185" t="s">
        <v>350</v>
      </c>
      <c r="C5" s="185" t="s">
        <v>351</v>
      </c>
      <c r="D5" s="347"/>
      <c r="E5" s="347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47"/>
      <c r="M5" s="349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53" t="s">
        <v>358</v>
      </c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</row>
    <row r="12" spans="1:14" ht="37.5" customHeight="1">
      <c r="A12" s="346" t="s">
        <v>349</v>
      </c>
      <c r="B12" s="350" t="s">
        <v>352</v>
      </c>
      <c r="C12" s="351"/>
      <c r="D12" s="346" t="s">
        <v>329</v>
      </c>
      <c r="E12" s="346" t="s">
        <v>97</v>
      </c>
      <c r="F12" s="183" t="s">
        <v>1</v>
      </c>
      <c r="G12" s="183" t="s">
        <v>2</v>
      </c>
      <c r="H12" s="183" t="s">
        <v>82</v>
      </c>
      <c r="I12" s="350" t="s">
        <v>69</v>
      </c>
      <c r="J12" s="352"/>
      <c r="K12" s="351"/>
      <c r="L12" s="346" t="s">
        <v>353</v>
      </c>
      <c r="M12" s="348" t="s">
        <v>354</v>
      </c>
      <c r="N12" s="186"/>
    </row>
    <row r="13" spans="1:14" ht="33.75" customHeight="1">
      <c r="A13" s="347"/>
      <c r="B13" s="185" t="s">
        <v>350</v>
      </c>
      <c r="C13" s="185"/>
      <c r="D13" s="347"/>
      <c r="E13" s="347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47"/>
      <c r="M13" s="349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53" t="s">
        <v>360</v>
      </c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</row>
    <row r="20" spans="1:14" ht="37.5" customHeight="1">
      <c r="A20" s="346" t="s">
        <v>349</v>
      </c>
      <c r="B20" s="350" t="s">
        <v>352</v>
      </c>
      <c r="C20" s="351"/>
      <c r="D20" s="346" t="s">
        <v>329</v>
      </c>
      <c r="E20" s="346" t="s">
        <v>97</v>
      </c>
      <c r="F20" s="183" t="s">
        <v>1</v>
      </c>
      <c r="G20" s="183" t="s">
        <v>2</v>
      </c>
      <c r="H20" s="183" t="s">
        <v>82</v>
      </c>
      <c r="I20" s="350" t="s">
        <v>69</v>
      </c>
      <c r="J20" s="352"/>
      <c r="K20" s="351"/>
      <c r="L20" s="346" t="s">
        <v>353</v>
      </c>
      <c r="M20" s="348" t="s">
        <v>354</v>
      </c>
      <c r="N20" s="186"/>
    </row>
    <row r="21" spans="1:14" ht="33.75" customHeight="1">
      <c r="A21" s="347"/>
      <c r="B21" s="185" t="s">
        <v>350</v>
      </c>
      <c r="C21" s="185"/>
      <c r="D21" s="347"/>
      <c r="E21" s="347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47"/>
      <c r="M21" s="349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25</vt:i4>
      </vt:variant>
    </vt:vector>
  </HeadingPairs>
  <TitlesOfParts>
    <vt:vector size="52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f2_load_vych_person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2018-02-12T12:58:17Z</dcterms:modified>
</cp:coreProperties>
</file>